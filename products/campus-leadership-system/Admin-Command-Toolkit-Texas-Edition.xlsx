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kcul\waypoint-intelligent-design-daep-master\products\campus-leadership-system\"/>
    </mc:Choice>
  </mc:AlternateContent>
  <xr:revisionPtr revIDLastSave="0" documentId="13_ncr:1_{653B7DB1-FD29-462F-8676-ED09C03CC89D}" xr6:coauthVersionLast="47" xr6:coauthVersionMax="47" xr10:uidLastSave="{00000000-0000-0000-0000-000000000000}"/>
  <bookViews>
    <workbookView xWindow="2940" yWindow="2940" windowWidth="16200" windowHeight="9982" tabRatio="500" xr2:uid="{00000000-000D-0000-FFFF-FFFF00000000}"/>
  </bookViews>
  <sheets>
    <sheet name="Cover" sheetId="1" r:id="rId1"/>
    <sheet name="Incident Intake" sheetId="2" r:id="rId2"/>
    <sheet name="⚡ Command Dashboard" sheetId="3" r:id="rId3"/>
    <sheet name="Investigation Tracker" sheetId="4" r:id="rId4"/>
    <sheet name="10-Day Compliance" sheetId="5" r:id="rId5"/>
    <sheet name="Evidence Tracker" sheetId="6" r:id="rId6"/>
    <sheet name="Parent Contact Log" sheetId="7" r:id="rId7"/>
    <sheet name="Discipline Trends" sheetId="8" r:id="rId8"/>
    <sheet name="📋 Monday Briefing" sheetId="9" r:id="rId9"/>
    <sheet name="Investigation Notes" sheetId="10" r:id="rId10"/>
    <sheet name="Reference" sheetId="11" r:id="rId11"/>
    <sheet name="↑ Upgrade to Waypoint" sheetId="12" r:id="rId12"/>
    <sheet name="Outcome &amp; Letters" sheetId="13" r:id="rId13"/>
    <sheet name="Lists" sheetId="14" r:id="rId14"/>
  </sheets>
  <definedNames>
    <definedName name="_xlnm.Print_Titles" localSheetId="4">'10-Day Compliance'!$1:$4</definedName>
    <definedName name="_xlnm.Print_Titles" localSheetId="5">'Evidence Tracker'!$1:$4</definedName>
    <definedName name="_xlnm.Print_Titles" localSheetId="1">'Incident Intake'!$1:$4</definedName>
    <definedName name="_xlnm.Print_Titles" localSheetId="9">'Investigation Notes'!$1:$4</definedName>
    <definedName name="_xlnm.Print_Titles" localSheetId="3">'Investigation Tracker'!$1:$5</definedName>
    <definedName name="_xlnm.Print_Titles" localSheetId="12">'Outcome &amp; Letters'!$1:$4</definedName>
    <definedName name="_xlnm.Print_Titles" localSheetId="6">'Parent Contact Log'!$1:$4</definedName>
    <definedName name="_xlnm.Print_Titles" localSheetId="10">Reference!$1:$2</definedName>
    <definedName name="_xlnm.Print_Titles" localSheetId="8">'📋 Monday Briefing'!$1:$2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4" i="13" l="1"/>
  <c r="Q154" i="13"/>
  <c r="M154" i="13"/>
  <c r="I154" i="13"/>
  <c r="D154" i="13"/>
  <c r="C154" i="13"/>
  <c r="B154" i="13"/>
  <c r="T153" i="13"/>
  <c r="Q153" i="13"/>
  <c r="M153" i="13"/>
  <c r="I153" i="13"/>
  <c r="D153" i="13"/>
  <c r="C153" i="13"/>
  <c r="B153" i="13"/>
  <c r="T152" i="13"/>
  <c r="Q152" i="13"/>
  <c r="M152" i="13"/>
  <c r="I152" i="13"/>
  <c r="D152" i="13"/>
  <c r="C152" i="13"/>
  <c r="B152" i="13"/>
  <c r="T151" i="13"/>
  <c r="Q151" i="13"/>
  <c r="M151" i="13"/>
  <c r="I151" i="13"/>
  <c r="D151" i="13"/>
  <c r="C151" i="13"/>
  <c r="B151" i="13"/>
  <c r="T150" i="13"/>
  <c r="Q150" i="13"/>
  <c r="M150" i="13"/>
  <c r="I150" i="13"/>
  <c r="D150" i="13"/>
  <c r="C150" i="13"/>
  <c r="B150" i="13"/>
  <c r="T149" i="13"/>
  <c r="Q149" i="13"/>
  <c r="M149" i="13"/>
  <c r="I149" i="13"/>
  <c r="D149" i="13"/>
  <c r="C149" i="13"/>
  <c r="B149" i="13"/>
  <c r="T148" i="13"/>
  <c r="Q148" i="13"/>
  <c r="M148" i="13"/>
  <c r="I148" i="13"/>
  <c r="D148" i="13"/>
  <c r="C148" i="13"/>
  <c r="B148" i="13"/>
  <c r="T147" i="13"/>
  <c r="Q147" i="13"/>
  <c r="M147" i="13"/>
  <c r="I147" i="13"/>
  <c r="D147" i="13"/>
  <c r="C147" i="13"/>
  <c r="B147" i="13"/>
  <c r="T146" i="13"/>
  <c r="Q146" i="13"/>
  <c r="M146" i="13"/>
  <c r="I146" i="13"/>
  <c r="D146" i="13"/>
  <c r="C146" i="13"/>
  <c r="B146" i="13"/>
  <c r="T145" i="13"/>
  <c r="Q145" i="13"/>
  <c r="M145" i="13"/>
  <c r="I145" i="13"/>
  <c r="D145" i="13"/>
  <c r="C145" i="13"/>
  <c r="B145" i="13"/>
  <c r="T144" i="13"/>
  <c r="Q144" i="13"/>
  <c r="M144" i="13"/>
  <c r="I144" i="13"/>
  <c r="D144" i="13"/>
  <c r="C144" i="13"/>
  <c r="B144" i="13"/>
  <c r="T143" i="13"/>
  <c r="Q143" i="13"/>
  <c r="M143" i="13"/>
  <c r="I143" i="13"/>
  <c r="D143" i="13"/>
  <c r="C143" i="13"/>
  <c r="B143" i="13"/>
  <c r="T142" i="13"/>
  <c r="Q142" i="13"/>
  <c r="M142" i="13"/>
  <c r="I142" i="13"/>
  <c r="D142" i="13"/>
  <c r="C142" i="13"/>
  <c r="B142" i="13"/>
  <c r="T141" i="13"/>
  <c r="Q141" i="13"/>
  <c r="M141" i="13"/>
  <c r="I141" i="13"/>
  <c r="D141" i="13"/>
  <c r="C141" i="13"/>
  <c r="B141" i="13"/>
  <c r="T140" i="13"/>
  <c r="Q140" i="13"/>
  <c r="M140" i="13"/>
  <c r="I140" i="13"/>
  <c r="D140" i="13"/>
  <c r="C140" i="13"/>
  <c r="B140" i="13"/>
  <c r="T139" i="13"/>
  <c r="Q139" i="13"/>
  <c r="M139" i="13"/>
  <c r="I139" i="13"/>
  <c r="D139" i="13"/>
  <c r="C139" i="13"/>
  <c r="B139" i="13"/>
  <c r="T138" i="13"/>
  <c r="Q138" i="13"/>
  <c r="M138" i="13"/>
  <c r="I138" i="13"/>
  <c r="D138" i="13"/>
  <c r="C138" i="13"/>
  <c r="B138" i="13"/>
  <c r="T137" i="13"/>
  <c r="Q137" i="13"/>
  <c r="M137" i="13"/>
  <c r="I137" i="13"/>
  <c r="D137" i="13"/>
  <c r="C137" i="13"/>
  <c r="B137" i="13"/>
  <c r="T136" i="13"/>
  <c r="Q136" i="13"/>
  <c r="M136" i="13"/>
  <c r="I136" i="13"/>
  <c r="D136" i="13"/>
  <c r="C136" i="13"/>
  <c r="B136" i="13"/>
  <c r="T135" i="13"/>
  <c r="Q135" i="13"/>
  <c r="M135" i="13"/>
  <c r="I135" i="13"/>
  <c r="D135" i="13"/>
  <c r="C135" i="13"/>
  <c r="B135" i="13"/>
  <c r="T134" i="13"/>
  <c r="Q134" i="13"/>
  <c r="M134" i="13"/>
  <c r="I134" i="13"/>
  <c r="D134" i="13"/>
  <c r="C134" i="13"/>
  <c r="B134" i="13"/>
  <c r="T133" i="13"/>
  <c r="Q133" i="13"/>
  <c r="M133" i="13"/>
  <c r="I133" i="13"/>
  <c r="D133" i="13"/>
  <c r="C133" i="13"/>
  <c r="B133" i="13"/>
  <c r="T132" i="13"/>
  <c r="Q132" i="13"/>
  <c r="M132" i="13"/>
  <c r="I132" i="13"/>
  <c r="D132" i="13"/>
  <c r="C132" i="13"/>
  <c r="B132" i="13"/>
  <c r="T131" i="13"/>
  <c r="Q131" i="13"/>
  <c r="M131" i="13"/>
  <c r="I131" i="13"/>
  <c r="D131" i="13"/>
  <c r="C131" i="13"/>
  <c r="B131" i="13"/>
  <c r="T130" i="13"/>
  <c r="Q130" i="13"/>
  <c r="M130" i="13"/>
  <c r="I130" i="13"/>
  <c r="D130" i="13"/>
  <c r="C130" i="13"/>
  <c r="B130" i="13"/>
  <c r="T129" i="13"/>
  <c r="Q129" i="13"/>
  <c r="M129" i="13"/>
  <c r="I129" i="13"/>
  <c r="D129" i="13"/>
  <c r="C129" i="13"/>
  <c r="B129" i="13"/>
  <c r="T128" i="13"/>
  <c r="Q128" i="13"/>
  <c r="M128" i="13"/>
  <c r="I128" i="13"/>
  <c r="D128" i="13"/>
  <c r="C128" i="13"/>
  <c r="B128" i="13"/>
  <c r="T127" i="13"/>
  <c r="Q127" i="13"/>
  <c r="M127" i="13"/>
  <c r="I127" i="13"/>
  <c r="D127" i="13"/>
  <c r="C127" i="13"/>
  <c r="B127" i="13"/>
  <c r="T126" i="13"/>
  <c r="Q126" i="13"/>
  <c r="M126" i="13"/>
  <c r="I126" i="13"/>
  <c r="D126" i="13"/>
  <c r="C126" i="13"/>
  <c r="B126" i="13"/>
  <c r="T125" i="13"/>
  <c r="Q125" i="13"/>
  <c r="M125" i="13"/>
  <c r="I125" i="13"/>
  <c r="D125" i="13"/>
  <c r="C125" i="13"/>
  <c r="B125" i="13"/>
  <c r="T124" i="13"/>
  <c r="Q124" i="13"/>
  <c r="M124" i="13"/>
  <c r="I124" i="13"/>
  <c r="D124" i="13"/>
  <c r="C124" i="13"/>
  <c r="B124" i="13"/>
  <c r="T123" i="13"/>
  <c r="Q123" i="13"/>
  <c r="M123" i="13"/>
  <c r="I123" i="13"/>
  <c r="D123" i="13"/>
  <c r="C123" i="13"/>
  <c r="B123" i="13"/>
  <c r="T122" i="13"/>
  <c r="Q122" i="13"/>
  <c r="M122" i="13"/>
  <c r="I122" i="13"/>
  <c r="D122" i="13"/>
  <c r="C122" i="13"/>
  <c r="B122" i="13"/>
  <c r="T121" i="13"/>
  <c r="Q121" i="13"/>
  <c r="M121" i="13"/>
  <c r="I121" i="13"/>
  <c r="D121" i="13"/>
  <c r="C121" i="13"/>
  <c r="B121" i="13"/>
  <c r="T120" i="13"/>
  <c r="Q120" i="13"/>
  <c r="M120" i="13"/>
  <c r="I120" i="13"/>
  <c r="D120" i="13"/>
  <c r="C120" i="13"/>
  <c r="B120" i="13"/>
  <c r="T119" i="13"/>
  <c r="Q119" i="13"/>
  <c r="M119" i="13"/>
  <c r="I119" i="13"/>
  <c r="D119" i="13"/>
  <c r="C119" i="13"/>
  <c r="B119" i="13"/>
  <c r="T118" i="13"/>
  <c r="Q118" i="13"/>
  <c r="M118" i="13"/>
  <c r="I118" i="13"/>
  <c r="D118" i="13"/>
  <c r="C118" i="13"/>
  <c r="B118" i="13"/>
  <c r="T117" i="13"/>
  <c r="Q117" i="13"/>
  <c r="M117" i="13"/>
  <c r="I117" i="13"/>
  <c r="D117" i="13"/>
  <c r="C117" i="13"/>
  <c r="B117" i="13"/>
  <c r="T116" i="13"/>
  <c r="Q116" i="13"/>
  <c r="M116" i="13"/>
  <c r="I116" i="13"/>
  <c r="D116" i="13"/>
  <c r="C116" i="13"/>
  <c r="B116" i="13"/>
  <c r="T115" i="13"/>
  <c r="Q115" i="13"/>
  <c r="M115" i="13"/>
  <c r="I115" i="13"/>
  <c r="D115" i="13"/>
  <c r="C115" i="13"/>
  <c r="B115" i="13"/>
  <c r="T114" i="13"/>
  <c r="Q114" i="13"/>
  <c r="M114" i="13"/>
  <c r="I114" i="13"/>
  <c r="D114" i="13"/>
  <c r="C114" i="13"/>
  <c r="B114" i="13"/>
  <c r="T113" i="13"/>
  <c r="Q113" i="13"/>
  <c r="M113" i="13"/>
  <c r="I113" i="13"/>
  <c r="D113" i="13"/>
  <c r="C113" i="13"/>
  <c r="B113" i="13"/>
  <c r="T112" i="13"/>
  <c r="Q112" i="13"/>
  <c r="M112" i="13"/>
  <c r="I112" i="13"/>
  <c r="D112" i="13"/>
  <c r="C112" i="13"/>
  <c r="B112" i="13"/>
  <c r="T111" i="13"/>
  <c r="Q111" i="13"/>
  <c r="M111" i="13"/>
  <c r="I111" i="13"/>
  <c r="D111" i="13"/>
  <c r="C111" i="13"/>
  <c r="B111" i="13"/>
  <c r="T110" i="13"/>
  <c r="Q110" i="13"/>
  <c r="M110" i="13"/>
  <c r="I110" i="13"/>
  <c r="D110" i="13"/>
  <c r="C110" i="13"/>
  <c r="B110" i="13"/>
  <c r="T109" i="13"/>
  <c r="Q109" i="13"/>
  <c r="M109" i="13"/>
  <c r="I109" i="13"/>
  <c r="D109" i="13"/>
  <c r="C109" i="13"/>
  <c r="B109" i="13"/>
  <c r="T108" i="13"/>
  <c r="Q108" i="13"/>
  <c r="M108" i="13"/>
  <c r="I108" i="13"/>
  <c r="D108" i="13"/>
  <c r="C108" i="13"/>
  <c r="B108" i="13"/>
  <c r="T107" i="13"/>
  <c r="Q107" i="13"/>
  <c r="M107" i="13"/>
  <c r="I107" i="13"/>
  <c r="D107" i="13"/>
  <c r="C107" i="13"/>
  <c r="B107" i="13"/>
  <c r="T106" i="13"/>
  <c r="Q106" i="13"/>
  <c r="M106" i="13"/>
  <c r="I106" i="13"/>
  <c r="D106" i="13"/>
  <c r="C106" i="13"/>
  <c r="B106" i="13"/>
  <c r="T105" i="13"/>
  <c r="Q105" i="13"/>
  <c r="M105" i="13"/>
  <c r="I105" i="13"/>
  <c r="D105" i="13"/>
  <c r="C105" i="13"/>
  <c r="B105" i="13"/>
  <c r="T104" i="13"/>
  <c r="Q104" i="13"/>
  <c r="M104" i="13"/>
  <c r="I104" i="13"/>
  <c r="D104" i="13"/>
  <c r="C104" i="13"/>
  <c r="B104" i="13"/>
  <c r="T103" i="13"/>
  <c r="Q103" i="13"/>
  <c r="M103" i="13"/>
  <c r="I103" i="13"/>
  <c r="D103" i="13"/>
  <c r="C103" i="13"/>
  <c r="B103" i="13"/>
  <c r="T102" i="13"/>
  <c r="Q102" i="13"/>
  <c r="M102" i="13"/>
  <c r="I102" i="13"/>
  <c r="D102" i="13"/>
  <c r="C102" i="13"/>
  <c r="B102" i="13"/>
  <c r="T101" i="13"/>
  <c r="Q101" i="13"/>
  <c r="M101" i="13"/>
  <c r="I101" i="13"/>
  <c r="D101" i="13"/>
  <c r="C101" i="13"/>
  <c r="B101" i="13"/>
  <c r="T100" i="13"/>
  <c r="Q100" i="13"/>
  <c r="M100" i="13"/>
  <c r="I100" i="13"/>
  <c r="D100" i="13"/>
  <c r="C100" i="13"/>
  <c r="B100" i="13"/>
  <c r="T99" i="13"/>
  <c r="Q99" i="13"/>
  <c r="M99" i="13"/>
  <c r="I99" i="13"/>
  <c r="D99" i="13"/>
  <c r="C99" i="13"/>
  <c r="B99" i="13"/>
  <c r="T98" i="13"/>
  <c r="Q98" i="13"/>
  <c r="M98" i="13"/>
  <c r="I98" i="13"/>
  <c r="D98" i="13"/>
  <c r="C98" i="13"/>
  <c r="B98" i="13"/>
  <c r="T97" i="13"/>
  <c r="Q97" i="13"/>
  <c r="M97" i="13"/>
  <c r="I97" i="13"/>
  <c r="D97" i="13"/>
  <c r="C97" i="13"/>
  <c r="B97" i="13"/>
  <c r="T96" i="13"/>
  <c r="Q96" i="13"/>
  <c r="M96" i="13"/>
  <c r="I96" i="13"/>
  <c r="D96" i="13"/>
  <c r="C96" i="13"/>
  <c r="B96" i="13"/>
  <c r="T95" i="13"/>
  <c r="Q95" i="13"/>
  <c r="M95" i="13"/>
  <c r="I95" i="13"/>
  <c r="D95" i="13"/>
  <c r="C95" i="13"/>
  <c r="B95" i="13"/>
  <c r="T94" i="13"/>
  <c r="Q94" i="13"/>
  <c r="M94" i="13"/>
  <c r="I94" i="13"/>
  <c r="D94" i="13"/>
  <c r="C94" i="13"/>
  <c r="B94" i="13"/>
  <c r="T93" i="13"/>
  <c r="Q93" i="13"/>
  <c r="M93" i="13"/>
  <c r="I93" i="13"/>
  <c r="D93" i="13"/>
  <c r="C93" i="13"/>
  <c r="B93" i="13"/>
  <c r="T92" i="13"/>
  <c r="Q92" i="13"/>
  <c r="M92" i="13"/>
  <c r="I92" i="13"/>
  <c r="D92" i="13"/>
  <c r="C92" i="13"/>
  <c r="B92" i="13"/>
  <c r="T91" i="13"/>
  <c r="Q91" i="13"/>
  <c r="M91" i="13"/>
  <c r="I91" i="13"/>
  <c r="D91" i="13"/>
  <c r="C91" i="13"/>
  <c r="B91" i="13"/>
  <c r="T90" i="13"/>
  <c r="Q90" i="13"/>
  <c r="M90" i="13"/>
  <c r="I90" i="13"/>
  <c r="D90" i="13"/>
  <c r="C90" i="13"/>
  <c r="B90" i="13"/>
  <c r="T89" i="13"/>
  <c r="Q89" i="13"/>
  <c r="M89" i="13"/>
  <c r="I89" i="13"/>
  <c r="D89" i="13"/>
  <c r="C89" i="13"/>
  <c r="B89" i="13"/>
  <c r="T88" i="13"/>
  <c r="Q88" i="13"/>
  <c r="M88" i="13"/>
  <c r="I88" i="13"/>
  <c r="D88" i="13"/>
  <c r="C88" i="13"/>
  <c r="B88" i="13"/>
  <c r="T87" i="13"/>
  <c r="Q87" i="13"/>
  <c r="M87" i="13"/>
  <c r="I87" i="13"/>
  <c r="D87" i="13"/>
  <c r="C87" i="13"/>
  <c r="B87" i="13"/>
  <c r="T86" i="13"/>
  <c r="Q86" i="13"/>
  <c r="M86" i="13"/>
  <c r="I86" i="13"/>
  <c r="D86" i="13"/>
  <c r="C86" i="13"/>
  <c r="B86" i="13"/>
  <c r="T85" i="13"/>
  <c r="Q85" i="13"/>
  <c r="M85" i="13"/>
  <c r="I85" i="13"/>
  <c r="D85" i="13"/>
  <c r="C85" i="13"/>
  <c r="B85" i="13"/>
  <c r="T84" i="13"/>
  <c r="Q84" i="13"/>
  <c r="M84" i="13"/>
  <c r="I84" i="13"/>
  <c r="D84" i="13"/>
  <c r="C84" i="13"/>
  <c r="B84" i="13"/>
  <c r="T83" i="13"/>
  <c r="Q83" i="13"/>
  <c r="M83" i="13"/>
  <c r="I83" i="13"/>
  <c r="D83" i="13"/>
  <c r="C83" i="13"/>
  <c r="B83" i="13"/>
  <c r="T82" i="13"/>
  <c r="Q82" i="13"/>
  <c r="M82" i="13"/>
  <c r="I82" i="13"/>
  <c r="D82" i="13"/>
  <c r="C82" i="13"/>
  <c r="B82" i="13"/>
  <c r="T81" i="13"/>
  <c r="Q81" i="13"/>
  <c r="M81" i="13"/>
  <c r="I81" i="13"/>
  <c r="D81" i="13"/>
  <c r="C81" i="13"/>
  <c r="B81" i="13"/>
  <c r="T80" i="13"/>
  <c r="Q80" i="13"/>
  <c r="M80" i="13"/>
  <c r="I80" i="13"/>
  <c r="D80" i="13"/>
  <c r="C80" i="13"/>
  <c r="B80" i="13"/>
  <c r="T79" i="13"/>
  <c r="Q79" i="13"/>
  <c r="M79" i="13"/>
  <c r="I79" i="13"/>
  <c r="D79" i="13"/>
  <c r="C79" i="13"/>
  <c r="B79" i="13"/>
  <c r="T78" i="13"/>
  <c r="Q78" i="13"/>
  <c r="M78" i="13"/>
  <c r="I78" i="13"/>
  <c r="D78" i="13"/>
  <c r="C78" i="13"/>
  <c r="B78" i="13"/>
  <c r="T77" i="13"/>
  <c r="Q77" i="13"/>
  <c r="M77" i="13"/>
  <c r="I77" i="13"/>
  <c r="D77" i="13"/>
  <c r="C77" i="13"/>
  <c r="B77" i="13"/>
  <c r="T76" i="13"/>
  <c r="Q76" i="13"/>
  <c r="M76" i="13"/>
  <c r="I76" i="13"/>
  <c r="D76" i="13"/>
  <c r="C76" i="13"/>
  <c r="B76" i="13"/>
  <c r="T75" i="13"/>
  <c r="Q75" i="13"/>
  <c r="M75" i="13"/>
  <c r="I75" i="13"/>
  <c r="D75" i="13"/>
  <c r="C75" i="13"/>
  <c r="B75" i="13"/>
  <c r="T74" i="13"/>
  <c r="Q74" i="13"/>
  <c r="M74" i="13"/>
  <c r="I74" i="13"/>
  <c r="D74" i="13"/>
  <c r="C74" i="13"/>
  <c r="B74" i="13"/>
  <c r="T73" i="13"/>
  <c r="Q73" i="13"/>
  <c r="M73" i="13"/>
  <c r="I73" i="13"/>
  <c r="D73" i="13"/>
  <c r="C73" i="13"/>
  <c r="B73" i="13"/>
  <c r="T72" i="13"/>
  <c r="Q72" i="13"/>
  <c r="M72" i="13"/>
  <c r="I72" i="13"/>
  <c r="D72" i="13"/>
  <c r="C72" i="13"/>
  <c r="B72" i="13"/>
  <c r="T71" i="13"/>
  <c r="Q71" i="13"/>
  <c r="M71" i="13"/>
  <c r="I71" i="13"/>
  <c r="D71" i="13"/>
  <c r="C71" i="13"/>
  <c r="B71" i="13"/>
  <c r="T70" i="13"/>
  <c r="Q70" i="13"/>
  <c r="M70" i="13"/>
  <c r="I70" i="13"/>
  <c r="D70" i="13"/>
  <c r="C70" i="13"/>
  <c r="B70" i="13"/>
  <c r="T69" i="13"/>
  <c r="Q69" i="13"/>
  <c r="M69" i="13"/>
  <c r="I69" i="13"/>
  <c r="D69" i="13"/>
  <c r="C69" i="13"/>
  <c r="B69" i="13"/>
  <c r="T68" i="13"/>
  <c r="Q68" i="13"/>
  <c r="M68" i="13"/>
  <c r="I68" i="13"/>
  <c r="D68" i="13"/>
  <c r="C68" i="13"/>
  <c r="B68" i="13"/>
  <c r="T67" i="13"/>
  <c r="Q67" i="13"/>
  <c r="M67" i="13"/>
  <c r="I67" i="13"/>
  <c r="D67" i="13"/>
  <c r="C67" i="13"/>
  <c r="B67" i="13"/>
  <c r="T66" i="13"/>
  <c r="Q66" i="13"/>
  <c r="M66" i="13"/>
  <c r="I66" i="13"/>
  <c r="D66" i="13"/>
  <c r="C66" i="13"/>
  <c r="B66" i="13"/>
  <c r="T65" i="13"/>
  <c r="Q65" i="13"/>
  <c r="M65" i="13"/>
  <c r="I65" i="13"/>
  <c r="D65" i="13"/>
  <c r="C65" i="13"/>
  <c r="B65" i="13"/>
  <c r="T64" i="13"/>
  <c r="Q64" i="13"/>
  <c r="M64" i="13"/>
  <c r="I64" i="13"/>
  <c r="D64" i="13"/>
  <c r="C64" i="13"/>
  <c r="B64" i="13"/>
  <c r="T63" i="13"/>
  <c r="Q63" i="13"/>
  <c r="M63" i="13"/>
  <c r="I63" i="13"/>
  <c r="D63" i="13"/>
  <c r="C63" i="13"/>
  <c r="B63" i="13"/>
  <c r="T62" i="13"/>
  <c r="Q62" i="13"/>
  <c r="M62" i="13"/>
  <c r="I62" i="13"/>
  <c r="D62" i="13"/>
  <c r="C62" i="13"/>
  <c r="B62" i="13"/>
  <c r="T61" i="13"/>
  <c r="Q61" i="13"/>
  <c r="M61" i="13"/>
  <c r="I61" i="13"/>
  <c r="D61" i="13"/>
  <c r="C61" i="13"/>
  <c r="B61" i="13"/>
  <c r="T60" i="13"/>
  <c r="Q60" i="13"/>
  <c r="M60" i="13"/>
  <c r="I60" i="13"/>
  <c r="D60" i="13"/>
  <c r="C60" i="13"/>
  <c r="B60" i="13"/>
  <c r="T59" i="13"/>
  <c r="Q59" i="13"/>
  <c r="M59" i="13"/>
  <c r="I59" i="13"/>
  <c r="D59" i="13"/>
  <c r="C59" i="13"/>
  <c r="B59" i="13"/>
  <c r="T58" i="13"/>
  <c r="Q58" i="13"/>
  <c r="M58" i="13"/>
  <c r="I58" i="13"/>
  <c r="D58" i="13"/>
  <c r="C58" i="13"/>
  <c r="B58" i="13"/>
  <c r="T57" i="13"/>
  <c r="Q57" i="13"/>
  <c r="M57" i="13"/>
  <c r="I57" i="13"/>
  <c r="D57" i="13"/>
  <c r="C57" i="13"/>
  <c r="B57" i="13"/>
  <c r="T56" i="13"/>
  <c r="Q56" i="13"/>
  <c r="M56" i="13"/>
  <c r="I56" i="13"/>
  <c r="D56" i="13"/>
  <c r="C56" i="13"/>
  <c r="B56" i="13"/>
  <c r="T55" i="13"/>
  <c r="Q55" i="13"/>
  <c r="M55" i="13"/>
  <c r="I55" i="13"/>
  <c r="D55" i="13"/>
  <c r="C55" i="13"/>
  <c r="B55" i="13"/>
  <c r="T54" i="13"/>
  <c r="Q54" i="13"/>
  <c r="M54" i="13"/>
  <c r="I54" i="13"/>
  <c r="D54" i="13"/>
  <c r="C54" i="13"/>
  <c r="B54" i="13"/>
  <c r="T53" i="13"/>
  <c r="Q53" i="13"/>
  <c r="M53" i="13"/>
  <c r="I53" i="13"/>
  <c r="D53" i="13"/>
  <c r="C53" i="13"/>
  <c r="B53" i="13"/>
  <c r="T52" i="13"/>
  <c r="Q52" i="13"/>
  <c r="M52" i="13"/>
  <c r="I52" i="13"/>
  <c r="D52" i="13"/>
  <c r="C52" i="13"/>
  <c r="B52" i="13"/>
  <c r="T51" i="13"/>
  <c r="Q51" i="13"/>
  <c r="M51" i="13"/>
  <c r="I51" i="13"/>
  <c r="D51" i="13"/>
  <c r="C51" i="13"/>
  <c r="B51" i="13"/>
  <c r="T50" i="13"/>
  <c r="Q50" i="13"/>
  <c r="M50" i="13"/>
  <c r="I50" i="13"/>
  <c r="D50" i="13"/>
  <c r="C50" i="13"/>
  <c r="B50" i="13"/>
  <c r="T49" i="13"/>
  <c r="Q49" i="13"/>
  <c r="M49" i="13"/>
  <c r="I49" i="13"/>
  <c r="D49" i="13"/>
  <c r="C49" i="13"/>
  <c r="B49" i="13"/>
  <c r="T48" i="13"/>
  <c r="Q48" i="13"/>
  <c r="M48" i="13"/>
  <c r="I48" i="13"/>
  <c r="D48" i="13"/>
  <c r="C48" i="13"/>
  <c r="B48" i="13"/>
  <c r="T47" i="13"/>
  <c r="Q47" i="13"/>
  <c r="M47" i="13"/>
  <c r="I47" i="13"/>
  <c r="D47" i="13"/>
  <c r="C47" i="13"/>
  <c r="B47" i="13"/>
  <c r="T46" i="13"/>
  <c r="Q46" i="13"/>
  <c r="M46" i="13"/>
  <c r="I46" i="13"/>
  <c r="D46" i="13"/>
  <c r="C46" i="13"/>
  <c r="B46" i="13"/>
  <c r="T45" i="13"/>
  <c r="Q45" i="13"/>
  <c r="M45" i="13"/>
  <c r="I45" i="13"/>
  <c r="D45" i="13"/>
  <c r="C45" i="13"/>
  <c r="B45" i="13"/>
  <c r="T44" i="13"/>
  <c r="Q44" i="13"/>
  <c r="M44" i="13"/>
  <c r="I44" i="13"/>
  <c r="D44" i="13"/>
  <c r="C44" i="13"/>
  <c r="B44" i="13"/>
  <c r="T43" i="13"/>
  <c r="Q43" i="13"/>
  <c r="M43" i="13"/>
  <c r="I43" i="13"/>
  <c r="D43" i="13"/>
  <c r="C43" i="13"/>
  <c r="B43" i="13"/>
  <c r="T42" i="13"/>
  <c r="Q42" i="13"/>
  <c r="M42" i="13"/>
  <c r="I42" i="13"/>
  <c r="D42" i="13"/>
  <c r="C42" i="13"/>
  <c r="B42" i="13"/>
  <c r="T41" i="13"/>
  <c r="Q41" i="13"/>
  <c r="M41" i="13"/>
  <c r="I41" i="13"/>
  <c r="D41" i="13"/>
  <c r="C41" i="13"/>
  <c r="B41" i="13"/>
  <c r="T40" i="13"/>
  <c r="Q40" i="13"/>
  <c r="M40" i="13"/>
  <c r="I40" i="13"/>
  <c r="D40" i="13"/>
  <c r="C40" i="13"/>
  <c r="B40" i="13"/>
  <c r="T39" i="13"/>
  <c r="Q39" i="13"/>
  <c r="M39" i="13"/>
  <c r="I39" i="13"/>
  <c r="D39" i="13"/>
  <c r="C39" i="13"/>
  <c r="B39" i="13"/>
  <c r="T38" i="13"/>
  <c r="Q38" i="13"/>
  <c r="M38" i="13"/>
  <c r="I38" i="13"/>
  <c r="D38" i="13"/>
  <c r="C38" i="13"/>
  <c r="B38" i="13"/>
  <c r="T37" i="13"/>
  <c r="Q37" i="13"/>
  <c r="M37" i="13"/>
  <c r="I37" i="13"/>
  <c r="D37" i="13"/>
  <c r="C37" i="13"/>
  <c r="B37" i="13"/>
  <c r="T36" i="13"/>
  <c r="Q36" i="13"/>
  <c r="M36" i="13"/>
  <c r="I36" i="13"/>
  <c r="D36" i="13"/>
  <c r="C36" i="13"/>
  <c r="B36" i="13"/>
  <c r="T35" i="13"/>
  <c r="Q35" i="13"/>
  <c r="M35" i="13"/>
  <c r="I35" i="13"/>
  <c r="D35" i="13"/>
  <c r="C35" i="13"/>
  <c r="B35" i="13"/>
  <c r="T34" i="13"/>
  <c r="Q34" i="13"/>
  <c r="M34" i="13"/>
  <c r="I34" i="13"/>
  <c r="D34" i="13"/>
  <c r="C34" i="13"/>
  <c r="B34" i="13"/>
  <c r="T33" i="13"/>
  <c r="Q33" i="13"/>
  <c r="M33" i="13"/>
  <c r="I33" i="13"/>
  <c r="D33" i="13"/>
  <c r="C33" i="13"/>
  <c r="B33" i="13"/>
  <c r="T32" i="13"/>
  <c r="Q32" i="13"/>
  <c r="M32" i="13"/>
  <c r="I32" i="13"/>
  <c r="D32" i="13"/>
  <c r="C32" i="13"/>
  <c r="B32" i="13"/>
  <c r="T31" i="13"/>
  <c r="Q31" i="13"/>
  <c r="M31" i="13"/>
  <c r="I31" i="13"/>
  <c r="D31" i="13"/>
  <c r="C31" i="13"/>
  <c r="B31" i="13"/>
  <c r="T30" i="13"/>
  <c r="Q30" i="13"/>
  <c r="M30" i="13"/>
  <c r="I30" i="13"/>
  <c r="D30" i="13"/>
  <c r="C30" i="13"/>
  <c r="B30" i="13"/>
  <c r="T29" i="13"/>
  <c r="Q29" i="13"/>
  <c r="M29" i="13"/>
  <c r="I29" i="13"/>
  <c r="D29" i="13"/>
  <c r="C29" i="13"/>
  <c r="B29" i="13"/>
  <c r="T28" i="13"/>
  <c r="Q28" i="13"/>
  <c r="M28" i="13"/>
  <c r="I28" i="13"/>
  <c r="D28" i="13"/>
  <c r="C28" i="13"/>
  <c r="B28" i="13"/>
  <c r="T27" i="13"/>
  <c r="Q27" i="13"/>
  <c r="M27" i="13"/>
  <c r="I27" i="13"/>
  <c r="D27" i="13"/>
  <c r="C27" i="13"/>
  <c r="B27" i="13"/>
  <c r="T26" i="13"/>
  <c r="Q26" i="13"/>
  <c r="M26" i="13"/>
  <c r="I26" i="13"/>
  <c r="D26" i="13"/>
  <c r="C26" i="13"/>
  <c r="B26" i="13"/>
  <c r="T25" i="13"/>
  <c r="Q25" i="13"/>
  <c r="M25" i="13"/>
  <c r="I25" i="13"/>
  <c r="D25" i="13"/>
  <c r="C25" i="13"/>
  <c r="B25" i="13"/>
  <c r="T24" i="13"/>
  <c r="Q24" i="13"/>
  <c r="M24" i="13"/>
  <c r="I24" i="13"/>
  <c r="D24" i="13"/>
  <c r="C24" i="13"/>
  <c r="B24" i="13"/>
  <c r="T23" i="13"/>
  <c r="Q23" i="13"/>
  <c r="M23" i="13"/>
  <c r="I23" i="13"/>
  <c r="D23" i="13"/>
  <c r="C23" i="13"/>
  <c r="B23" i="13"/>
  <c r="T22" i="13"/>
  <c r="Q22" i="13"/>
  <c r="M22" i="13"/>
  <c r="I22" i="13"/>
  <c r="D22" i="13"/>
  <c r="C22" i="13"/>
  <c r="B22" i="13"/>
  <c r="T21" i="13"/>
  <c r="Q21" i="13"/>
  <c r="M21" i="13"/>
  <c r="I21" i="13"/>
  <c r="D21" i="13"/>
  <c r="C21" i="13"/>
  <c r="B21" i="13"/>
  <c r="T20" i="13"/>
  <c r="Q20" i="13"/>
  <c r="M20" i="13"/>
  <c r="I20" i="13"/>
  <c r="D20" i="13"/>
  <c r="C20" i="13"/>
  <c r="B20" i="13"/>
  <c r="T19" i="13"/>
  <c r="Q19" i="13"/>
  <c r="M19" i="13"/>
  <c r="I19" i="13"/>
  <c r="D19" i="13"/>
  <c r="C19" i="13"/>
  <c r="B19" i="13"/>
  <c r="T18" i="13"/>
  <c r="Q18" i="13"/>
  <c r="M18" i="13"/>
  <c r="I18" i="13"/>
  <c r="D18" i="13"/>
  <c r="C18" i="13"/>
  <c r="B18" i="13"/>
  <c r="T17" i="13"/>
  <c r="Q17" i="13"/>
  <c r="M17" i="13"/>
  <c r="I17" i="13"/>
  <c r="D17" i="13"/>
  <c r="C17" i="13"/>
  <c r="B17" i="13"/>
  <c r="T16" i="13"/>
  <c r="Q16" i="13"/>
  <c r="M16" i="13"/>
  <c r="I16" i="13"/>
  <c r="D16" i="13"/>
  <c r="C16" i="13"/>
  <c r="B16" i="13"/>
  <c r="T15" i="13"/>
  <c r="Q15" i="13"/>
  <c r="M15" i="13"/>
  <c r="I15" i="13"/>
  <c r="D15" i="13"/>
  <c r="C15" i="13"/>
  <c r="B15" i="13"/>
  <c r="T14" i="13"/>
  <c r="Q14" i="13"/>
  <c r="M14" i="13"/>
  <c r="I14" i="13"/>
  <c r="D14" i="13"/>
  <c r="C14" i="13"/>
  <c r="B14" i="13"/>
  <c r="T13" i="13"/>
  <c r="Q13" i="13"/>
  <c r="M13" i="13"/>
  <c r="I13" i="13"/>
  <c r="D13" i="13"/>
  <c r="C13" i="13"/>
  <c r="B13" i="13"/>
  <c r="T12" i="13"/>
  <c r="Q12" i="13"/>
  <c r="M12" i="13"/>
  <c r="I12" i="13"/>
  <c r="D12" i="13"/>
  <c r="C12" i="13"/>
  <c r="B12" i="13"/>
  <c r="T11" i="13"/>
  <c r="Q11" i="13"/>
  <c r="M11" i="13"/>
  <c r="I11" i="13"/>
  <c r="D11" i="13"/>
  <c r="C11" i="13"/>
  <c r="B11" i="13"/>
  <c r="T10" i="13"/>
  <c r="Q10" i="13"/>
  <c r="M10" i="13"/>
  <c r="I10" i="13"/>
  <c r="D10" i="13"/>
  <c r="C10" i="13"/>
  <c r="B10" i="13"/>
  <c r="T9" i="13"/>
  <c r="Q9" i="13"/>
  <c r="M9" i="13"/>
  <c r="I9" i="13"/>
  <c r="D9" i="13"/>
  <c r="C9" i="13"/>
  <c r="B9" i="13"/>
  <c r="T8" i="13"/>
  <c r="Q8" i="13"/>
  <c r="M8" i="13"/>
  <c r="I8" i="13"/>
  <c r="D8" i="13"/>
  <c r="C8" i="13"/>
  <c r="B8" i="13"/>
  <c r="T7" i="13"/>
  <c r="Q7" i="13"/>
  <c r="M7" i="13"/>
  <c r="I7" i="13"/>
  <c r="D7" i="13"/>
  <c r="C7" i="13"/>
  <c r="B7" i="13"/>
  <c r="T6" i="13"/>
  <c r="Q6" i="13"/>
  <c r="M6" i="13"/>
  <c r="I6" i="13"/>
  <c r="D6" i="13"/>
  <c r="C6" i="13"/>
  <c r="B6" i="13"/>
  <c r="T5" i="13"/>
  <c r="Q5" i="13"/>
  <c r="M5" i="13"/>
  <c r="I5" i="13"/>
  <c r="D5" i="13"/>
  <c r="C5" i="13"/>
  <c r="B5" i="13"/>
  <c r="D354" i="10"/>
  <c r="C354" i="10"/>
  <c r="D353" i="10"/>
  <c r="C353" i="10"/>
  <c r="D352" i="10"/>
  <c r="C352" i="10"/>
  <c r="D351" i="10"/>
  <c r="C351" i="10"/>
  <c r="D350" i="10"/>
  <c r="C350" i="10"/>
  <c r="D349" i="10"/>
  <c r="C349" i="10"/>
  <c r="D348" i="10"/>
  <c r="C348" i="10"/>
  <c r="D347" i="10"/>
  <c r="C347" i="10"/>
  <c r="D346" i="10"/>
  <c r="C346" i="10"/>
  <c r="D345" i="10"/>
  <c r="C345" i="10"/>
  <c r="D344" i="10"/>
  <c r="C344" i="10"/>
  <c r="D343" i="10"/>
  <c r="C343" i="10"/>
  <c r="D342" i="10"/>
  <c r="C342" i="10"/>
  <c r="D341" i="10"/>
  <c r="C341" i="10"/>
  <c r="D340" i="10"/>
  <c r="C340" i="10"/>
  <c r="D339" i="10"/>
  <c r="C339" i="10"/>
  <c r="D338" i="10"/>
  <c r="C338" i="10"/>
  <c r="D337" i="10"/>
  <c r="C337" i="10"/>
  <c r="D336" i="10"/>
  <c r="C336" i="10"/>
  <c r="D335" i="10"/>
  <c r="C335" i="10"/>
  <c r="D334" i="10"/>
  <c r="C334" i="10"/>
  <c r="D333" i="10"/>
  <c r="C333" i="10"/>
  <c r="D332" i="10"/>
  <c r="C332" i="10"/>
  <c r="D331" i="10"/>
  <c r="C331" i="10"/>
  <c r="D330" i="10"/>
  <c r="C330" i="10"/>
  <c r="D329" i="10"/>
  <c r="C329" i="10"/>
  <c r="D328" i="10"/>
  <c r="C328" i="10"/>
  <c r="D327" i="10"/>
  <c r="C327" i="10"/>
  <c r="D326" i="10"/>
  <c r="C326" i="10"/>
  <c r="D325" i="10"/>
  <c r="C325" i="10"/>
  <c r="D324" i="10"/>
  <c r="C324" i="10"/>
  <c r="D323" i="10"/>
  <c r="C323" i="10"/>
  <c r="D322" i="10"/>
  <c r="C322" i="10"/>
  <c r="D321" i="10"/>
  <c r="C321" i="10"/>
  <c r="D320" i="10"/>
  <c r="C320" i="10"/>
  <c r="D319" i="10"/>
  <c r="C319" i="10"/>
  <c r="D318" i="10"/>
  <c r="C318" i="10"/>
  <c r="D317" i="10"/>
  <c r="C317" i="10"/>
  <c r="D316" i="10"/>
  <c r="C316" i="10"/>
  <c r="D315" i="10"/>
  <c r="C315" i="10"/>
  <c r="D314" i="10"/>
  <c r="C314" i="10"/>
  <c r="D313" i="10"/>
  <c r="C313" i="10"/>
  <c r="D312" i="10"/>
  <c r="C312" i="10"/>
  <c r="D311" i="10"/>
  <c r="C311" i="10"/>
  <c r="D310" i="10"/>
  <c r="C310" i="10"/>
  <c r="D309" i="10"/>
  <c r="C309" i="10"/>
  <c r="D308" i="10"/>
  <c r="C308" i="10"/>
  <c r="D307" i="10"/>
  <c r="C307" i="10"/>
  <c r="D306" i="10"/>
  <c r="C306" i="10"/>
  <c r="D305" i="10"/>
  <c r="C305" i="10"/>
  <c r="D304" i="10"/>
  <c r="C304" i="10"/>
  <c r="D303" i="10"/>
  <c r="C303" i="10"/>
  <c r="D302" i="10"/>
  <c r="C302" i="10"/>
  <c r="D301" i="10"/>
  <c r="C301" i="10"/>
  <c r="D300" i="10"/>
  <c r="C300" i="10"/>
  <c r="D299" i="10"/>
  <c r="C299" i="10"/>
  <c r="D298" i="10"/>
  <c r="C298" i="10"/>
  <c r="D297" i="10"/>
  <c r="C297" i="10"/>
  <c r="D296" i="10"/>
  <c r="C296" i="10"/>
  <c r="D295" i="10"/>
  <c r="C295" i="10"/>
  <c r="D294" i="10"/>
  <c r="C294" i="10"/>
  <c r="D293" i="10"/>
  <c r="C293" i="10"/>
  <c r="D292" i="10"/>
  <c r="C292" i="10"/>
  <c r="D291" i="10"/>
  <c r="C291" i="10"/>
  <c r="D290" i="10"/>
  <c r="C290" i="10"/>
  <c r="D289" i="10"/>
  <c r="C289" i="10"/>
  <c r="D288" i="10"/>
  <c r="C288" i="10"/>
  <c r="D287" i="10"/>
  <c r="C287" i="10"/>
  <c r="D286" i="10"/>
  <c r="C286" i="10"/>
  <c r="D285" i="10"/>
  <c r="C285" i="10"/>
  <c r="D284" i="10"/>
  <c r="C284" i="10"/>
  <c r="D283" i="10"/>
  <c r="C283" i="10"/>
  <c r="D282" i="10"/>
  <c r="C282" i="10"/>
  <c r="D281" i="10"/>
  <c r="C281" i="10"/>
  <c r="D280" i="10"/>
  <c r="C280" i="10"/>
  <c r="D279" i="10"/>
  <c r="C279" i="10"/>
  <c r="D278" i="10"/>
  <c r="C278" i="10"/>
  <c r="D277" i="10"/>
  <c r="C277" i="10"/>
  <c r="D276" i="10"/>
  <c r="C276" i="10"/>
  <c r="D275" i="10"/>
  <c r="C275" i="10"/>
  <c r="D274" i="10"/>
  <c r="C274" i="10"/>
  <c r="D273" i="10"/>
  <c r="C273" i="10"/>
  <c r="D272" i="10"/>
  <c r="C272" i="10"/>
  <c r="D271" i="10"/>
  <c r="C271" i="10"/>
  <c r="D270" i="10"/>
  <c r="C270" i="10"/>
  <c r="D269" i="10"/>
  <c r="C269" i="10"/>
  <c r="D268" i="10"/>
  <c r="C268" i="10"/>
  <c r="D267" i="10"/>
  <c r="C267" i="10"/>
  <c r="D266" i="10"/>
  <c r="C266" i="10"/>
  <c r="D265" i="10"/>
  <c r="C265" i="10"/>
  <c r="D264" i="10"/>
  <c r="C264" i="10"/>
  <c r="D263" i="10"/>
  <c r="C263" i="10"/>
  <c r="D262" i="10"/>
  <c r="C262" i="10"/>
  <c r="D261" i="10"/>
  <c r="C261" i="10"/>
  <c r="D260" i="10"/>
  <c r="C260" i="10"/>
  <c r="D259" i="10"/>
  <c r="C259" i="10"/>
  <c r="D258" i="10"/>
  <c r="C258" i="10"/>
  <c r="D257" i="10"/>
  <c r="C257" i="10"/>
  <c r="D256" i="10"/>
  <c r="C256" i="10"/>
  <c r="D255" i="10"/>
  <c r="C255" i="10"/>
  <c r="D254" i="10"/>
  <c r="C254" i="10"/>
  <c r="D253" i="10"/>
  <c r="C253" i="10"/>
  <c r="D252" i="10"/>
  <c r="C252" i="10"/>
  <c r="D251" i="10"/>
  <c r="C251" i="10"/>
  <c r="D250" i="10"/>
  <c r="C250" i="10"/>
  <c r="D249" i="10"/>
  <c r="C249" i="10"/>
  <c r="D248" i="10"/>
  <c r="C248" i="10"/>
  <c r="D247" i="10"/>
  <c r="C247" i="10"/>
  <c r="D246" i="10"/>
  <c r="C246" i="10"/>
  <c r="D245" i="10"/>
  <c r="C245" i="10"/>
  <c r="D244" i="10"/>
  <c r="C244" i="10"/>
  <c r="D243" i="10"/>
  <c r="C243" i="10"/>
  <c r="D242" i="10"/>
  <c r="C242" i="10"/>
  <c r="D241" i="10"/>
  <c r="C241" i="10"/>
  <c r="D240" i="10"/>
  <c r="C240" i="10"/>
  <c r="D239" i="10"/>
  <c r="C239" i="10"/>
  <c r="D238" i="10"/>
  <c r="C238" i="10"/>
  <c r="D237" i="10"/>
  <c r="C237" i="10"/>
  <c r="D236" i="10"/>
  <c r="C236" i="10"/>
  <c r="D235" i="10"/>
  <c r="C235" i="10"/>
  <c r="D234" i="10"/>
  <c r="C234" i="10"/>
  <c r="D233" i="10"/>
  <c r="C233" i="10"/>
  <c r="D232" i="10"/>
  <c r="C232" i="10"/>
  <c r="D231" i="10"/>
  <c r="C231" i="10"/>
  <c r="D230" i="10"/>
  <c r="C230" i="10"/>
  <c r="D229" i="10"/>
  <c r="C229" i="10"/>
  <c r="D228" i="10"/>
  <c r="C228" i="10"/>
  <c r="D227" i="10"/>
  <c r="C227" i="10"/>
  <c r="D226" i="10"/>
  <c r="C226" i="10"/>
  <c r="D225" i="10"/>
  <c r="C225" i="10"/>
  <c r="D224" i="10"/>
  <c r="C224" i="10"/>
  <c r="D223" i="10"/>
  <c r="C223" i="10"/>
  <c r="D222" i="10"/>
  <c r="C222" i="10"/>
  <c r="D221" i="10"/>
  <c r="C221" i="10"/>
  <c r="D220" i="10"/>
  <c r="C220" i="10"/>
  <c r="D219" i="10"/>
  <c r="C219" i="10"/>
  <c r="D218" i="10"/>
  <c r="C218" i="10"/>
  <c r="D217" i="10"/>
  <c r="C217" i="10"/>
  <c r="D216" i="10"/>
  <c r="C216" i="10"/>
  <c r="D215" i="10"/>
  <c r="C215" i="10"/>
  <c r="D214" i="10"/>
  <c r="C214" i="10"/>
  <c r="D213" i="10"/>
  <c r="C213" i="10"/>
  <c r="D212" i="10"/>
  <c r="C212" i="10"/>
  <c r="D211" i="10"/>
  <c r="C211" i="10"/>
  <c r="D210" i="10"/>
  <c r="C210" i="10"/>
  <c r="D209" i="10"/>
  <c r="C209" i="10"/>
  <c r="D208" i="10"/>
  <c r="C208" i="10"/>
  <c r="D207" i="10"/>
  <c r="C207" i="10"/>
  <c r="D206" i="10"/>
  <c r="C206" i="10"/>
  <c r="D205" i="10"/>
  <c r="C205" i="10"/>
  <c r="D204" i="10"/>
  <c r="C204" i="10"/>
  <c r="D203" i="10"/>
  <c r="C203" i="10"/>
  <c r="D202" i="10"/>
  <c r="C202" i="10"/>
  <c r="D201" i="10"/>
  <c r="C201" i="10"/>
  <c r="D200" i="10"/>
  <c r="C200" i="10"/>
  <c r="D199" i="10"/>
  <c r="C199" i="10"/>
  <c r="D198" i="10"/>
  <c r="C198" i="10"/>
  <c r="D197" i="10"/>
  <c r="C197" i="10"/>
  <c r="D196" i="10"/>
  <c r="C196" i="10"/>
  <c r="D195" i="10"/>
  <c r="C195" i="10"/>
  <c r="D194" i="10"/>
  <c r="C194" i="10"/>
  <c r="D193" i="10"/>
  <c r="C193" i="10"/>
  <c r="D192" i="10"/>
  <c r="C192" i="10"/>
  <c r="D191" i="10"/>
  <c r="C191" i="10"/>
  <c r="D190" i="10"/>
  <c r="C190" i="10"/>
  <c r="D189" i="10"/>
  <c r="C189" i="10"/>
  <c r="D188" i="10"/>
  <c r="C188" i="10"/>
  <c r="D187" i="10"/>
  <c r="C187" i="10"/>
  <c r="D186" i="10"/>
  <c r="C186" i="10"/>
  <c r="D185" i="10"/>
  <c r="C185" i="10"/>
  <c r="D184" i="10"/>
  <c r="C184" i="10"/>
  <c r="D183" i="10"/>
  <c r="C183" i="10"/>
  <c r="D182" i="10"/>
  <c r="C182" i="10"/>
  <c r="D181" i="10"/>
  <c r="C181" i="10"/>
  <c r="D180" i="10"/>
  <c r="C180" i="10"/>
  <c r="D179" i="10"/>
  <c r="C179" i="10"/>
  <c r="D178" i="10"/>
  <c r="C178" i="10"/>
  <c r="D177" i="10"/>
  <c r="C177" i="10"/>
  <c r="D176" i="10"/>
  <c r="C176" i="10"/>
  <c r="D175" i="10"/>
  <c r="C175" i="10"/>
  <c r="D174" i="10"/>
  <c r="C174" i="10"/>
  <c r="D173" i="10"/>
  <c r="C173" i="10"/>
  <c r="D172" i="10"/>
  <c r="C172" i="10"/>
  <c r="D171" i="10"/>
  <c r="C171" i="10"/>
  <c r="D170" i="10"/>
  <c r="C170" i="10"/>
  <c r="D169" i="10"/>
  <c r="C169" i="10"/>
  <c r="D168" i="10"/>
  <c r="C168" i="10"/>
  <c r="D167" i="10"/>
  <c r="C167" i="10"/>
  <c r="D166" i="10"/>
  <c r="C166" i="10"/>
  <c r="D165" i="10"/>
  <c r="C165" i="10"/>
  <c r="D164" i="10"/>
  <c r="C164" i="10"/>
  <c r="D163" i="10"/>
  <c r="C163" i="10"/>
  <c r="D162" i="10"/>
  <c r="C162" i="10"/>
  <c r="D161" i="10"/>
  <c r="C161" i="10"/>
  <c r="D160" i="10"/>
  <c r="C160" i="10"/>
  <c r="D159" i="10"/>
  <c r="C159" i="10"/>
  <c r="D158" i="10"/>
  <c r="C158" i="10"/>
  <c r="D157" i="10"/>
  <c r="C157" i="10"/>
  <c r="D156" i="10"/>
  <c r="C156" i="10"/>
  <c r="D155" i="10"/>
  <c r="C155" i="10"/>
  <c r="D154" i="10"/>
  <c r="C154" i="10"/>
  <c r="D153" i="10"/>
  <c r="C153" i="10"/>
  <c r="D152" i="10"/>
  <c r="C152" i="10"/>
  <c r="D151" i="10"/>
  <c r="C151" i="10"/>
  <c r="D150" i="10"/>
  <c r="C150" i="10"/>
  <c r="D149" i="10"/>
  <c r="C149" i="10"/>
  <c r="D148" i="10"/>
  <c r="C148" i="10"/>
  <c r="D147" i="10"/>
  <c r="C147" i="10"/>
  <c r="D146" i="10"/>
  <c r="C146" i="10"/>
  <c r="D145" i="10"/>
  <c r="C145" i="10"/>
  <c r="D144" i="10"/>
  <c r="C144" i="10"/>
  <c r="D143" i="10"/>
  <c r="C143" i="10"/>
  <c r="D142" i="10"/>
  <c r="C142" i="10"/>
  <c r="D141" i="10"/>
  <c r="C141" i="10"/>
  <c r="D140" i="10"/>
  <c r="C140" i="10"/>
  <c r="D139" i="10"/>
  <c r="C139" i="10"/>
  <c r="D138" i="10"/>
  <c r="C138" i="10"/>
  <c r="D137" i="10"/>
  <c r="C137" i="10"/>
  <c r="D136" i="10"/>
  <c r="C136" i="10"/>
  <c r="D135" i="10"/>
  <c r="C135" i="10"/>
  <c r="D134" i="10"/>
  <c r="C134" i="10"/>
  <c r="D133" i="10"/>
  <c r="C133" i="10"/>
  <c r="D132" i="10"/>
  <c r="C132" i="10"/>
  <c r="D131" i="10"/>
  <c r="C131" i="10"/>
  <c r="D130" i="10"/>
  <c r="C130" i="10"/>
  <c r="D129" i="10"/>
  <c r="C129" i="10"/>
  <c r="D128" i="10"/>
  <c r="C128" i="10"/>
  <c r="D127" i="10"/>
  <c r="C127" i="10"/>
  <c r="D126" i="10"/>
  <c r="C126" i="10"/>
  <c r="D125" i="10"/>
  <c r="C125" i="10"/>
  <c r="D124" i="10"/>
  <c r="C124" i="10"/>
  <c r="D123" i="10"/>
  <c r="C123" i="10"/>
  <c r="D122" i="10"/>
  <c r="C122" i="10"/>
  <c r="D121" i="10"/>
  <c r="C121" i="10"/>
  <c r="D120" i="10"/>
  <c r="C120" i="10"/>
  <c r="D119" i="10"/>
  <c r="C119" i="10"/>
  <c r="D118" i="10"/>
  <c r="C118" i="10"/>
  <c r="D117" i="10"/>
  <c r="C117" i="10"/>
  <c r="D116" i="10"/>
  <c r="C116" i="10"/>
  <c r="D115" i="10"/>
  <c r="C115" i="10"/>
  <c r="D114" i="10"/>
  <c r="C114" i="10"/>
  <c r="D113" i="10"/>
  <c r="C113" i="10"/>
  <c r="D112" i="10"/>
  <c r="C112" i="10"/>
  <c r="D111" i="10"/>
  <c r="C111" i="10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C36" i="9"/>
  <c r="C35" i="9"/>
  <c r="C34" i="9"/>
  <c r="C33" i="9"/>
  <c r="B30" i="9"/>
  <c r="B29" i="9"/>
  <c r="B28" i="9"/>
  <c r="B27" i="9"/>
  <c r="B26" i="9"/>
  <c r="B25" i="9"/>
  <c r="B21" i="9"/>
  <c r="B20" i="9"/>
  <c r="B19" i="9"/>
  <c r="B18" i="9"/>
  <c r="B17" i="9"/>
  <c r="B16" i="9"/>
  <c r="B2" i="9"/>
  <c r="B53" i="8"/>
  <c r="B52" i="8"/>
  <c r="B51" i="8"/>
  <c r="B46" i="8"/>
  <c r="B45" i="8"/>
  <c r="B44" i="8"/>
  <c r="B41" i="8"/>
  <c r="B40" i="8"/>
  <c r="B39" i="8"/>
  <c r="B36" i="8"/>
  <c r="B33" i="8"/>
  <c r="B32" i="8"/>
  <c r="B31" i="8"/>
  <c r="B30" i="8"/>
  <c r="B29" i="8"/>
  <c r="B28" i="8"/>
  <c r="B27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8" i="8"/>
  <c r="B7" i="8"/>
  <c r="B6" i="8"/>
  <c r="B5" i="8"/>
  <c r="B4" i="8"/>
  <c r="A2" i="8"/>
  <c r="L254" i="7"/>
  <c r="K254" i="7"/>
  <c r="D254" i="7"/>
  <c r="L253" i="7"/>
  <c r="K253" i="7"/>
  <c r="D253" i="7"/>
  <c r="L252" i="7"/>
  <c r="K252" i="7"/>
  <c r="D252" i="7"/>
  <c r="L251" i="7"/>
  <c r="K251" i="7"/>
  <c r="D251" i="7"/>
  <c r="L250" i="7"/>
  <c r="K250" i="7"/>
  <c r="D250" i="7"/>
  <c r="L249" i="7"/>
  <c r="K249" i="7"/>
  <c r="D249" i="7"/>
  <c r="L248" i="7"/>
  <c r="K248" i="7"/>
  <c r="D248" i="7"/>
  <c r="L247" i="7"/>
  <c r="K247" i="7"/>
  <c r="D247" i="7"/>
  <c r="L246" i="7"/>
  <c r="K246" i="7"/>
  <c r="D246" i="7"/>
  <c r="L245" i="7"/>
  <c r="K245" i="7"/>
  <c r="D245" i="7"/>
  <c r="L244" i="7"/>
  <c r="K244" i="7"/>
  <c r="D244" i="7"/>
  <c r="L243" i="7"/>
  <c r="K243" i="7"/>
  <c r="D243" i="7"/>
  <c r="L242" i="7"/>
  <c r="K242" i="7"/>
  <c r="D242" i="7"/>
  <c r="L241" i="7"/>
  <c r="K241" i="7"/>
  <c r="D241" i="7"/>
  <c r="L240" i="7"/>
  <c r="K240" i="7"/>
  <c r="D240" i="7"/>
  <c r="L239" i="7"/>
  <c r="K239" i="7"/>
  <c r="D239" i="7"/>
  <c r="L238" i="7"/>
  <c r="K238" i="7"/>
  <c r="D238" i="7"/>
  <c r="L237" i="7"/>
  <c r="K237" i="7"/>
  <c r="D237" i="7"/>
  <c r="L236" i="7"/>
  <c r="K236" i="7"/>
  <c r="D236" i="7"/>
  <c r="L235" i="7"/>
  <c r="K235" i="7"/>
  <c r="D235" i="7"/>
  <c r="L234" i="7"/>
  <c r="K234" i="7"/>
  <c r="D234" i="7"/>
  <c r="L233" i="7"/>
  <c r="K233" i="7"/>
  <c r="D233" i="7"/>
  <c r="L232" i="7"/>
  <c r="K232" i="7"/>
  <c r="D232" i="7"/>
  <c r="L231" i="7"/>
  <c r="K231" i="7"/>
  <c r="D231" i="7"/>
  <c r="L230" i="7"/>
  <c r="K230" i="7"/>
  <c r="D230" i="7"/>
  <c r="L229" i="7"/>
  <c r="K229" i="7"/>
  <c r="D229" i="7"/>
  <c r="L228" i="7"/>
  <c r="K228" i="7"/>
  <c r="D228" i="7"/>
  <c r="L227" i="7"/>
  <c r="K227" i="7"/>
  <c r="D227" i="7"/>
  <c r="L226" i="7"/>
  <c r="K226" i="7"/>
  <c r="D226" i="7"/>
  <c r="L225" i="7"/>
  <c r="K225" i="7"/>
  <c r="D225" i="7"/>
  <c r="L224" i="7"/>
  <c r="K224" i="7"/>
  <c r="D224" i="7"/>
  <c r="L223" i="7"/>
  <c r="K223" i="7"/>
  <c r="D223" i="7"/>
  <c r="L222" i="7"/>
  <c r="K222" i="7"/>
  <c r="D222" i="7"/>
  <c r="L221" i="7"/>
  <c r="K221" i="7"/>
  <c r="D221" i="7"/>
  <c r="L220" i="7"/>
  <c r="K220" i="7"/>
  <c r="D220" i="7"/>
  <c r="L219" i="7"/>
  <c r="K219" i="7"/>
  <c r="D219" i="7"/>
  <c r="L218" i="7"/>
  <c r="K218" i="7"/>
  <c r="D218" i="7"/>
  <c r="L217" i="7"/>
  <c r="K217" i="7"/>
  <c r="D217" i="7"/>
  <c r="L216" i="7"/>
  <c r="K216" i="7"/>
  <c r="D216" i="7"/>
  <c r="L215" i="7"/>
  <c r="K215" i="7"/>
  <c r="D215" i="7"/>
  <c r="L214" i="7"/>
  <c r="K214" i="7"/>
  <c r="D214" i="7"/>
  <c r="L213" i="7"/>
  <c r="K213" i="7"/>
  <c r="D213" i="7"/>
  <c r="L212" i="7"/>
  <c r="K212" i="7"/>
  <c r="D212" i="7"/>
  <c r="L211" i="7"/>
  <c r="K211" i="7"/>
  <c r="D211" i="7"/>
  <c r="L210" i="7"/>
  <c r="K210" i="7"/>
  <c r="D210" i="7"/>
  <c r="L209" i="7"/>
  <c r="K209" i="7"/>
  <c r="D209" i="7"/>
  <c r="L208" i="7"/>
  <c r="K208" i="7"/>
  <c r="D208" i="7"/>
  <c r="L207" i="7"/>
  <c r="K207" i="7"/>
  <c r="D207" i="7"/>
  <c r="L206" i="7"/>
  <c r="K206" i="7"/>
  <c r="D206" i="7"/>
  <c r="L205" i="7"/>
  <c r="K205" i="7"/>
  <c r="D205" i="7"/>
  <c r="L204" i="7"/>
  <c r="K204" i="7"/>
  <c r="D204" i="7"/>
  <c r="L203" i="7"/>
  <c r="K203" i="7"/>
  <c r="D203" i="7"/>
  <c r="L202" i="7"/>
  <c r="K202" i="7"/>
  <c r="D202" i="7"/>
  <c r="L201" i="7"/>
  <c r="K201" i="7"/>
  <c r="D201" i="7"/>
  <c r="L200" i="7"/>
  <c r="K200" i="7"/>
  <c r="D200" i="7"/>
  <c r="L199" i="7"/>
  <c r="K199" i="7"/>
  <c r="D199" i="7"/>
  <c r="L198" i="7"/>
  <c r="K198" i="7"/>
  <c r="D198" i="7"/>
  <c r="L197" i="7"/>
  <c r="K197" i="7"/>
  <c r="D197" i="7"/>
  <c r="L196" i="7"/>
  <c r="K196" i="7"/>
  <c r="D196" i="7"/>
  <c r="L195" i="7"/>
  <c r="K195" i="7"/>
  <c r="D195" i="7"/>
  <c r="L194" i="7"/>
  <c r="K194" i="7"/>
  <c r="D194" i="7"/>
  <c r="L193" i="7"/>
  <c r="K193" i="7"/>
  <c r="D193" i="7"/>
  <c r="L192" i="7"/>
  <c r="K192" i="7"/>
  <c r="D192" i="7"/>
  <c r="L191" i="7"/>
  <c r="K191" i="7"/>
  <c r="D191" i="7"/>
  <c r="L190" i="7"/>
  <c r="K190" i="7"/>
  <c r="D190" i="7"/>
  <c r="L189" i="7"/>
  <c r="K189" i="7"/>
  <c r="D189" i="7"/>
  <c r="L188" i="7"/>
  <c r="K188" i="7"/>
  <c r="D188" i="7"/>
  <c r="L187" i="7"/>
  <c r="K187" i="7"/>
  <c r="D187" i="7"/>
  <c r="L186" i="7"/>
  <c r="K186" i="7"/>
  <c r="D186" i="7"/>
  <c r="L185" i="7"/>
  <c r="K185" i="7"/>
  <c r="D185" i="7"/>
  <c r="L184" i="7"/>
  <c r="K184" i="7"/>
  <c r="D184" i="7"/>
  <c r="L183" i="7"/>
  <c r="K183" i="7"/>
  <c r="D183" i="7"/>
  <c r="L182" i="7"/>
  <c r="K182" i="7"/>
  <c r="D182" i="7"/>
  <c r="L181" i="7"/>
  <c r="K181" i="7"/>
  <c r="D181" i="7"/>
  <c r="L180" i="7"/>
  <c r="K180" i="7"/>
  <c r="D180" i="7"/>
  <c r="L179" i="7"/>
  <c r="K179" i="7"/>
  <c r="D179" i="7"/>
  <c r="L178" i="7"/>
  <c r="K178" i="7"/>
  <c r="D178" i="7"/>
  <c r="L177" i="7"/>
  <c r="K177" i="7"/>
  <c r="D177" i="7"/>
  <c r="L176" i="7"/>
  <c r="K176" i="7"/>
  <c r="D176" i="7"/>
  <c r="L175" i="7"/>
  <c r="K175" i="7"/>
  <c r="D175" i="7"/>
  <c r="L174" i="7"/>
  <c r="K174" i="7"/>
  <c r="D174" i="7"/>
  <c r="L173" i="7"/>
  <c r="K173" i="7"/>
  <c r="D173" i="7"/>
  <c r="L172" i="7"/>
  <c r="K172" i="7"/>
  <c r="D172" i="7"/>
  <c r="L171" i="7"/>
  <c r="K171" i="7"/>
  <c r="D171" i="7"/>
  <c r="L170" i="7"/>
  <c r="K170" i="7"/>
  <c r="D170" i="7"/>
  <c r="L169" i="7"/>
  <c r="K169" i="7"/>
  <c r="D169" i="7"/>
  <c r="L168" i="7"/>
  <c r="K168" i="7"/>
  <c r="D168" i="7"/>
  <c r="L167" i="7"/>
  <c r="K167" i="7"/>
  <c r="D167" i="7"/>
  <c r="L166" i="7"/>
  <c r="K166" i="7"/>
  <c r="D166" i="7"/>
  <c r="L165" i="7"/>
  <c r="K165" i="7"/>
  <c r="D165" i="7"/>
  <c r="L164" i="7"/>
  <c r="K164" i="7"/>
  <c r="D164" i="7"/>
  <c r="L163" i="7"/>
  <c r="K163" i="7"/>
  <c r="D163" i="7"/>
  <c r="L162" i="7"/>
  <c r="K162" i="7"/>
  <c r="D162" i="7"/>
  <c r="L161" i="7"/>
  <c r="K161" i="7"/>
  <c r="D161" i="7"/>
  <c r="L160" i="7"/>
  <c r="K160" i="7"/>
  <c r="D160" i="7"/>
  <c r="L159" i="7"/>
  <c r="K159" i="7"/>
  <c r="D159" i="7"/>
  <c r="L158" i="7"/>
  <c r="K158" i="7"/>
  <c r="D158" i="7"/>
  <c r="L157" i="7"/>
  <c r="K157" i="7"/>
  <c r="D157" i="7"/>
  <c r="L156" i="7"/>
  <c r="K156" i="7"/>
  <c r="D156" i="7"/>
  <c r="L155" i="7"/>
  <c r="K155" i="7"/>
  <c r="D155" i="7"/>
  <c r="L154" i="7"/>
  <c r="K154" i="7"/>
  <c r="D154" i="7"/>
  <c r="L153" i="7"/>
  <c r="K153" i="7"/>
  <c r="D153" i="7"/>
  <c r="L152" i="7"/>
  <c r="K152" i="7"/>
  <c r="D152" i="7"/>
  <c r="L151" i="7"/>
  <c r="K151" i="7"/>
  <c r="D151" i="7"/>
  <c r="L150" i="7"/>
  <c r="K150" i="7"/>
  <c r="D150" i="7"/>
  <c r="L149" i="7"/>
  <c r="K149" i="7"/>
  <c r="D149" i="7"/>
  <c r="L148" i="7"/>
  <c r="K148" i="7"/>
  <c r="D148" i="7"/>
  <c r="L147" i="7"/>
  <c r="K147" i="7"/>
  <c r="D147" i="7"/>
  <c r="L146" i="7"/>
  <c r="K146" i="7"/>
  <c r="D146" i="7"/>
  <c r="L145" i="7"/>
  <c r="K145" i="7"/>
  <c r="D145" i="7"/>
  <c r="L144" i="7"/>
  <c r="K144" i="7"/>
  <c r="D144" i="7"/>
  <c r="L143" i="7"/>
  <c r="K143" i="7"/>
  <c r="D143" i="7"/>
  <c r="L142" i="7"/>
  <c r="K142" i="7"/>
  <c r="D142" i="7"/>
  <c r="L141" i="7"/>
  <c r="K141" i="7"/>
  <c r="D141" i="7"/>
  <c r="L140" i="7"/>
  <c r="K140" i="7"/>
  <c r="D140" i="7"/>
  <c r="L139" i="7"/>
  <c r="K139" i="7"/>
  <c r="D139" i="7"/>
  <c r="L138" i="7"/>
  <c r="K138" i="7"/>
  <c r="D138" i="7"/>
  <c r="L137" i="7"/>
  <c r="K137" i="7"/>
  <c r="D137" i="7"/>
  <c r="L136" i="7"/>
  <c r="K136" i="7"/>
  <c r="D136" i="7"/>
  <c r="L135" i="7"/>
  <c r="K135" i="7"/>
  <c r="D135" i="7"/>
  <c r="L134" i="7"/>
  <c r="K134" i="7"/>
  <c r="D134" i="7"/>
  <c r="L133" i="7"/>
  <c r="K133" i="7"/>
  <c r="D133" i="7"/>
  <c r="L132" i="7"/>
  <c r="K132" i="7"/>
  <c r="D132" i="7"/>
  <c r="L131" i="7"/>
  <c r="K131" i="7"/>
  <c r="D131" i="7"/>
  <c r="L130" i="7"/>
  <c r="K130" i="7"/>
  <c r="D130" i="7"/>
  <c r="L129" i="7"/>
  <c r="K129" i="7"/>
  <c r="D129" i="7"/>
  <c r="L128" i="7"/>
  <c r="K128" i="7"/>
  <c r="D128" i="7"/>
  <c r="L127" i="7"/>
  <c r="K127" i="7"/>
  <c r="D127" i="7"/>
  <c r="L126" i="7"/>
  <c r="K126" i="7"/>
  <c r="D126" i="7"/>
  <c r="L125" i="7"/>
  <c r="K125" i="7"/>
  <c r="D125" i="7"/>
  <c r="L124" i="7"/>
  <c r="K124" i="7"/>
  <c r="D124" i="7"/>
  <c r="L123" i="7"/>
  <c r="K123" i="7"/>
  <c r="D123" i="7"/>
  <c r="L122" i="7"/>
  <c r="K122" i="7"/>
  <c r="D122" i="7"/>
  <c r="L121" i="7"/>
  <c r="K121" i="7"/>
  <c r="D121" i="7"/>
  <c r="L120" i="7"/>
  <c r="K120" i="7"/>
  <c r="D120" i="7"/>
  <c r="L119" i="7"/>
  <c r="K119" i="7"/>
  <c r="D119" i="7"/>
  <c r="L118" i="7"/>
  <c r="K118" i="7"/>
  <c r="D118" i="7"/>
  <c r="L117" i="7"/>
  <c r="K117" i="7"/>
  <c r="D117" i="7"/>
  <c r="L116" i="7"/>
  <c r="K116" i="7"/>
  <c r="D116" i="7"/>
  <c r="L115" i="7"/>
  <c r="K115" i="7"/>
  <c r="D115" i="7"/>
  <c r="L114" i="7"/>
  <c r="K114" i="7"/>
  <c r="D114" i="7"/>
  <c r="L113" i="7"/>
  <c r="K113" i="7"/>
  <c r="D113" i="7"/>
  <c r="L112" i="7"/>
  <c r="K112" i="7"/>
  <c r="D112" i="7"/>
  <c r="L111" i="7"/>
  <c r="K111" i="7"/>
  <c r="D111" i="7"/>
  <c r="L110" i="7"/>
  <c r="K110" i="7"/>
  <c r="D110" i="7"/>
  <c r="L109" i="7"/>
  <c r="K109" i="7"/>
  <c r="D109" i="7"/>
  <c r="L108" i="7"/>
  <c r="K108" i="7"/>
  <c r="D108" i="7"/>
  <c r="L107" i="7"/>
  <c r="K107" i="7"/>
  <c r="D107" i="7"/>
  <c r="L106" i="7"/>
  <c r="K106" i="7"/>
  <c r="D106" i="7"/>
  <c r="L105" i="7"/>
  <c r="K105" i="7"/>
  <c r="D105" i="7"/>
  <c r="L104" i="7"/>
  <c r="K104" i="7"/>
  <c r="D104" i="7"/>
  <c r="L103" i="7"/>
  <c r="K103" i="7"/>
  <c r="D103" i="7"/>
  <c r="L102" i="7"/>
  <c r="K102" i="7"/>
  <c r="D102" i="7"/>
  <c r="L101" i="7"/>
  <c r="K101" i="7"/>
  <c r="D101" i="7"/>
  <c r="L100" i="7"/>
  <c r="K100" i="7"/>
  <c r="D100" i="7"/>
  <c r="L99" i="7"/>
  <c r="K99" i="7"/>
  <c r="D99" i="7"/>
  <c r="L98" i="7"/>
  <c r="K98" i="7"/>
  <c r="D98" i="7"/>
  <c r="L97" i="7"/>
  <c r="K97" i="7"/>
  <c r="D97" i="7"/>
  <c r="L96" i="7"/>
  <c r="K96" i="7"/>
  <c r="D96" i="7"/>
  <c r="L95" i="7"/>
  <c r="K95" i="7"/>
  <c r="D95" i="7"/>
  <c r="L94" i="7"/>
  <c r="K94" i="7"/>
  <c r="D94" i="7"/>
  <c r="L93" i="7"/>
  <c r="K93" i="7"/>
  <c r="D93" i="7"/>
  <c r="L92" i="7"/>
  <c r="K92" i="7"/>
  <c r="D92" i="7"/>
  <c r="L91" i="7"/>
  <c r="K91" i="7"/>
  <c r="D91" i="7"/>
  <c r="L90" i="7"/>
  <c r="K90" i="7"/>
  <c r="D90" i="7"/>
  <c r="L89" i="7"/>
  <c r="K89" i="7"/>
  <c r="D89" i="7"/>
  <c r="L88" i="7"/>
  <c r="K88" i="7"/>
  <c r="D88" i="7"/>
  <c r="L87" i="7"/>
  <c r="K87" i="7"/>
  <c r="D87" i="7"/>
  <c r="L86" i="7"/>
  <c r="K86" i="7"/>
  <c r="D86" i="7"/>
  <c r="L85" i="7"/>
  <c r="K85" i="7"/>
  <c r="D85" i="7"/>
  <c r="L84" i="7"/>
  <c r="K84" i="7"/>
  <c r="D84" i="7"/>
  <c r="L83" i="7"/>
  <c r="K83" i="7"/>
  <c r="D83" i="7"/>
  <c r="L82" i="7"/>
  <c r="K82" i="7"/>
  <c r="D82" i="7"/>
  <c r="L81" i="7"/>
  <c r="K81" i="7"/>
  <c r="D81" i="7"/>
  <c r="L80" i="7"/>
  <c r="K80" i="7"/>
  <c r="D80" i="7"/>
  <c r="L79" i="7"/>
  <c r="K79" i="7"/>
  <c r="D79" i="7"/>
  <c r="L78" i="7"/>
  <c r="K78" i="7"/>
  <c r="D78" i="7"/>
  <c r="L77" i="7"/>
  <c r="K77" i="7"/>
  <c r="D77" i="7"/>
  <c r="L76" i="7"/>
  <c r="K76" i="7"/>
  <c r="D76" i="7"/>
  <c r="L75" i="7"/>
  <c r="K75" i="7"/>
  <c r="D75" i="7"/>
  <c r="L74" i="7"/>
  <c r="K74" i="7"/>
  <c r="D74" i="7"/>
  <c r="L73" i="7"/>
  <c r="K73" i="7"/>
  <c r="D73" i="7"/>
  <c r="L72" i="7"/>
  <c r="K72" i="7"/>
  <c r="D72" i="7"/>
  <c r="L71" i="7"/>
  <c r="K71" i="7"/>
  <c r="D71" i="7"/>
  <c r="L70" i="7"/>
  <c r="K70" i="7"/>
  <c r="D70" i="7"/>
  <c r="L69" i="7"/>
  <c r="K69" i="7"/>
  <c r="D69" i="7"/>
  <c r="L68" i="7"/>
  <c r="K68" i="7"/>
  <c r="D68" i="7"/>
  <c r="L67" i="7"/>
  <c r="K67" i="7"/>
  <c r="D67" i="7"/>
  <c r="L66" i="7"/>
  <c r="K66" i="7"/>
  <c r="D66" i="7"/>
  <c r="L65" i="7"/>
  <c r="K65" i="7"/>
  <c r="D65" i="7"/>
  <c r="L64" i="7"/>
  <c r="K64" i="7"/>
  <c r="D64" i="7"/>
  <c r="L63" i="7"/>
  <c r="K63" i="7"/>
  <c r="D63" i="7"/>
  <c r="L62" i="7"/>
  <c r="K62" i="7"/>
  <c r="D62" i="7"/>
  <c r="L61" i="7"/>
  <c r="K61" i="7"/>
  <c r="D61" i="7"/>
  <c r="L60" i="7"/>
  <c r="K60" i="7"/>
  <c r="D60" i="7"/>
  <c r="L59" i="7"/>
  <c r="K59" i="7"/>
  <c r="D59" i="7"/>
  <c r="L58" i="7"/>
  <c r="K58" i="7"/>
  <c r="D58" i="7"/>
  <c r="L57" i="7"/>
  <c r="K57" i="7"/>
  <c r="D57" i="7"/>
  <c r="L56" i="7"/>
  <c r="K56" i="7"/>
  <c r="D56" i="7"/>
  <c r="L55" i="7"/>
  <c r="K55" i="7"/>
  <c r="D55" i="7"/>
  <c r="L54" i="7"/>
  <c r="K54" i="7"/>
  <c r="D54" i="7"/>
  <c r="L53" i="7"/>
  <c r="K53" i="7"/>
  <c r="D53" i="7"/>
  <c r="L52" i="7"/>
  <c r="K52" i="7"/>
  <c r="D52" i="7"/>
  <c r="L51" i="7"/>
  <c r="K51" i="7"/>
  <c r="D51" i="7"/>
  <c r="L50" i="7"/>
  <c r="K50" i="7"/>
  <c r="D50" i="7"/>
  <c r="L49" i="7"/>
  <c r="K49" i="7"/>
  <c r="D49" i="7"/>
  <c r="L48" i="7"/>
  <c r="K48" i="7"/>
  <c r="D48" i="7"/>
  <c r="L47" i="7"/>
  <c r="K47" i="7"/>
  <c r="D47" i="7"/>
  <c r="L46" i="7"/>
  <c r="K46" i="7"/>
  <c r="D46" i="7"/>
  <c r="L45" i="7"/>
  <c r="K45" i="7"/>
  <c r="D45" i="7"/>
  <c r="L44" i="7"/>
  <c r="K44" i="7"/>
  <c r="D44" i="7"/>
  <c r="L43" i="7"/>
  <c r="K43" i="7"/>
  <c r="D43" i="7"/>
  <c r="L42" i="7"/>
  <c r="K42" i="7"/>
  <c r="D42" i="7"/>
  <c r="L41" i="7"/>
  <c r="K41" i="7"/>
  <c r="D41" i="7"/>
  <c r="L40" i="7"/>
  <c r="K40" i="7"/>
  <c r="D40" i="7"/>
  <c r="L39" i="7"/>
  <c r="K39" i="7"/>
  <c r="D39" i="7"/>
  <c r="L38" i="7"/>
  <c r="K38" i="7"/>
  <c r="D38" i="7"/>
  <c r="L37" i="7"/>
  <c r="K37" i="7"/>
  <c r="D37" i="7"/>
  <c r="L36" i="7"/>
  <c r="K36" i="7"/>
  <c r="D36" i="7"/>
  <c r="L35" i="7"/>
  <c r="K35" i="7"/>
  <c r="D35" i="7"/>
  <c r="L34" i="7"/>
  <c r="K34" i="7"/>
  <c r="D34" i="7"/>
  <c r="L33" i="7"/>
  <c r="K33" i="7"/>
  <c r="D33" i="7"/>
  <c r="L32" i="7"/>
  <c r="K32" i="7"/>
  <c r="D32" i="7"/>
  <c r="L31" i="7"/>
  <c r="K31" i="7"/>
  <c r="D31" i="7"/>
  <c r="L30" i="7"/>
  <c r="K30" i="7"/>
  <c r="D30" i="7"/>
  <c r="L29" i="7"/>
  <c r="K29" i="7"/>
  <c r="D29" i="7"/>
  <c r="L28" i="7"/>
  <c r="K28" i="7"/>
  <c r="D28" i="7"/>
  <c r="L27" i="7"/>
  <c r="K27" i="7"/>
  <c r="D27" i="7"/>
  <c r="L26" i="7"/>
  <c r="K26" i="7"/>
  <c r="D26" i="7"/>
  <c r="L25" i="7"/>
  <c r="K25" i="7"/>
  <c r="D25" i="7"/>
  <c r="L24" i="7"/>
  <c r="K24" i="7"/>
  <c r="D24" i="7"/>
  <c r="L23" i="7"/>
  <c r="K23" i="7"/>
  <c r="D23" i="7"/>
  <c r="L22" i="7"/>
  <c r="K22" i="7"/>
  <c r="D22" i="7"/>
  <c r="L21" i="7"/>
  <c r="K21" i="7"/>
  <c r="D21" i="7"/>
  <c r="L20" i="7"/>
  <c r="K20" i="7"/>
  <c r="D20" i="7"/>
  <c r="L19" i="7"/>
  <c r="K19" i="7"/>
  <c r="D19" i="7"/>
  <c r="L18" i="7"/>
  <c r="K18" i="7"/>
  <c r="D18" i="7"/>
  <c r="L17" i="7"/>
  <c r="K17" i="7"/>
  <c r="D17" i="7"/>
  <c r="L16" i="7"/>
  <c r="K16" i="7"/>
  <c r="D16" i="7"/>
  <c r="L15" i="7"/>
  <c r="K15" i="7"/>
  <c r="D15" i="7"/>
  <c r="L14" i="7"/>
  <c r="K14" i="7"/>
  <c r="D14" i="7"/>
  <c r="L13" i="7"/>
  <c r="K13" i="7"/>
  <c r="D13" i="7"/>
  <c r="L12" i="7"/>
  <c r="K12" i="7"/>
  <c r="D12" i="7"/>
  <c r="L11" i="7"/>
  <c r="K11" i="7"/>
  <c r="D11" i="7"/>
  <c r="L10" i="7"/>
  <c r="K10" i="7"/>
  <c r="D10" i="7"/>
  <c r="L9" i="7"/>
  <c r="K9" i="7"/>
  <c r="D9" i="7"/>
  <c r="L8" i="7"/>
  <c r="K8" i="7"/>
  <c r="D8" i="7"/>
  <c r="L7" i="7"/>
  <c r="K7" i="7"/>
  <c r="D7" i="7"/>
  <c r="L6" i="7"/>
  <c r="K6" i="7"/>
  <c r="D6" i="7"/>
  <c r="L5" i="7"/>
  <c r="K5" i="7"/>
  <c r="D5" i="7"/>
  <c r="T304" i="6"/>
  <c r="D304" i="6"/>
  <c r="C304" i="6"/>
  <c r="T303" i="6"/>
  <c r="D303" i="6"/>
  <c r="C303" i="6"/>
  <c r="T302" i="6"/>
  <c r="D302" i="6"/>
  <c r="C302" i="6"/>
  <c r="T301" i="6"/>
  <c r="D301" i="6"/>
  <c r="C301" i="6"/>
  <c r="T300" i="6"/>
  <c r="D300" i="6"/>
  <c r="C300" i="6"/>
  <c r="T299" i="6"/>
  <c r="D299" i="6"/>
  <c r="C299" i="6"/>
  <c r="T298" i="6"/>
  <c r="D298" i="6"/>
  <c r="C298" i="6"/>
  <c r="T297" i="6"/>
  <c r="D297" i="6"/>
  <c r="C297" i="6"/>
  <c r="T296" i="6"/>
  <c r="D296" i="6"/>
  <c r="C296" i="6"/>
  <c r="T295" i="6"/>
  <c r="D295" i="6"/>
  <c r="C295" i="6"/>
  <c r="T294" i="6"/>
  <c r="D294" i="6"/>
  <c r="C294" i="6"/>
  <c r="T293" i="6"/>
  <c r="D293" i="6"/>
  <c r="C293" i="6"/>
  <c r="T292" i="6"/>
  <c r="D292" i="6"/>
  <c r="C292" i="6"/>
  <c r="T291" i="6"/>
  <c r="D291" i="6"/>
  <c r="C291" i="6"/>
  <c r="T290" i="6"/>
  <c r="D290" i="6"/>
  <c r="C290" i="6"/>
  <c r="T289" i="6"/>
  <c r="D289" i="6"/>
  <c r="C289" i="6"/>
  <c r="T288" i="6"/>
  <c r="D288" i="6"/>
  <c r="C288" i="6"/>
  <c r="T287" i="6"/>
  <c r="D287" i="6"/>
  <c r="C287" i="6"/>
  <c r="T286" i="6"/>
  <c r="D286" i="6"/>
  <c r="C286" i="6"/>
  <c r="T285" i="6"/>
  <c r="D285" i="6"/>
  <c r="C285" i="6"/>
  <c r="T284" i="6"/>
  <c r="D284" i="6"/>
  <c r="C284" i="6"/>
  <c r="T283" i="6"/>
  <c r="D283" i="6"/>
  <c r="C283" i="6"/>
  <c r="T282" i="6"/>
  <c r="D282" i="6"/>
  <c r="C282" i="6"/>
  <c r="T281" i="6"/>
  <c r="D281" i="6"/>
  <c r="C281" i="6"/>
  <c r="T280" i="6"/>
  <c r="D280" i="6"/>
  <c r="C280" i="6"/>
  <c r="T279" i="6"/>
  <c r="D279" i="6"/>
  <c r="C279" i="6"/>
  <c r="T278" i="6"/>
  <c r="D278" i="6"/>
  <c r="C278" i="6"/>
  <c r="T277" i="6"/>
  <c r="D277" i="6"/>
  <c r="C277" i="6"/>
  <c r="T276" i="6"/>
  <c r="D276" i="6"/>
  <c r="C276" i="6"/>
  <c r="T275" i="6"/>
  <c r="D275" i="6"/>
  <c r="C275" i="6"/>
  <c r="T274" i="6"/>
  <c r="D274" i="6"/>
  <c r="C274" i="6"/>
  <c r="T273" i="6"/>
  <c r="D273" i="6"/>
  <c r="C273" i="6"/>
  <c r="T272" i="6"/>
  <c r="D272" i="6"/>
  <c r="C272" i="6"/>
  <c r="T271" i="6"/>
  <c r="D271" i="6"/>
  <c r="C271" i="6"/>
  <c r="T270" i="6"/>
  <c r="D270" i="6"/>
  <c r="C270" i="6"/>
  <c r="T269" i="6"/>
  <c r="D269" i="6"/>
  <c r="C269" i="6"/>
  <c r="T268" i="6"/>
  <c r="D268" i="6"/>
  <c r="C268" i="6"/>
  <c r="T267" i="6"/>
  <c r="D267" i="6"/>
  <c r="C267" i="6"/>
  <c r="T266" i="6"/>
  <c r="D266" i="6"/>
  <c r="C266" i="6"/>
  <c r="T265" i="6"/>
  <c r="D265" i="6"/>
  <c r="C265" i="6"/>
  <c r="T264" i="6"/>
  <c r="D264" i="6"/>
  <c r="C264" i="6"/>
  <c r="T263" i="6"/>
  <c r="D263" i="6"/>
  <c r="C263" i="6"/>
  <c r="T262" i="6"/>
  <c r="D262" i="6"/>
  <c r="C262" i="6"/>
  <c r="T261" i="6"/>
  <c r="D261" i="6"/>
  <c r="C261" i="6"/>
  <c r="T260" i="6"/>
  <c r="D260" i="6"/>
  <c r="C260" i="6"/>
  <c r="T259" i="6"/>
  <c r="D259" i="6"/>
  <c r="C259" i="6"/>
  <c r="T258" i="6"/>
  <c r="D258" i="6"/>
  <c r="C258" i="6"/>
  <c r="T257" i="6"/>
  <c r="D257" i="6"/>
  <c r="C257" i="6"/>
  <c r="T256" i="6"/>
  <c r="D256" i="6"/>
  <c r="C256" i="6"/>
  <c r="T255" i="6"/>
  <c r="D255" i="6"/>
  <c r="C255" i="6"/>
  <c r="T254" i="6"/>
  <c r="D254" i="6"/>
  <c r="C254" i="6"/>
  <c r="T253" i="6"/>
  <c r="D253" i="6"/>
  <c r="C253" i="6"/>
  <c r="T252" i="6"/>
  <c r="D252" i="6"/>
  <c r="C252" i="6"/>
  <c r="T251" i="6"/>
  <c r="D251" i="6"/>
  <c r="C251" i="6"/>
  <c r="T250" i="6"/>
  <c r="D250" i="6"/>
  <c r="C250" i="6"/>
  <c r="T249" i="6"/>
  <c r="D249" i="6"/>
  <c r="C249" i="6"/>
  <c r="T248" i="6"/>
  <c r="D248" i="6"/>
  <c r="C248" i="6"/>
  <c r="T247" i="6"/>
  <c r="D247" i="6"/>
  <c r="C247" i="6"/>
  <c r="T246" i="6"/>
  <c r="D246" i="6"/>
  <c r="C246" i="6"/>
  <c r="T245" i="6"/>
  <c r="D245" i="6"/>
  <c r="C245" i="6"/>
  <c r="T244" i="6"/>
  <c r="D244" i="6"/>
  <c r="C244" i="6"/>
  <c r="T243" i="6"/>
  <c r="D243" i="6"/>
  <c r="C243" i="6"/>
  <c r="T242" i="6"/>
  <c r="D242" i="6"/>
  <c r="C242" i="6"/>
  <c r="T241" i="6"/>
  <c r="D241" i="6"/>
  <c r="C241" i="6"/>
  <c r="T240" i="6"/>
  <c r="D240" i="6"/>
  <c r="C240" i="6"/>
  <c r="T239" i="6"/>
  <c r="D239" i="6"/>
  <c r="C239" i="6"/>
  <c r="T238" i="6"/>
  <c r="D238" i="6"/>
  <c r="C238" i="6"/>
  <c r="T237" i="6"/>
  <c r="D237" i="6"/>
  <c r="C237" i="6"/>
  <c r="T236" i="6"/>
  <c r="D236" i="6"/>
  <c r="C236" i="6"/>
  <c r="T235" i="6"/>
  <c r="D235" i="6"/>
  <c r="C235" i="6"/>
  <c r="T234" i="6"/>
  <c r="D234" i="6"/>
  <c r="C234" i="6"/>
  <c r="T233" i="6"/>
  <c r="D233" i="6"/>
  <c r="C233" i="6"/>
  <c r="T232" i="6"/>
  <c r="D232" i="6"/>
  <c r="C232" i="6"/>
  <c r="T231" i="6"/>
  <c r="D231" i="6"/>
  <c r="C231" i="6"/>
  <c r="T230" i="6"/>
  <c r="D230" i="6"/>
  <c r="C230" i="6"/>
  <c r="T229" i="6"/>
  <c r="D229" i="6"/>
  <c r="C229" i="6"/>
  <c r="T228" i="6"/>
  <c r="D228" i="6"/>
  <c r="C228" i="6"/>
  <c r="T227" i="6"/>
  <c r="D227" i="6"/>
  <c r="C227" i="6"/>
  <c r="T226" i="6"/>
  <c r="D226" i="6"/>
  <c r="C226" i="6"/>
  <c r="T225" i="6"/>
  <c r="D225" i="6"/>
  <c r="C225" i="6"/>
  <c r="T224" i="6"/>
  <c r="D224" i="6"/>
  <c r="C224" i="6"/>
  <c r="T223" i="6"/>
  <c r="D223" i="6"/>
  <c r="C223" i="6"/>
  <c r="T222" i="6"/>
  <c r="D222" i="6"/>
  <c r="C222" i="6"/>
  <c r="T221" i="6"/>
  <c r="D221" i="6"/>
  <c r="C221" i="6"/>
  <c r="T220" i="6"/>
  <c r="D220" i="6"/>
  <c r="C220" i="6"/>
  <c r="T219" i="6"/>
  <c r="D219" i="6"/>
  <c r="C219" i="6"/>
  <c r="T218" i="6"/>
  <c r="D218" i="6"/>
  <c r="C218" i="6"/>
  <c r="T217" i="6"/>
  <c r="D217" i="6"/>
  <c r="C217" i="6"/>
  <c r="T216" i="6"/>
  <c r="D216" i="6"/>
  <c r="C216" i="6"/>
  <c r="T215" i="6"/>
  <c r="D215" i="6"/>
  <c r="C215" i="6"/>
  <c r="T214" i="6"/>
  <c r="D214" i="6"/>
  <c r="C214" i="6"/>
  <c r="T213" i="6"/>
  <c r="D213" i="6"/>
  <c r="C213" i="6"/>
  <c r="T212" i="6"/>
  <c r="D212" i="6"/>
  <c r="C212" i="6"/>
  <c r="T211" i="6"/>
  <c r="D211" i="6"/>
  <c r="C211" i="6"/>
  <c r="T210" i="6"/>
  <c r="D210" i="6"/>
  <c r="C210" i="6"/>
  <c r="T209" i="6"/>
  <c r="D209" i="6"/>
  <c r="C209" i="6"/>
  <c r="T208" i="6"/>
  <c r="D208" i="6"/>
  <c r="C208" i="6"/>
  <c r="T207" i="6"/>
  <c r="D207" i="6"/>
  <c r="C207" i="6"/>
  <c r="T206" i="6"/>
  <c r="D206" i="6"/>
  <c r="C206" i="6"/>
  <c r="T205" i="6"/>
  <c r="D205" i="6"/>
  <c r="C205" i="6"/>
  <c r="T204" i="6"/>
  <c r="D204" i="6"/>
  <c r="C204" i="6"/>
  <c r="T203" i="6"/>
  <c r="D203" i="6"/>
  <c r="C203" i="6"/>
  <c r="T202" i="6"/>
  <c r="D202" i="6"/>
  <c r="C202" i="6"/>
  <c r="T201" i="6"/>
  <c r="D201" i="6"/>
  <c r="C201" i="6"/>
  <c r="T200" i="6"/>
  <c r="D200" i="6"/>
  <c r="C200" i="6"/>
  <c r="T199" i="6"/>
  <c r="D199" i="6"/>
  <c r="C199" i="6"/>
  <c r="T198" i="6"/>
  <c r="D198" i="6"/>
  <c r="C198" i="6"/>
  <c r="T197" i="6"/>
  <c r="D197" i="6"/>
  <c r="C197" i="6"/>
  <c r="T196" i="6"/>
  <c r="D196" i="6"/>
  <c r="C196" i="6"/>
  <c r="T195" i="6"/>
  <c r="D195" i="6"/>
  <c r="C195" i="6"/>
  <c r="T194" i="6"/>
  <c r="D194" i="6"/>
  <c r="C194" i="6"/>
  <c r="T193" i="6"/>
  <c r="D193" i="6"/>
  <c r="C193" i="6"/>
  <c r="T192" i="6"/>
  <c r="D192" i="6"/>
  <c r="C192" i="6"/>
  <c r="T191" i="6"/>
  <c r="D191" i="6"/>
  <c r="C191" i="6"/>
  <c r="T190" i="6"/>
  <c r="D190" i="6"/>
  <c r="C190" i="6"/>
  <c r="T189" i="6"/>
  <c r="D189" i="6"/>
  <c r="C189" i="6"/>
  <c r="T188" i="6"/>
  <c r="D188" i="6"/>
  <c r="C188" i="6"/>
  <c r="T187" i="6"/>
  <c r="D187" i="6"/>
  <c r="C187" i="6"/>
  <c r="T186" i="6"/>
  <c r="D186" i="6"/>
  <c r="C186" i="6"/>
  <c r="T185" i="6"/>
  <c r="D185" i="6"/>
  <c r="C185" i="6"/>
  <c r="T184" i="6"/>
  <c r="D184" i="6"/>
  <c r="C184" i="6"/>
  <c r="T183" i="6"/>
  <c r="D183" i="6"/>
  <c r="C183" i="6"/>
  <c r="T182" i="6"/>
  <c r="D182" i="6"/>
  <c r="C182" i="6"/>
  <c r="T181" i="6"/>
  <c r="D181" i="6"/>
  <c r="C181" i="6"/>
  <c r="T180" i="6"/>
  <c r="D180" i="6"/>
  <c r="C180" i="6"/>
  <c r="T179" i="6"/>
  <c r="D179" i="6"/>
  <c r="C179" i="6"/>
  <c r="T178" i="6"/>
  <c r="D178" i="6"/>
  <c r="C178" i="6"/>
  <c r="T177" i="6"/>
  <c r="D177" i="6"/>
  <c r="C177" i="6"/>
  <c r="T176" i="6"/>
  <c r="D176" i="6"/>
  <c r="C176" i="6"/>
  <c r="T175" i="6"/>
  <c r="D175" i="6"/>
  <c r="C175" i="6"/>
  <c r="T174" i="6"/>
  <c r="D174" i="6"/>
  <c r="C174" i="6"/>
  <c r="T173" i="6"/>
  <c r="D173" i="6"/>
  <c r="C173" i="6"/>
  <c r="T172" i="6"/>
  <c r="D172" i="6"/>
  <c r="C172" i="6"/>
  <c r="T171" i="6"/>
  <c r="D171" i="6"/>
  <c r="C171" i="6"/>
  <c r="T170" i="6"/>
  <c r="D170" i="6"/>
  <c r="C170" i="6"/>
  <c r="T169" i="6"/>
  <c r="D169" i="6"/>
  <c r="C169" i="6"/>
  <c r="T168" i="6"/>
  <c r="D168" i="6"/>
  <c r="C168" i="6"/>
  <c r="T167" i="6"/>
  <c r="D167" i="6"/>
  <c r="C167" i="6"/>
  <c r="T166" i="6"/>
  <c r="D166" i="6"/>
  <c r="C166" i="6"/>
  <c r="T165" i="6"/>
  <c r="D165" i="6"/>
  <c r="C165" i="6"/>
  <c r="T164" i="6"/>
  <c r="D164" i="6"/>
  <c r="C164" i="6"/>
  <c r="T163" i="6"/>
  <c r="D163" i="6"/>
  <c r="C163" i="6"/>
  <c r="T162" i="6"/>
  <c r="D162" i="6"/>
  <c r="C162" i="6"/>
  <c r="T161" i="6"/>
  <c r="D161" i="6"/>
  <c r="C161" i="6"/>
  <c r="T160" i="6"/>
  <c r="D160" i="6"/>
  <c r="C160" i="6"/>
  <c r="T159" i="6"/>
  <c r="D159" i="6"/>
  <c r="C159" i="6"/>
  <c r="T158" i="6"/>
  <c r="D158" i="6"/>
  <c r="C158" i="6"/>
  <c r="T157" i="6"/>
  <c r="D157" i="6"/>
  <c r="C157" i="6"/>
  <c r="T156" i="6"/>
  <c r="D156" i="6"/>
  <c r="C156" i="6"/>
  <c r="T155" i="6"/>
  <c r="D155" i="6"/>
  <c r="C155" i="6"/>
  <c r="T154" i="6"/>
  <c r="D154" i="6"/>
  <c r="C154" i="6"/>
  <c r="T153" i="6"/>
  <c r="D153" i="6"/>
  <c r="C153" i="6"/>
  <c r="T152" i="6"/>
  <c r="D152" i="6"/>
  <c r="C152" i="6"/>
  <c r="T151" i="6"/>
  <c r="D151" i="6"/>
  <c r="C151" i="6"/>
  <c r="T150" i="6"/>
  <c r="D150" i="6"/>
  <c r="C150" i="6"/>
  <c r="T149" i="6"/>
  <c r="D149" i="6"/>
  <c r="C149" i="6"/>
  <c r="T148" i="6"/>
  <c r="D148" i="6"/>
  <c r="C148" i="6"/>
  <c r="T147" i="6"/>
  <c r="D147" i="6"/>
  <c r="C147" i="6"/>
  <c r="T146" i="6"/>
  <c r="D146" i="6"/>
  <c r="C146" i="6"/>
  <c r="T145" i="6"/>
  <c r="D145" i="6"/>
  <c r="C145" i="6"/>
  <c r="T144" i="6"/>
  <c r="D144" i="6"/>
  <c r="C144" i="6"/>
  <c r="T143" i="6"/>
  <c r="D143" i="6"/>
  <c r="C143" i="6"/>
  <c r="T142" i="6"/>
  <c r="D142" i="6"/>
  <c r="C142" i="6"/>
  <c r="T141" i="6"/>
  <c r="D141" i="6"/>
  <c r="C141" i="6"/>
  <c r="T140" i="6"/>
  <c r="D140" i="6"/>
  <c r="C140" i="6"/>
  <c r="T139" i="6"/>
  <c r="D139" i="6"/>
  <c r="C139" i="6"/>
  <c r="T138" i="6"/>
  <c r="D138" i="6"/>
  <c r="C138" i="6"/>
  <c r="T137" i="6"/>
  <c r="D137" i="6"/>
  <c r="C137" i="6"/>
  <c r="T136" i="6"/>
  <c r="D136" i="6"/>
  <c r="C136" i="6"/>
  <c r="T135" i="6"/>
  <c r="D135" i="6"/>
  <c r="C135" i="6"/>
  <c r="T134" i="6"/>
  <c r="D134" i="6"/>
  <c r="C134" i="6"/>
  <c r="T133" i="6"/>
  <c r="D133" i="6"/>
  <c r="C133" i="6"/>
  <c r="T132" i="6"/>
  <c r="D132" i="6"/>
  <c r="C132" i="6"/>
  <c r="T131" i="6"/>
  <c r="D131" i="6"/>
  <c r="C131" i="6"/>
  <c r="T130" i="6"/>
  <c r="D130" i="6"/>
  <c r="C130" i="6"/>
  <c r="T129" i="6"/>
  <c r="D129" i="6"/>
  <c r="C129" i="6"/>
  <c r="T128" i="6"/>
  <c r="D128" i="6"/>
  <c r="C128" i="6"/>
  <c r="T127" i="6"/>
  <c r="D127" i="6"/>
  <c r="C127" i="6"/>
  <c r="T126" i="6"/>
  <c r="D126" i="6"/>
  <c r="C126" i="6"/>
  <c r="T125" i="6"/>
  <c r="D125" i="6"/>
  <c r="C125" i="6"/>
  <c r="T124" i="6"/>
  <c r="D124" i="6"/>
  <c r="C124" i="6"/>
  <c r="T123" i="6"/>
  <c r="D123" i="6"/>
  <c r="C123" i="6"/>
  <c r="T122" i="6"/>
  <c r="D122" i="6"/>
  <c r="C122" i="6"/>
  <c r="T121" i="6"/>
  <c r="D121" i="6"/>
  <c r="C121" i="6"/>
  <c r="T120" i="6"/>
  <c r="D120" i="6"/>
  <c r="C120" i="6"/>
  <c r="T119" i="6"/>
  <c r="D119" i="6"/>
  <c r="C119" i="6"/>
  <c r="T118" i="6"/>
  <c r="D118" i="6"/>
  <c r="C118" i="6"/>
  <c r="T117" i="6"/>
  <c r="D117" i="6"/>
  <c r="C117" i="6"/>
  <c r="T116" i="6"/>
  <c r="D116" i="6"/>
  <c r="C116" i="6"/>
  <c r="T115" i="6"/>
  <c r="D115" i="6"/>
  <c r="C115" i="6"/>
  <c r="T114" i="6"/>
  <c r="D114" i="6"/>
  <c r="C114" i="6"/>
  <c r="T113" i="6"/>
  <c r="D113" i="6"/>
  <c r="C113" i="6"/>
  <c r="T112" i="6"/>
  <c r="D112" i="6"/>
  <c r="C112" i="6"/>
  <c r="T111" i="6"/>
  <c r="D111" i="6"/>
  <c r="C111" i="6"/>
  <c r="T110" i="6"/>
  <c r="D110" i="6"/>
  <c r="C110" i="6"/>
  <c r="T109" i="6"/>
  <c r="D109" i="6"/>
  <c r="C109" i="6"/>
  <c r="T108" i="6"/>
  <c r="D108" i="6"/>
  <c r="C108" i="6"/>
  <c r="T107" i="6"/>
  <c r="D107" i="6"/>
  <c r="C107" i="6"/>
  <c r="T106" i="6"/>
  <c r="D106" i="6"/>
  <c r="C106" i="6"/>
  <c r="T105" i="6"/>
  <c r="D105" i="6"/>
  <c r="C105" i="6"/>
  <c r="T104" i="6"/>
  <c r="D104" i="6"/>
  <c r="C104" i="6"/>
  <c r="T103" i="6"/>
  <c r="D103" i="6"/>
  <c r="C103" i="6"/>
  <c r="T102" i="6"/>
  <c r="D102" i="6"/>
  <c r="C102" i="6"/>
  <c r="T101" i="6"/>
  <c r="D101" i="6"/>
  <c r="C101" i="6"/>
  <c r="T100" i="6"/>
  <c r="D100" i="6"/>
  <c r="C100" i="6"/>
  <c r="T99" i="6"/>
  <c r="D99" i="6"/>
  <c r="C99" i="6"/>
  <c r="T98" i="6"/>
  <c r="D98" i="6"/>
  <c r="C98" i="6"/>
  <c r="T97" i="6"/>
  <c r="D97" i="6"/>
  <c r="C97" i="6"/>
  <c r="T96" i="6"/>
  <c r="D96" i="6"/>
  <c r="C96" i="6"/>
  <c r="T95" i="6"/>
  <c r="D95" i="6"/>
  <c r="C95" i="6"/>
  <c r="T94" i="6"/>
  <c r="D94" i="6"/>
  <c r="C94" i="6"/>
  <c r="T93" i="6"/>
  <c r="D93" i="6"/>
  <c r="C93" i="6"/>
  <c r="T92" i="6"/>
  <c r="D92" i="6"/>
  <c r="C92" i="6"/>
  <c r="T91" i="6"/>
  <c r="D91" i="6"/>
  <c r="C91" i="6"/>
  <c r="T90" i="6"/>
  <c r="D90" i="6"/>
  <c r="C90" i="6"/>
  <c r="T89" i="6"/>
  <c r="D89" i="6"/>
  <c r="C89" i="6"/>
  <c r="T88" i="6"/>
  <c r="D88" i="6"/>
  <c r="C88" i="6"/>
  <c r="T87" i="6"/>
  <c r="D87" i="6"/>
  <c r="C87" i="6"/>
  <c r="T86" i="6"/>
  <c r="D86" i="6"/>
  <c r="C86" i="6"/>
  <c r="T85" i="6"/>
  <c r="D85" i="6"/>
  <c r="C85" i="6"/>
  <c r="T84" i="6"/>
  <c r="D84" i="6"/>
  <c r="C84" i="6"/>
  <c r="T83" i="6"/>
  <c r="D83" i="6"/>
  <c r="C83" i="6"/>
  <c r="T82" i="6"/>
  <c r="D82" i="6"/>
  <c r="C82" i="6"/>
  <c r="T81" i="6"/>
  <c r="D81" i="6"/>
  <c r="C81" i="6"/>
  <c r="T80" i="6"/>
  <c r="D80" i="6"/>
  <c r="C80" i="6"/>
  <c r="T79" i="6"/>
  <c r="D79" i="6"/>
  <c r="C79" i="6"/>
  <c r="T78" i="6"/>
  <c r="D78" i="6"/>
  <c r="C78" i="6"/>
  <c r="T77" i="6"/>
  <c r="D77" i="6"/>
  <c r="C77" i="6"/>
  <c r="T76" i="6"/>
  <c r="D76" i="6"/>
  <c r="C76" i="6"/>
  <c r="T75" i="6"/>
  <c r="D75" i="6"/>
  <c r="C75" i="6"/>
  <c r="T74" i="6"/>
  <c r="D74" i="6"/>
  <c r="C74" i="6"/>
  <c r="T73" i="6"/>
  <c r="D73" i="6"/>
  <c r="C73" i="6"/>
  <c r="T72" i="6"/>
  <c r="D72" i="6"/>
  <c r="C72" i="6"/>
  <c r="T71" i="6"/>
  <c r="D71" i="6"/>
  <c r="C71" i="6"/>
  <c r="T70" i="6"/>
  <c r="D70" i="6"/>
  <c r="C70" i="6"/>
  <c r="T69" i="6"/>
  <c r="D69" i="6"/>
  <c r="C69" i="6"/>
  <c r="T68" i="6"/>
  <c r="D68" i="6"/>
  <c r="C68" i="6"/>
  <c r="T67" i="6"/>
  <c r="D67" i="6"/>
  <c r="C67" i="6"/>
  <c r="T66" i="6"/>
  <c r="D66" i="6"/>
  <c r="C66" i="6"/>
  <c r="T65" i="6"/>
  <c r="D65" i="6"/>
  <c r="C65" i="6"/>
  <c r="T64" i="6"/>
  <c r="D64" i="6"/>
  <c r="C64" i="6"/>
  <c r="T63" i="6"/>
  <c r="D63" i="6"/>
  <c r="C63" i="6"/>
  <c r="T62" i="6"/>
  <c r="D62" i="6"/>
  <c r="C62" i="6"/>
  <c r="T61" i="6"/>
  <c r="D61" i="6"/>
  <c r="C61" i="6"/>
  <c r="T60" i="6"/>
  <c r="D60" i="6"/>
  <c r="C60" i="6"/>
  <c r="T59" i="6"/>
  <c r="D59" i="6"/>
  <c r="C59" i="6"/>
  <c r="T58" i="6"/>
  <c r="D58" i="6"/>
  <c r="C58" i="6"/>
  <c r="T57" i="6"/>
  <c r="D57" i="6"/>
  <c r="C57" i="6"/>
  <c r="T56" i="6"/>
  <c r="D56" i="6"/>
  <c r="C56" i="6"/>
  <c r="T55" i="6"/>
  <c r="D55" i="6"/>
  <c r="C55" i="6"/>
  <c r="T54" i="6"/>
  <c r="D54" i="6"/>
  <c r="C54" i="6"/>
  <c r="T53" i="6"/>
  <c r="D53" i="6"/>
  <c r="C53" i="6"/>
  <c r="T52" i="6"/>
  <c r="D52" i="6"/>
  <c r="C52" i="6"/>
  <c r="T51" i="6"/>
  <c r="D51" i="6"/>
  <c r="C51" i="6"/>
  <c r="T50" i="6"/>
  <c r="D50" i="6"/>
  <c r="C50" i="6"/>
  <c r="T49" i="6"/>
  <c r="D49" i="6"/>
  <c r="C49" i="6"/>
  <c r="T48" i="6"/>
  <c r="D48" i="6"/>
  <c r="C48" i="6"/>
  <c r="T47" i="6"/>
  <c r="D47" i="6"/>
  <c r="C47" i="6"/>
  <c r="T46" i="6"/>
  <c r="D46" i="6"/>
  <c r="C46" i="6"/>
  <c r="T45" i="6"/>
  <c r="D45" i="6"/>
  <c r="C45" i="6"/>
  <c r="T44" i="6"/>
  <c r="D44" i="6"/>
  <c r="C44" i="6"/>
  <c r="T43" i="6"/>
  <c r="D43" i="6"/>
  <c r="C43" i="6"/>
  <c r="T42" i="6"/>
  <c r="D42" i="6"/>
  <c r="C42" i="6"/>
  <c r="T41" i="6"/>
  <c r="D41" i="6"/>
  <c r="C41" i="6"/>
  <c r="T40" i="6"/>
  <c r="D40" i="6"/>
  <c r="C40" i="6"/>
  <c r="T39" i="6"/>
  <c r="D39" i="6"/>
  <c r="C39" i="6"/>
  <c r="T38" i="6"/>
  <c r="D38" i="6"/>
  <c r="C38" i="6"/>
  <c r="T37" i="6"/>
  <c r="D37" i="6"/>
  <c r="C37" i="6"/>
  <c r="T36" i="6"/>
  <c r="D36" i="6"/>
  <c r="C36" i="6"/>
  <c r="T35" i="6"/>
  <c r="D35" i="6"/>
  <c r="C35" i="6"/>
  <c r="T34" i="6"/>
  <c r="D34" i="6"/>
  <c r="C34" i="6"/>
  <c r="T33" i="6"/>
  <c r="D33" i="6"/>
  <c r="C33" i="6"/>
  <c r="T32" i="6"/>
  <c r="D32" i="6"/>
  <c r="C32" i="6"/>
  <c r="T31" i="6"/>
  <c r="D31" i="6"/>
  <c r="C31" i="6"/>
  <c r="T30" i="6"/>
  <c r="D30" i="6"/>
  <c r="C30" i="6"/>
  <c r="T29" i="6"/>
  <c r="D29" i="6"/>
  <c r="C29" i="6"/>
  <c r="T28" i="6"/>
  <c r="D28" i="6"/>
  <c r="C28" i="6"/>
  <c r="T27" i="6"/>
  <c r="D27" i="6"/>
  <c r="C27" i="6"/>
  <c r="T26" i="6"/>
  <c r="D26" i="6"/>
  <c r="C26" i="6"/>
  <c r="T25" i="6"/>
  <c r="D25" i="6"/>
  <c r="C25" i="6"/>
  <c r="T24" i="6"/>
  <c r="D24" i="6"/>
  <c r="C24" i="6"/>
  <c r="T23" i="6"/>
  <c r="D23" i="6"/>
  <c r="C23" i="6"/>
  <c r="T22" i="6"/>
  <c r="D22" i="6"/>
  <c r="C22" i="6"/>
  <c r="T21" i="6"/>
  <c r="D21" i="6"/>
  <c r="C21" i="6"/>
  <c r="T20" i="6"/>
  <c r="D20" i="6"/>
  <c r="C20" i="6"/>
  <c r="T19" i="6"/>
  <c r="D19" i="6"/>
  <c r="C19" i="6"/>
  <c r="T18" i="6"/>
  <c r="D18" i="6"/>
  <c r="C18" i="6"/>
  <c r="T17" i="6"/>
  <c r="D17" i="6"/>
  <c r="C17" i="6"/>
  <c r="T16" i="6"/>
  <c r="D16" i="6"/>
  <c r="C16" i="6"/>
  <c r="T15" i="6"/>
  <c r="D15" i="6"/>
  <c r="C15" i="6"/>
  <c r="T14" i="6"/>
  <c r="D14" i="6"/>
  <c r="C14" i="6"/>
  <c r="T13" i="6"/>
  <c r="D13" i="6"/>
  <c r="C13" i="6"/>
  <c r="T12" i="6"/>
  <c r="D12" i="6"/>
  <c r="C12" i="6"/>
  <c r="T11" i="6"/>
  <c r="D11" i="6"/>
  <c r="C11" i="6"/>
  <c r="T10" i="6"/>
  <c r="D10" i="6"/>
  <c r="C10" i="6"/>
  <c r="T9" i="6"/>
  <c r="D9" i="6"/>
  <c r="C9" i="6"/>
  <c r="T8" i="6"/>
  <c r="D8" i="6"/>
  <c r="C8" i="6"/>
  <c r="T7" i="6"/>
  <c r="D7" i="6"/>
  <c r="C7" i="6"/>
  <c r="T6" i="6"/>
  <c r="D6" i="6"/>
  <c r="C6" i="6"/>
  <c r="T5" i="6"/>
  <c r="D5" i="6"/>
  <c r="C5" i="6"/>
  <c r="AA154" i="5"/>
  <c r="T154" i="5"/>
  <c r="Q154" i="5"/>
  <c r="N154" i="5"/>
  <c r="K154" i="5"/>
  <c r="H154" i="5"/>
  <c r="E154" i="5"/>
  <c r="AA153" i="5"/>
  <c r="T153" i="5"/>
  <c r="Q153" i="5"/>
  <c r="N153" i="5"/>
  <c r="K153" i="5"/>
  <c r="H153" i="5"/>
  <c r="E153" i="5"/>
  <c r="AA152" i="5"/>
  <c r="T152" i="5"/>
  <c r="Q152" i="5"/>
  <c r="N152" i="5"/>
  <c r="K152" i="5"/>
  <c r="H152" i="5"/>
  <c r="E152" i="5"/>
  <c r="AA151" i="5"/>
  <c r="T151" i="5"/>
  <c r="Q151" i="5"/>
  <c r="N151" i="5"/>
  <c r="K151" i="5"/>
  <c r="H151" i="5"/>
  <c r="E151" i="5"/>
  <c r="AA150" i="5"/>
  <c r="T150" i="5"/>
  <c r="Q150" i="5"/>
  <c r="N150" i="5"/>
  <c r="K150" i="5"/>
  <c r="H150" i="5"/>
  <c r="E150" i="5"/>
  <c r="AA149" i="5"/>
  <c r="T149" i="5"/>
  <c r="Q149" i="5"/>
  <c r="N149" i="5"/>
  <c r="K149" i="5"/>
  <c r="H149" i="5"/>
  <c r="E149" i="5"/>
  <c r="AA148" i="5"/>
  <c r="T148" i="5"/>
  <c r="Q148" i="5"/>
  <c r="N148" i="5"/>
  <c r="K148" i="5"/>
  <c r="H148" i="5"/>
  <c r="E148" i="5"/>
  <c r="AA147" i="5"/>
  <c r="T147" i="5"/>
  <c r="Q147" i="5"/>
  <c r="N147" i="5"/>
  <c r="K147" i="5"/>
  <c r="H147" i="5"/>
  <c r="E147" i="5"/>
  <c r="AA146" i="5"/>
  <c r="T146" i="5"/>
  <c r="Q146" i="5"/>
  <c r="N146" i="5"/>
  <c r="K146" i="5"/>
  <c r="H146" i="5"/>
  <c r="E146" i="5"/>
  <c r="AA145" i="5"/>
  <c r="T145" i="5"/>
  <c r="Q145" i="5"/>
  <c r="N145" i="5"/>
  <c r="K145" i="5"/>
  <c r="H145" i="5"/>
  <c r="E145" i="5"/>
  <c r="AA144" i="5"/>
  <c r="T144" i="5"/>
  <c r="Q144" i="5"/>
  <c r="N144" i="5"/>
  <c r="K144" i="5"/>
  <c r="H144" i="5"/>
  <c r="E144" i="5"/>
  <c r="AA143" i="5"/>
  <c r="T143" i="5"/>
  <c r="Q143" i="5"/>
  <c r="N143" i="5"/>
  <c r="K143" i="5"/>
  <c r="H143" i="5"/>
  <c r="E143" i="5"/>
  <c r="AA142" i="5"/>
  <c r="T142" i="5"/>
  <c r="Q142" i="5"/>
  <c r="N142" i="5"/>
  <c r="K142" i="5"/>
  <c r="H142" i="5"/>
  <c r="E142" i="5"/>
  <c r="AA141" i="5"/>
  <c r="T141" i="5"/>
  <c r="Q141" i="5"/>
  <c r="N141" i="5"/>
  <c r="K141" i="5"/>
  <c r="H141" i="5"/>
  <c r="E141" i="5"/>
  <c r="AA140" i="5"/>
  <c r="T140" i="5"/>
  <c r="Q140" i="5"/>
  <c r="N140" i="5"/>
  <c r="K140" i="5"/>
  <c r="H140" i="5"/>
  <c r="E140" i="5"/>
  <c r="AA139" i="5"/>
  <c r="T139" i="5"/>
  <c r="Q139" i="5"/>
  <c r="N139" i="5"/>
  <c r="K139" i="5"/>
  <c r="H139" i="5"/>
  <c r="E139" i="5"/>
  <c r="AA138" i="5"/>
  <c r="T138" i="5"/>
  <c r="Q138" i="5"/>
  <c r="N138" i="5"/>
  <c r="K138" i="5"/>
  <c r="H138" i="5"/>
  <c r="E138" i="5"/>
  <c r="AA137" i="5"/>
  <c r="T137" i="5"/>
  <c r="Q137" i="5"/>
  <c r="N137" i="5"/>
  <c r="K137" i="5"/>
  <c r="H137" i="5"/>
  <c r="E137" i="5"/>
  <c r="AA136" i="5"/>
  <c r="T136" i="5"/>
  <c r="Q136" i="5"/>
  <c r="N136" i="5"/>
  <c r="K136" i="5"/>
  <c r="H136" i="5"/>
  <c r="E136" i="5"/>
  <c r="AA135" i="5"/>
  <c r="T135" i="5"/>
  <c r="Q135" i="5"/>
  <c r="N135" i="5"/>
  <c r="K135" i="5"/>
  <c r="H135" i="5"/>
  <c r="E135" i="5"/>
  <c r="AA134" i="5"/>
  <c r="T134" i="5"/>
  <c r="Q134" i="5"/>
  <c r="N134" i="5"/>
  <c r="K134" i="5"/>
  <c r="H134" i="5"/>
  <c r="E134" i="5"/>
  <c r="AA133" i="5"/>
  <c r="T133" i="5"/>
  <c r="Q133" i="5"/>
  <c r="N133" i="5"/>
  <c r="K133" i="5"/>
  <c r="H133" i="5"/>
  <c r="E133" i="5"/>
  <c r="AA132" i="5"/>
  <c r="T132" i="5"/>
  <c r="Q132" i="5"/>
  <c r="N132" i="5"/>
  <c r="K132" i="5"/>
  <c r="H132" i="5"/>
  <c r="E132" i="5"/>
  <c r="AA131" i="5"/>
  <c r="T131" i="5"/>
  <c r="Q131" i="5"/>
  <c r="N131" i="5"/>
  <c r="K131" i="5"/>
  <c r="H131" i="5"/>
  <c r="E131" i="5"/>
  <c r="AA130" i="5"/>
  <c r="T130" i="5"/>
  <c r="Q130" i="5"/>
  <c r="N130" i="5"/>
  <c r="K130" i="5"/>
  <c r="H130" i="5"/>
  <c r="E130" i="5"/>
  <c r="AA129" i="5"/>
  <c r="T129" i="5"/>
  <c r="Q129" i="5"/>
  <c r="N129" i="5"/>
  <c r="K129" i="5"/>
  <c r="H129" i="5"/>
  <c r="E129" i="5"/>
  <c r="AA128" i="5"/>
  <c r="T128" i="5"/>
  <c r="Q128" i="5"/>
  <c r="N128" i="5"/>
  <c r="K128" i="5"/>
  <c r="H128" i="5"/>
  <c r="E128" i="5"/>
  <c r="AA127" i="5"/>
  <c r="T127" i="5"/>
  <c r="Q127" i="5"/>
  <c r="N127" i="5"/>
  <c r="K127" i="5"/>
  <c r="H127" i="5"/>
  <c r="E127" i="5"/>
  <c r="AA126" i="5"/>
  <c r="T126" i="5"/>
  <c r="Q126" i="5"/>
  <c r="N126" i="5"/>
  <c r="K126" i="5"/>
  <c r="H126" i="5"/>
  <c r="E126" i="5"/>
  <c r="AA125" i="5"/>
  <c r="T125" i="5"/>
  <c r="Q125" i="5"/>
  <c r="N125" i="5"/>
  <c r="K125" i="5"/>
  <c r="H125" i="5"/>
  <c r="E125" i="5"/>
  <c r="AA124" i="5"/>
  <c r="T124" i="5"/>
  <c r="Q124" i="5"/>
  <c r="N124" i="5"/>
  <c r="K124" i="5"/>
  <c r="H124" i="5"/>
  <c r="E124" i="5"/>
  <c r="AA123" i="5"/>
  <c r="T123" i="5"/>
  <c r="Q123" i="5"/>
  <c r="N123" i="5"/>
  <c r="K123" i="5"/>
  <c r="H123" i="5"/>
  <c r="E123" i="5"/>
  <c r="AA122" i="5"/>
  <c r="T122" i="5"/>
  <c r="Q122" i="5"/>
  <c r="N122" i="5"/>
  <c r="K122" i="5"/>
  <c r="H122" i="5"/>
  <c r="E122" i="5"/>
  <c r="AA121" i="5"/>
  <c r="T121" i="5"/>
  <c r="Q121" i="5"/>
  <c r="N121" i="5"/>
  <c r="K121" i="5"/>
  <c r="H121" i="5"/>
  <c r="E121" i="5"/>
  <c r="AA120" i="5"/>
  <c r="T120" i="5"/>
  <c r="Q120" i="5"/>
  <c r="N120" i="5"/>
  <c r="K120" i="5"/>
  <c r="H120" i="5"/>
  <c r="E120" i="5"/>
  <c r="AA119" i="5"/>
  <c r="T119" i="5"/>
  <c r="Q119" i="5"/>
  <c r="N119" i="5"/>
  <c r="K119" i="5"/>
  <c r="H119" i="5"/>
  <c r="E119" i="5"/>
  <c r="AA118" i="5"/>
  <c r="T118" i="5"/>
  <c r="Q118" i="5"/>
  <c r="N118" i="5"/>
  <c r="K118" i="5"/>
  <c r="H118" i="5"/>
  <c r="E118" i="5"/>
  <c r="AA117" i="5"/>
  <c r="T117" i="5"/>
  <c r="Q117" i="5"/>
  <c r="N117" i="5"/>
  <c r="K117" i="5"/>
  <c r="H117" i="5"/>
  <c r="E117" i="5"/>
  <c r="AA116" i="5"/>
  <c r="T116" i="5"/>
  <c r="Q116" i="5"/>
  <c r="N116" i="5"/>
  <c r="K116" i="5"/>
  <c r="H116" i="5"/>
  <c r="E116" i="5"/>
  <c r="AA115" i="5"/>
  <c r="T115" i="5"/>
  <c r="Q115" i="5"/>
  <c r="N115" i="5"/>
  <c r="K115" i="5"/>
  <c r="H115" i="5"/>
  <c r="E115" i="5"/>
  <c r="AA114" i="5"/>
  <c r="T114" i="5"/>
  <c r="Q114" i="5"/>
  <c r="N114" i="5"/>
  <c r="K114" i="5"/>
  <c r="H114" i="5"/>
  <c r="E114" i="5"/>
  <c r="AA113" i="5"/>
  <c r="T113" i="5"/>
  <c r="Q113" i="5"/>
  <c r="N113" i="5"/>
  <c r="K113" i="5"/>
  <c r="H113" i="5"/>
  <c r="E113" i="5"/>
  <c r="AA112" i="5"/>
  <c r="T112" i="5"/>
  <c r="Q112" i="5"/>
  <c r="N112" i="5"/>
  <c r="K112" i="5"/>
  <c r="H112" i="5"/>
  <c r="E112" i="5"/>
  <c r="AA111" i="5"/>
  <c r="T111" i="5"/>
  <c r="Q111" i="5"/>
  <c r="N111" i="5"/>
  <c r="K111" i="5"/>
  <c r="H111" i="5"/>
  <c r="E111" i="5"/>
  <c r="AA110" i="5"/>
  <c r="T110" i="5"/>
  <c r="Q110" i="5"/>
  <c r="N110" i="5"/>
  <c r="K110" i="5"/>
  <c r="H110" i="5"/>
  <c r="E110" i="5"/>
  <c r="AA109" i="5"/>
  <c r="T109" i="5"/>
  <c r="Q109" i="5"/>
  <c r="N109" i="5"/>
  <c r="K109" i="5"/>
  <c r="H109" i="5"/>
  <c r="E109" i="5"/>
  <c r="AA108" i="5"/>
  <c r="T108" i="5"/>
  <c r="Q108" i="5"/>
  <c r="N108" i="5"/>
  <c r="K108" i="5"/>
  <c r="H108" i="5"/>
  <c r="AA107" i="5"/>
  <c r="T107" i="5"/>
  <c r="Q107" i="5"/>
  <c r="N107" i="5"/>
  <c r="K107" i="5"/>
  <c r="H107" i="5"/>
  <c r="E107" i="5"/>
  <c r="AA106" i="5"/>
  <c r="T106" i="5"/>
  <c r="Q106" i="5"/>
  <c r="N106" i="5"/>
  <c r="K106" i="5"/>
  <c r="H106" i="5"/>
  <c r="E106" i="5"/>
  <c r="AA105" i="5"/>
  <c r="T105" i="5"/>
  <c r="Q105" i="5"/>
  <c r="N105" i="5"/>
  <c r="K105" i="5"/>
  <c r="H105" i="5"/>
  <c r="E105" i="5"/>
  <c r="AA104" i="5"/>
  <c r="T104" i="5"/>
  <c r="Q104" i="5"/>
  <c r="N104" i="5"/>
  <c r="K104" i="5"/>
  <c r="H104" i="5"/>
  <c r="E104" i="5"/>
  <c r="AA103" i="5"/>
  <c r="T103" i="5"/>
  <c r="Q103" i="5"/>
  <c r="N103" i="5"/>
  <c r="K103" i="5"/>
  <c r="H103" i="5"/>
  <c r="E103" i="5"/>
  <c r="AA102" i="5"/>
  <c r="T102" i="5"/>
  <c r="Q102" i="5"/>
  <c r="E102" i="5" s="1"/>
  <c r="N102" i="5"/>
  <c r="K102" i="5"/>
  <c r="H102" i="5"/>
  <c r="AA101" i="5"/>
  <c r="T101" i="5"/>
  <c r="Q101" i="5"/>
  <c r="N101" i="5"/>
  <c r="K101" i="5"/>
  <c r="H101" i="5"/>
  <c r="E101" i="5"/>
  <c r="AA100" i="5"/>
  <c r="T100" i="5"/>
  <c r="Q100" i="5"/>
  <c r="N100" i="5"/>
  <c r="K100" i="5"/>
  <c r="H100" i="5"/>
  <c r="E100" i="5"/>
  <c r="AA99" i="5"/>
  <c r="T99" i="5"/>
  <c r="Q99" i="5"/>
  <c r="N99" i="5"/>
  <c r="K99" i="5"/>
  <c r="H99" i="5"/>
  <c r="E99" i="5"/>
  <c r="AA98" i="5"/>
  <c r="T98" i="5"/>
  <c r="Q98" i="5"/>
  <c r="N98" i="5"/>
  <c r="K98" i="5"/>
  <c r="H98" i="5"/>
  <c r="E98" i="5"/>
  <c r="AA97" i="5"/>
  <c r="T97" i="5"/>
  <c r="Q97" i="5"/>
  <c r="N97" i="5"/>
  <c r="K97" i="5"/>
  <c r="H97" i="5"/>
  <c r="E97" i="5"/>
  <c r="AA96" i="5"/>
  <c r="T96" i="5"/>
  <c r="Q96" i="5"/>
  <c r="N96" i="5"/>
  <c r="K96" i="5"/>
  <c r="H96" i="5"/>
  <c r="E96" i="5"/>
  <c r="AA95" i="5"/>
  <c r="T95" i="5"/>
  <c r="Q95" i="5"/>
  <c r="N95" i="5"/>
  <c r="K95" i="5"/>
  <c r="H95" i="5"/>
  <c r="E95" i="5"/>
  <c r="AA94" i="5"/>
  <c r="T94" i="5"/>
  <c r="Q94" i="5"/>
  <c r="N94" i="5"/>
  <c r="K94" i="5"/>
  <c r="H94" i="5"/>
  <c r="E94" i="5"/>
  <c r="AA93" i="5"/>
  <c r="T93" i="5"/>
  <c r="Q93" i="5"/>
  <c r="N93" i="5"/>
  <c r="K93" i="5"/>
  <c r="H93" i="5"/>
  <c r="E93" i="5"/>
  <c r="AA92" i="5"/>
  <c r="T92" i="5"/>
  <c r="Q92" i="5"/>
  <c r="N92" i="5"/>
  <c r="K92" i="5"/>
  <c r="H92" i="5"/>
  <c r="E92" i="5"/>
  <c r="AA91" i="5"/>
  <c r="T91" i="5"/>
  <c r="Q91" i="5"/>
  <c r="N91" i="5"/>
  <c r="K91" i="5"/>
  <c r="H91" i="5"/>
  <c r="E91" i="5"/>
  <c r="AA90" i="5"/>
  <c r="T90" i="5"/>
  <c r="Q90" i="5"/>
  <c r="N90" i="5"/>
  <c r="K90" i="5"/>
  <c r="H90" i="5"/>
  <c r="E90" i="5"/>
  <c r="AA89" i="5"/>
  <c r="T89" i="5"/>
  <c r="Q89" i="5"/>
  <c r="N89" i="5"/>
  <c r="K89" i="5"/>
  <c r="H89" i="5"/>
  <c r="E89" i="5"/>
  <c r="AA88" i="5"/>
  <c r="T88" i="5"/>
  <c r="Q88" i="5"/>
  <c r="N88" i="5"/>
  <c r="K88" i="5"/>
  <c r="H88" i="5"/>
  <c r="E88" i="5"/>
  <c r="AA87" i="5"/>
  <c r="T87" i="5"/>
  <c r="Q87" i="5"/>
  <c r="N87" i="5"/>
  <c r="K87" i="5"/>
  <c r="H87" i="5"/>
  <c r="E87" i="5"/>
  <c r="AA86" i="5"/>
  <c r="T86" i="5"/>
  <c r="Q86" i="5"/>
  <c r="N86" i="5"/>
  <c r="K86" i="5"/>
  <c r="H86" i="5"/>
  <c r="E86" i="5"/>
  <c r="AA85" i="5"/>
  <c r="T85" i="5"/>
  <c r="Q85" i="5"/>
  <c r="N85" i="5"/>
  <c r="K85" i="5"/>
  <c r="H85" i="5"/>
  <c r="E85" i="5"/>
  <c r="AA84" i="5"/>
  <c r="T84" i="5"/>
  <c r="Q84" i="5"/>
  <c r="N84" i="5"/>
  <c r="K84" i="5"/>
  <c r="H84" i="5"/>
  <c r="E84" i="5"/>
  <c r="AA83" i="5"/>
  <c r="T83" i="5"/>
  <c r="Q83" i="5"/>
  <c r="N83" i="5"/>
  <c r="K83" i="5"/>
  <c r="H83" i="5"/>
  <c r="E83" i="5"/>
  <c r="AA82" i="5"/>
  <c r="T82" i="5"/>
  <c r="Q82" i="5"/>
  <c r="N82" i="5"/>
  <c r="K82" i="5"/>
  <c r="H82" i="5"/>
  <c r="E82" i="5"/>
  <c r="AA81" i="5"/>
  <c r="T81" i="5"/>
  <c r="Q81" i="5"/>
  <c r="N81" i="5"/>
  <c r="K81" i="5"/>
  <c r="H81" i="5"/>
  <c r="E81" i="5"/>
  <c r="AA80" i="5"/>
  <c r="T80" i="5"/>
  <c r="Q80" i="5"/>
  <c r="N80" i="5"/>
  <c r="K80" i="5"/>
  <c r="H80" i="5"/>
  <c r="E80" i="5"/>
  <c r="AA79" i="5"/>
  <c r="T79" i="5"/>
  <c r="Q79" i="5"/>
  <c r="N79" i="5"/>
  <c r="K79" i="5"/>
  <c r="H79" i="5"/>
  <c r="E79" i="5"/>
  <c r="AA78" i="5"/>
  <c r="T78" i="5"/>
  <c r="Q78" i="5"/>
  <c r="N78" i="5"/>
  <c r="K78" i="5"/>
  <c r="H78" i="5"/>
  <c r="E78" i="5"/>
  <c r="AA77" i="5"/>
  <c r="T77" i="5"/>
  <c r="Q77" i="5"/>
  <c r="N77" i="5"/>
  <c r="K77" i="5"/>
  <c r="H77" i="5"/>
  <c r="E77" i="5"/>
  <c r="AA76" i="5"/>
  <c r="T76" i="5"/>
  <c r="Q76" i="5"/>
  <c r="N76" i="5"/>
  <c r="K76" i="5"/>
  <c r="H76" i="5"/>
  <c r="E76" i="5"/>
  <c r="AA75" i="5"/>
  <c r="T75" i="5"/>
  <c r="Q75" i="5"/>
  <c r="N75" i="5"/>
  <c r="K75" i="5"/>
  <c r="H75" i="5"/>
  <c r="E75" i="5"/>
  <c r="AA74" i="5"/>
  <c r="T74" i="5"/>
  <c r="Q74" i="5"/>
  <c r="N74" i="5"/>
  <c r="K74" i="5"/>
  <c r="H74" i="5"/>
  <c r="E74" i="5"/>
  <c r="AA73" i="5"/>
  <c r="T73" i="5"/>
  <c r="Q73" i="5"/>
  <c r="N73" i="5"/>
  <c r="K73" i="5"/>
  <c r="H73" i="5"/>
  <c r="E73" i="5"/>
  <c r="AA72" i="5"/>
  <c r="T72" i="5"/>
  <c r="Q72" i="5"/>
  <c r="N72" i="5"/>
  <c r="K72" i="5"/>
  <c r="H72" i="5"/>
  <c r="E72" i="5"/>
  <c r="AA71" i="5"/>
  <c r="T71" i="5"/>
  <c r="Q71" i="5"/>
  <c r="N71" i="5"/>
  <c r="K71" i="5"/>
  <c r="H71" i="5"/>
  <c r="E71" i="5"/>
  <c r="AA70" i="5"/>
  <c r="T70" i="5"/>
  <c r="Q70" i="5"/>
  <c r="N70" i="5"/>
  <c r="K70" i="5"/>
  <c r="H70" i="5"/>
  <c r="E70" i="5"/>
  <c r="AA69" i="5"/>
  <c r="T69" i="5"/>
  <c r="Q69" i="5"/>
  <c r="N69" i="5"/>
  <c r="K69" i="5"/>
  <c r="H69" i="5"/>
  <c r="E69" i="5"/>
  <c r="AA68" i="5"/>
  <c r="T68" i="5"/>
  <c r="Q68" i="5"/>
  <c r="N68" i="5"/>
  <c r="K68" i="5"/>
  <c r="H68" i="5"/>
  <c r="E68" i="5"/>
  <c r="AA67" i="5"/>
  <c r="T67" i="5"/>
  <c r="Q67" i="5"/>
  <c r="N67" i="5"/>
  <c r="K67" i="5"/>
  <c r="H67" i="5"/>
  <c r="E67" i="5"/>
  <c r="AA66" i="5"/>
  <c r="T66" i="5"/>
  <c r="Q66" i="5"/>
  <c r="N66" i="5"/>
  <c r="K66" i="5"/>
  <c r="H66" i="5"/>
  <c r="E66" i="5"/>
  <c r="AA65" i="5"/>
  <c r="T65" i="5"/>
  <c r="Q65" i="5"/>
  <c r="N65" i="5"/>
  <c r="K65" i="5"/>
  <c r="H65" i="5"/>
  <c r="E65" i="5"/>
  <c r="AA64" i="5"/>
  <c r="T64" i="5"/>
  <c r="Q64" i="5"/>
  <c r="N64" i="5"/>
  <c r="K64" i="5"/>
  <c r="H64" i="5"/>
  <c r="E64" i="5"/>
  <c r="AA63" i="5"/>
  <c r="T63" i="5"/>
  <c r="Q63" i="5"/>
  <c r="N63" i="5"/>
  <c r="K63" i="5"/>
  <c r="H63" i="5"/>
  <c r="E63" i="5"/>
  <c r="AA62" i="5"/>
  <c r="T62" i="5"/>
  <c r="Q62" i="5"/>
  <c r="N62" i="5"/>
  <c r="K62" i="5"/>
  <c r="H62" i="5"/>
  <c r="E62" i="5"/>
  <c r="AA61" i="5"/>
  <c r="T61" i="5"/>
  <c r="Q61" i="5"/>
  <c r="N61" i="5"/>
  <c r="K61" i="5"/>
  <c r="H61" i="5"/>
  <c r="E61" i="5"/>
  <c r="AA60" i="5"/>
  <c r="T60" i="5"/>
  <c r="Q60" i="5"/>
  <c r="N60" i="5"/>
  <c r="K60" i="5"/>
  <c r="H60" i="5"/>
  <c r="E60" i="5"/>
  <c r="AA59" i="5"/>
  <c r="T59" i="5"/>
  <c r="Q59" i="5"/>
  <c r="N59" i="5"/>
  <c r="K59" i="5"/>
  <c r="H59" i="5"/>
  <c r="E59" i="5"/>
  <c r="AA58" i="5"/>
  <c r="T58" i="5"/>
  <c r="Q58" i="5"/>
  <c r="N58" i="5"/>
  <c r="K58" i="5"/>
  <c r="H58" i="5"/>
  <c r="E58" i="5"/>
  <c r="AA57" i="5"/>
  <c r="T57" i="5"/>
  <c r="Q57" i="5"/>
  <c r="N57" i="5"/>
  <c r="K57" i="5"/>
  <c r="H57" i="5"/>
  <c r="E57" i="5"/>
  <c r="AA56" i="5"/>
  <c r="T56" i="5"/>
  <c r="Q56" i="5"/>
  <c r="N56" i="5"/>
  <c r="K56" i="5"/>
  <c r="H56" i="5"/>
  <c r="E56" i="5"/>
  <c r="AA55" i="5"/>
  <c r="T55" i="5"/>
  <c r="Q55" i="5"/>
  <c r="N55" i="5"/>
  <c r="K55" i="5"/>
  <c r="H55" i="5"/>
  <c r="E55" i="5"/>
  <c r="AA54" i="5"/>
  <c r="T54" i="5"/>
  <c r="Q54" i="5"/>
  <c r="N54" i="5"/>
  <c r="K54" i="5"/>
  <c r="H54" i="5"/>
  <c r="E54" i="5"/>
  <c r="AA53" i="5"/>
  <c r="T53" i="5"/>
  <c r="Q53" i="5"/>
  <c r="N53" i="5"/>
  <c r="K53" i="5"/>
  <c r="H53" i="5"/>
  <c r="E53" i="5"/>
  <c r="AA52" i="5"/>
  <c r="T52" i="5"/>
  <c r="Q52" i="5"/>
  <c r="N52" i="5"/>
  <c r="K52" i="5"/>
  <c r="H52" i="5"/>
  <c r="E52" i="5"/>
  <c r="AA51" i="5"/>
  <c r="T51" i="5"/>
  <c r="Q51" i="5"/>
  <c r="N51" i="5"/>
  <c r="K51" i="5"/>
  <c r="H51" i="5"/>
  <c r="E51" i="5"/>
  <c r="AA50" i="5"/>
  <c r="T50" i="5"/>
  <c r="Q50" i="5"/>
  <c r="N50" i="5"/>
  <c r="K50" i="5"/>
  <c r="H50" i="5"/>
  <c r="E50" i="5"/>
  <c r="AA49" i="5"/>
  <c r="T49" i="5"/>
  <c r="Q49" i="5"/>
  <c r="N49" i="5"/>
  <c r="K49" i="5"/>
  <c r="H49" i="5"/>
  <c r="E49" i="5"/>
  <c r="AA48" i="5"/>
  <c r="T48" i="5"/>
  <c r="Q48" i="5"/>
  <c r="N48" i="5"/>
  <c r="K48" i="5"/>
  <c r="H48" i="5"/>
  <c r="E48" i="5"/>
  <c r="AA47" i="5"/>
  <c r="T47" i="5"/>
  <c r="Q47" i="5"/>
  <c r="N47" i="5"/>
  <c r="K47" i="5"/>
  <c r="H47" i="5"/>
  <c r="E47" i="5"/>
  <c r="AA46" i="5"/>
  <c r="T46" i="5"/>
  <c r="Q46" i="5"/>
  <c r="N46" i="5"/>
  <c r="K46" i="5"/>
  <c r="H46" i="5"/>
  <c r="E46" i="5"/>
  <c r="AA45" i="5"/>
  <c r="T45" i="5"/>
  <c r="Q45" i="5"/>
  <c r="N45" i="5"/>
  <c r="K45" i="5"/>
  <c r="H45" i="5"/>
  <c r="E45" i="5"/>
  <c r="AA44" i="5"/>
  <c r="T44" i="5"/>
  <c r="Q44" i="5"/>
  <c r="N44" i="5"/>
  <c r="K44" i="5"/>
  <c r="H44" i="5"/>
  <c r="E44" i="5"/>
  <c r="AA43" i="5"/>
  <c r="T43" i="5"/>
  <c r="Q43" i="5"/>
  <c r="N43" i="5"/>
  <c r="K43" i="5"/>
  <c r="H43" i="5"/>
  <c r="E43" i="5"/>
  <c r="AA42" i="5"/>
  <c r="T42" i="5"/>
  <c r="Q42" i="5"/>
  <c r="N42" i="5"/>
  <c r="K42" i="5"/>
  <c r="H42" i="5"/>
  <c r="E42" i="5"/>
  <c r="AA41" i="5"/>
  <c r="T41" i="5"/>
  <c r="Q41" i="5"/>
  <c r="N41" i="5"/>
  <c r="K41" i="5"/>
  <c r="H41" i="5"/>
  <c r="E41" i="5"/>
  <c r="AA40" i="5"/>
  <c r="T40" i="5"/>
  <c r="Q40" i="5"/>
  <c r="N40" i="5"/>
  <c r="K40" i="5"/>
  <c r="H40" i="5"/>
  <c r="E40" i="5"/>
  <c r="AA39" i="5"/>
  <c r="T39" i="5"/>
  <c r="Q39" i="5"/>
  <c r="N39" i="5"/>
  <c r="K39" i="5"/>
  <c r="H39" i="5"/>
  <c r="E39" i="5"/>
  <c r="AA38" i="5"/>
  <c r="T38" i="5"/>
  <c r="Q38" i="5"/>
  <c r="N38" i="5"/>
  <c r="K38" i="5"/>
  <c r="H38" i="5"/>
  <c r="E38" i="5"/>
  <c r="AA37" i="5"/>
  <c r="T37" i="5"/>
  <c r="Q37" i="5"/>
  <c r="N37" i="5"/>
  <c r="K37" i="5"/>
  <c r="H37" i="5"/>
  <c r="E37" i="5"/>
  <c r="AA36" i="5"/>
  <c r="T36" i="5"/>
  <c r="Q36" i="5"/>
  <c r="N36" i="5"/>
  <c r="K36" i="5"/>
  <c r="H36" i="5"/>
  <c r="E36" i="5"/>
  <c r="AA35" i="5"/>
  <c r="T35" i="5"/>
  <c r="Q35" i="5"/>
  <c r="N35" i="5"/>
  <c r="K35" i="5"/>
  <c r="H35" i="5"/>
  <c r="E35" i="5"/>
  <c r="AA34" i="5"/>
  <c r="T34" i="5"/>
  <c r="Q34" i="5"/>
  <c r="N34" i="5"/>
  <c r="K34" i="5"/>
  <c r="H34" i="5"/>
  <c r="E34" i="5"/>
  <c r="AA33" i="5"/>
  <c r="T33" i="5"/>
  <c r="Q33" i="5"/>
  <c r="N33" i="5"/>
  <c r="K33" i="5"/>
  <c r="H33" i="5"/>
  <c r="E33" i="5"/>
  <c r="AA32" i="5"/>
  <c r="T32" i="5"/>
  <c r="Q32" i="5"/>
  <c r="N32" i="5"/>
  <c r="K32" i="5"/>
  <c r="H32" i="5"/>
  <c r="E32" i="5"/>
  <c r="AA31" i="5"/>
  <c r="T31" i="5"/>
  <c r="Q31" i="5"/>
  <c r="N31" i="5"/>
  <c r="K31" i="5"/>
  <c r="H31" i="5"/>
  <c r="E31" i="5"/>
  <c r="AA30" i="5"/>
  <c r="T30" i="5"/>
  <c r="Q30" i="5"/>
  <c r="N30" i="5"/>
  <c r="K30" i="5"/>
  <c r="H30" i="5"/>
  <c r="E30" i="5"/>
  <c r="AA29" i="5"/>
  <c r="T29" i="5"/>
  <c r="Q29" i="5"/>
  <c r="N29" i="5"/>
  <c r="K29" i="5"/>
  <c r="H29" i="5"/>
  <c r="E29" i="5"/>
  <c r="AA28" i="5"/>
  <c r="T28" i="5"/>
  <c r="Q28" i="5"/>
  <c r="N28" i="5"/>
  <c r="K28" i="5"/>
  <c r="H28" i="5"/>
  <c r="E28" i="5"/>
  <c r="AA27" i="5"/>
  <c r="T27" i="5"/>
  <c r="Q27" i="5"/>
  <c r="N27" i="5"/>
  <c r="K27" i="5"/>
  <c r="H27" i="5"/>
  <c r="E27" i="5"/>
  <c r="AA26" i="5"/>
  <c r="T26" i="5"/>
  <c r="Q26" i="5"/>
  <c r="N26" i="5"/>
  <c r="K26" i="5"/>
  <c r="H26" i="5"/>
  <c r="E26" i="5"/>
  <c r="AA25" i="5"/>
  <c r="T25" i="5"/>
  <c r="Q25" i="5"/>
  <c r="N25" i="5"/>
  <c r="K25" i="5"/>
  <c r="H25" i="5"/>
  <c r="E25" i="5"/>
  <c r="AA24" i="5"/>
  <c r="T24" i="5"/>
  <c r="Q24" i="5"/>
  <c r="N24" i="5"/>
  <c r="K24" i="5"/>
  <c r="H24" i="5"/>
  <c r="E24" i="5"/>
  <c r="AA23" i="5"/>
  <c r="T23" i="5"/>
  <c r="Q23" i="5"/>
  <c r="N23" i="5"/>
  <c r="K23" i="5"/>
  <c r="H23" i="5"/>
  <c r="E23" i="5"/>
  <c r="AA22" i="5"/>
  <c r="T22" i="5"/>
  <c r="Q22" i="5"/>
  <c r="N22" i="5"/>
  <c r="K22" i="5"/>
  <c r="H22" i="5"/>
  <c r="E22" i="5"/>
  <c r="AA21" i="5"/>
  <c r="T21" i="5"/>
  <c r="Q21" i="5"/>
  <c r="N21" i="5"/>
  <c r="K21" i="5"/>
  <c r="H21" i="5"/>
  <c r="E21" i="5"/>
  <c r="AA20" i="5"/>
  <c r="T20" i="5"/>
  <c r="Q20" i="5"/>
  <c r="N20" i="5"/>
  <c r="K20" i="5"/>
  <c r="H20" i="5"/>
  <c r="E20" i="5"/>
  <c r="AA19" i="5"/>
  <c r="T19" i="5"/>
  <c r="Q19" i="5"/>
  <c r="N19" i="5"/>
  <c r="K19" i="5"/>
  <c r="H19" i="5"/>
  <c r="E19" i="5"/>
  <c r="AA18" i="5"/>
  <c r="T18" i="5"/>
  <c r="Q18" i="5"/>
  <c r="N18" i="5"/>
  <c r="K18" i="5"/>
  <c r="H18" i="5"/>
  <c r="E18" i="5"/>
  <c r="AA17" i="5"/>
  <c r="T17" i="5"/>
  <c r="Q17" i="5"/>
  <c r="N17" i="5"/>
  <c r="K17" i="5"/>
  <c r="H17" i="5"/>
  <c r="E17" i="5"/>
  <c r="AA16" i="5"/>
  <c r="T16" i="5"/>
  <c r="Q16" i="5"/>
  <c r="N16" i="5"/>
  <c r="K16" i="5"/>
  <c r="H16" i="5"/>
  <c r="E16" i="5"/>
  <c r="AA15" i="5"/>
  <c r="T15" i="5"/>
  <c r="Q15" i="5"/>
  <c r="N15" i="5"/>
  <c r="K15" i="5"/>
  <c r="H15" i="5"/>
  <c r="E15" i="5"/>
  <c r="AA14" i="5"/>
  <c r="T14" i="5"/>
  <c r="Q14" i="5"/>
  <c r="N14" i="5"/>
  <c r="K14" i="5"/>
  <c r="H14" i="5"/>
  <c r="E14" i="5"/>
  <c r="AA13" i="5"/>
  <c r="T13" i="5"/>
  <c r="Q13" i="5"/>
  <c r="N13" i="5"/>
  <c r="K13" i="5"/>
  <c r="H13" i="5"/>
  <c r="E13" i="5"/>
  <c r="AA12" i="5"/>
  <c r="T12" i="5"/>
  <c r="Q12" i="5"/>
  <c r="N12" i="5"/>
  <c r="K12" i="5"/>
  <c r="H12" i="5"/>
  <c r="E12" i="5"/>
  <c r="AA11" i="5"/>
  <c r="T11" i="5"/>
  <c r="Q11" i="5"/>
  <c r="N11" i="5"/>
  <c r="K11" i="5"/>
  <c r="H11" i="5"/>
  <c r="E11" i="5"/>
  <c r="AA10" i="5"/>
  <c r="T10" i="5"/>
  <c r="Q10" i="5"/>
  <c r="N10" i="5"/>
  <c r="K10" i="5"/>
  <c r="H10" i="5"/>
  <c r="E10" i="5"/>
  <c r="AA9" i="5"/>
  <c r="T9" i="5"/>
  <c r="Q9" i="5"/>
  <c r="N9" i="5"/>
  <c r="K9" i="5"/>
  <c r="H9" i="5"/>
  <c r="E9" i="5"/>
  <c r="AA8" i="5"/>
  <c r="T8" i="5"/>
  <c r="Q8" i="5"/>
  <c r="N8" i="5"/>
  <c r="K8" i="5"/>
  <c r="H8" i="5"/>
  <c r="E8" i="5"/>
  <c r="AA7" i="5"/>
  <c r="T7" i="5"/>
  <c r="Q7" i="5"/>
  <c r="N7" i="5"/>
  <c r="K7" i="5"/>
  <c r="H7" i="5"/>
  <c r="E7" i="5"/>
  <c r="AA6" i="5"/>
  <c r="T6" i="5"/>
  <c r="Q6" i="5"/>
  <c r="N6" i="5"/>
  <c r="K6" i="5"/>
  <c r="H6" i="5"/>
  <c r="E6" i="5"/>
  <c r="AA5" i="5"/>
  <c r="T5" i="5"/>
  <c r="Q5" i="5"/>
  <c r="N5" i="5"/>
  <c r="K5" i="5"/>
  <c r="H5" i="5"/>
  <c r="E5" i="5"/>
  <c r="AK205" i="4"/>
  <c r="AD205" i="4"/>
  <c r="AB205" i="4"/>
  <c r="AC205" i="4" s="1"/>
  <c r="E205" i="4"/>
  <c r="D205" i="4"/>
  <c r="C205" i="4"/>
  <c r="B205" i="4"/>
  <c r="AK204" i="4"/>
  <c r="AD204" i="4"/>
  <c r="AB204" i="4"/>
  <c r="AC204" i="4" s="1"/>
  <c r="E204" i="4"/>
  <c r="D204" i="4"/>
  <c r="C204" i="4"/>
  <c r="B204" i="4"/>
  <c r="AK203" i="4"/>
  <c r="AD203" i="4"/>
  <c r="AB203" i="4"/>
  <c r="AC203" i="4" s="1"/>
  <c r="E203" i="4"/>
  <c r="D203" i="4"/>
  <c r="C203" i="4"/>
  <c r="B203" i="4"/>
  <c r="AK202" i="4"/>
  <c r="AD202" i="4"/>
  <c r="AB202" i="4"/>
  <c r="AC202" i="4" s="1"/>
  <c r="E202" i="4"/>
  <c r="D202" i="4"/>
  <c r="C202" i="4"/>
  <c r="B202" i="4"/>
  <c r="AK201" i="4"/>
  <c r="AD201" i="4"/>
  <c r="AB201" i="4"/>
  <c r="AC201" i="4" s="1"/>
  <c r="E201" i="4"/>
  <c r="D201" i="4"/>
  <c r="C201" i="4"/>
  <c r="B201" i="4"/>
  <c r="AK200" i="4"/>
  <c r="AD200" i="4"/>
  <c r="AB200" i="4"/>
  <c r="AC200" i="4" s="1"/>
  <c r="E200" i="4"/>
  <c r="D200" i="4"/>
  <c r="C200" i="4"/>
  <c r="B200" i="4"/>
  <c r="AK199" i="4"/>
  <c r="AD199" i="4"/>
  <c r="AB199" i="4"/>
  <c r="AC199" i="4" s="1"/>
  <c r="E199" i="4"/>
  <c r="D199" i="4"/>
  <c r="C199" i="4"/>
  <c r="B199" i="4"/>
  <c r="AK198" i="4"/>
  <c r="AD198" i="4"/>
  <c r="AB198" i="4"/>
  <c r="AC198" i="4" s="1"/>
  <c r="E198" i="4"/>
  <c r="D198" i="4"/>
  <c r="C198" i="4"/>
  <c r="B198" i="4"/>
  <c r="AK197" i="4"/>
  <c r="AD197" i="4"/>
  <c r="AB197" i="4"/>
  <c r="AC197" i="4" s="1"/>
  <c r="E197" i="4"/>
  <c r="D197" i="4"/>
  <c r="C197" i="4"/>
  <c r="B197" i="4"/>
  <c r="AK196" i="4"/>
  <c r="AD196" i="4"/>
  <c r="AB196" i="4"/>
  <c r="AC196" i="4" s="1"/>
  <c r="E196" i="4"/>
  <c r="D196" i="4"/>
  <c r="C196" i="4"/>
  <c r="B196" i="4"/>
  <c r="AK195" i="4"/>
  <c r="AD195" i="4"/>
  <c r="AB195" i="4"/>
  <c r="AC195" i="4" s="1"/>
  <c r="E195" i="4"/>
  <c r="D195" i="4"/>
  <c r="C195" i="4"/>
  <c r="B195" i="4"/>
  <c r="AK194" i="4"/>
  <c r="AD194" i="4"/>
  <c r="AB194" i="4"/>
  <c r="AC194" i="4" s="1"/>
  <c r="E194" i="4"/>
  <c r="D194" i="4"/>
  <c r="C194" i="4"/>
  <c r="B194" i="4"/>
  <c r="AK193" i="4"/>
  <c r="AD193" i="4"/>
  <c r="AB193" i="4"/>
  <c r="AC193" i="4" s="1"/>
  <c r="E193" i="4"/>
  <c r="D193" i="4"/>
  <c r="C193" i="4"/>
  <c r="B193" i="4"/>
  <c r="AK192" i="4"/>
  <c r="AD192" i="4"/>
  <c r="AB192" i="4"/>
  <c r="AC192" i="4" s="1"/>
  <c r="E192" i="4"/>
  <c r="D192" i="4"/>
  <c r="C192" i="4"/>
  <c r="B192" i="4"/>
  <c r="AK191" i="4"/>
  <c r="AD191" i="4"/>
  <c r="AB191" i="4"/>
  <c r="AC191" i="4" s="1"/>
  <c r="E191" i="4"/>
  <c r="D191" i="4"/>
  <c r="C191" i="4"/>
  <c r="B191" i="4"/>
  <c r="AK190" i="4"/>
  <c r="AD190" i="4"/>
  <c r="AB190" i="4"/>
  <c r="AC190" i="4" s="1"/>
  <c r="E190" i="4"/>
  <c r="D190" i="4"/>
  <c r="C190" i="4"/>
  <c r="B190" i="4"/>
  <c r="AK189" i="4"/>
  <c r="AD189" i="4"/>
  <c r="AB189" i="4"/>
  <c r="AC189" i="4" s="1"/>
  <c r="E189" i="4"/>
  <c r="D189" i="4"/>
  <c r="C189" i="4"/>
  <c r="B189" i="4"/>
  <c r="AK188" i="4"/>
  <c r="AD188" i="4"/>
  <c r="AB188" i="4"/>
  <c r="AC188" i="4" s="1"/>
  <c r="E188" i="4"/>
  <c r="D188" i="4"/>
  <c r="C188" i="4"/>
  <c r="B188" i="4"/>
  <c r="AK187" i="4"/>
  <c r="AD187" i="4"/>
  <c r="AB187" i="4"/>
  <c r="AC187" i="4" s="1"/>
  <c r="E187" i="4"/>
  <c r="D187" i="4"/>
  <c r="C187" i="4"/>
  <c r="B187" i="4"/>
  <c r="AK186" i="4"/>
  <c r="AD186" i="4"/>
  <c r="AB186" i="4"/>
  <c r="AC186" i="4" s="1"/>
  <c r="E186" i="4"/>
  <c r="D186" i="4"/>
  <c r="C186" i="4"/>
  <c r="B186" i="4"/>
  <c r="AK185" i="4"/>
  <c r="AD185" i="4"/>
  <c r="AB185" i="4"/>
  <c r="AC185" i="4" s="1"/>
  <c r="E185" i="4"/>
  <c r="D185" i="4"/>
  <c r="C185" i="4"/>
  <c r="B185" i="4"/>
  <c r="AK184" i="4"/>
  <c r="AD184" i="4"/>
  <c r="AB184" i="4"/>
  <c r="AC184" i="4" s="1"/>
  <c r="E184" i="4"/>
  <c r="D184" i="4"/>
  <c r="C184" i="4"/>
  <c r="B184" i="4"/>
  <c r="AK183" i="4"/>
  <c r="AD183" i="4"/>
  <c r="AB183" i="4"/>
  <c r="AC183" i="4" s="1"/>
  <c r="E183" i="4"/>
  <c r="D183" i="4"/>
  <c r="C183" i="4"/>
  <c r="B183" i="4"/>
  <c r="AK182" i="4"/>
  <c r="AD182" i="4"/>
  <c r="AB182" i="4"/>
  <c r="AC182" i="4" s="1"/>
  <c r="E182" i="4"/>
  <c r="D182" i="4"/>
  <c r="C182" i="4"/>
  <c r="B182" i="4"/>
  <c r="AK181" i="4"/>
  <c r="AD181" i="4"/>
  <c r="AB181" i="4"/>
  <c r="AC181" i="4" s="1"/>
  <c r="E181" i="4"/>
  <c r="D181" i="4"/>
  <c r="C181" i="4"/>
  <c r="B181" i="4"/>
  <c r="AK180" i="4"/>
  <c r="AD180" i="4"/>
  <c r="AB180" i="4"/>
  <c r="AC180" i="4" s="1"/>
  <c r="E180" i="4"/>
  <c r="D180" i="4"/>
  <c r="C180" i="4"/>
  <c r="B180" i="4"/>
  <c r="AK179" i="4"/>
  <c r="AD179" i="4"/>
  <c r="AB179" i="4"/>
  <c r="AC179" i="4" s="1"/>
  <c r="E179" i="4"/>
  <c r="D179" i="4"/>
  <c r="C179" i="4"/>
  <c r="B179" i="4"/>
  <c r="AK178" i="4"/>
  <c r="AD178" i="4"/>
  <c r="AB178" i="4"/>
  <c r="AC178" i="4" s="1"/>
  <c r="E178" i="4"/>
  <c r="D178" i="4"/>
  <c r="C178" i="4"/>
  <c r="B178" i="4"/>
  <c r="AK177" i="4"/>
  <c r="AD177" i="4"/>
  <c r="AB177" i="4"/>
  <c r="AC177" i="4" s="1"/>
  <c r="E177" i="4"/>
  <c r="D177" i="4"/>
  <c r="C177" i="4"/>
  <c r="B177" i="4"/>
  <c r="AK176" i="4"/>
  <c r="AD176" i="4"/>
  <c r="AB176" i="4"/>
  <c r="AC176" i="4" s="1"/>
  <c r="E176" i="4"/>
  <c r="D176" i="4"/>
  <c r="C176" i="4"/>
  <c r="B176" i="4"/>
  <c r="AK175" i="4"/>
  <c r="AD175" i="4"/>
  <c r="AB175" i="4"/>
  <c r="AC175" i="4" s="1"/>
  <c r="E175" i="4"/>
  <c r="D175" i="4"/>
  <c r="C175" i="4"/>
  <c r="B175" i="4"/>
  <c r="AK174" i="4"/>
  <c r="AD174" i="4"/>
  <c r="AB174" i="4"/>
  <c r="AC174" i="4" s="1"/>
  <c r="E174" i="4"/>
  <c r="D174" i="4"/>
  <c r="C174" i="4"/>
  <c r="B174" i="4"/>
  <c r="AK173" i="4"/>
  <c r="AD173" i="4"/>
  <c r="AB173" i="4"/>
  <c r="AC173" i="4" s="1"/>
  <c r="E173" i="4"/>
  <c r="D173" i="4"/>
  <c r="C173" i="4"/>
  <c r="B173" i="4"/>
  <c r="AK172" i="4"/>
  <c r="AD172" i="4"/>
  <c r="AB172" i="4"/>
  <c r="AC172" i="4" s="1"/>
  <c r="E172" i="4"/>
  <c r="D172" i="4"/>
  <c r="C172" i="4"/>
  <c r="B172" i="4"/>
  <c r="AK171" i="4"/>
  <c r="AD171" i="4"/>
  <c r="AB171" i="4"/>
  <c r="AC171" i="4" s="1"/>
  <c r="E171" i="4"/>
  <c r="D171" i="4"/>
  <c r="C171" i="4"/>
  <c r="B171" i="4"/>
  <c r="AK170" i="4"/>
  <c r="AD170" i="4"/>
  <c r="AB170" i="4"/>
  <c r="AC170" i="4" s="1"/>
  <c r="E170" i="4"/>
  <c r="D170" i="4"/>
  <c r="C170" i="4"/>
  <c r="B170" i="4"/>
  <c r="AK169" i="4"/>
  <c r="AD169" i="4"/>
  <c r="AB169" i="4"/>
  <c r="AC169" i="4" s="1"/>
  <c r="E169" i="4"/>
  <c r="D169" i="4"/>
  <c r="C169" i="4"/>
  <c r="B169" i="4"/>
  <c r="AK168" i="4"/>
  <c r="AD168" i="4"/>
  <c r="AB168" i="4"/>
  <c r="AC168" i="4" s="1"/>
  <c r="E168" i="4"/>
  <c r="D168" i="4"/>
  <c r="C168" i="4"/>
  <c r="B168" i="4"/>
  <c r="AK167" i="4"/>
  <c r="AD167" i="4"/>
  <c r="AB167" i="4"/>
  <c r="AC167" i="4" s="1"/>
  <c r="E167" i="4"/>
  <c r="D167" i="4"/>
  <c r="C167" i="4"/>
  <c r="B167" i="4"/>
  <c r="AK166" i="4"/>
  <c r="AD166" i="4"/>
  <c r="AB166" i="4"/>
  <c r="AC166" i="4" s="1"/>
  <c r="E166" i="4"/>
  <c r="D166" i="4"/>
  <c r="C166" i="4"/>
  <c r="B166" i="4"/>
  <c r="AK165" i="4"/>
  <c r="AD165" i="4"/>
  <c r="AB165" i="4"/>
  <c r="AC165" i="4" s="1"/>
  <c r="E165" i="4"/>
  <c r="D165" i="4"/>
  <c r="C165" i="4"/>
  <c r="B165" i="4"/>
  <c r="AK164" i="4"/>
  <c r="AD164" i="4"/>
  <c r="AB164" i="4"/>
  <c r="AC164" i="4" s="1"/>
  <c r="E164" i="4"/>
  <c r="D164" i="4"/>
  <c r="C164" i="4"/>
  <c r="B164" i="4"/>
  <c r="AK163" i="4"/>
  <c r="AD163" i="4"/>
  <c r="AB163" i="4"/>
  <c r="AC163" i="4" s="1"/>
  <c r="E163" i="4"/>
  <c r="D163" i="4"/>
  <c r="C163" i="4"/>
  <c r="B163" i="4"/>
  <c r="AK162" i="4"/>
  <c r="AD162" i="4"/>
  <c r="AB162" i="4"/>
  <c r="AC162" i="4" s="1"/>
  <c r="E162" i="4"/>
  <c r="D162" i="4"/>
  <c r="C162" i="4"/>
  <c r="B162" i="4"/>
  <c r="AK161" i="4"/>
  <c r="AD161" i="4"/>
  <c r="AB161" i="4"/>
  <c r="AC161" i="4" s="1"/>
  <c r="E161" i="4"/>
  <c r="D161" i="4"/>
  <c r="C161" i="4"/>
  <c r="B161" i="4"/>
  <c r="AK160" i="4"/>
  <c r="AD160" i="4"/>
  <c r="AB160" i="4"/>
  <c r="AC160" i="4" s="1"/>
  <c r="E160" i="4"/>
  <c r="D160" i="4"/>
  <c r="C160" i="4"/>
  <c r="B160" i="4"/>
  <c r="AK159" i="4"/>
  <c r="AD159" i="4"/>
  <c r="AB159" i="4"/>
  <c r="AC159" i="4" s="1"/>
  <c r="E159" i="4"/>
  <c r="D159" i="4"/>
  <c r="C159" i="4"/>
  <c r="B159" i="4"/>
  <c r="AK158" i="4"/>
  <c r="AD158" i="4"/>
  <c r="AB158" i="4"/>
  <c r="AC158" i="4" s="1"/>
  <c r="E158" i="4"/>
  <c r="D158" i="4"/>
  <c r="C158" i="4"/>
  <c r="B158" i="4"/>
  <c r="AK157" i="4"/>
  <c r="AD157" i="4"/>
  <c r="AB157" i="4"/>
  <c r="AC157" i="4" s="1"/>
  <c r="E157" i="4"/>
  <c r="D157" i="4"/>
  <c r="C157" i="4"/>
  <c r="B157" i="4"/>
  <c r="AK156" i="4"/>
  <c r="AD156" i="4"/>
  <c r="AB156" i="4"/>
  <c r="AC156" i="4" s="1"/>
  <c r="E156" i="4"/>
  <c r="D156" i="4"/>
  <c r="C156" i="4"/>
  <c r="B156" i="4"/>
  <c r="AK155" i="4"/>
  <c r="AD155" i="4"/>
  <c r="AB155" i="4"/>
  <c r="AC155" i="4" s="1"/>
  <c r="E155" i="4"/>
  <c r="D155" i="4"/>
  <c r="C155" i="4"/>
  <c r="B155" i="4"/>
  <c r="AK154" i="4"/>
  <c r="AD154" i="4"/>
  <c r="AB154" i="4"/>
  <c r="AC154" i="4" s="1"/>
  <c r="E154" i="4"/>
  <c r="D154" i="4"/>
  <c r="C154" i="4"/>
  <c r="B154" i="4"/>
  <c r="AK153" i="4"/>
  <c r="AD153" i="4"/>
  <c r="AB153" i="4"/>
  <c r="AC153" i="4" s="1"/>
  <c r="E153" i="4"/>
  <c r="D153" i="4"/>
  <c r="C153" i="4"/>
  <c r="B153" i="4"/>
  <c r="AK152" i="4"/>
  <c r="AD152" i="4"/>
  <c r="AB152" i="4"/>
  <c r="AC152" i="4" s="1"/>
  <c r="E152" i="4"/>
  <c r="D152" i="4"/>
  <c r="C152" i="4"/>
  <c r="B152" i="4"/>
  <c r="AK151" i="4"/>
  <c r="AD151" i="4"/>
  <c r="AB151" i="4"/>
  <c r="AC151" i="4" s="1"/>
  <c r="E151" i="4"/>
  <c r="D151" i="4"/>
  <c r="C151" i="4"/>
  <c r="B151" i="4"/>
  <c r="AK150" i="4"/>
  <c r="AD150" i="4"/>
  <c r="AB150" i="4"/>
  <c r="AC150" i="4" s="1"/>
  <c r="E150" i="4"/>
  <c r="D150" i="4"/>
  <c r="C150" i="4"/>
  <c r="B150" i="4"/>
  <c r="AK149" i="4"/>
  <c r="AD149" i="4"/>
  <c r="AB149" i="4"/>
  <c r="AC149" i="4" s="1"/>
  <c r="E149" i="4"/>
  <c r="D149" i="4"/>
  <c r="C149" i="4"/>
  <c r="B149" i="4"/>
  <c r="AK148" i="4"/>
  <c r="AD148" i="4"/>
  <c r="AB148" i="4"/>
  <c r="AC148" i="4" s="1"/>
  <c r="E148" i="4"/>
  <c r="D148" i="4"/>
  <c r="C148" i="4"/>
  <c r="B148" i="4"/>
  <c r="AK147" i="4"/>
  <c r="AD147" i="4"/>
  <c r="AB147" i="4"/>
  <c r="AC147" i="4" s="1"/>
  <c r="E147" i="4"/>
  <c r="D147" i="4"/>
  <c r="C147" i="4"/>
  <c r="B147" i="4"/>
  <c r="AK146" i="4"/>
  <c r="AD146" i="4"/>
  <c r="AB146" i="4"/>
  <c r="AC146" i="4" s="1"/>
  <c r="E146" i="4"/>
  <c r="D146" i="4"/>
  <c r="C146" i="4"/>
  <c r="B146" i="4"/>
  <c r="AK145" i="4"/>
  <c r="AD145" i="4"/>
  <c r="AB145" i="4"/>
  <c r="AC145" i="4" s="1"/>
  <c r="E145" i="4"/>
  <c r="D145" i="4"/>
  <c r="C145" i="4"/>
  <c r="B145" i="4"/>
  <c r="AK144" i="4"/>
  <c r="AD144" i="4"/>
  <c r="AB144" i="4"/>
  <c r="AC144" i="4" s="1"/>
  <c r="E144" i="4"/>
  <c r="D144" i="4"/>
  <c r="C144" i="4"/>
  <c r="B144" i="4"/>
  <c r="AK143" i="4"/>
  <c r="AD143" i="4"/>
  <c r="AB143" i="4"/>
  <c r="AC143" i="4" s="1"/>
  <c r="E143" i="4"/>
  <c r="D143" i="4"/>
  <c r="C143" i="4"/>
  <c r="B143" i="4"/>
  <c r="AK142" i="4"/>
  <c r="AD142" i="4"/>
  <c r="AB142" i="4"/>
  <c r="AC142" i="4" s="1"/>
  <c r="E142" i="4"/>
  <c r="D142" i="4"/>
  <c r="C142" i="4"/>
  <c r="B142" i="4"/>
  <c r="AK141" i="4"/>
  <c r="AD141" i="4"/>
  <c r="AB141" i="4"/>
  <c r="AC141" i="4" s="1"/>
  <c r="E141" i="4"/>
  <c r="D141" i="4"/>
  <c r="C141" i="4"/>
  <c r="B141" i="4"/>
  <c r="AK140" i="4"/>
  <c r="AD140" i="4"/>
  <c r="AB140" i="4"/>
  <c r="AC140" i="4" s="1"/>
  <c r="E140" i="4"/>
  <c r="D140" i="4"/>
  <c r="C140" i="4"/>
  <c r="B140" i="4"/>
  <c r="AK139" i="4"/>
  <c r="AD139" i="4"/>
  <c r="AB139" i="4"/>
  <c r="AC139" i="4" s="1"/>
  <c r="E139" i="4"/>
  <c r="D139" i="4"/>
  <c r="C139" i="4"/>
  <c r="B139" i="4"/>
  <c r="AK138" i="4"/>
  <c r="AD138" i="4"/>
  <c r="AB138" i="4"/>
  <c r="AC138" i="4" s="1"/>
  <c r="E138" i="4"/>
  <c r="D138" i="4"/>
  <c r="C138" i="4"/>
  <c r="B138" i="4"/>
  <c r="AK137" i="4"/>
  <c r="AD137" i="4"/>
  <c r="AB137" i="4"/>
  <c r="AC137" i="4" s="1"/>
  <c r="E137" i="4"/>
  <c r="D137" i="4"/>
  <c r="C137" i="4"/>
  <c r="B137" i="4"/>
  <c r="AK136" i="4"/>
  <c r="AD136" i="4"/>
  <c r="AB136" i="4"/>
  <c r="AC136" i="4" s="1"/>
  <c r="E136" i="4"/>
  <c r="D136" i="4"/>
  <c r="C136" i="4"/>
  <c r="B136" i="4"/>
  <c r="AK135" i="4"/>
  <c r="AD135" i="4"/>
  <c r="AB135" i="4"/>
  <c r="AC135" i="4" s="1"/>
  <c r="E135" i="4"/>
  <c r="D135" i="4"/>
  <c r="C135" i="4"/>
  <c r="B135" i="4"/>
  <c r="AK134" i="4"/>
  <c r="AD134" i="4"/>
  <c r="AB134" i="4"/>
  <c r="AC134" i="4" s="1"/>
  <c r="E134" i="4"/>
  <c r="D134" i="4"/>
  <c r="C134" i="4"/>
  <c r="B134" i="4"/>
  <c r="AK133" i="4"/>
  <c r="AD133" i="4"/>
  <c r="AB133" i="4"/>
  <c r="AC133" i="4" s="1"/>
  <c r="E133" i="4"/>
  <c r="D133" i="4"/>
  <c r="C133" i="4"/>
  <c r="B133" i="4"/>
  <c r="AK132" i="4"/>
  <c r="AD132" i="4"/>
  <c r="AB132" i="4"/>
  <c r="AC132" i="4" s="1"/>
  <c r="E132" i="4"/>
  <c r="D132" i="4"/>
  <c r="C132" i="4"/>
  <c r="B132" i="4"/>
  <c r="AK131" i="4"/>
  <c r="AD131" i="4"/>
  <c r="AB131" i="4"/>
  <c r="AC131" i="4" s="1"/>
  <c r="E131" i="4"/>
  <c r="D131" i="4"/>
  <c r="C131" i="4"/>
  <c r="B131" i="4"/>
  <c r="AK130" i="4"/>
  <c r="AD130" i="4"/>
  <c r="AB130" i="4"/>
  <c r="AC130" i="4" s="1"/>
  <c r="E130" i="4"/>
  <c r="D130" i="4"/>
  <c r="C130" i="4"/>
  <c r="B130" i="4"/>
  <c r="AK129" i="4"/>
  <c r="AD129" i="4"/>
  <c r="AB129" i="4"/>
  <c r="AC129" i="4" s="1"/>
  <c r="E129" i="4"/>
  <c r="D129" i="4"/>
  <c r="C129" i="4"/>
  <c r="B129" i="4"/>
  <c r="AK128" i="4"/>
  <c r="AD128" i="4"/>
  <c r="AB128" i="4"/>
  <c r="AC128" i="4" s="1"/>
  <c r="E128" i="4"/>
  <c r="D128" i="4"/>
  <c r="C128" i="4"/>
  <c r="B128" i="4"/>
  <c r="AK127" i="4"/>
  <c r="AD127" i="4"/>
  <c r="AB127" i="4"/>
  <c r="AC127" i="4" s="1"/>
  <c r="E127" i="4"/>
  <c r="D127" i="4"/>
  <c r="C127" i="4"/>
  <c r="B127" i="4"/>
  <c r="AK126" i="4"/>
  <c r="AD126" i="4"/>
  <c r="AB126" i="4"/>
  <c r="AC126" i="4" s="1"/>
  <c r="E126" i="4"/>
  <c r="D126" i="4"/>
  <c r="C126" i="4"/>
  <c r="B126" i="4"/>
  <c r="AK125" i="4"/>
  <c r="AD125" i="4"/>
  <c r="AB125" i="4"/>
  <c r="AC125" i="4" s="1"/>
  <c r="E125" i="4"/>
  <c r="D125" i="4"/>
  <c r="C125" i="4"/>
  <c r="B125" i="4"/>
  <c r="AK124" i="4"/>
  <c r="AD124" i="4"/>
  <c r="AB124" i="4"/>
  <c r="AC124" i="4" s="1"/>
  <c r="E124" i="4"/>
  <c r="D124" i="4"/>
  <c r="C124" i="4"/>
  <c r="B124" i="4"/>
  <c r="AK123" i="4"/>
  <c r="AD123" i="4"/>
  <c r="AB123" i="4"/>
  <c r="AC123" i="4" s="1"/>
  <c r="E123" i="4"/>
  <c r="D123" i="4"/>
  <c r="C123" i="4"/>
  <c r="B123" i="4"/>
  <c r="AK122" i="4"/>
  <c r="AD122" i="4"/>
  <c r="AB122" i="4"/>
  <c r="AC122" i="4" s="1"/>
  <c r="E122" i="4"/>
  <c r="D122" i="4"/>
  <c r="C122" i="4"/>
  <c r="B122" i="4"/>
  <c r="AK121" i="4"/>
  <c r="AD121" i="4"/>
  <c r="AB121" i="4"/>
  <c r="AC121" i="4" s="1"/>
  <c r="E121" i="4"/>
  <c r="D121" i="4"/>
  <c r="C121" i="4"/>
  <c r="B121" i="4"/>
  <c r="AK120" i="4"/>
  <c r="AD120" i="4"/>
  <c r="AB120" i="4"/>
  <c r="AC120" i="4" s="1"/>
  <c r="E120" i="4"/>
  <c r="D120" i="4"/>
  <c r="C120" i="4"/>
  <c r="B120" i="4"/>
  <c r="AK119" i="4"/>
  <c r="AD119" i="4"/>
  <c r="AB119" i="4"/>
  <c r="AC119" i="4" s="1"/>
  <c r="E119" i="4"/>
  <c r="D119" i="4"/>
  <c r="C119" i="4"/>
  <c r="B119" i="4"/>
  <c r="AK118" i="4"/>
  <c r="AD118" i="4"/>
  <c r="AB118" i="4"/>
  <c r="AC118" i="4" s="1"/>
  <c r="E118" i="4"/>
  <c r="D118" i="4"/>
  <c r="C118" i="4"/>
  <c r="B118" i="4"/>
  <c r="AK117" i="4"/>
  <c r="AD117" i="4"/>
  <c r="AB117" i="4"/>
  <c r="AC117" i="4" s="1"/>
  <c r="E117" i="4"/>
  <c r="D117" i="4"/>
  <c r="C117" i="4"/>
  <c r="B117" i="4"/>
  <c r="AK116" i="4"/>
  <c r="AD116" i="4"/>
  <c r="AB116" i="4"/>
  <c r="AC116" i="4" s="1"/>
  <c r="E116" i="4"/>
  <c r="D116" i="4"/>
  <c r="C116" i="4"/>
  <c r="B116" i="4"/>
  <c r="AK115" i="4"/>
  <c r="AD115" i="4"/>
  <c r="AB115" i="4"/>
  <c r="AC115" i="4" s="1"/>
  <c r="E115" i="4"/>
  <c r="D115" i="4"/>
  <c r="C115" i="4"/>
  <c r="B115" i="4"/>
  <c r="AK114" i="4"/>
  <c r="AD114" i="4"/>
  <c r="AB114" i="4"/>
  <c r="AC114" i="4" s="1"/>
  <c r="E114" i="4"/>
  <c r="D114" i="4"/>
  <c r="C114" i="4"/>
  <c r="B114" i="4"/>
  <c r="AK113" i="4"/>
  <c r="AD113" i="4"/>
  <c r="AB113" i="4"/>
  <c r="AC113" i="4" s="1"/>
  <c r="E113" i="4"/>
  <c r="D113" i="4"/>
  <c r="C113" i="4"/>
  <c r="B113" i="4"/>
  <c r="AK112" i="4"/>
  <c r="AD112" i="4"/>
  <c r="AB112" i="4"/>
  <c r="AC112" i="4" s="1"/>
  <c r="E112" i="4"/>
  <c r="D112" i="4"/>
  <c r="C112" i="4"/>
  <c r="B112" i="4"/>
  <c r="AK111" i="4"/>
  <c r="AD111" i="4"/>
  <c r="AB111" i="4"/>
  <c r="AC111" i="4" s="1"/>
  <c r="E111" i="4"/>
  <c r="D111" i="4"/>
  <c r="C111" i="4"/>
  <c r="B111" i="4"/>
  <c r="AK110" i="4"/>
  <c r="AD110" i="4"/>
  <c r="AB110" i="4"/>
  <c r="AC110" i="4" s="1"/>
  <c r="E110" i="4"/>
  <c r="D110" i="4"/>
  <c r="C110" i="4"/>
  <c r="B110" i="4"/>
  <c r="AK109" i="4"/>
  <c r="AD109" i="4"/>
  <c r="AB109" i="4"/>
  <c r="AC109" i="4" s="1"/>
  <c r="E109" i="4"/>
  <c r="D109" i="4"/>
  <c r="C109" i="4"/>
  <c r="B109" i="4"/>
  <c r="AK108" i="4"/>
  <c r="AD108" i="4"/>
  <c r="AB108" i="4"/>
  <c r="AC108" i="4" s="1"/>
  <c r="E108" i="4"/>
  <c r="D108" i="4"/>
  <c r="C108" i="4"/>
  <c r="B108" i="4"/>
  <c r="AK107" i="4"/>
  <c r="AD107" i="4"/>
  <c r="AB107" i="4"/>
  <c r="AC107" i="4" s="1"/>
  <c r="E107" i="4"/>
  <c r="D107" i="4"/>
  <c r="C107" i="4"/>
  <c r="B107" i="4"/>
  <c r="AK106" i="4"/>
  <c r="AD106" i="4"/>
  <c r="AB106" i="4"/>
  <c r="AC106" i="4" s="1"/>
  <c r="E106" i="4"/>
  <c r="D106" i="4"/>
  <c r="C106" i="4"/>
  <c r="B106" i="4"/>
  <c r="AK105" i="4"/>
  <c r="AD105" i="4"/>
  <c r="AB105" i="4"/>
  <c r="AC105" i="4" s="1"/>
  <c r="E105" i="4"/>
  <c r="D105" i="4"/>
  <c r="C105" i="4"/>
  <c r="B105" i="4"/>
  <c r="AK104" i="4"/>
  <c r="AD104" i="4"/>
  <c r="AB104" i="4"/>
  <c r="AC104" i="4" s="1"/>
  <c r="E104" i="4"/>
  <c r="D104" i="4"/>
  <c r="C104" i="4"/>
  <c r="B104" i="4"/>
  <c r="AK103" i="4"/>
  <c r="AD103" i="4"/>
  <c r="AB103" i="4"/>
  <c r="AC103" i="4" s="1"/>
  <c r="E103" i="4"/>
  <c r="D103" i="4"/>
  <c r="C103" i="4"/>
  <c r="B103" i="4"/>
  <c r="AK102" i="4"/>
  <c r="AD102" i="4"/>
  <c r="AB102" i="4"/>
  <c r="AC102" i="4" s="1"/>
  <c r="E102" i="4"/>
  <c r="D102" i="4"/>
  <c r="C102" i="4"/>
  <c r="B102" i="4"/>
  <c r="AK101" i="4"/>
  <c r="AD101" i="4"/>
  <c r="AB101" i="4"/>
  <c r="AC101" i="4" s="1"/>
  <c r="E101" i="4"/>
  <c r="D101" i="4"/>
  <c r="C101" i="4"/>
  <c r="B101" i="4"/>
  <c r="AK100" i="4"/>
  <c r="AD100" i="4"/>
  <c r="AB100" i="4"/>
  <c r="AC100" i="4" s="1"/>
  <c r="E100" i="4"/>
  <c r="D100" i="4"/>
  <c r="C100" i="4"/>
  <c r="B100" i="4"/>
  <c r="AK99" i="4"/>
  <c r="AD99" i="4"/>
  <c r="AB99" i="4"/>
  <c r="AC99" i="4" s="1"/>
  <c r="E99" i="4"/>
  <c r="D99" i="4"/>
  <c r="C99" i="4"/>
  <c r="B99" i="4"/>
  <c r="AK98" i="4"/>
  <c r="AD98" i="4"/>
  <c r="AB98" i="4"/>
  <c r="AC98" i="4" s="1"/>
  <c r="E98" i="4"/>
  <c r="D98" i="4"/>
  <c r="C98" i="4"/>
  <c r="B98" i="4"/>
  <c r="AK97" i="4"/>
  <c r="AD97" i="4"/>
  <c r="AB97" i="4"/>
  <c r="AC97" i="4" s="1"/>
  <c r="E97" i="4"/>
  <c r="D97" i="4"/>
  <c r="C97" i="4"/>
  <c r="B97" i="4"/>
  <c r="AK96" i="4"/>
  <c r="AD96" i="4"/>
  <c r="AB96" i="4"/>
  <c r="AC96" i="4" s="1"/>
  <c r="E96" i="4"/>
  <c r="D96" i="4"/>
  <c r="C96" i="4"/>
  <c r="B96" i="4"/>
  <c r="AK95" i="4"/>
  <c r="AD95" i="4"/>
  <c r="AB95" i="4"/>
  <c r="AC95" i="4" s="1"/>
  <c r="E95" i="4"/>
  <c r="D95" i="4"/>
  <c r="C95" i="4"/>
  <c r="B95" i="4"/>
  <c r="AK94" i="4"/>
  <c r="AD94" i="4"/>
  <c r="AB94" i="4"/>
  <c r="AC94" i="4" s="1"/>
  <c r="E94" i="4"/>
  <c r="D94" i="4"/>
  <c r="C94" i="4"/>
  <c r="B94" i="4"/>
  <c r="AK93" i="4"/>
  <c r="AD93" i="4"/>
  <c r="AB93" i="4"/>
  <c r="AC93" i="4" s="1"/>
  <c r="E93" i="4"/>
  <c r="D93" i="4"/>
  <c r="C93" i="4"/>
  <c r="B93" i="4"/>
  <c r="AK92" i="4"/>
  <c r="AD92" i="4"/>
  <c r="AB92" i="4"/>
  <c r="AC92" i="4" s="1"/>
  <c r="E92" i="4"/>
  <c r="D92" i="4"/>
  <c r="C92" i="4"/>
  <c r="B92" i="4"/>
  <c r="AK91" i="4"/>
  <c r="AD91" i="4"/>
  <c r="AB91" i="4"/>
  <c r="AC91" i="4" s="1"/>
  <c r="E91" i="4"/>
  <c r="D91" i="4"/>
  <c r="C91" i="4"/>
  <c r="B91" i="4"/>
  <c r="AK90" i="4"/>
  <c r="AD90" i="4"/>
  <c r="AB90" i="4"/>
  <c r="AC90" i="4" s="1"/>
  <c r="E90" i="4"/>
  <c r="D90" i="4"/>
  <c r="C90" i="4"/>
  <c r="B90" i="4"/>
  <c r="AK89" i="4"/>
  <c r="AD89" i="4"/>
  <c r="AB89" i="4"/>
  <c r="AC89" i="4" s="1"/>
  <c r="E89" i="4"/>
  <c r="D89" i="4"/>
  <c r="C89" i="4"/>
  <c r="B89" i="4"/>
  <c r="AK88" i="4"/>
  <c r="AD88" i="4"/>
  <c r="AB88" i="4"/>
  <c r="AC88" i="4" s="1"/>
  <c r="E88" i="4"/>
  <c r="D88" i="4"/>
  <c r="C88" i="4"/>
  <c r="B88" i="4"/>
  <c r="AK87" i="4"/>
  <c r="AD87" i="4"/>
  <c r="AB87" i="4"/>
  <c r="AC87" i="4" s="1"/>
  <c r="E87" i="4"/>
  <c r="D87" i="4"/>
  <c r="C87" i="4"/>
  <c r="B87" i="4"/>
  <c r="AK86" i="4"/>
  <c r="AD86" i="4"/>
  <c r="AB86" i="4"/>
  <c r="AC86" i="4" s="1"/>
  <c r="E86" i="4"/>
  <c r="D86" i="4"/>
  <c r="C86" i="4"/>
  <c r="B86" i="4"/>
  <c r="AK85" i="4"/>
  <c r="AD85" i="4"/>
  <c r="AB85" i="4"/>
  <c r="AC85" i="4" s="1"/>
  <c r="E85" i="4"/>
  <c r="D85" i="4"/>
  <c r="C85" i="4"/>
  <c r="B85" i="4"/>
  <c r="AK84" i="4"/>
  <c r="AD84" i="4"/>
  <c r="AB84" i="4"/>
  <c r="AC84" i="4" s="1"/>
  <c r="E84" i="4"/>
  <c r="D84" i="4"/>
  <c r="C84" i="4"/>
  <c r="B84" i="4"/>
  <c r="AK83" i="4"/>
  <c r="AD83" i="4"/>
  <c r="AB83" i="4"/>
  <c r="AC83" i="4" s="1"/>
  <c r="E83" i="4"/>
  <c r="D83" i="4"/>
  <c r="C83" i="4"/>
  <c r="B83" i="4"/>
  <c r="AK82" i="4"/>
  <c r="AD82" i="4"/>
  <c r="AB82" i="4"/>
  <c r="AC82" i="4" s="1"/>
  <c r="E82" i="4"/>
  <c r="D82" i="4"/>
  <c r="C82" i="4"/>
  <c r="B82" i="4"/>
  <c r="AK81" i="4"/>
  <c r="AD81" i="4"/>
  <c r="AB81" i="4"/>
  <c r="AC81" i="4" s="1"/>
  <c r="E81" i="4"/>
  <c r="D81" i="4"/>
  <c r="C81" i="4"/>
  <c r="B81" i="4"/>
  <c r="AK80" i="4"/>
  <c r="AD80" i="4"/>
  <c r="AB80" i="4"/>
  <c r="AC80" i="4" s="1"/>
  <c r="E80" i="4"/>
  <c r="D80" i="4"/>
  <c r="C80" i="4"/>
  <c r="B80" i="4"/>
  <c r="AK79" i="4"/>
  <c r="AD79" i="4"/>
  <c r="AB79" i="4"/>
  <c r="AC79" i="4" s="1"/>
  <c r="E79" i="4"/>
  <c r="D79" i="4"/>
  <c r="C79" i="4"/>
  <c r="B79" i="4"/>
  <c r="AK78" i="4"/>
  <c r="AD78" i="4"/>
  <c r="AB78" i="4"/>
  <c r="AC78" i="4" s="1"/>
  <c r="E78" i="4"/>
  <c r="D78" i="4"/>
  <c r="C78" i="4"/>
  <c r="B78" i="4"/>
  <c r="AK77" i="4"/>
  <c r="AD77" i="4"/>
  <c r="AB77" i="4"/>
  <c r="AC77" i="4" s="1"/>
  <c r="E77" i="4"/>
  <c r="D77" i="4"/>
  <c r="C77" i="4"/>
  <c r="B77" i="4"/>
  <c r="AK76" i="4"/>
  <c r="AD76" i="4"/>
  <c r="AB76" i="4"/>
  <c r="AC76" i="4" s="1"/>
  <c r="E76" i="4"/>
  <c r="D76" i="4"/>
  <c r="C76" i="4"/>
  <c r="B76" i="4"/>
  <c r="AK75" i="4"/>
  <c r="AD75" i="4"/>
  <c r="AB75" i="4"/>
  <c r="AC75" i="4" s="1"/>
  <c r="E75" i="4"/>
  <c r="D75" i="4"/>
  <c r="C75" i="4"/>
  <c r="B75" i="4"/>
  <c r="AK74" i="4"/>
  <c r="AD74" i="4"/>
  <c r="AB74" i="4"/>
  <c r="AC74" i="4" s="1"/>
  <c r="E74" i="4"/>
  <c r="D74" i="4"/>
  <c r="C74" i="4"/>
  <c r="B74" i="4"/>
  <c r="AK73" i="4"/>
  <c r="AD73" i="4"/>
  <c r="AB73" i="4"/>
  <c r="AC73" i="4" s="1"/>
  <c r="E73" i="4"/>
  <c r="D73" i="4"/>
  <c r="C73" i="4"/>
  <c r="B73" i="4"/>
  <c r="AK72" i="4"/>
  <c r="AD72" i="4"/>
  <c r="AB72" i="4"/>
  <c r="AC72" i="4" s="1"/>
  <c r="E72" i="4"/>
  <c r="D72" i="4"/>
  <c r="C72" i="4"/>
  <c r="B72" i="4"/>
  <c r="AK71" i="4"/>
  <c r="AD71" i="4"/>
  <c r="AB71" i="4"/>
  <c r="AC71" i="4" s="1"/>
  <c r="E71" i="4"/>
  <c r="D71" i="4"/>
  <c r="C71" i="4"/>
  <c r="B71" i="4"/>
  <c r="AK70" i="4"/>
  <c r="AD70" i="4"/>
  <c r="AB70" i="4"/>
  <c r="AC70" i="4" s="1"/>
  <c r="E70" i="4"/>
  <c r="D70" i="4"/>
  <c r="C70" i="4"/>
  <c r="B70" i="4"/>
  <c r="AK69" i="4"/>
  <c r="AD69" i="4"/>
  <c r="AB69" i="4"/>
  <c r="AC69" i="4" s="1"/>
  <c r="E69" i="4"/>
  <c r="D69" i="4"/>
  <c r="C69" i="4"/>
  <c r="B69" i="4"/>
  <c r="AK68" i="4"/>
  <c r="AD68" i="4"/>
  <c r="AB68" i="4"/>
  <c r="AC68" i="4" s="1"/>
  <c r="E68" i="4"/>
  <c r="D68" i="4"/>
  <c r="C68" i="4"/>
  <c r="B68" i="4"/>
  <c r="AK67" i="4"/>
  <c r="AD67" i="4"/>
  <c r="AB67" i="4"/>
  <c r="AC67" i="4" s="1"/>
  <c r="E67" i="4"/>
  <c r="D67" i="4"/>
  <c r="C67" i="4"/>
  <c r="B67" i="4"/>
  <c r="AK66" i="4"/>
  <c r="AD66" i="4"/>
  <c r="AB66" i="4"/>
  <c r="AC66" i="4" s="1"/>
  <c r="E66" i="4"/>
  <c r="D66" i="4"/>
  <c r="C66" i="4"/>
  <c r="B66" i="4"/>
  <c r="AK65" i="4"/>
  <c r="AD65" i="4"/>
  <c r="AB65" i="4"/>
  <c r="AC65" i="4" s="1"/>
  <c r="E65" i="4"/>
  <c r="D65" i="4"/>
  <c r="C65" i="4"/>
  <c r="B65" i="4"/>
  <c r="AK64" i="4"/>
  <c r="AD64" i="4"/>
  <c r="AB64" i="4"/>
  <c r="AC64" i="4" s="1"/>
  <c r="E64" i="4"/>
  <c r="D64" i="4"/>
  <c r="C64" i="4"/>
  <c r="B64" i="4"/>
  <c r="AK63" i="4"/>
  <c r="AD63" i="4"/>
  <c r="AB63" i="4"/>
  <c r="AC63" i="4" s="1"/>
  <c r="E63" i="4"/>
  <c r="D63" i="4"/>
  <c r="C63" i="4"/>
  <c r="B63" i="4"/>
  <c r="AK62" i="4"/>
  <c r="AD62" i="4"/>
  <c r="AB62" i="4"/>
  <c r="AC62" i="4" s="1"/>
  <c r="E62" i="4"/>
  <c r="D62" i="4"/>
  <c r="C62" i="4"/>
  <c r="B62" i="4"/>
  <c r="AK61" i="4"/>
  <c r="AD61" i="4"/>
  <c r="AB61" i="4"/>
  <c r="AC61" i="4" s="1"/>
  <c r="E61" i="4"/>
  <c r="D61" i="4"/>
  <c r="C61" i="4"/>
  <c r="B61" i="4"/>
  <c r="AK60" i="4"/>
  <c r="AD60" i="4"/>
  <c r="AB60" i="4"/>
  <c r="AC60" i="4" s="1"/>
  <c r="E60" i="4"/>
  <c r="D60" i="4"/>
  <c r="C60" i="4"/>
  <c r="B60" i="4"/>
  <c r="AK59" i="4"/>
  <c r="AD59" i="4"/>
  <c r="AB59" i="4"/>
  <c r="AC59" i="4" s="1"/>
  <c r="E59" i="4"/>
  <c r="D59" i="4"/>
  <c r="C59" i="4"/>
  <c r="B59" i="4"/>
  <c r="AK58" i="4"/>
  <c r="AD58" i="4"/>
  <c r="AB58" i="4"/>
  <c r="AC58" i="4" s="1"/>
  <c r="E58" i="4"/>
  <c r="D58" i="4"/>
  <c r="C58" i="4"/>
  <c r="B58" i="4"/>
  <c r="AK57" i="4"/>
  <c r="AD57" i="4"/>
  <c r="AB57" i="4"/>
  <c r="AC57" i="4" s="1"/>
  <c r="E57" i="4"/>
  <c r="D57" i="4"/>
  <c r="C57" i="4"/>
  <c r="B57" i="4"/>
  <c r="AK56" i="4"/>
  <c r="AD56" i="4"/>
  <c r="AB56" i="4"/>
  <c r="AC56" i="4" s="1"/>
  <c r="E56" i="4"/>
  <c r="D56" i="4"/>
  <c r="C56" i="4"/>
  <c r="B56" i="4"/>
  <c r="AK55" i="4"/>
  <c r="AD55" i="4"/>
  <c r="AB55" i="4"/>
  <c r="AC55" i="4" s="1"/>
  <c r="E55" i="4"/>
  <c r="D55" i="4"/>
  <c r="C55" i="4"/>
  <c r="B55" i="4"/>
  <c r="AK54" i="4"/>
  <c r="AD54" i="4"/>
  <c r="AB54" i="4"/>
  <c r="AC54" i="4" s="1"/>
  <c r="E54" i="4"/>
  <c r="D54" i="4"/>
  <c r="C54" i="4"/>
  <c r="B54" i="4"/>
  <c r="AK53" i="4"/>
  <c r="AD53" i="4"/>
  <c r="AB53" i="4"/>
  <c r="AC53" i="4" s="1"/>
  <c r="E53" i="4"/>
  <c r="D53" i="4"/>
  <c r="C53" i="4"/>
  <c r="B53" i="4"/>
  <c r="AK52" i="4"/>
  <c r="AD52" i="4"/>
  <c r="AB52" i="4"/>
  <c r="AC52" i="4" s="1"/>
  <c r="E52" i="4"/>
  <c r="D52" i="4"/>
  <c r="C52" i="4"/>
  <c r="B52" i="4"/>
  <c r="AK51" i="4"/>
  <c r="AD51" i="4"/>
  <c r="AB51" i="4"/>
  <c r="AC51" i="4" s="1"/>
  <c r="E51" i="4"/>
  <c r="D51" i="4"/>
  <c r="C51" i="4"/>
  <c r="B51" i="4"/>
  <c r="AK50" i="4"/>
  <c r="AD50" i="4"/>
  <c r="AB50" i="4"/>
  <c r="AC50" i="4" s="1"/>
  <c r="E50" i="4"/>
  <c r="D50" i="4"/>
  <c r="C50" i="4"/>
  <c r="B50" i="4"/>
  <c r="AK49" i="4"/>
  <c r="AD49" i="4"/>
  <c r="AB49" i="4"/>
  <c r="AC49" i="4" s="1"/>
  <c r="E49" i="4"/>
  <c r="D49" i="4"/>
  <c r="C49" i="4"/>
  <c r="B49" i="4"/>
  <c r="AK48" i="4"/>
  <c r="AD48" i="4"/>
  <c r="AB48" i="4"/>
  <c r="AC48" i="4" s="1"/>
  <c r="E48" i="4"/>
  <c r="D48" i="4"/>
  <c r="C48" i="4"/>
  <c r="B48" i="4"/>
  <c r="AK47" i="4"/>
  <c r="AD47" i="4"/>
  <c r="AB47" i="4"/>
  <c r="AC47" i="4" s="1"/>
  <c r="E47" i="4"/>
  <c r="D47" i="4"/>
  <c r="C47" i="4"/>
  <c r="B47" i="4"/>
  <c r="AK46" i="4"/>
  <c r="AD46" i="4"/>
  <c r="AB46" i="4"/>
  <c r="AC46" i="4" s="1"/>
  <c r="E46" i="4"/>
  <c r="D46" i="4"/>
  <c r="C46" i="4"/>
  <c r="B46" i="4"/>
  <c r="AK45" i="4"/>
  <c r="AD45" i="4"/>
  <c r="AB45" i="4"/>
  <c r="AC45" i="4" s="1"/>
  <c r="E45" i="4"/>
  <c r="D45" i="4"/>
  <c r="C45" i="4"/>
  <c r="B45" i="4"/>
  <c r="AK44" i="4"/>
  <c r="AD44" i="4"/>
  <c r="AB44" i="4"/>
  <c r="AC44" i="4" s="1"/>
  <c r="E44" i="4"/>
  <c r="D44" i="4"/>
  <c r="C44" i="4"/>
  <c r="B44" i="4"/>
  <c r="AK43" i="4"/>
  <c r="AD43" i="4"/>
  <c r="AB43" i="4"/>
  <c r="AC43" i="4" s="1"/>
  <c r="E43" i="4"/>
  <c r="D43" i="4"/>
  <c r="C43" i="4"/>
  <c r="B43" i="4"/>
  <c r="AK42" i="4"/>
  <c r="AD42" i="4"/>
  <c r="AB42" i="4"/>
  <c r="AC42" i="4" s="1"/>
  <c r="E42" i="4"/>
  <c r="D42" i="4"/>
  <c r="C42" i="4"/>
  <c r="B42" i="4"/>
  <c r="AK41" i="4"/>
  <c r="AD41" i="4"/>
  <c r="AB41" i="4"/>
  <c r="AC41" i="4" s="1"/>
  <c r="E41" i="4"/>
  <c r="D41" i="4"/>
  <c r="C41" i="4"/>
  <c r="B41" i="4"/>
  <c r="AK40" i="4"/>
  <c r="AD40" i="4"/>
  <c r="AB40" i="4"/>
  <c r="AC40" i="4" s="1"/>
  <c r="E40" i="4"/>
  <c r="D40" i="4"/>
  <c r="C40" i="4"/>
  <c r="B40" i="4"/>
  <c r="AK39" i="4"/>
  <c r="AD39" i="4"/>
  <c r="AB39" i="4"/>
  <c r="AC39" i="4" s="1"/>
  <c r="E39" i="4"/>
  <c r="D39" i="4"/>
  <c r="C39" i="4"/>
  <c r="B39" i="4"/>
  <c r="AK38" i="4"/>
  <c r="AD38" i="4"/>
  <c r="AB38" i="4"/>
  <c r="AC38" i="4" s="1"/>
  <c r="E38" i="4"/>
  <c r="D38" i="4"/>
  <c r="C38" i="4"/>
  <c r="B38" i="4"/>
  <c r="AK37" i="4"/>
  <c r="AD37" i="4"/>
  <c r="AB37" i="4"/>
  <c r="AC37" i="4" s="1"/>
  <c r="E37" i="4"/>
  <c r="D37" i="4"/>
  <c r="C37" i="4"/>
  <c r="B37" i="4"/>
  <c r="AK36" i="4"/>
  <c r="AD36" i="4"/>
  <c r="AB36" i="4"/>
  <c r="AC36" i="4" s="1"/>
  <c r="E36" i="4"/>
  <c r="D36" i="4"/>
  <c r="C36" i="4"/>
  <c r="B36" i="4"/>
  <c r="AK35" i="4"/>
  <c r="AD35" i="4"/>
  <c r="AB35" i="4"/>
  <c r="AC35" i="4" s="1"/>
  <c r="E35" i="4"/>
  <c r="D35" i="4"/>
  <c r="C35" i="4"/>
  <c r="B35" i="4"/>
  <c r="AK34" i="4"/>
  <c r="AD34" i="4"/>
  <c r="AB34" i="4"/>
  <c r="AC34" i="4" s="1"/>
  <c r="E34" i="4"/>
  <c r="D34" i="4"/>
  <c r="C34" i="4"/>
  <c r="B34" i="4"/>
  <c r="AK33" i="4"/>
  <c r="AD33" i="4"/>
  <c r="AB33" i="4"/>
  <c r="AC33" i="4" s="1"/>
  <c r="E33" i="4"/>
  <c r="D33" i="4"/>
  <c r="C33" i="4"/>
  <c r="B33" i="4"/>
  <c r="AK32" i="4"/>
  <c r="AD32" i="4"/>
  <c r="AB32" i="4"/>
  <c r="AC32" i="4" s="1"/>
  <c r="E32" i="4"/>
  <c r="D32" i="4"/>
  <c r="C32" i="4"/>
  <c r="B32" i="4"/>
  <c r="AK31" i="4"/>
  <c r="AD31" i="4"/>
  <c r="AB31" i="4"/>
  <c r="AC31" i="4" s="1"/>
  <c r="E31" i="4"/>
  <c r="D31" i="4"/>
  <c r="C31" i="4"/>
  <c r="B31" i="4"/>
  <c r="AK30" i="4"/>
  <c r="AD30" i="4"/>
  <c r="AB30" i="4"/>
  <c r="AC30" i="4" s="1"/>
  <c r="E30" i="4"/>
  <c r="D30" i="4"/>
  <c r="C30" i="4"/>
  <c r="B30" i="4"/>
  <c r="AK29" i="4"/>
  <c r="AD29" i="4"/>
  <c r="AB29" i="4"/>
  <c r="AC29" i="4" s="1"/>
  <c r="E29" i="4"/>
  <c r="D29" i="4"/>
  <c r="C29" i="4"/>
  <c r="B29" i="4"/>
  <c r="AK28" i="4"/>
  <c r="AD28" i="4"/>
  <c r="AB28" i="4"/>
  <c r="AC28" i="4" s="1"/>
  <c r="E28" i="4"/>
  <c r="D28" i="4"/>
  <c r="C28" i="4"/>
  <c r="B28" i="4"/>
  <c r="AK27" i="4"/>
  <c r="AD27" i="4"/>
  <c r="AB27" i="4"/>
  <c r="AC27" i="4" s="1"/>
  <c r="E27" i="4"/>
  <c r="D27" i="4"/>
  <c r="C27" i="4"/>
  <c r="B27" i="4"/>
  <c r="AK26" i="4"/>
  <c r="AD26" i="4"/>
  <c r="AB26" i="4"/>
  <c r="AC26" i="4" s="1"/>
  <c r="E26" i="4"/>
  <c r="D26" i="4"/>
  <c r="C26" i="4"/>
  <c r="B26" i="4"/>
  <c r="AK25" i="4"/>
  <c r="AD25" i="4"/>
  <c r="AB25" i="4"/>
  <c r="AC25" i="4" s="1"/>
  <c r="E25" i="4"/>
  <c r="D25" i="4"/>
  <c r="C25" i="4"/>
  <c r="B25" i="4"/>
  <c r="AK24" i="4"/>
  <c r="AD24" i="4"/>
  <c r="AB24" i="4"/>
  <c r="AC24" i="4" s="1"/>
  <c r="E24" i="4"/>
  <c r="D24" i="4"/>
  <c r="C24" i="4"/>
  <c r="B24" i="4"/>
  <c r="AK23" i="4"/>
  <c r="AD23" i="4"/>
  <c r="AB23" i="4"/>
  <c r="AC23" i="4" s="1"/>
  <c r="E23" i="4"/>
  <c r="D23" i="4"/>
  <c r="C23" i="4"/>
  <c r="B23" i="4"/>
  <c r="AK22" i="4"/>
  <c r="AD22" i="4"/>
  <c r="AB22" i="4"/>
  <c r="AC22" i="4" s="1"/>
  <c r="E22" i="4"/>
  <c r="D22" i="4"/>
  <c r="C22" i="4"/>
  <c r="B22" i="4"/>
  <c r="AK21" i="4"/>
  <c r="AD21" i="4"/>
  <c r="AB21" i="4"/>
  <c r="AC21" i="4" s="1"/>
  <c r="E21" i="4"/>
  <c r="D21" i="4"/>
  <c r="C21" i="4"/>
  <c r="B21" i="4"/>
  <c r="AK20" i="4"/>
  <c r="AD20" i="4"/>
  <c r="AB20" i="4"/>
  <c r="AC20" i="4" s="1"/>
  <c r="E20" i="4"/>
  <c r="D20" i="4"/>
  <c r="C20" i="4"/>
  <c r="B20" i="4"/>
  <c r="AK19" i="4"/>
  <c r="AD19" i="4"/>
  <c r="AB19" i="4"/>
  <c r="AC19" i="4" s="1"/>
  <c r="E19" i="4"/>
  <c r="D19" i="4"/>
  <c r="C19" i="4"/>
  <c r="B19" i="4"/>
  <c r="AK18" i="4"/>
  <c r="AD18" i="4"/>
  <c r="AB18" i="4"/>
  <c r="AC18" i="4" s="1"/>
  <c r="E18" i="4"/>
  <c r="D18" i="4"/>
  <c r="C18" i="4"/>
  <c r="B18" i="4"/>
  <c r="AK17" i="4"/>
  <c r="AD17" i="4"/>
  <c r="AB17" i="4"/>
  <c r="AC17" i="4" s="1"/>
  <c r="E17" i="4"/>
  <c r="D17" i="4"/>
  <c r="C17" i="4"/>
  <c r="B17" i="4"/>
  <c r="AK16" i="4"/>
  <c r="AD16" i="4"/>
  <c r="AB16" i="4"/>
  <c r="AC16" i="4" s="1"/>
  <c r="E16" i="4"/>
  <c r="D16" i="4"/>
  <c r="C16" i="4"/>
  <c r="B16" i="4"/>
  <c r="AK15" i="4"/>
  <c r="AD15" i="4"/>
  <c r="AB15" i="4"/>
  <c r="AC15" i="4" s="1"/>
  <c r="E15" i="4"/>
  <c r="D15" i="4"/>
  <c r="C15" i="4"/>
  <c r="B15" i="4"/>
  <c r="AK14" i="4"/>
  <c r="AD14" i="4"/>
  <c r="AB14" i="4"/>
  <c r="AC14" i="4" s="1"/>
  <c r="E14" i="4"/>
  <c r="D14" i="4"/>
  <c r="C14" i="4"/>
  <c r="B14" i="4"/>
  <c r="AK13" i="4"/>
  <c r="AD13" i="4"/>
  <c r="AB13" i="4"/>
  <c r="AC13" i="4" s="1"/>
  <c r="E13" i="4"/>
  <c r="D13" i="4"/>
  <c r="C13" i="4"/>
  <c r="B13" i="4"/>
  <c r="AK12" i="4"/>
  <c r="AD12" i="4"/>
  <c r="AB12" i="4"/>
  <c r="AC12" i="4" s="1"/>
  <c r="E12" i="4"/>
  <c r="D12" i="4"/>
  <c r="C12" i="4"/>
  <c r="B12" i="4"/>
  <c r="AK11" i="4"/>
  <c r="AD11" i="4"/>
  <c r="AB11" i="4"/>
  <c r="AC11" i="4" s="1"/>
  <c r="E11" i="4"/>
  <c r="D11" i="4"/>
  <c r="C11" i="4"/>
  <c r="B11" i="4"/>
  <c r="AK10" i="4"/>
  <c r="AD10" i="4"/>
  <c r="AB10" i="4"/>
  <c r="AC10" i="4" s="1"/>
  <c r="E10" i="4"/>
  <c r="D10" i="4"/>
  <c r="C10" i="4"/>
  <c r="B10" i="4"/>
  <c r="AK9" i="4"/>
  <c r="AD9" i="4"/>
  <c r="AB9" i="4"/>
  <c r="AC9" i="4" s="1"/>
  <c r="E9" i="4"/>
  <c r="D9" i="4"/>
  <c r="C9" i="4"/>
  <c r="B9" i="4"/>
  <c r="AK8" i="4"/>
  <c r="AD8" i="4"/>
  <c r="AB8" i="4"/>
  <c r="AC8" i="4" s="1"/>
  <c r="E8" i="4"/>
  <c r="D8" i="4"/>
  <c r="C8" i="4"/>
  <c r="B8" i="4"/>
  <c r="AK7" i="4"/>
  <c r="AD7" i="4"/>
  <c r="AB7" i="4"/>
  <c r="AC7" i="4" s="1"/>
  <c r="E7" i="4"/>
  <c r="D7" i="4"/>
  <c r="C7" i="4"/>
  <c r="B7" i="4"/>
  <c r="AK6" i="4"/>
  <c r="B47" i="8" s="1"/>
  <c r="AD6" i="4"/>
  <c r="AB6" i="4"/>
  <c r="AC6" i="4" s="1"/>
  <c r="E6" i="4"/>
  <c r="D6" i="4"/>
  <c r="C6" i="4"/>
  <c r="B6" i="4"/>
  <c r="C39" i="3"/>
  <c r="C38" i="3"/>
  <c r="C37" i="3"/>
  <c r="C36" i="3"/>
  <c r="C33" i="3"/>
  <c r="C32" i="3"/>
  <c r="C31" i="3"/>
  <c r="C30" i="3"/>
  <c r="C27" i="3"/>
  <c r="C26" i="3"/>
  <c r="C25" i="3"/>
  <c r="C24" i="3"/>
  <c r="C23" i="3"/>
  <c r="C22" i="3"/>
  <c r="C21" i="3"/>
  <c r="C20" i="3"/>
  <c r="C17" i="3"/>
  <c r="C16" i="3"/>
  <c r="C15" i="3"/>
  <c r="C14" i="3"/>
  <c r="C13" i="3"/>
  <c r="C12" i="3"/>
  <c r="C11" i="3"/>
  <c r="C8" i="3"/>
  <c r="C7" i="3"/>
  <c r="C6" i="3"/>
  <c r="C5" i="3"/>
  <c r="C4" i="3"/>
  <c r="B2" i="3"/>
  <c r="AG304" i="2"/>
  <c r="Z304" i="2"/>
  <c r="V304" i="2"/>
  <c r="W304" i="2" s="1"/>
  <c r="D304" i="2"/>
  <c r="AG303" i="2"/>
  <c r="Z303" i="2"/>
  <c r="V303" i="2"/>
  <c r="W303" i="2" s="1"/>
  <c r="D303" i="2"/>
  <c r="AG302" i="2"/>
  <c r="Z302" i="2"/>
  <c r="V302" i="2"/>
  <c r="W302" i="2" s="1"/>
  <c r="D302" i="2"/>
  <c r="AG301" i="2"/>
  <c r="Z301" i="2"/>
  <c r="V301" i="2"/>
  <c r="W301" i="2" s="1"/>
  <c r="D301" i="2"/>
  <c r="AG300" i="2"/>
  <c r="Z300" i="2"/>
  <c r="V300" i="2"/>
  <c r="W300" i="2" s="1"/>
  <c r="D300" i="2"/>
  <c r="AG299" i="2"/>
  <c r="Z299" i="2"/>
  <c r="V299" i="2"/>
  <c r="W299" i="2" s="1"/>
  <c r="D299" i="2"/>
  <c r="AG298" i="2"/>
  <c r="Z298" i="2"/>
  <c r="V298" i="2"/>
  <c r="W298" i="2" s="1"/>
  <c r="D298" i="2"/>
  <c r="AG297" i="2"/>
  <c r="Z297" i="2"/>
  <c r="V297" i="2"/>
  <c r="W297" i="2" s="1"/>
  <c r="D297" i="2"/>
  <c r="AG296" i="2"/>
  <c r="Z296" i="2"/>
  <c r="V296" i="2"/>
  <c r="W296" i="2" s="1"/>
  <c r="D296" i="2"/>
  <c r="AG295" i="2"/>
  <c r="Z295" i="2"/>
  <c r="V295" i="2"/>
  <c r="W295" i="2" s="1"/>
  <c r="D295" i="2"/>
  <c r="AG294" i="2"/>
  <c r="Z294" i="2"/>
  <c r="V294" i="2"/>
  <c r="W294" i="2" s="1"/>
  <c r="D294" i="2"/>
  <c r="AG293" i="2"/>
  <c r="Z293" i="2"/>
  <c r="V293" i="2"/>
  <c r="W293" i="2" s="1"/>
  <c r="D293" i="2"/>
  <c r="AG292" i="2"/>
  <c r="Z292" i="2"/>
  <c r="V292" i="2"/>
  <c r="W292" i="2" s="1"/>
  <c r="D292" i="2"/>
  <c r="AG291" i="2"/>
  <c r="Z291" i="2"/>
  <c r="V291" i="2"/>
  <c r="W291" i="2" s="1"/>
  <c r="D291" i="2"/>
  <c r="AG290" i="2"/>
  <c r="Z290" i="2"/>
  <c r="V290" i="2"/>
  <c r="W290" i="2" s="1"/>
  <c r="D290" i="2"/>
  <c r="AG289" i="2"/>
  <c r="Z289" i="2"/>
  <c r="V289" i="2"/>
  <c r="W289" i="2" s="1"/>
  <c r="D289" i="2"/>
  <c r="AG288" i="2"/>
  <c r="Z288" i="2"/>
  <c r="V288" i="2"/>
  <c r="W288" i="2" s="1"/>
  <c r="D288" i="2"/>
  <c r="AG287" i="2"/>
  <c r="Z287" i="2"/>
  <c r="V287" i="2"/>
  <c r="W287" i="2" s="1"/>
  <c r="D287" i="2"/>
  <c r="AG286" i="2"/>
  <c r="Z286" i="2"/>
  <c r="V286" i="2"/>
  <c r="W286" i="2" s="1"/>
  <c r="D286" i="2"/>
  <c r="AG285" i="2"/>
  <c r="Z285" i="2"/>
  <c r="V285" i="2"/>
  <c r="W285" i="2" s="1"/>
  <c r="D285" i="2"/>
  <c r="AG284" i="2"/>
  <c r="Z284" i="2"/>
  <c r="V284" i="2"/>
  <c r="W284" i="2" s="1"/>
  <c r="D284" i="2"/>
  <c r="AG283" i="2"/>
  <c r="Z283" i="2"/>
  <c r="V283" i="2"/>
  <c r="W283" i="2" s="1"/>
  <c r="D283" i="2"/>
  <c r="AG282" i="2"/>
  <c r="Z282" i="2"/>
  <c r="V282" i="2"/>
  <c r="W282" i="2" s="1"/>
  <c r="D282" i="2"/>
  <c r="AG281" i="2"/>
  <c r="Z281" i="2"/>
  <c r="V281" i="2"/>
  <c r="W281" i="2" s="1"/>
  <c r="D281" i="2"/>
  <c r="AG280" i="2"/>
  <c r="Z280" i="2"/>
  <c r="V280" i="2"/>
  <c r="W280" i="2" s="1"/>
  <c r="D280" i="2"/>
  <c r="AG279" i="2"/>
  <c r="Z279" i="2"/>
  <c r="V279" i="2"/>
  <c r="W279" i="2" s="1"/>
  <c r="D279" i="2"/>
  <c r="AG278" i="2"/>
  <c r="Z278" i="2"/>
  <c r="V278" i="2"/>
  <c r="W278" i="2" s="1"/>
  <c r="D278" i="2"/>
  <c r="AG277" i="2"/>
  <c r="Z277" i="2"/>
  <c r="V277" i="2"/>
  <c r="W277" i="2" s="1"/>
  <c r="D277" i="2"/>
  <c r="AG276" i="2"/>
  <c r="Z276" i="2"/>
  <c r="V276" i="2"/>
  <c r="W276" i="2" s="1"/>
  <c r="D276" i="2"/>
  <c r="AG275" i="2"/>
  <c r="Z275" i="2"/>
  <c r="V275" i="2"/>
  <c r="W275" i="2" s="1"/>
  <c r="D275" i="2"/>
  <c r="AG274" i="2"/>
  <c r="Z274" i="2"/>
  <c r="V274" i="2"/>
  <c r="W274" i="2" s="1"/>
  <c r="D274" i="2"/>
  <c r="AG273" i="2"/>
  <c r="Z273" i="2"/>
  <c r="V273" i="2"/>
  <c r="W273" i="2" s="1"/>
  <c r="D273" i="2"/>
  <c r="AG272" i="2"/>
  <c r="Z272" i="2"/>
  <c r="V272" i="2"/>
  <c r="W272" i="2" s="1"/>
  <c r="D272" i="2"/>
  <c r="AG271" i="2"/>
  <c r="Z271" i="2"/>
  <c r="V271" i="2"/>
  <c r="W271" i="2" s="1"/>
  <c r="D271" i="2"/>
  <c r="AG270" i="2"/>
  <c r="Z270" i="2"/>
  <c r="V270" i="2"/>
  <c r="W270" i="2" s="1"/>
  <c r="D270" i="2"/>
  <c r="AG269" i="2"/>
  <c r="Z269" i="2"/>
  <c r="V269" i="2"/>
  <c r="W269" i="2" s="1"/>
  <c r="D269" i="2"/>
  <c r="AG268" i="2"/>
  <c r="Z268" i="2"/>
  <c r="V268" i="2"/>
  <c r="W268" i="2" s="1"/>
  <c r="D268" i="2"/>
  <c r="AG267" i="2"/>
  <c r="Z267" i="2"/>
  <c r="V267" i="2"/>
  <c r="W267" i="2" s="1"/>
  <c r="D267" i="2"/>
  <c r="AG266" i="2"/>
  <c r="Z266" i="2"/>
  <c r="V266" i="2"/>
  <c r="W266" i="2" s="1"/>
  <c r="D266" i="2"/>
  <c r="AG265" i="2"/>
  <c r="Z265" i="2"/>
  <c r="V265" i="2"/>
  <c r="W265" i="2" s="1"/>
  <c r="D265" i="2"/>
  <c r="AG264" i="2"/>
  <c r="Z264" i="2"/>
  <c r="V264" i="2"/>
  <c r="W264" i="2" s="1"/>
  <c r="D264" i="2"/>
  <c r="AG263" i="2"/>
  <c r="Z263" i="2"/>
  <c r="V263" i="2"/>
  <c r="W263" i="2" s="1"/>
  <c r="D263" i="2"/>
  <c r="AG262" i="2"/>
  <c r="Z262" i="2"/>
  <c r="V262" i="2"/>
  <c r="W262" i="2" s="1"/>
  <c r="D262" i="2"/>
  <c r="AG261" i="2"/>
  <c r="Z261" i="2"/>
  <c r="V261" i="2"/>
  <c r="W261" i="2" s="1"/>
  <c r="D261" i="2"/>
  <c r="AG260" i="2"/>
  <c r="Z260" i="2"/>
  <c r="V260" i="2"/>
  <c r="W260" i="2" s="1"/>
  <c r="D260" i="2"/>
  <c r="AG259" i="2"/>
  <c r="Z259" i="2"/>
  <c r="V259" i="2"/>
  <c r="W259" i="2" s="1"/>
  <c r="D259" i="2"/>
  <c r="AG258" i="2"/>
  <c r="Z258" i="2"/>
  <c r="V258" i="2"/>
  <c r="W258" i="2" s="1"/>
  <c r="D258" i="2"/>
  <c r="AG257" i="2"/>
  <c r="Z257" i="2"/>
  <c r="V257" i="2"/>
  <c r="W257" i="2" s="1"/>
  <c r="D257" i="2"/>
  <c r="AG256" i="2"/>
  <c r="Z256" i="2"/>
  <c r="V256" i="2"/>
  <c r="W256" i="2" s="1"/>
  <c r="D256" i="2"/>
  <c r="AG255" i="2"/>
  <c r="Z255" i="2"/>
  <c r="V255" i="2"/>
  <c r="W255" i="2" s="1"/>
  <c r="D255" i="2"/>
  <c r="AG254" i="2"/>
  <c r="Z254" i="2"/>
  <c r="V254" i="2"/>
  <c r="W254" i="2" s="1"/>
  <c r="D254" i="2"/>
  <c r="AG253" i="2"/>
  <c r="Z253" i="2"/>
  <c r="V253" i="2"/>
  <c r="W253" i="2" s="1"/>
  <c r="D253" i="2"/>
  <c r="AG252" i="2"/>
  <c r="Z252" i="2"/>
  <c r="V252" i="2"/>
  <c r="W252" i="2" s="1"/>
  <c r="D252" i="2"/>
  <c r="AG251" i="2"/>
  <c r="Z251" i="2"/>
  <c r="V251" i="2"/>
  <c r="W251" i="2" s="1"/>
  <c r="D251" i="2"/>
  <c r="AG250" i="2"/>
  <c r="Z250" i="2"/>
  <c r="V250" i="2"/>
  <c r="W250" i="2" s="1"/>
  <c r="D250" i="2"/>
  <c r="AG249" i="2"/>
  <c r="Z249" i="2"/>
  <c r="V249" i="2"/>
  <c r="W249" i="2" s="1"/>
  <c r="D249" i="2"/>
  <c r="AG248" i="2"/>
  <c r="Z248" i="2"/>
  <c r="V248" i="2"/>
  <c r="W248" i="2" s="1"/>
  <c r="D248" i="2"/>
  <c r="AG247" i="2"/>
  <c r="Z247" i="2"/>
  <c r="V247" i="2"/>
  <c r="W247" i="2" s="1"/>
  <c r="D247" i="2"/>
  <c r="AG246" i="2"/>
  <c r="Z246" i="2"/>
  <c r="V246" i="2"/>
  <c r="W246" i="2" s="1"/>
  <c r="D246" i="2"/>
  <c r="AG245" i="2"/>
  <c r="Z245" i="2"/>
  <c r="V245" i="2"/>
  <c r="W245" i="2" s="1"/>
  <c r="D245" i="2"/>
  <c r="AG244" i="2"/>
  <c r="Z244" i="2"/>
  <c r="V244" i="2"/>
  <c r="W244" i="2" s="1"/>
  <c r="D244" i="2"/>
  <c r="AG243" i="2"/>
  <c r="Z243" i="2"/>
  <c r="V243" i="2"/>
  <c r="W243" i="2" s="1"/>
  <c r="D243" i="2"/>
  <c r="AG242" i="2"/>
  <c r="Z242" i="2"/>
  <c r="V242" i="2"/>
  <c r="W242" i="2" s="1"/>
  <c r="D242" i="2"/>
  <c r="AG241" i="2"/>
  <c r="Z241" i="2"/>
  <c r="V241" i="2"/>
  <c r="W241" i="2" s="1"/>
  <c r="D241" i="2"/>
  <c r="AG240" i="2"/>
  <c r="Z240" i="2"/>
  <c r="V240" i="2"/>
  <c r="W240" i="2" s="1"/>
  <c r="D240" i="2"/>
  <c r="AG239" i="2"/>
  <c r="Z239" i="2"/>
  <c r="V239" i="2"/>
  <c r="W239" i="2" s="1"/>
  <c r="D239" i="2"/>
  <c r="AG238" i="2"/>
  <c r="Z238" i="2"/>
  <c r="V238" i="2"/>
  <c r="W238" i="2" s="1"/>
  <c r="D238" i="2"/>
  <c r="AG237" i="2"/>
  <c r="Z237" i="2"/>
  <c r="V237" i="2"/>
  <c r="W237" i="2" s="1"/>
  <c r="D237" i="2"/>
  <c r="AG236" i="2"/>
  <c r="Z236" i="2"/>
  <c r="V236" i="2"/>
  <c r="W236" i="2" s="1"/>
  <c r="D236" i="2"/>
  <c r="AG235" i="2"/>
  <c r="Z235" i="2"/>
  <c r="V235" i="2"/>
  <c r="W235" i="2" s="1"/>
  <c r="D235" i="2"/>
  <c r="AG234" i="2"/>
  <c r="Z234" i="2"/>
  <c r="V234" i="2"/>
  <c r="W234" i="2" s="1"/>
  <c r="D234" i="2"/>
  <c r="AG233" i="2"/>
  <c r="Z233" i="2"/>
  <c r="V233" i="2"/>
  <c r="W233" i="2" s="1"/>
  <c r="D233" i="2"/>
  <c r="AG232" i="2"/>
  <c r="Z232" i="2"/>
  <c r="V232" i="2"/>
  <c r="W232" i="2" s="1"/>
  <c r="D232" i="2"/>
  <c r="AG231" i="2"/>
  <c r="Z231" i="2"/>
  <c r="V231" i="2"/>
  <c r="W231" i="2" s="1"/>
  <c r="D231" i="2"/>
  <c r="AG230" i="2"/>
  <c r="Z230" i="2"/>
  <c r="V230" i="2"/>
  <c r="W230" i="2" s="1"/>
  <c r="D230" i="2"/>
  <c r="AG229" i="2"/>
  <c r="Z229" i="2"/>
  <c r="V229" i="2"/>
  <c r="W229" i="2" s="1"/>
  <c r="D229" i="2"/>
  <c r="AG228" i="2"/>
  <c r="Z228" i="2"/>
  <c r="V228" i="2"/>
  <c r="W228" i="2" s="1"/>
  <c r="D228" i="2"/>
  <c r="AG227" i="2"/>
  <c r="Z227" i="2"/>
  <c r="V227" i="2"/>
  <c r="W227" i="2" s="1"/>
  <c r="D227" i="2"/>
  <c r="AG226" i="2"/>
  <c r="Z226" i="2"/>
  <c r="V226" i="2"/>
  <c r="W226" i="2" s="1"/>
  <c r="D226" i="2"/>
  <c r="AG225" i="2"/>
  <c r="Z225" i="2"/>
  <c r="V225" i="2"/>
  <c r="W225" i="2" s="1"/>
  <c r="D225" i="2"/>
  <c r="AG224" i="2"/>
  <c r="Z224" i="2"/>
  <c r="V224" i="2"/>
  <c r="W224" i="2" s="1"/>
  <c r="D224" i="2"/>
  <c r="AG223" i="2"/>
  <c r="Z223" i="2"/>
  <c r="V223" i="2"/>
  <c r="W223" i="2" s="1"/>
  <c r="D223" i="2"/>
  <c r="AG222" i="2"/>
  <c r="Z222" i="2"/>
  <c r="V222" i="2"/>
  <c r="W222" i="2" s="1"/>
  <c r="D222" i="2"/>
  <c r="AG221" i="2"/>
  <c r="Z221" i="2"/>
  <c r="V221" i="2"/>
  <c r="W221" i="2" s="1"/>
  <c r="D221" i="2"/>
  <c r="AG220" i="2"/>
  <c r="Z220" i="2"/>
  <c r="V220" i="2"/>
  <c r="W220" i="2" s="1"/>
  <c r="D220" i="2"/>
  <c r="AG219" i="2"/>
  <c r="Z219" i="2"/>
  <c r="V219" i="2"/>
  <c r="W219" i="2" s="1"/>
  <c r="D219" i="2"/>
  <c r="AG218" i="2"/>
  <c r="Z218" i="2"/>
  <c r="V218" i="2"/>
  <c r="W218" i="2" s="1"/>
  <c r="D218" i="2"/>
  <c r="AG217" i="2"/>
  <c r="Z217" i="2"/>
  <c r="V217" i="2"/>
  <c r="W217" i="2" s="1"/>
  <c r="D217" i="2"/>
  <c r="AG216" i="2"/>
  <c r="Z216" i="2"/>
  <c r="V216" i="2"/>
  <c r="W216" i="2" s="1"/>
  <c r="D216" i="2"/>
  <c r="AG215" i="2"/>
  <c r="Z215" i="2"/>
  <c r="V215" i="2"/>
  <c r="W215" i="2" s="1"/>
  <c r="D215" i="2"/>
  <c r="AG214" i="2"/>
  <c r="Z214" i="2"/>
  <c r="V214" i="2"/>
  <c r="W214" i="2" s="1"/>
  <c r="D214" i="2"/>
  <c r="AG213" i="2"/>
  <c r="Z213" i="2"/>
  <c r="V213" i="2"/>
  <c r="W213" i="2" s="1"/>
  <c r="D213" i="2"/>
  <c r="AG212" i="2"/>
  <c r="Z212" i="2"/>
  <c r="V212" i="2"/>
  <c r="W212" i="2" s="1"/>
  <c r="D212" i="2"/>
  <c r="AG211" i="2"/>
  <c r="Z211" i="2"/>
  <c r="V211" i="2"/>
  <c r="W211" i="2" s="1"/>
  <c r="D211" i="2"/>
  <c r="AG210" i="2"/>
  <c r="Z210" i="2"/>
  <c r="V210" i="2"/>
  <c r="W210" i="2" s="1"/>
  <c r="D210" i="2"/>
  <c r="AG209" i="2"/>
  <c r="Z209" i="2"/>
  <c r="V209" i="2"/>
  <c r="W209" i="2" s="1"/>
  <c r="D209" i="2"/>
  <c r="AG208" i="2"/>
  <c r="Z208" i="2"/>
  <c r="V208" i="2"/>
  <c r="W208" i="2" s="1"/>
  <c r="D208" i="2"/>
  <c r="AG207" i="2"/>
  <c r="Z207" i="2"/>
  <c r="V207" i="2"/>
  <c r="W207" i="2" s="1"/>
  <c r="D207" i="2"/>
  <c r="AG206" i="2"/>
  <c r="Z206" i="2"/>
  <c r="V206" i="2"/>
  <c r="W206" i="2" s="1"/>
  <c r="D206" i="2"/>
  <c r="AG205" i="2"/>
  <c r="Z205" i="2"/>
  <c r="V205" i="2"/>
  <c r="W205" i="2" s="1"/>
  <c r="D205" i="2"/>
  <c r="AG204" i="2"/>
  <c r="Z204" i="2"/>
  <c r="V204" i="2"/>
  <c r="W204" i="2" s="1"/>
  <c r="D204" i="2"/>
  <c r="AG203" i="2"/>
  <c r="Z203" i="2"/>
  <c r="V203" i="2"/>
  <c r="W203" i="2" s="1"/>
  <c r="D203" i="2"/>
  <c r="AG202" i="2"/>
  <c r="Z202" i="2"/>
  <c r="V202" i="2"/>
  <c r="W202" i="2" s="1"/>
  <c r="D202" i="2"/>
  <c r="AG201" i="2"/>
  <c r="Z201" i="2"/>
  <c r="V201" i="2"/>
  <c r="W201" i="2" s="1"/>
  <c r="D201" i="2"/>
  <c r="AG200" i="2"/>
  <c r="Z200" i="2"/>
  <c r="V200" i="2"/>
  <c r="W200" i="2" s="1"/>
  <c r="D200" i="2"/>
  <c r="AG199" i="2"/>
  <c r="Z199" i="2"/>
  <c r="V199" i="2"/>
  <c r="W199" i="2" s="1"/>
  <c r="D199" i="2"/>
  <c r="AG198" i="2"/>
  <c r="Z198" i="2"/>
  <c r="V198" i="2"/>
  <c r="W198" i="2" s="1"/>
  <c r="D198" i="2"/>
  <c r="AG197" i="2"/>
  <c r="Z197" i="2"/>
  <c r="V197" i="2"/>
  <c r="W197" i="2" s="1"/>
  <c r="D197" i="2"/>
  <c r="AG196" i="2"/>
  <c r="Z196" i="2"/>
  <c r="V196" i="2"/>
  <c r="W196" i="2" s="1"/>
  <c r="D196" i="2"/>
  <c r="AG195" i="2"/>
  <c r="Z195" i="2"/>
  <c r="V195" i="2"/>
  <c r="W195" i="2" s="1"/>
  <c r="D195" i="2"/>
  <c r="AG194" i="2"/>
  <c r="Z194" i="2"/>
  <c r="V194" i="2"/>
  <c r="W194" i="2" s="1"/>
  <c r="D194" i="2"/>
  <c r="AG193" i="2"/>
  <c r="Z193" i="2"/>
  <c r="V193" i="2"/>
  <c r="W193" i="2" s="1"/>
  <c r="D193" i="2"/>
  <c r="AG192" i="2"/>
  <c r="Z192" i="2"/>
  <c r="V192" i="2"/>
  <c r="W192" i="2" s="1"/>
  <c r="D192" i="2"/>
  <c r="AG191" i="2"/>
  <c r="Z191" i="2"/>
  <c r="V191" i="2"/>
  <c r="W191" i="2" s="1"/>
  <c r="D191" i="2"/>
  <c r="AG190" i="2"/>
  <c r="Z190" i="2"/>
  <c r="V190" i="2"/>
  <c r="W190" i="2" s="1"/>
  <c r="D190" i="2"/>
  <c r="AG189" i="2"/>
  <c r="Z189" i="2"/>
  <c r="V189" i="2"/>
  <c r="W189" i="2" s="1"/>
  <c r="D189" i="2"/>
  <c r="AG188" i="2"/>
  <c r="Z188" i="2"/>
  <c r="V188" i="2"/>
  <c r="W188" i="2" s="1"/>
  <c r="D188" i="2"/>
  <c r="AG187" i="2"/>
  <c r="Z187" i="2"/>
  <c r="V187" i="2"/>
  <c r="W187" i="2" s="1"/>
  <c r="D187" i="2"/>
  <c r="AG186" i="2"/>
  <c r="Z186" i="2"/>
  <c r="V186" i="2"/>
  <c r="W186" i="2" s="1"/>
  <c r="D186" i="2"/>
  <c r="AG185" i="2"/>
  <c r="Z185" i="2"/>
  <c r="V185" i="2"/>
  <c r="W185" i="2" s="1"/>
  <c r="D185" i="2"/>
  <c r="AG184" i="2"/>
  <c r="Z184" i="2"/>
  <c r="V184" i="2"/>
  <c r="W184" i="2" s="1"/>
  <c r="D184" i="2"/>
  <c r="AG183" i="2"/>
  <c r="Z183" i="2"/>
  <c r="V183" i="2"/>
  <c r="W183" i="2" s="1"/>
  <c r="D183" i="2"/>
  <c r="AG182" i="2"/>
  <c r="Z182" i="2"/>
  <c r="V182" i="2"/>
  <c r="W182" i="2" s="1"/>
  <c r="D182" i="2"/>
  <c r="AG181" i="2"/>
  <c r="Z181" i="2"/>
  <c r="V181" i="2"/>
  <c r="W181" i="2" s="1"/>
  <c r="D181" i="2"/>
  <c r="AG180" i="2"/>
  <c r="Z180" i="2"/>
  <c r="V180" i="2"/>
  <c r="W180" i="2" s="1"/>
  <c r="D180" i="2"/>
  <c r="AG179" i="2"/>
  <c r="Z179" i="2"/>
  <c r="V179" i="2"/>
  <c r="W179" i="2" s="1"/>
  <c r="D179" i="2"/>
  <c r="AG178" i="2"/>
  <c r="Z178" i="2"/>
  <c r="V178" i="2"/>
  <c r="W178" i="2" s="1"/>
  <c r="D178" i="2"/>
  <c r="AG177" i="2"/>
  <c r="Z177" i="2"/>
  <c r="V177" i="2"/>
  <c r="W177" i="2" s="1"/>
  <c r="D177" i="2"/>
  <c r="AG176" i="2"/>
  <c r="Z176" i="2"/>
  <c r="V176" i="2"/>
  <c r="W176" i="2" s="1"/>
  <c r="D176" i="2"/>
  <c r="AG175" i="2"/>
  <c r="Z175" i="2"/>
  <c r="V175" i="2"/>
  <c r="W175" i="2" s="1"/>
  <c r="D175" i="2"/>
  <c r="AG174" i="2"/>
  <c r="Z174" i="2"/>
  <c r="V174" i="2"/>
  <c r="W174" i="2" s="1"/>
  <c r="D174" i="2"/>
  <c r="AG173" i="2"/>
  <c r="Z173" i="2"/>
  <c r="V173" i="2"/>
  <c r="W173" i="2" s="1"/>
  <c r="D173" i="2"/>
  <c r="AG172" i="2"/>
  <c r="Z172" i="2"/>
  <c r="V172" i="2"/>
  <c r="W172" i="2" s="1"/>
  <c r="D172" i="2"/>
  <c r="AG171" i="2"/>
  <c r="Z171" i="2"/>
  <c r="V171" i="2"/>
  <c r="W171" i="2" s="1"/>
  <c r="D171" i="2"/>
  <c r="AG170" i="2"/>
  <c r="Z170" i="2"/>
  <c r="V170" i="2"/>
  <c r="W170" i="2" s="1"/>
  <c r="D170" i="2"/>
  <c r="AG169" i="2"/>
  <c r="Z169" i="2"/>
  <c r="V169" i="2"/>
  <c r="W169" i="2" s="1"/>
  <c r="D169" i="2"/>
  <c r="AG168" i="2"/>
  <c r="Z168" i="2"/>
  <c r="V168" i="2"/>
  <c r="W168" i="2" s="1"/>
  <c r="D168" i="2"/>
  <c r="AG167" i="2"/>
  <c r="Z167" i="2"/>
  <c r="V167" i="2"/>
  <c r="W167" i="2" s="1"/>
  <c r="D167" i="2"/>
  <c r="AG166" i="2"/>
  <c r="Z166" i="2"/>
  <c r="V166" i="2"/>
  <c r="W166" i="2" s="1"/>
  <c r="D166" i="2"/>
  <c r="AG165" i="2"/>
  <c r="Z165" i="2"/>
  <c r="V165" i="2"/>
  <c r="W165" i="2" s="1"/>
  <c r="D165" i="2"/>
  <c r="AG164" i="2"/>
  <c r="Z164" i="2"/>
  <c r="V164" i="2"/>
  <c r="W164" i="2" s="1"/>
  <c r="D164" i="2"/>
  <c r="AG163" i="2"/>
  <c r="Z163" i="2"/>
  <c r="V163" i="2"/>
  <c r="W163" i="2" s="1"/>
  <c r="D163" i="2"/>
  <c r="AG162" i="2"/>
  <c r="Z162" i="2"/>
  <c r="V162" i="2"/>
  <c r="W162" i="2" s="1"/>
  <c r="D162" i="2"/>
  <c r="AG161" i="2"/>
  <c r="Z161" i="2"/>
  <c r="V161" i="2"/>
  <c r="W161" i="2" s="1"/>
  <c r="D161" i="2"/>
  <c r="AG160" i="2"/>
  <c r="Z160" i="2"/>
  <c r="V160" i="2"/>
  <c r="W160" i="2" s="1"/>
  <c r="D160" i="2"/>
  <c r="AG159" i="2"/>
  <c r="Z159" i="2"/>
  <c r="V159" i="2"/>
  <c r="W159" i="2" s="1"/>
  <c r="D159" i="2"/>
  <c r="AG158" i="2"/>
  <c r="Z158" i="2"/>
  <c r="V158" i="2"/>
  <c r="W158" i="2" s="1"/>
  <c r="D158" i="2"/>
  <c r="AG157" i="2"/>
  <c r="Z157" i="2"/>
  <c r="V157" i="2"/>
  <c r="W157" i="2" s="1"/>
  <c r="D157" i="2"/>
  <c r="AG156" i="2"/>
  <c r="Z156" i="2"/>
  <c r="V156" i="2"/>
  <c r="W156" i="2" s="1"/>
  <c r="D156" i="2"/>
  <c r="AG155" i="2"/>
  <c r="Z155" i="2"/>
  <c r="V155" i="2"/>
  <c r="W155" i="2" s="1"/>
  <c r="D155" i="2"/>
  <c r="AG154" i="2"/>
  <c r="Z154" i="2"/>
  <c r="V154" i="2"/>
  <c r="W154" i="2" s="1"/>
  <c r="D154" i="2"/>
  <c r="AG153" i="2"/>
  <c r="Z153" i="2"/>
  <c r="V153" i="2"/>
  <c r="W153" i="2" s="1"/>
  <c r="D153" i="2"/>
  <c r="AG152" i="2"/>
  <c r="Z152" i="2"/>
  <c r="V152" i="2"/>
  <c r="W152" i="2" s="1"/>
  <c r="D152" i="2"/>
  <c r="AG151" i="2"/>
  <c r="Z151" i="2"/>
  <c r="V151" i="2"/>
  <c r="W151" i="2" s="1"/>
  <c r="D151" i="2"/>
  <c r="AG150" i="2"/>
  <c r="Z150" i="2"/>
  <c r="V150" i="2"/>
  <c r="W150" i="2" s="1"/>
  <c r="D150" i="2"/>
  <c r="AG149" i="2"/>
  <c r="Z149" i="2"/>
  <c r="V149" i="2"/>
  <c r="W149" i="2" s="1"/>
  <c r="D149" i="2"/>
  <c r="AG148" i="2"/>
  <c r="Z148" i="2"/>
  <c r="V148" i="2"/>
  <c r="W148" i="2" s="1"/>
  <c r="D148" i="2"/>
  <c r="AG147" i="2"/>
  <c r="Z147" i="2"/>
  <c r="V147" i="2"/>
  <c r="W147" i="2" s="1"/>
  <c r="D147" i="2"/>
  <c r="AG146" i="2"/>
  <c r="Z146" i="2"/>
  <c r="V146" i="2"/>
  <c r="W146" i="2" s="1"/>
  <c r="D146" i="2"/>
  <c r="AG145" i="2"/>
  <c r="Z145" i="2"/>
  <c r="V145" i="2"/>
  <c r="W145" i="2" s="1"/>
  <c r="D145" i="2"/>
  <c r="AG144" i="2"/>
  <c r="Z144" i="2"/>
  <c r="V144" i="2"/>
  <c r="W144" i="2" s="1"/>
  <c r="D144" i="2"/>
  <c r="AG143" i="2"/>
  <c r="Z143" i="2"/>
  <c r="V143" i="2"/>
  <c r="W143" i="2" s="1"/>
  <c r="D143" i="2"/>
  <c r="AG142" i="2"/>
  <c r="Z142" i="2"/>
  <c r="V142" i="2"/>
  <c r="W142" i="2" s="1"/>
  <c r="D142" i="2"/>
  <c r="AG141" i="2"/>
  <c r="Z141" i="2"/>
  <c r="V141" i="2"/>
  <c r="W141" i="2" s="1"/>
  <c r="D141" i="2"/>
  <c r="AG140" i="2"/>
  <c r="Z140" i="2"/>
  <c r="V140" i="2"/>
  <c r="W140" i="2" s="1"/>
  <c r="D140" i="2"/>
  <c r="AG139" i="2"/>
  <c r="Z139" i="2"/>
  <c r="V139" i="2"/>
  <c r="W139" i="2" s="1"/>
  <c r="D139" i="2"/>
  <c r="AG138" i="2"/>
  <c r="Z138" i="2"/>
  <c r="V138" i="2"/>
  <c r="W138" i="2" s="1"/>
  <c r="D138" i="2"/>
  <c r="AG137" i="2"/>
  <c r="Z137" i="2"/>
  <c r="V137" i="2"/>
  <c r="W137" i="2" s="1"/>
  <c r="D137" i="2"/>
  <c r="AG136" i="2"/>
  <c r="Z136" i="2"/>
  <c r="V136" i="2"/>
  <c r="W136" i="2" s="1"/>
  <c r="D136" i="2"/>
  <c r="AG135" i="2"/>
  <c r="Z135" i="2"/>
  <c r="V135" i="2"/>
  <c r="W135" i="2" s="1"/>
  <c r="D135" i="2"/>
  <c r="AG134" i="2"/>
  <c r="Z134" i="2"/>
  <c r="V134" i="2"/>
  <c r="W134" i="2" s="1"/>
  <c r="D134" i="2"/>
  <c r="AG133" i="2"/>
  <c r="Z133" i="2"/>
  <c r="V133" i="2"/>
  <c r="W133" i="2" s="1"/>
  <c r="D133" i="2"/>
  <c r="AG132" i="2"/>
  <c r="Z132" i="2"/>
  <c r="V132" i="2"/>
  <c r="W132" i="2" s="1"/>
  <c r="D132" i="2"/>
  <c r="AG131" i="2"/>
  <c r="Z131" i="2"/>
  <c r="V131" i="2"/>
  <c r="W131" i="2" s="1"/>
  <c r="D131" i="2"/>
  <c r="AG130" i="2"/>
  <c r="Z130" i="2"/>
  <c r="V130" i="2"/>
  <c r="W130" i="2" s="1"/>
  <c r="D130" i="2"/>
  <c r="AG129" i="2"/>
  <c r="Z129" i="2"/>
  <c r="V129" i="2"/>
  <c r="W129" i="2" s="1"/>
  <c r="D129" i="2"/>
  <c r="AG128" i="2"/>
  <c r="Z128" i="2"/>
  <c r="V128" i="2"/>
  <c r="W128" i="2" s="1"/>
  <c r="D128" i="2"/>
  <c r="AG127" i="2"/>
  <c r="Z127" i="2"/>
  <c r="V127" i="2"/>
  <c r="W127" i="2" s="1"/>
  <c r="D127" i="2"/>
  <c r="AG126" i="2"/>
  <c r="Z126" i="2"/>
  <c r="V126" i="2"/>
  <c r="W126" i="2" s="1"/>
  <c r="D126" i="2"/>
  <c r="AG125" i="2"/>
  <c r="Z125" i="2"/>
  <c r="V125" i="2"/>
  <c r="W125" i="2" s="1"/>
  <c r="D125" i="2"/>
  <c r="AG124" i="2"/>
  <c r="Z124" i="2"/>
  <c r="V124" i="2"/>
  <c r="W124" i="2" s="1"/>
  <c r="D124" i="2"/>
  <c r="AG123" i="2"/>
  <c r="Z123" i="2"/>
  <c r="V123" i="2"/>
  <c r="W123" i="2" s="1"/>
  <c r="D123" i="2"/>
  <c r="AG122" i="2"/>
  <c r="Z122" i="2"/>
  <c r="V122" i="2"/>
  <c r="W122" i="2" s="1"/>
  <c r="D122" i="2"/>
  <c r="AG121" i="2"/>
  <c r="Z121" i="2"/>
  <c r="V121" i="2"/>
  <c r="W121" i="2" s="1"/>
  <c r="D121" i="2"/>
  <c r="AG120" i="2"/>
  <c r="Z120" i="2"/>
  <c r="V120" i="2"/>
  <c r="W120" i="2" s="1"/>
  <c r="D120" i="2"/>
  <c r="AG119" i="2"/>
  <c r="Z119" i="2"/>
  <c r="V119" i="2"/>
  <c r="W119" i="2" s="1"/>
  <c r="D119" i="2"/>
  <c r="AG118" i="2"/>
  <c r="Z118" i="2"/>
  <c r="V118" i="2"/>
  <c r="W118" i="2" s="1"/>
  <c r="D118" i="2"/>
  <c r="AG117" i="2"/>
  <c r="Z117" i="2"/>
  <c r="V117" i="2"/>
  <c r="W117" i="2" s="1"/>
  <c r="D117" i="2"/>
  <c r="AG116" i="2"/>
  <c r="Z116" i="2"/>
  <c r="V116" i="2"/>
  <c r="W116" i="2" s="1"/>
  <c r="D116" i="2"/>
  <c r="AG115" i="2"/>
  <c r="Z115" i="2"/>
  <c r="V115" i="2"/>
  <c r="W115" i="2" s="1"/>
  <c r="D115" i="2"/>
  <c r="AG114" i="2"/>
  <c r="Z114" i="2"/>
  <c r="V114" i="2"/>
  <c r="W114" i="2" s="1"/>
  <c r="D114" i="2"/>
  <c r="AG113" i="2"/>
  <c r="Z113" i="2"/>
  <c r="V113" i="2"/>
  <c r="W113" i="2" s="1"/>
  <c r="D113" i="2"/>
  <c r="AG112" i="2"/>
  <c r="Z112" i="2"/>
  <c r="V112" i="2"/>
  <c r="W112" i="2" s="1"/>
  <c r="D112" i="2"/>
  <c r="AG111" i="2"/>
  <c r="Z111" i="2"/>
  <c r="V111" i="2"/>
  <c r="W111" i="2" s="1"/>
  <c r="D111" i="2"/>
  <c r="AG110" i="2"/>
  <c r="Z110" i="2"/>
  <c r="V110" i="2"/>
  <c r="W110" i="2" s="1"/>
  <c r="D110" i="2"/>
  <c r="AG109" i="2"/>
  <c r="Z109" i="2"/>
  <c r="V109" i="2"/>
  <c r="W109" i="2" s="1"/>
  <c r="D109" i="2"/>
  <c r="AG108" i="2"/>
  <c r="Z108" i="2"/>
  <c r="V108" i="2"/>
  <c r="W108" i="2" s="1"/>
  <c r="D108" i="2"/>
  <c r="AG107" i="2"/>
  <c r="Z107" i="2"/>
  <c r="V107" i="2"/>
  <c r="W107" i="2" s="1"/>
  <c r="D107" i="2"/>
  <c r="AG106" i="2"/>
  <c r="Z106" i="2"/>
  <c r="V106" i="2"/>
  <c r="W106" i="2" s="1"/>
  <c r="D106" i="2"/>
  <c r="AG105" i="2"/>
  <c r="Z105" i="2"/>
  <c r="V105" i="2"/>
  <c r="W105" i="2" s="1"/>
  <c r="D105" i="2"/>
  <c r="AG104" i="2"/>
  <c r="Z104" i="2"/>
  <c r="V104" i="2"/>
  <c r="W104" i="2" s="1"/>
  <c r="D104" i="2"/>
  <c r="AG103" i="2"/>
  <c r="Z103" i="2"/>
  <c r="V103" i="2"/>
  <c r="W103" i="2" s="1"/>
  <c r="D103" i="2"/>
  <c r="AG102" i="2"/>
  <c r="Z102" i="2"/>
  <c r="V102" i="2"/>
  <c r="W102" i="2" s="1"/>
  <c r="D102" i="2"/>
  <c r="AG101" i="2"/>
  <c r="Z101" i="2"/>
  <c r="V101" i="2"/>
  <c r="W101" i="2" s="1"/>
  <c r="D101" i="2"/>
  <c r="AG100" i="2"/>
  <c r="Z100" i="2"/>
  <c r="V100" i="2"/>
  <c r="W100" i="2" s="1"/>
  <c r="D100" i="2"/>
  <c r="AG99" i="2"/>
  <c r="Z99" i="2"/>
  <c r="V99" i="2"/>
  <c r="W99" i="2" s="1"/>
  <c r="D99" i="2"/>
  <c r="AG98" i="2"/>
  <c r="Z98" i="2"/>
  <c r="V98" i="2"/>
  <c r="W98" i="2" s="1"/>
  <c r="D98" i="2"/>
  <c r="AG97" i="2"/>
  <c r="Z97" i="2"/>
  <c r="V97" i="2"/>
  <c r="W97" i="2" s="1"/>
  <c r="D97" i="2"/>
  <c r="AG96" i="2"/>
  <c r="Z96" i="2"/>
  <c r="V96" i="2"/>
  <c r="W96" i="2" s="1"/>
  <c r="D96" i="2"/>
  <c r="AG95" i="2"/>
  <c r="Z95" i="2"/>
  <c r="V95" i="2"/>
  <c r="W95" i="2" s="1"/>
  <c r="D95" i="2"/>
  <c r="AG94" i="2"/>
  <c r="Z94" i="2"/>
  <c r="V94" i="2"/>
  <c r="W94" i="2" s="1"/>
  <c r="D94" i="2"/>
  <c r="AG93" i="2"/>
  <c r="Z93" i="2"/>
  <c r="V93" i="2"/>
  <c r="W93" i="2" s="1"/>
  <c r="D93" i="2"/>
  <c r="AG92" i="2"/>
  <c r="Z92" i="2"/>
  <c r="V92" i="2"/>
  <c r="W92" i="2" s="1"/>
  <c r="D92" i="2"/>
  <c r="AG91" i="2"/>
  <c r="Z91" i="2"/>
  <c r="V91" i="2"/>
  <c r="W91" i="2" s="1"/>
  <c r="D91" i="2"/>
  <c r="AG90" i="2"/>
  <c r="Z90" i="2"/>
  <c r="V90" i="2"/>
  <c r="W90" i="2" s="1"/>
  <c r="D90" i="2"/>
  <c r="AG89" i="2"/>
  <c r="Z89" i="2"/>
  <c r="V89" i="2"/>
  <c r="W89" i="2" s="1"/>
  <c r="D89" i="2"/>
  <c r="AG88" i="2"/>
  <c r="Z88" i="2"/>
  <c r="V88" i="2"/>
  <c r="W88" i="2" s="1"/>
  <c r="D88" i="2"/>
  <c r="AG87" i="2"/>
  <c r="Z87" i="2"/>
  <c r="V87" i="2"/>
  <c r="W87" i="2" s="1"/>
  <c r="D87" i="2"/>
  <c r="AG86" i="2"/>
  <c r="Z86" i="2"/>
  <c r="V86" i="2"/>
  <c r="W86" i="2" s="1"/>
  <c r="D86" i="2"/>
  <c r="AG85" i="2"/>
  <c r="Z85" i="2"/>
  <c r="V85" i="2"/>
  <c r="W85" i="2" s="1"/>
  <c r="D85" i="2"/>
  <c r="AG84" i="2"/>
  <c r="Z84" i="2"/>
  <c r="V84" i="2"/>
  <c r="W84" i="2" s="1"/>
  <c r="D84" i="2"/>
  <c r="AG83" i="2"/>
  <c r="Z83" i="2"/>
  <c r="V83" i="2"/>
  <c r="W83" i="2" s="1"/>
  <c r="D83" i="2"/>
  <c r="AG82" i="2"/>
  <c r="Z82" i="2"/>
  <c r="V82" i="2"/>
  <c r="W82" i="2" s="1"/>
  <c r="D82" i="2"/>
  <c r="AG81" i="2"/>
  <c r="Z81" i="2"/>
  <c r="V81" i="2"/>
  <c r="W81" i="2" s="1"/>
  <c r="D81" i="2"/>
  <c r="AG80" i="2"/>
  <c r="Z80" i="2"/>
  <c r="V80" i="2"/>
  <c r="W80" i="2" s="1"/>
  <c r="D80" i="2"/>
  <c r="AG79" i="2"/>
  <c r="Z79" i="2"/>
  <c r="V79" i="2"/>
  <c r="W79" i="2" s="1"/>
  <c r="D79" i="2"/>
  <c r="AG78" i="2"/>
  <c r="Z78" i="2"/>
  <c r="V78" i="2"/>
  <c r="W78" i="2" s="1"/>
  <c r="D78" i="2"/>
  <c r="AG77" i="2"/>
  <c r="Z77" i="2"/>
  <c r="V77" i="2"/>
  <c r="W77" i="2" s="1"/>
  <c r="D77" i="2"/>
  <c r="AG76" i="2"/>
  <c r="Z76" i="2"/>
  <c r="V76" i="2"/>
  <c r="W76" i="2" s="1"/>
  <c r="D76" i="2"/>
  <c r="AG75" i="2"/>
  <c r="Z75" i="2"/>
  <c r="V75" i="2"/>
  <c r="W75" i="2" s="1"/>
  <c r="D75" i="2"/>
  <c r="AG74" i="2"/>
  <c r="Z74" i="2"/>
  <c r="V74" i="2"/>
  <c r="W74" i="2" s="1"/>
  <c r="D74" i="2"/>
  <c r="AG73" i="2"/>
  <c r="Z73" i="2"/>
  <c r="V73" i="2"/>
  <c r="W73" i="2" s="1"/>
  <c r="D73" i="2"/>
  <c r="AG72" i="2"/>
  <c r="Z72" i="2"/>
  <c r="V72" i="2"/>
  <c r="W72" i="2" s="1"/>
  <c r="D72" i="2"/>
  <c r="AG71" i="2"/>
  <c r="Z71" i="2"/>
  <c r="V71" i="2"/>
  <c r="W71" i="2" s="1"/>
  <c r="D71" i="2"/>
  <c r="AG70" i="2"/>
  <c r="Z70" i="2"/>
  <c r="V70" i="2"/>
  <c r="W70" i="2" s="1"/>
  <c r="D70" i="2"/>
  <c r="AG69" i="2"/>
  <c r="Z69" i="2"/>
  <c r="V69" i="2"/>
  <c r="W69" i="2" s="1"/>
  <c r="D69" i="2"/>
  <c r="AG68" i="2"/>
  <c r="Z68" i="2"/>
  <c r="V68" i="2"/>
  <c r="W68" i="2" s="1"/>
  <c r="D68" i="2"/>
  <c r="AG67" i="2"/>
  <c r="Z67" i="2"/>
  <c r="V67" i="2"/>
  <c r="W67" i="2" s="1"/>
  <c r="D67" i="2"/>
  <c r="AG66" i="2"/>
  <c r="Z66" i="2"/>
  <c r="V66" i="2"/>
  <c r="W66" i="2" s="1"/>
  <c r="D66" i="2"/>
  <c r="AG65" i="2"/>
  <c r="Z65" i="2"/>
  <c r="V65" i="2"/>
  <c r="W65" i="2" s="1"/>
  <c r="D65" i="2"/>
  <c r="AG64" i="2"/>
  <c r="Z64" i="2"/>
  <c r="V64" i="2"/>
  <c r="W64" i="2" s="1"/>
  <c r="D64" i="2"/>
  <c r="AG63" i="2"/>
  <c r="Z63" i="2"/>
  <c r="V63" i="2"/>
  <c r="W63" i="2" s="1"/>
  <c r="D63" i="2"/>
  <c r="AG62" i="2"/>
  <c r="Z62" i="2"/>
  <c r="V62" i="2"/>
  <c r="W62" i="2" s="1"/>
  <c r="D62" i="2"/>
  <c r="AG61" i="2"/>
  <c r="Z61" i="2"/>
  <c r="V61" i="2"/>
  <c r="W61" i="2" s="1"/>
  <c r="D61" i="2"/>
  <c r="AG60" i="2"/>
  <c r="Z60" i="2"/>
  <c r="V60" i="2"/>
  <c r="W60" i="2" s="1"/>
  <c r="D60" i="2"/>
  <c r="AG59" i="2"/>
  <c r="Z59" i="2"/>
  <c r="V59" i="2"/>
  <c r="W59" i="2" s="1"/>
  <c r="D59" i="2"/>
  <c r="AG58" i="2"/>
  <c r="Z58" i="2"/>
  <c r="V58" i="2"/>
  <c r="W58" i="2" s="1"/>
  <c r="D58" i="2"/>
  <c r="AG57" i="2"/>
  <c r="Z57" i="2"/>
  <c r="V57" i="2"/>
  <c r="W57" i="2" s="1"/>
  <c r="D57" i="2"/>
  <c r="AG56" i="2"/>
  <c r="Z56" i="2"/>
  <c r="V56" i="2"/>
  <c r="W56" i="2" s="1"/>
  <c r="D56" i="2"/>
  <c r="AG55" i="2"/>
  <c r="Z55" i="2"/>
  <c r="V55" i="2"/>
  <c r="W55" i="2" s="1"/>
  <c r="D55" i="2"/>
  <c r="AG54" i="2"/>
  <c r="Z54" i="2"/>
  <c r="V54" i="2"/>
  <c r="W54" i="2" s="1"/>
  <c r="D54" i="2"/>
  <c r="AG53" i="2"/>
  <c r="Z53" i="2"/>
  <c r="V53" i="2"/>
  <c r="W53" i="2" s="1"/>
  <c r="D53" i="2"/>
  <c r="AG52" i="2"/>
  <c r="Z52" i="2"/>
  <c r="V52" i="2"/>
  <c r="W52" i="2" s="1"/>
  <c r="D52" i="2"/>
  <c r="AG51" i="2"/>
  <c r="Z51" i="2"/>
  <c r="V51" i="2"/>
  <c r="W51" i="2" s="1"/>
  <c r="D51" i="2"/>
  <c r="AG50" i="2"/>
  <c r="Z50" i="2"/>
  <c r="V50" i="2"/>
  <c r="W50" i="2" s="1"/>
  <c r="D50" i="2"/>
  <c r="AG49" i="2"/>
  <c r="Z49" i="2"/>
  <c r="V49" i="2"/>
  <c r="W49" i="2" s="1"/>
  <c r="D49" i="2"/>
  <c r="AG48" i="2"/>
  <c r="Z48" i="2"/>
  <c r="V48" i="2"/>
  <c r="W48" i="2" s="1"/>
  <c r="D48" i="2"/>
  <c r="AG47" i="2"/>
  <c r="Z47" i="2"/>
  <c r="V47" i="2"/>
  <c r="W47" i="2" s="1"/>
  <c r="D47" i="2"/>
  <c r="AG46" i="2"/>
  <c r="Z46" i="2"/>
  <c r="V46" i="2"/>
  <c r="W46" i="2" s="1"/>
  <c r="D46" i="2"/>
  <c r="AG45" i="2"/>
  <c r="Z45" i="2"/>
  <c r="V45" i="2"/>
  <c r="W45" i="2" s="1"/>
  <c r="D45" i="2"/>
  <c r="AG44" i="2"/>
  <c r="Z44" i="2"/>
  <c r="V44" i="2"/>
  <c r="W44" i="2" s="1"/>
  <c r="D44" i="2"/>
  <c r="AG43" i="2"/>
  <c r="Z43" i="2"/>
  <c r="V43" i="2"/>
  <c r="W43" i="2" s="1"/>
  <c r="D43" i="2"/>
  <c r="AG42" i="2"/>
  <c r="Z42" i="2"/>
  <c r="V42" i="2"/>
  <c r="W42" i="2" s="1"/>
  <c r="D42" i="2"/>
  <c r="AG41" i="2"/>
  <c r="Z41" i="2"/>
  <c r="V41" i="2"/>
  <c r="W41" i="2" s="1"/>
  <c r="D41" i="2"/>
  <c r="AG40" i="2"/>
  <c r="Z40" i="2"/>
  <c r="V40" i="2"/>
  <c r="W40" i="2" s="1"/>
  <c r="D40" i="2"/>
  <c r="AG39" i="2"/>
  <c r="Z39" i="2"/>
  <c r="V39" i="2"/>
  <c r="W39" i="2" s="1"/>
  <c r="D39" i="2"/>
  <c r="AG38" i="2"/>
  <c r="Z38" i="2"/>
  <c r="V38" i="2"/>
  <c r="W38" i="2" s="1"/>
  <c r="D38" i="2"/>
  <c r="AG37" i="2"/>
  <c r="Z37" i="2"/>
  <c r="V37" i="2"/>
  <c r="W37" i="2" s="1"/>
  <c r="D37" i="2"/>
  <c r="AG36" i="2"/>
  <c r="Z36" i="2"/>
  <c r="V36" i="2"/>
  <c r="W36" i="2" s="1"/>
  <c r="D36" i="2"/>
  <c r="AG35" i="2"/>
  <c r="Z35" i="2"/>
  <c r="V35" i="2"/>
  <c r="W35" i="2" s="1"/>
  <c r="D35" i="2"/>
  <c r="AG34" i="2"/>
  <c r="Z34" i="2"/>
  <c r="V34" i="2"/>
  <c r="W34" i="2" s="1"/>
  <c r="D34" i="2"/>
  <c r="AG33" i="2"/>
  <c r="Z33" i="2"/>
  <c r="V33" i="2"/>
  <c r="W33" i="2" s="1"/>
  <c r="D33" i="2"/>
  <c r="AG32" i="2"/>
  <c r="Z32" i="2"/>
  <c r="V32" i="2"/>
  <c r="W32" i="2" s="1"/>
  <c r="D32" i="2"/>
  <c r="AG31" i="2"/>
  <c r="Z31" i="2"/>
  <c r="V31" i="2"/>
  <c r="W31" i="2" s="1"/>
  <c r="D31" i="2"/>
  <c r="AG30" i="2"/>
  <c r="Z30" i="2"/>
  <c r="V30" i="2"/>
  <c r="W30" i="2" s="1"/>
  <c r="D30" i="2"/>
  <c r="AG29" i="2"/>
  <c r="Z29" i="2"/>
  <c r="V29" i="2"/>
  <c r="W29" i="2" s="1"/>
  <c r="D29" i="2"/>
  <c r="AG28" i="2"/>
  <c r="Z28" i="2"/>
  <c r="V28" i="2"/>
  <c r="W28" i="2" s="1"/>
  <c r="D28" i="2"/>
  <c r="AG27" i="2"/>
  <c r="Z27" i="2"/>
  <c r="V27" i="2"/>
  <c r="W27" i="2" s="1"/>
  <c r="D27" i="2"/>
  <c r="AG26" i="2"/>
  <c r="Z26" i="2"/>
  <c r="V26" i="2"/>
  <c r="W26" i="2" s="1"/>
  <c r="D26" i="2"/>
  <c r="AG25" i="2"/>
  <c r="Z25" i="2"/>
  <c r="V25" i="2"/>
  <c r="W25" i="2" s="1"/>
  <c r="D25" i="2"/>
  <c r="AG24" i="2"/>
  <c r="Z24" i="2"/>
  <c r="V24" i="2"/>
  <c r="W24" i="2" s="1"/>
  <c r="D24" i="2"/>
  <c r="AG23" i="2"/>
  <c r="Z23" i="2"/>
  <c r="V23" i="2"/>
  <c r="W23" i="2" s="1"/>
  <c r="D23" i="2"/>
  <c r="AG22" i="2"/>
  <c r="Z22" i="2"/>
  <c r="V22" i="2"/>
  <c r="W22" i="2" s="1"/>
  <c r="D22" i="2"/>
  <c r="AG21" i="2"/>
  <c r="Z21" i="2"/>
  <c r="V21" i="2"/>
  <c r="W21" i="2" s="1"/>
  <c r="D21" i="2"/>
  <c r="AG20" i="2"/>
  <c r="Z20" i="2"/>
  <c r="V20" i="2"/>
  <c r="W20" i="2" s="1"/>
  <c r="D20" i="2"/>
  <c r="AG19" i="2"/>
  <c r="Z19" i="2"/>
  <c r="V19" i="2"/>
  <c r="W19" i="2" s="1"/>
  <c r="D19" i="2"/>
  <c r="AG18" i="2"/>
  <c r="Z18" i="2"/>
  <c r="V18" i="2"/>
  <c r="W18" i="2" s="1"/>
  <c r="D18" i="2"/>
  <c r="AG17" i="2"/>
  <c r="Z17" i="2"/>
  <c r="V17" i="2"/>
  <c r="W17" i="2" s="1"/>
  <c r="D17" i="2"/>
  <c r="AG16" i="2"/>
  <c r="Z16" i="2"/>
  <c r="V16" i="2"/>
  <c r="W16" i="2" s="1"/>
  <c r="D16" i="2"/>
  <c r="AG15" i="2"/>
  <c r="Z15" i="2"/>
  <c r="V15" i="2"/>
  <c r="W15" i="2" s="1"/>
  <c r="D15" i="2"/>
  <c r="AG14" i="2"/>
  <c r="Z14" i="2"/>
  <c r="V14" i="2"/>
  <c r="W14" i="2" s="1"/>
  <c r="D14" i="2"/>
  <c r="AG13" i="2"/>
  <c r="Z13" i="2"/>
  <c r="V13" i="2"/>
  <c r="W13" i="2" s="1"/>
  <c r="D13" i="2"/>
  <c r="AG12" i="2"/>
  <c r="Z12" i="2"/>
  <c r="B12" i="9" s="1"/>
  <c r="V12" i="2"/>
  <c r="W12" i="2" s="1"/>
  <c r="D12" i="2"/>
  <c r="AG11" i="2"/>
  <c r="Z11" i="2"/>
  <c r="B11" i="9" s="1"/>
  <c r="V11" i="2"/>
  <c r="W11" i="2" s="1"/>
  <c r="D11" i="2"/>
  <c r="AG10" i="2"/>
  <c r="Z10" i="2"/>
  <c r="B10" i="9" s="1"/>
  <c r="V10" i="2"/>
  <c r="W10" i="2" s="1"/>
  <c r="D10" i="2"/>
  <c r="AG9" i="2"/>
  <c r="Z9" i="2"/>
  <c r="B9" i="9" s="1"/>
  <c r="V9" i="2"/>
  <c r="W9" i="2" s="1"/>
  <c r="D9" i="2"/>
  <c r="AG8" i="2"/>
  <c r="Z8" i="2"/>
  <c r="B8" i="9" s="1"/>
  <c r="V8" i="2"/>
  <c r="W8" i="2" s="1"/>
  <c r="D8" i="2"/>
  <c r="AG7" i="2"/>
  <c r="Z7" i="2"/>
  <c r="B7" i="9" s="1"/>
  <c r="V7" i="2"/>
  <c r="W7" i="2" s="1"/>
  <c r="D7" i="2"/>
  <c r="AG6" i="2"/>
  <c r="Z6" i="2"/>
  <c r="B6" i="9" s="1"/>
  <c r="V6" i="2"/>
  <c r="W6" i="2" s="1"/>
  <c r="D6" i="2"/>
  <c r="AG5" i="2"/>
  <c r="Z5" i="2"/>
  <c r="V5" i="2"/>
  <c r="W5" i="2" s="1"/>
  <c r="D5" i="2"/>
  <c r="E108" i="5" l="1"/>
  <c r="E30" i="9"/>
  <c r="D30" i="9"/>
  <c r="C30" i="9"/>
  <c r="E29" i="9"/>
  <c r="D29" i="9"/>
  <c r="C29" i="9"/>
  <c r="E28" i="9"/>
  <c r="D28" i="9"/>
  <c r="C28" i="9"/>
  <c r="E27" i="9"/>
  <c r="D27" i="9"/>
  <c r="C27" i="9"/>
  <c r="D26" i="9"/>
  <c r="E26" i="9"/>
  <c r="C26" i="9"/>
  <c r="E25" i="9"/>
  <c r="D25" i="9"/>
  <c r="C25" i="9"/>
  <c r="E21" i="9"/>
  <c r="D21" i="9"/>
  <c r="C21" i="9"/>
  <c r="E20" i="9"/>
  <c r="D20" i="9"/>
  <c r="C20" i="9"/>
  <c r="C19" i="9"/>
  <c r="E19" i="9"/>
  <c r="D19" i="9"/>
  <c r="C18" i="9"/>
  <c r="E18" i="9"/>
  <c r="D18" i="9"/>
  <c r="C17" i="9"/>
  <c r="E17" i="9"/>
  <c r="D17" i="9"/>
  <c r="E16" i="9"/>
  <c r="D16" i="9"/>
  <c r="C16" i="9"/>
  <c r="C37" i="9"/>
  <c r="B38" i="8"/>
  <c r="B37" i="8"/>
  <c r="C12" i="9"/>
  <c r="D12" i="9"/>
  <c r="E12" i="9"/>
  <c r="C11" i="9"/>
  <c r="D11" i="9"/>
  <c r="E11" i="9"/>
  <c r="C10" i="9"/>
  <c r="D10" i="9"/>
  <c r="E10" i="9"/>
  <c r="C9" i="9"/>
  <c r="D9" i="9"/>
  <c r="E9" i="9"/>
  <c r="C8" i="9"/>
  <c r="D8" i="9"/>
  <c r="E8" i="9"/>
  <c r="C7" i="9"/>
  <c r="D7" i="9"/>
  <c r="E7" i="9"/>
  <c r="C6" i="9"/>
  <c r="D6" i="9"/>
  <c r="E6" i="9"/>
  <c r="B5" i="9"/>
  <c r="B9" i="8"/>
  <c r="C5" i="9" l="1"/>
  <c r="D5" i="9"/>
  <c r="E5" i="9"/>
</calcChain>
</file>

<file path=xl/sharedStrings.xml><?xml version="1.0" encoding="utf-8"?>
<sst xmlns="http://schemas.openxmlformats.org/spreadsheetml/2006/main" count="698" uniqueCount="619">
  <si>
    <t>Administrator's Command Toolkit — Texas Edition</t>
  </si>
  <si>
    <t>Clear Path Education Group, LLC   ·   clearpathedgroup.com</t>
  </si>
  <si>
    <t>Built for Texas campus administrators, APs, and Campus Behavior Coordinators.</t>
  </si>
  <si>
    <t>One incident intake → everything else auto-populates. Investigation notes, evidence chain of custody, parent call scripts, 10-day SPED compliance alerts, discipline trends, Monday morning briefings — all in one file. Built to survive a legal challenge, eliminate re-entry work, and save administrators 30+ minutes per incident.</t>
  </si>
  <si>
    <t>▸  DISTRICT &amp; CAMPUS INFORMATION</t>
  </si>
  <si>
    <t>District Name</t>
  </si>
  <si>
    <t>Campus Name</t>
  </si>
  <si>
    <t>Department / Team</t>
  </si>
  <si>
    <t>Coordinator</t>
  </si>
  <si>
    <t>School Year</t>
  </si>
  <si>
    <t>2025–2026</t>
  </si>
  <si>
    <t>Prepared By</t>
  </si>
  <si>
    <t>▸  HOW TO USE THIS TRACKER</t>
  </si>
  <si>
    <t xml:space="preserve">  1.  ⚡ Command Dashboard</t>
  </si>
  <si>
    <t>Live campus summary. Open incidents, 10-day SPED flags, investigation status, parent contact gaps — all in one view. Print in 30 seconds.</t>
  </si>
  <si>
    <t xml:space="preserve">  2.  Incident Intake</t>
  </si>
  <si>
    <t>ONE ROW per incident. Enter it once here and every other tab auto-populates. This is your master record for every case.</t>
  </si>
  <si>
    <t xml:space="preserve">  3.  Investigation Tracker</t>
  </si>
  <si>
    <t>Structured 5-stage workflow from intake to closed. Integrity checklist prevents premature case closure. Timeline auto-builds as you work.</t>
  </si>
  <si>
    <t xml:space="preserve">  4.  10-Day Compliance</t>
  </si>
  <si>
    <t>Auto-tracks cumulative SPED removal days. Alerts at day 7 (warning), day 9 (urgent), day 10+ (exceeded). Never get caught off guard.</t>
  </si>
  <si>
    <t xml:space="preserve">  5.  Evidence Tracker</t>
  </si>
  <si>
    <t>Chain of custody log for every piece of evidence. Legal hold flag. Admins lose cases because evidence isn't documented — this closes that gap.</t>
  </si>
  <si>
    <t xml:space="preserve">  6.  Parent Contact Log</t>
  </si>
  <si>
    <t>Every call logged with date, method, and outcome. Select the offense → a phone script auto-populates. 15 scripts for 15 offense types.</t>
  </si>
  <si>
    <t xml:space="preserve">  7.  Discipline Trends</t>
  </si>
  <si>
    <t>Auto-built from Incident Intake. Offense frequency, monthly patterns, repeat offender flags, SPED breakdown. No manual data entry needed.</t>
  </si>
  <si>
    <t xml:space="preserve">  8.  📋 Monday Briefing</t>
  </si>
  <si>
    <t>Print-ready weekly briefing: open cases, investigation deadlines, parent follow-ups due, students returning from placement this week.</t>
  </si>
  <si>
    <t xml:space="preserve">  9.  Investigation Notes</t>
  </si>
  <si>
    <t>Structured template for witness interviews, evidence review, and findings. Separate from the Intake record — legally important distinction.</t>
  </si>
  <si>
    <t xml:space="preserve">  10.  Outcome &amp; Letters</t>
  </si>
  <si>
    <t>Consequence decisions, outcome letter drafts, appeal deadlines, appeal tracking. Never miss a response deadline again.</t>
  </si>
  <si>
    <t>⚠  FOR ORGANIZATIONAL USE ONLY — Not legal advice. Consult district counsel for all placement and consequence decisions.</t>
  </si>
  <si>
    <t>🚀  Ready to scale?  Visit clearpathedgroup.com to upgrade to the full platform</t>
  </si>
  <si>
    <t>Incident Intake — Master Record  ·  Enter once, auto-fills everywhere</t>
  </si>
  <si>
    <t>⚙ Gray columns auto-calculate. White columns = your input. Enter Incident ID, Date, and Student ID first — they drive everything else.</t>
  </si>
  <si>
    <t>FORMAT: Incident ID = INC-2025-001  ·  Time = HH:MM  ·  Student ID must match your student roster</t>
  </si>
  <si>
    <t>Incident ID</t>
  </si>
  <si>
    <t>Date</t>
  </si>
  <si>
    <t>Time</t>
  </si>
  <si>
    <t>⚙ Day of Week</t>
  </si>
  <si>
    <t>Student ID</t>
  </si>
  <si>
    <t>Last Name</t>
  </si>
  <si>
    <t>First Name</t>
  </si>
  <si>
    <t>Grade</t>
  </si>
  <si>
    <t>Campus</t>
  </si>
  <si>
    <t>Offense Category</t>
  </si>
  <si>
    <t>Offense Description</t>
  </si>
  <si>
    <t>TEC Reference</t>
  </si>
  <si>
    <t>Location</t>
  </si>
  <si>
    <t>Witnesses Named?</t>
  </si>
  <si>
    <t># Witnesses</t>
  </si>
  <si>
    <t>Injury Reported?</t>
  </si>
  <si>
    <t>Medical Attention?</t>
  </si>
  <si>
    <t>Property Damage?</t>
  </si>
  <si>
    <t>Law Enforcement Notified?</t>
  </si>
  <si>
    <t>LE Arrival Time</t>
  </si>
  <si>
    <t>SPED Status</t>
  </si>
  <si>
    <t>⚙ 10-Day Running Total</t>
  </si>
  <si>
    <t>⚙ 10-Day Flag</t>
  </si>
  <si>
    <t>Investigation Status</t>
  </si>
  <si>
    <t>Assigned Investigator</t>
  </si>
  <si>
    <t>⚙ Days Case Open</t>
  </si>
  <si>
    <t>Parent Notified?</t>
  </si>
  <si>
    <t>Parent Notified Date</t>
  </si>
  <si>
    <t>Consequence Assigned</t>
  </si>
  <si>
    <t>Consequence Start</t>
  </si>
  <si>
    <t>Consequence End</t>
  </si>
  <si>
    <t>Appeal Filed?</t>
  </si>
  <si>
    <t>⚙ Case Age (days)</t>
  </si>
  <si>
    <t>Notes</t>
  </si>
  <si>
    <t>🚀  Upgrade to the full platform  ·  clearpathedgroup.com  ·  Clear Path Education Group, LLC</t>
  </si>
  <si>
    <t>⚡  ADMINISTRATOR'S COMMAND DASHBOARD — Texas Edition</t>
  </si>
  <si>
    <t>🔴  CRITICAL — REQUIRES IMMEDIATE ACTION</t>
  </si>
  <si>
    <t>🔴  SPED 10-Day Limit EXCEEDED</t>
  </si>
  <si>
    <t>🟠  SPED — Day 9 (URGENT)</t>
  </si>
  <si>
    <t>⚠  Evidence Items on Legal Hold</t>
  </si>
  <si>
    <t>⏰  Appeal Response Deadlines — Due Within 3 Days</t>
  </si>
  <si>
    <t>📋  Integrity Checks Incomplete (before case close)</t>
  </si>
  <si>
    <t>🔍  INVESTIGATION STATUS</t>
  </si>
  <si>
    <t>Open — Not Yet Started</t>
  </si>
  <si>
    <t>In Progress</t>
  </si>
  <si>
    <t>Finding Reached</t>
  </si>
  <si>
    <t>Closed This Year</t>
  </si>
  <si>
    <t>On Hold — Legal</t>
  </si>
  <si>
    <t>⚠  Open Cases Stale 5+ Days</t>
  </si>
  <si>
    <t>📊  CAMPUS TOTALS — SCHOOL YEAR</t>
  </si>
  <si>
    <t>Total Incidents Logged</t>
  </si>
  <si>
    <t>Total ISS Placements</t>
  </si>
  <si>
    <t>Total OSS Placements</t>
  </si>
  <si>
    <t>DAEP Placements (all)</t>
  </si>
  <si>
    <t>Expulsion Referrals</t>
  </si>
  <si>
    <t>Law Enforcement Referrals</t>
  </si>
  <si>
    <t>Parent Contacts Logged</t>
  </si>
  <si>
    <t>Evidence Items Documented</t>
  </si>
  <si>
    <t>♿  SPED COMPLIANCE DASHBOARD</t>
  </si>
  <si>
    <t>🟡  SPED — Day 7-8 (Warning)</t>
  </si>
  <si>
    <t>🟠  SPED — Day 9 (Urgent)</t>
  </si>
  <si>
    <t>🔴  SPED — Day 10+ (Exceeded)</t>
  </si>
  <si>
    <t>MDR Required — Not Yet Done</t>
  </si>
  <si>
    <t>⚖️  APPEAL &amp; OUTCOME TRACKER</t>
  </si>
  <si>
    <t>Active Appeals</t>
  </si>
  <si>
    <t>Appeals Resolved — Upheld</t>
  </si>
  <si>
    <t>Appeals Resolved — Overturned</t>
  </si>
  <si>
    <t>Outcome Letters NOT Sent</t>
  </si>
  <si>
    <t>🚀  Automate this dashboard in real-time across all campuses  ·  clearpathedgroup.com/waypoint  ·  Clear Path Education Group, LLC</t>
  </si>
  <si>
    <t>Investigation Tracker — 5-Stage Workflow from Intake to Closed Case</t>
  </si>
  <si>
    <t>One row per investigation. Enter Incident ID in col A → student info auto-fills from Intake tab. Work through stages left to right.</t>
  </si>
  <si>
    <t>⚙ Integrity Check (col AD): All 5 boxes must be 'Yes' before marking Closed. Red = incomplete. A case that closes early is a liability.</t>
  </si>
  <si>
    <t>IDENTITY</t>
  </si>
  <si>
    <t>STAGE 1 — INTAKE</t>
  </si>
  <si>
    <t>STAGE 2 — INVESTIGATION</t>
  </si>
  <si>
    <t>STAGE 3 — FINDING</t>
  </si>
  <si>
    <t>STAGE 4 — CONSEQUENCE</t>
  </si>
  <si>
    <t>STAGE 5 — CLOSE</t>
  </si>
  <si>
    <t>STATUS</t>
  </si>
  <si>
    <t>SPED</t>
  </si>
  <si>
    <t>APPEAL / NOTES</t>
  </si>
  <si>
    <t>⚙ Date</t>
  </si>
  <si>
    <t>⚙ Student ID</t>
  </si>
  <si>
    <t>⚙ Student Name</t>
  </si>
  <si>
    <t>⚙ Offense</t>
  </si>
  <si>
    <t>Stage 1: Intake Complete?</t>
  </si>
  <si>
    <t>Intake Date</t>
  </si>
  <si>
    <t>Referred By</t>
  </si>
  <si>
    <t>Stage 2: Witnesses Identified?</t>
  </si>
  <si>
    <t>Witnesses Interviewed?</t>
  </si>
  <si>
    <t>Last Interview Date</t>
  </si>
  <si>
    <t>Student Interviewed?</t>
  </si>
  <si>
    <t>Student Interview Date</t>
  </si>
  <si>
    <t>Stage 3: Evidence Reviewed?</t>
  </si>
  <si>
    <t>Finding</t>
  </si>
  <si>
    <t>Finding Date</t>
  </si>
  <si>
    <t>Stage 4: Consequence Assigned?</t>
  </si>
  <si>
    <t>Consequence</t>
  </si>
  <si>
    <t>Consequence Date</t>
  </si>
  <si>
    <t>Parent Notified of Outcome?</t>
  </si>
  <si>
    <t>Outcome Notice Date</t>
  </si>
  <si>
    <t>Stage 5: All Docs Signed?</t>
  </si>
  <si>
    <t>SPED Coordinator Notified?</t>
  </si>
  <si>
    <t>Student Given Opportunity to Respond?</t>
  </si>
  <si>
    <t>Evidence Documented?</t>
  </si>
  <si>
    <t>Rationale Documented?</t>
  </si>
  <si>
    <t>Case Closed Date</t>
  </si>
  <si>
    <t>⚙ Investigation Status</t>
  </si>
  <si>
    <t>⚙ Days Open</t>
  </si>
  <si>
    <t>⚙ Integrity Check</t>
  </si>
  <si>
    <t>SPED?</t>
  </si>
  <si>
    <t>MDR Status</t>
  </si>
  <si>
    <t>ARD Notification Date</t>
  </si>
  <si>
    <t>FAPE Confirmed?</t>
  </si>
  <si>
    <t>Appeal Filed Date</t>
  </si>
  <si>
    <t>⚙ Appeal Deadline</t>
  </si>
  <si>
    <t>Appeal Status</t>
  </si>
  <si>
    <t>🔴  10-Day SPED Removal Compliance Tracker  ·  IDEA Compliance Required</t>
  </si>
  <si>
    <t>Track every SPED student's cumulative removal days. Alerts fire at day 7 (warning), day 9 (urgent), day 10+ (MDR required NOW). FAPE must continue after day 10.</t>
  </si>
  <si>
    <t>⚠  School days only — not calendar days. Log each removal incident by Incident ID. The ⚙ Total column sums all removal days this school year.</t>
  </si>
  <si>
    <t>⚙ Total Removal Days</t>
  </si>
  <si>
    <t>Incident 1 ID</t>
  </si>
  <si>
    <t>Incident 1 Date</t>
  </si>
  <si>
    <t>⚙ Inc 1 Days</t>
  </si>
  <si>
    <t>Incident 2 ID</t>
  </si>
  <si>
    <t>Incident 2 Date</t>
  </si>
  <si>
    <t>⚙ Inc 2 Days</t>
  </si>
  <si>
    <t>Incident 3 ID</t>
  </si>
  <si>
    <t>Incident 3 Date</t>
  </si>
  <si>
    <t>⚙ Inc 3 Days</t>
  </si>
  <si>
    <t>Incident 4 ID</t>
  </si>
  <si>
    <t>Incident 4 Date</t>
  </si>
  <si>
    <t>⚙ Inc 4 Days</t>
  </si>
  <si>
    <t>Incident 5 ID</t>
  </si>
  <si>
    <t>Incident 5 Date</t>
  </si>
  <si>
    <t>⚙ Inc 5 Days</t>
  </si>
  <si>
    <t>MDR Required?</t>
  </si>
  <si>
    <t>MDR Date</t>
  </si>
  <si>
    <t>ARD Coordinator Notified?</t>
  </si>
  <si>
    <t>FAPE Continuing?</t>
  </si>
  <si>
    <t>⚙ Compliance Status</t>
  </si>
  <si>
    <t>Evidence Tracker — Chain of Custody Log  ·  Every Piece of Evidence, Every Step</t>
  </si>
  <si>
    <t>Log every item of evidence: when received, from whom, where stored, who accessed it, when returned. This is your legal protection if challenged.</t>
  </si>
  <si>
    <t>LEGAL HOLD: If a parent requests records or files a complaint, set col S = 'Yes' immediately. This flags the row and prevents accidental deletion.</t>
  </si>
  <si>
    <t>Evidence ID</t>
  </si>
  <si>
    <t>Date Collected</t>
  </si>
  <si>
    <t>Time Collected</t>
  </si>
  <si>
    <t>Collected By</t>
  </si>
  <si>
    <t>Evidence Type</t>
  </si>
  <si>
    <t>Description</t>
  </si>
  <si>
    <t>From Whom Received</t>
  </si>
  <si>
    <t>Received From Role</t>
  </si>
  <si>
    <t>Storage Location</t>
  </si>
  <si>
    <t>Custody Status</t>
  </si>
  <si>
    <t>Accessed By</t>
  </si>
  <si>
    <t>Access Date</t>
  </si>
  <si>
    <t>Access Purpose</t>
  </si>
  <si>
    <t>Returned To</t>
  </si>
  <si>
    <t>Return Date</t>
  </si>
  <si>
    <t>Legal Hold?</t>
  </si>
  <si>
    <t>⚙ Legal Hold Flag</t>
  </si>
  <si>
    <t>Chain of Custody Complete?</t>
  </si>
  <si>
    <t>Parent Contact Log  ·  Every Call Documented  ·  Scripts Auto-Populate by Offense</t>
  </si>
  <si>
    <t>Select an offense in column M → the phone script appears automatically in column L. Log every contact — voicemails count as attempts.</t>
  </si>
  <si>
    <t>TEC REQUIRED NOTICES: Suspension and DAEP placement require written notice. Document method, date, and confirmation of receipt.</t>
  </si>
  <si>
    <t>Log ID</t>
  </si>
  <si>
    <t>Contact Date</t>
  </si>
  <si>
    <t>Contact Time</t>
  </si>
  <si>
    <t>Contact Method</t>
  </si>
  <si>
    <t>Parent / Guardian Name</t>
  </si>
  <si>
    <t>Relationship</t>
  </si>
  <si>
    <t>Contact Purpose</t>
  </si>
  <si>
    <t>⚙ Required by TEC?</t>
  </si>
  <si>
    <t>⚙ Phone Script (select offense in col L)</t>
  </si>
  <si>
    <t>Script Offense Reference</t>
  </si>
  <si>
    <t>Summary of Conversation</t>
  </si>
  <si>
    <t>Commitments Made (by parent)</t>
  </si>
  <si>
    <t>Commitments Made (by school)</t>
  </si>
  <si>
    <t>Follow-Up Required?</t>
  </si>
  <si>
    <t>Follow-Up Date</t>
  </si>
  <si>
    <t>Follow-Up Completed?</t>
  </si>
  <si>
    <t>Admin / Staff Initials</t>
  </si>
  <si>
    <t>Discipline Trends — Auto-Built from Incident Intake  ·  No Manual Data Entry</t>
  </si>
  <si>
    <t>OVERALL VOLUME</t>
  </si>
  <si>
    <t>Total Incidents This Year</t>
  </si>
  <si>
    <t>Open Investigations</t>
  </si>
  <si>
    <t>Cases with Appeals Filed</t>
  </si>
  <si>
    <t>Investigations Open 5+ Days</t>
  </si>
  <si>
    <t>TOP OFFENSE CATEGORIES (from Incident Intake)</t>
  </si>
  <si>
    <t xml:space="preserve">  Fighting</t>
  </si>
  <si>
    <t xml:space="preserve">  Assault — Bodily Injury</t>
  </si>
  <si>
    <t xml:space="preserve">  Assault — Threat / Fear</t>
  </si>
  <si>
    <t xml:space="preserve">  Defiance / Insubordination</t>
  </si>
  <si>
    <t xml:space="preserve">  Disruption of Class</t>
  </si>
  <si>
    <t xml:space="preserve">  Bullying / Cyberbullying</t>
  </si>
  <si>
    <t xml:space="preserve">  Controlled Substance — Possession</t>
  </si>
  <si>
    <t xml:space="preserve">  Dangerous Weapon</t>
  </si>
  <si>
    <t xml:space="preserve">  Terroristic Threat</t>
  </si>
  <si>
    <t xml:space="preserve">  Theft</t>
  </si>
  <si>
    <t xml:space="preserve">  Vandalism / Property Damage</t>
  </si>
  <si>
    <t xml:space="preserve">  Harassment</t>
  </si>
  <si>
    <t xml:space="preserve">  Tobacco / E-Cigarette / Vaping</t>
  </si>
  <si>
    <t>CONSEQUENCE SUMMARY</t>
  </si>
  <si>
    <t>ISS Placements (all lengths)</t>
  </si>
  <si>
    <t>OSS Placements (all lengths)</t>
  </si>
  <si>
    <t>DAEP Placements — Mandatory</t>
  </si>
  <si>
    <t>DAEP Placements — Discretionary</t>
  </si>
  <si>
    <t>No Action — Unfounded</t>
  </si>
  <si>
    <t>SPED &amp; COMPLIANCE FLAGS</t>
  </si>
  <si>
    <t>SPED Students Involved in Incidents</t>
  </si>
  <si>
    <t>⚠ SPED — 10-Day Warning or Above</t>
  </si>
  <si>
    <t>🔴 SPED — 10-Day Limit Exceeded</t>
  </si>
  <si>
    <t>Incidents with Injury</t>
  </si>
  <si>
    <t>Incidents Involving Law Enforcement</t>
  </si>
  <si>
    <t>Parent Not Notified</t>
  </si>
  <si>
    <t>REPEAT OFFENDER FLAGS</t>
  </si>
  <si>
    <t>Students with 3+ Incidents (total year)</t>
  </si>
  <si>
    <t>Evidence Items with Legal Hold</t>
  </si>
  <si>
    <t>Open Investigations — No Parent Contact</t>
  </si>
  <si>
    <t>Appeals — Pending Response</t>
  </si>
  <si>
    <t>MONTHLY BREAKDOWN — Enter month number (1-12) in cell C below</t>
  </si>
  <si>
    <t>Enter Month # (1-12):</t>
  </si>
  <si>
    <t>Incidents This Month</t>
  </si>
  <si>
    <t>SPED Incidents This Month</t>
  </si>
  <si>
    <t>Placements This Month (ISS+OSS+DAEP)</t>
  </si>
  <si>
    <t>🚀  See trends across ALL campuses in real time  ·  clearpathedgroup.com/waypoint  ·  Clear Path Education Group, LLC</t>
  </si>
  <si>
    <t>📋  MONDAY MORNING BRIEFING — Administrator's Command Toolkit</t>
  </si>
  <si>
    <t>🔴  OPEN INVESTIGATIONS (requiring action today)</t>
  </si>
  <si>
    <t>Student</t>
  </si>
  <si>
    <t>Offense</t>
  </si>
  <si>
    <t>Days Open</t>
  </si>
  <si>
    <t>🟡  SPED 10-DAY COMPLIANCE ALERTS</t>
  </si>
  <si>
    <t>Name</t>
  </si>
  <si>
    <t>Days Used</t>
  </si>
  <si>
    <t>Status</t>
  </si>
  <si>
    <t>📞  PARENT FOLLOW-UPS DUE THIS WEEK</t>
  </si>
  <si>
    <t>Incident</t>
  </si>
  <si>
    <t>Admin</t>
  </si>
  <si>
    <t>📊  THIS WEEK AT A GLANCE</t>
  </si>
  <si>
    <t>Total Open Incidents</t>
  </si>
  <si>
    <t>Parent Contacts This Week</t>
  </si>
  <si>
    <t>Evidence Items — Legal Hold</t>
  </si>
  <si>
    <t>SPED Alerts (Warning+)</t>
  </si>
  <si>
    <t>🚀  Automate this briefing across all campuses  ·  clearpathedgroup.com/waypoint  ·  Clear Path Education Group, LLC</t>
  </si>
  <si>
    <t>Investigation Notes — Structured Interview Log &amp; Evidence Review Record</t>
  </si>
  <si>
    <t>One row per interview, evidence review, or significant action. This is SEPARATE from the Intake record — that legal distinction matters.</t>
  </si>
  <si>
    <t>BEST PRACTICE: Complete notes within 2 hours of each interview while details are fresh. Include direct quotes where possible. Note what was NOT said as well as what was.</t>
  </si>
  <si>
    <t>Note ID</t>
  </si>
  <si>
    <t>Note Date</t>
  </si>
  <si>
    <t>Note Time</t>
  </si>
  <si>
    <t>Note Type</t>
  </si>
  <si>
    <t>Witness / Subject Name</t>
  </si>
  <si>
    <t>Witness Role</t>
  </si>
  <si>
    <t>Interview Location</t>
  </si>
  <si>
    <t>Interview Conducted By</t>
  </si>
  <si>
    <t>Statement Summary</t>
  </si>
  <si>
    <t>Inconsistencies / Flags</t>
  </si>
  <si>
    <t>Evidence Referenced</t>
  </si>
  <si>
    <t>Follow-Up Notes</t>
  </si>
  <si>
    <t>Reference — Investigation Standards, Legal Timelines, TEC Citations</t>
  </si>
  <si>
    <t>Clear Path Education Group, LLC  ·  For organizational use only — not legal advice</t>
  </si>
  <si>
    <t>INVESTIGATION LEGAL TIMELINES</t>
  </si>
  <si>
    <t>TEC §37.009 — Conference</t>
  </si>
  <si>
    <t>DAEP conference must occur BEFORE placement. No time limit stated but must be prompt. If emergency removal, conference as soon as practicable.</t>
  </si>
  <si>
    <t>TEC §37.005 — Suspension</t>
  </si>
  <si>
    <t>Maximum 3 days per occurrence. Cannot exceed without DAEP placement. No conference required but good practice.</t>
  </si>
  <si>
    <t>IDEA — MDR Deadline</t>
  </si>
  <si>
    <t>MDR must occur within 10 SCHOOL days of the decision to change placement. Failure to meet this deadline exposes district to IDEA complaint.</t>
  </si>
  <si>
    <t>Title IX — Initial Response</t>
  </si>
  <si>
    <t>Schools must respond to sexual harassment reports within a reasonably prompt timeframe. Best practice: acknowledge within 24 hours, complete within 30-60 days.</t>
  </si>
  <si>
    <t>Appeal Response — Campus</t>
  </si>
  <si>
    <t>No TEC-mandated timeline, but most district policies set 5-10 business days. Check your local policy. Document the deadline and response date.</t>
  </si>
  <si>
    <t>Appeal Response — District</t>
  </si>
  <si>
    <t>Most districts allow appeal to district-level within 10 business days of campus decision. Check district policy.</t>
  </si>
  <si>
    <t>Records Request Response</t>
  </si>
  <si>
    <t>FERPA requires response within 45 days of records request. Flag any incident as Legal Hold when records are requested.</t>
  </si>
  <si>
    <t>INVESTIGATION BEST PRACTICES</t>
  </si>
  <si>
    <t>Interview Order</t>
  </si>
  <si>
    <t>Interview uninvolved witnesses FIRST (before they talk to other students), then the target/victim, then the subject/accused last. This order preserves the most accurate accounts.</t>
  </si>
  <si>
    <t>Documentation Timing</t>
  </si>
  <si>
    <t>Complete interview notes within 2 hours. Memory degrades significantly after 24 hours. Time-stamp everything.</t>
  </si>
  <si>
    <t>Student Rights</t>
  </si>
  <si>
    <t>Students have a right to present their version of events before a consequence is assigned (TEC §37.009 / due process). Document that this opportunity was given.</t>
  </si>
  <si>
    <t>SPED Student Rights</t>
  </si>
  <si>
    <t>For students with IEPs/504s: notify SPED coordinator before interviewing. If student needs support person, provide one. Document this.</t>
  </si>
  <si>
    <t>Witness Confidentiality</t>
  </si>
  <si>
    <t>You may protect witness identity in your summary, but you cannot deny a student the substance of the allegations against them. Consult counsel if uncertain.</t>
  </si>
  <si>
    <t>Evidence Chain of Custody</t>
  </si>
  <si>
    <t>Once evidence is collected, it must be documented and secured immediately. Unsecured evidence is inadmissible and exposes the district to claims of tampering.</t>
  </si>
  <si>
    <t>Parent Calls — Documentation</t>
  </si>
  <si>
    <t>Document every call: date, time, duration, who you spoke with, exactly what was said, any commitments made. Voicemails count — document attempt date/time.</t>
  </si>
  <si>
    <t>TEC §37 KEY SECTIONS AT A GLANCE</t>
  </si>
  <si>
    <t>§37.0012 — CBC</t>
  </si>
  <si>
    <t>Campus Behavior Coordinator must review every DAEP/expulsion recommendation, consider alternatives, and document the decision. Failure to document = legal exposure.</t>
  </si>
  <si>
    <t>§37.002 — Teacher Removal</t>
  </si>
  <si>
    <t>Teacher may remove for disruption; MUST remove for serious threat/assault. Admin must place student within 3 school days. Cannot return to same class without teacher consent.</t>
  </si>
  <si>
    <t>§37.005 — Suspension (2023)</t>
  </si>
  <si>
    <t>Max 3 days. CANNOT suspend for: academic failure, truancy, tardiness, first-offense dress code, profanity not directed at someone, minor policy violations.</t>
  </si>
  <si>
    <t>§37.006 — Mandatory DAEP</t>
  </si>
  <si>
    <t>Felony conduct, assault on staff, drug/alcohol, retaliation — MANDATORY DAEP. No discretion. Conference required first. SPED MDR within 10 days.</t>
  </si>
  <si>
    <t>§37.007 — Discretionary DAEP</t>
  </si>
  <si>
    <t>May place for serious/off-campus misconduct. CBC must document alternatives considered. Cannot use DAEP for academic issues.</t>
  </si>
  <si>
    <t>§37.007(e) — Expulsion</t>
  </si>
  <si>
    <t>Mandatory expulsion for firearms (1 year GFSA). Mandatory for drug distribution, targeted violence against staff. JJAEP as alternative. Superintendent hearing required.</t>
  </si>
  <si>
    <t>SPED QUICK REFERENCE</t>
  </si>
  <si>
    <t>10-Day Rule — What Counts</t>
  </si>
  <si>
    <t>Every ISS and OSS day counts (if school is not providing FAPE). Pattern of removals may trigger change-of-placement before 10 days. Track from day 1.</t>
  </si>
  <si>
    <t>MDR — Two Questions</t>
  </si>
  <si>
    <t>(1) Was conduct caused by / had direct relationship to the disability? (2) Was it a direct result of district's failure to implement IEP? YES to either = manifestation.</t>
  </si>
  <si>
    <t>If Manifestation Found</t>
  </si>
  <si>
    <t>Return to placement (unless special circumstances — weapon/drug/serious bodily injury). Conduct FBA. Implement/revise BIP. Cannot proceed with DAEP for manifestation behavior.</t>
  </si>
  <si>
    <t>FAPE During Removal</t>
  </si>
  <si>
    <t>After 10 cumulative school days, FAPE services must continue. ISS counts if school provides educational benefit. DAEP must provide FAPE. JJAEP must implement IEP.</t>
  </si>
  <si>
    <t>Legal Hold — When to Use</t>
  </si>
  <si>
    <t>Immediately when: parent requests records, parent retains attorney, OCR complaint is filed, lawsuit is threatened. All evidence, notes, and records must be preserved.</t>
  </si>
  <si>
    <t>↑ Upgrade to Waypoint — The Full District Discipline Management Platform</t>
  </si>
  <si>
    <t>Clear Path Education Group, LLC   ·   clearpathedgroup.com/waypoint</t>
  </si>
  <si>
    <t>This toolkit is the best spreadsheet-based discipline management system available. Waypoint is what comes next.</t>
  </si>
  <si>
    <t>Feature</t>
  </si>
  <si>
    <t>This Toolkit (Free/Paid)</t>
  </si>
  <si>
    <t>Waypoint Platform</t>
  </si>
  <si>
    <t>Incident Logging</t>
  </si>
  <si>
    <t>✅ Manual Excel entry</t>
  </si>
  <si>
    <t>✅ Cloud-based, instant</t>
  </si>
  <si>
    <t>Multi-Campus</t>
  </si>
  <si>
    <t>❌ One campus per file</t>
  </si>
  <si>
    <t>✅ District-wide, all campuses</t>
  </si>
  <si>
    <t>10-Day SPED Tracking</t>
  </si>
  <si>
    <t>✅ Manual tracking, day 7 flag</t>
  </si>
  <si>
    <t>✅ Real-time alert at day 7</t>
  </si>
  <si>
    <t>Investigation Workflow</t>
  </si>
  <si>
    <t>✅ 5-stage tracker</t>
  </si>
  <si>
    <t>✅ Automated routing to admin</t>
  </si>
  <si>
    <t>✅ Manual log</t>
  </si>
  <si>
    <t>✅ Digital custody with audit trail</t>
  </si>
  <si>
    <t>Parent Call Scripts</t>
  </si>
  <si>
    <t>✅ 15 scripts embedded</t>
  </si>
  <si>
    <t>✅ Auto-assigned by offense type</t>
  </si>
  <si>
    <t>Discipline Trends</t>
  </si>
  <si>
    <t>✅ Auto-calculated from intake</t>
  </si>
  <si>
    <t>✅ Live visual dashboards</t>
  </si>
  <si>
    <t>Appeal Tracking</t>
  </si>
  <si>
    <t>✅ Manual deadline tracking</t>
  </si>
  <si>
    <t>✅ Automated deadline alerts</t>
  </si>
  <si>
    <t>Outcome Letters</t>
  </si>
  <si>
    <t>✅ Key points drafted</t>
  </si>
  <si>
    <t>✅ Letter templates auto-generated</t>
  </si>
  <si>
    <t>Monday Briefing</t>
  </si>
  <si>
    <t>✅ Print-ready tab</t>
  </si>
  <si>
    <t>✅ Live board + email digest</t>
  </si>
  <si>
    <t>Staff Collaboration</t>
  </si>
  <si>
    <t>❌ Single user file</t>
  </si>
  <si>
    <t>✅ Role-based access, all staff</t>
  </si>
  <si>
    <t>SPED MDR Workflow</t>
  </si>
  <si>
    <t>⚠ Manual tracking</t>
  </si>
  <si>
    <t>✅ Full MDR documentation</t>
  </si>
  <si>
    <t>Legal Hold Management</t>
  </si>
  <si>
    <t>✅ Manual flag</t>
  </si>
  <si>
    <t>✅ Auto-lock with legal hold</t>
  </si>
  <si>
    <t>TEA PEIMS Reporting</t>
  </si>
  <si>
    <t>❌ Manual export required</t>
  </si>
  <si>
    <t>✅ Automated compliance reports</t>
  </si>
  <si>
    <t>Data Security</t>
  </si>
  <si>
    <t>❌ Local file, unencrypted</t>
  </si>
  <si>
    <t>✅ SOC 2, encrypted, backed up</t>
  </si>
  <si>
    <t>Integration with DAEP/ISS</t>
  </si>
  <si>
    <t>❌ Separate files</t>
  </si>
  <si>
    <t>✅ Unified platform — all in one</t>
  </si>
  <si>
    <t>🚀  Request a Free Demo  →  clearpathedgroup.com/waypoint</t>
  </si>
  <si>
    <t>Also available: DAEP Tracker  ·  ISS Intervention Tracker  ·  TEC Decision Matrix  ·  SPED Compliance Tracker  ·  Navigator Behavior Tracker</t>
  </si>
  <si>
    <t>Outcome &amp; Letters — Consequence Decisions, Letter Tracking, Appeal Management</t>
  </si>
  <si>
    <t>One row per incident outcome. Appeal deadlines auto-calculate. ⚙ Appeal Response Due auto-calculates from filing date. Never miss a deadline.</t>
  </si>
  <si>
    <t>LETTER TEMPLATE PROMPTS: Note key points in col U. Admin drafts final letter using these bullet points. Keeps letters consistent and legally sound.</t>
  </si>
  <si>
    <t>Investigation Finding</t>
  </si>
  <si>
    <t>⚙ Consequence Duration (days)</t>
  </si>
  <si>
    <t>Outcome Letter Drafted?</t>
  </si>
  <si>
    <t>Letter Date Sent</t>
  </si>
  <si>
    <t>Letter Method</t>
  </si>
  <si>
    <t>⚙ Appeal Deadline (21 days from consequence)</t>
  </si>
  <si>
    <t>Appeal Date Filed</t>
  </si>
  <si>
    <t>⚙ Appeal Response Due</t>
  </si>
  <si>
    <t>Hearing Scheduled?</t>
  </si>
  <si>
    <t>Hearing Date</t>
  </si>
  <si>
    <t>⚙ Final Status</t>
  </si>
  <si>
    <t>Letter Notes / Draft Key Points</t>
  </si>
  <si>
    <t>Admin Initials</t>
  </si>
  <si>
    <t>OffenseCategories</t>
  </si>
  <si>
    <t>TecReferences</t>
  </si>
  <si>
    <t>IncidentLocations</t>
  </si>
  <si>
    <t>InvestigationStatus</t>
  </si>
  <si>
    <t>ConsequenceTypes</t>
  </si>
  <si>
    <t>YesNo</t>
  </si>
  <si>
    <t>YesNoNA</t>
  </si>
  <si>
    <t>YesNoPending</t>
  </si>
  <si>
    <t>SpedStatus</t>
  </si>
  <si>
    <t>StaffRoles</t>
  </si>
  <si>
    <t>ContactMethods</t>
  </si>
  <si>
    <t>ContactPurpose</t>
  </si>
  <si>
    <t>EvidenceTypes</t>
  </si>
  <si>
    <t>CustodyStatus</t>
  </si>
  <si>
    <t>AppealStatus</t>
  </si>
  <si>
    <t>InvFindings</t>
  </si>
  <si>
    <t>DaysOfWeek</t>
  </si>
  <si>
    <t>Grades</t>
  </si>
  <si>
    <t>RiskFlags</t>
  </si>
  <si>
    <t>ScriptKeys</t>
  </si>
  <si>
    <t>ScriptValues</t>
  </si>
  <si>
    <t>Note Types</t>
  </si>
  <si>
    <t>Assault — Bodily Injury</t>
  </si>
  <si>
    <t>TEC §37.002 — Teacher Removal</t>
  </si>
  <si>
    <t>Classroom</t>
  </si>
  <si>
    <t>Open</t>
  </si>
  <si>
    <t>Verbal Warning</t>
  </si>
  <si>
    <t>Yes</t>
  </si>
  <si>
    <t>No</t>
  </si>
  <si>
    <t>Principal</t>
  </si>
  <si>
    <t>Phone Call</t>
  </si>
  <si>
    <t>TEC-Required — Suspension Notice</t>
  </si>
  <si>
    <t>Video Footage — Campus Camera</t>
  </si>
  <si>
    <t>Secured — Admin Office</t>
  </si>
  <si>
    <t>Not Filed</t>
  </si>
  <si>
    <t>Substantiated — Student Responsible</t>
  </si>
  <si>
    <t>Monday</t>
  </si>
  <si>
    <t>PK</t>
  </si>
  <si>
    <t>None</t>
  </si>
  <si>
    <t>Opening: 'Hello [Parent Name], this is [Admin Name] at [School]. I'm calling today regarding a serious incident involving [Student Name]. I want to make sure you have accurate information directly from us.' | Share: Date, time, location, what occurred (factual — no speculation). | Required: 'We are required to notify you of this incident. [Student] is currently [safe/receiving medical attention/in the office].' | Do NOT say: who started it, what the consequence is before the investigation is complete, other students' names. | Close: 'I will follow up with you within 24 hours once our investigation is complete. Do you have any immediate concerns for [Student]'s safety?' | Document: Time called, name of person reached, what was shared, any commitments made.</t>
  </si>
  <si>
    <t>Witness Interview — Student</t>
  </si>
  <si>
    <t>Assault — Threat / Fear</t>
  </si>
  <si>
    <t>Hallway</t>
  </si>
  <si>
    <t>Parent Contact Only</t>
  </si>
  <si>
    <t>IEP — IDEA</t>
  </si>
  <si>
    <t>AP</t>
  </si>
  <si>
    <t>Voicemail Left</t>
  </si>
  <si>
    <t>TEC-Required — DAEP Placement Notice</t>
  </si>
  <si>
    <t>Video Footage — Personal Device</t>
  </si>
  <si>
    <t>Secured — Safe</t>
  </si>
  <si>
    <t>Filed — Campus Level</t>
  </si>
  <si>
    <t>Substantiated — Partial (mitigating factors noted)</t>
  </si>
  <si>
    <t>Tuesday</t>
  </si>
  <si>
    <t>KG</t>
  </si>
  <si>
    <t>Repeat Offender — 3+ incidents (90 days)</t>
  </si>
  <si>
    <t>Fighting</t>
  </si>
  <si>
    <t>Opening: 'Hello [Parent Name], this is [Admin Name] at [School]. I'm calling to notify you of an incident today involving [Student Name].' | Share: That a physical altercation occurred, date, time, location. No names of other students. | Required: 'Both students have been separated and are safe. We are conducting an investigation now.' | Do NOT say: who started it, the other student's name, what the consequence will be. | Close: 'I will call you again once we have completed our review, which will be by [date]. Is there anything you need from us right now?' | Document: Time, contact name, what was shared.</t>
  </si>
  <si>
    <t>Witness Interview — Staff</t>
  </si>
  <si>
    <t>Bullying / Cyberbullying</t>
  </si>
  <si>
    <t>TEC §37.006(a) — Mandatory DAEP</t>
  </si>
  <si>
    <t>Cafeteria</t>
  </si>
  <si>
    <t>Detention</t>
  </si>
  <si>
    <t>N/A</t>
  </si>
  <si>
    <t>Pending</t>
  </si>
  <si>
    <t>504 Plan</t>
  </si>
  <si>
    <t>Dean of Students</t>
  </si>
  <si>
    <t>Email</t>
  </si>
  <si>
    <t>TEC-Required — Expulsion Notice</t>
  </si>
  <si>
    <t>Screenshot — Social Media / Text</t>
  </si>
  <si>
    <t>Submitted to Law Enforcement</t>
  </si>
  <si>
    <t>Scheduled — Campus Hearing</t>
  </si>
  <si>
    <t>Unsubstantiated — Insufficient Evidence</t>
  </si>
  <si>
    <t>Wednesday</t>
  </si>
  <si>
    <t>1</t>
  </si>
  <si>
    <t>Repeat — Same Offense (30 days)</t>
  </si>
  <si>
    <t>Opening: 'Hello [Parent Name], this is [Admin Name] at [School]. I'm calling regarding a bullying report that involves [Student Name].' | If calling parent of target: 'We take this very seriously and want you to know we are actively investigating.' | If calling parent of alleged bully: 'We have received a report and are required to investigate. [Student] will have the opportunity to share their perspective.' | Required: 'Texas law requires us to investigate all bullying reports and notify both families.' | Do NOT say: the other student's name, what the outcome will be, who made the report. | Close: 'We will complete our review within [X days] and contact you with our findings.' | Document: Role (target/alleged), contact name, what was shared.</t>
  </si>
  <si>
    <t>Witness Interview — Other Adult</t>
  </si>
  <si>
    <t>Controlled Substance — Possession</t>
  </si>
  <si>
    <t>TEC §37.006(a)(2) — Assault on Staff</t>
  </si>
  <si>
    <t>Gymnasium</t>
  </si>
  <si>
    <t>ISS — 1 Day</t>
  </si>
  <si>
    <t>ARD Required</t>
  </si>
  <si>
    <t>Counselor</t>
  </si>
  <si>
    <t>In-Person Meeting</t>
  </si>
  <si>
    <t>TEC-Required — Conference Scheduling</t>
  </si>
  <si>
    <t>Physical Item — Weapon</t>
  </si>
  <si>
    <t>Returned to Student</t>
  </si>
  <si>
    <t>Appealed — District Level</t>
  </si>
  <si>
    <t>Unfounded — Did Not Occur</t>
  </si>
  <si>
    <t>Thursday</t>
  </si>
  <si>
    <t>2</t>
  </si>
  <si>
    <t>SPED — Approaching 10-Day Limit</t>
  </si>
  <si>
    <t>Opening: 'Hello [Parent Name], this is [Admin Name] at [School]. I need to speak with you urgently regarding [Student Name].' | Share: Date, time, what was discovered (be specific — type of substance if known). | Required: 'Under Texas law, possession of a controlled substance on school property requires mandatory DAEP placement. I am required to notify you today.' | Required: 'A conference must be held before placement. Can you come in today or tomorrow?' | Do NOT say: who reported it, other students involved. | Close: 'I need you to come in for a required conference. What time works — morning or afternoon?' | Document: Time, name, substance type shared, conference scheduled for [date/time].</t>
  </si>
  <si>
    <t>Subject Interview — Student</t>
  </si>
  <si>
    <t>Controlled Substance — Distribution</t>
  </si>
  <si>
    <t>TEC §37.006(b) — Drug/Alcohol</t>
  </si>
  <si>
    <t>Restroom</t>
  </si>
  <si>
    <t>Closed</t>
  </si>
  <si>
    <t>ISS — 2 Days</t>
  </si>
  <si>
    <t>Evaluation Pending</t>
  </si>
  <si>
    <t>CBC</t>
  </si>
  <si>
    <t>Written Notice</t>
  </si>
  <si>
    <t>Voluntary — Incident Notification</t>
  </si>
  <si>
    <t>Physical Item — Substance</t>
  </si>
  <si>
    <t>Returned to Parent</t>
  </si>
  <si>
    <t>Board Review</t>
  </si>
  <si>
    <t>Self-Defense — Affirmative Defense Applied</t>
  </si>
  <si>
    <t>Friday</t>
  </si>
  <si>
    <t>3</t>
  </si>
  <si>
    <t>SPED — MDR Required</t>
  </si>
  <si>
    <t>Dangerous Weapon</t>
  </si>
  <si>
    <t>Opening: 'Hello [Parent Name], this is [Admin Name] at [School]. I'm calling regarding a serious safety matter involving [Student Name].' | Share: A weapon was found/reported. Type if known. Date, time, location. | Required: 'Law enforcement has been [notified/is on campus]. This triggers mandatory DAEP placement under Texas law.' | Required: 'I need you to come to the campus today. A required conference must happen before any placement.' | Do NOT say: what will happen at the conference, other students' names, outcome before investigation. | Close: 'I need you here as soon as possible. Can you be here within [X hours]?' | Document: Time, contact name, law enforcement status disclosed, conference time.</t>
  </si>
  <si>
    <t>Evidence Review Note</t>
  </si>
  <si>
    <t>TEC §37.006(c) — Retaliation</t>
  </si>
  <si>
    <t>Parking Lot</t>
  </si>
  <si>
    <t>ISS — 3 Days</t>
  </si>
  <si>
    <t>Teacher</t>
  </si>
  <si>
    <t>Text/Portal</t>
  </si>
  <si>
    <t>Voluntary — Follow-Up</t>
  </si>
  <si>
    <t>Physical Item — Property</t>
  </si>
  <si>
    <t>Destroyed per Policy</t>
  </si>
  <si>
    <t>Resolved — Upheld</t>
  </si>
  <si>
    <t>Pending — Investigation Continuing</t>
  </si>
  <si>
    <t>4</t>
  </si>
  <si>
    <t>Legal Hold Active</t>
  </si>
  <si>
    <t>Terroristic Threat</t>
  </si>
  <si>
    <t>Opening: 'Hello [Parent Name], this is [Admin Name] at [School]. I'm calling regarding a very serious matter involving [Student Name] that requires your immediate attention.' | Share: A threat was reported today. Date, time. Campus safety team is responding. | Required: 'We are required to conduct a threat assessment and have notified law enforcement.' | Required: '[Student] is currently [in the office/secured/etc.] and is safe.' | Do NOT say: specifics of the threat content, other students' names, outcome. | Close: 'I need you at the campus immediately. This is a required conference. How soon can you arrive?' | Document: Time, contact name, law enforcement status, arrival time committed.</t>
  </si>
  <si>
    <t>Administrative Observation</t>
  </si>
  <si>
    <t>Defiance / Insubordination</t>
  </si>
  <si>
    <t>TEC §37.007(a) — Discretionary DAEP</t>
  </si>
  <si>
    <t>Bus / Bus Stop</t>
  </si>
  <si>
    <t>OSS — 1 Day</t>
  </si>
  <si>
    <t>SRO</t>
  </si>
  <si>
    <t>Voluntary — Re-Entry Conference</t>
  </si>
  <si>
    <t>Written Statement — Student</t>
  </si>
  <si>
    <t>Other</t>
  </si>
  <si>
    <t>Resolved — Modified</t>
  </si>
  <si>
    <t>5</t>
  </si>
  <si>
    <t>Harassment</t>
  </si>
  <si>
    <t>Opening: 'Hello [Parent Name], this is [Admin Name] at [School]. I'm calling to notify you of an incident reported today involving [Student Name].' | If calling parent of target: 'A report of harassment was made. We are investigating and take this seriously.' | If calling parent of alleged: 'A report has been filed that we are required to investigate. [Student] will be interviewed as part of our process.' | Do NOT say: the other student's name, outcome, who filed the report. | Close: 'Our investigation will be complete by [date]. I will follow up with you directly.' | Document: Role, contact name, what was shared.</t>
  </si>
  <si>
    <t>Parent Contact Note</t>
  </si>
  <si>
    <t>Disruption of Class</t>
  </si>
  <si>
    <t>TEC §37.007(b) — Off-Campus Felony</t>
  </si>
  <si>
    <t>Athletic Field</t>
  </si>
  <si>
    <t>OSS — 2 Days</t>
  </si>
  <si>
    <t>Voluntary — Behavior Concern</t>
  </si>
  <si>
    <t>Written Statement — Witness</t>
  </si>
  <si>
    <t>Resolved — Overturned</t>
  </si>
  <si>
    <t>6</t>
  </si>
  <si>
    <t>Truancy / Attendance</t>
  </si>
  <si>
    <t>Opening: 'Hello [Parent Name], this is [Admin Name] at [School]. I'm calling regarding [Student Name]'s attendance record.' | Share: Number of absences this year/semester. Specific dates if relevant. | Required: 'Texas law requires us to notify you that [Student] has accumulated [X] unexcused absences. At 10 or more, we are required to refer to the county court.' | Collaborative: 'I want to work with you to understand what barriers are making it hard for [Student] to attend. Can we set up a meeting?' | Do NOT say: threat or blame before understanding barriers. | Close: 'I would like to schedule an attendance improvement meeting. When is a good time for you this week?' | Document: Number of absences disclosed, family barriers shared, meeting scheduled.</t>
  </si>
  <si>
    <t>Law Enforcement Coordination</t>
  </si>
  <si>
    <t>TEC §37.007(c) — Terroristic Threat</t>
  </si>
  <si>
    <t>Library</t>
  </si>
  <si>
    <t>OSS — 3 Days</t>
  </si>
  <si>
    <t>Response to Parent-Initiated Contact</t>
  </si>
  <si>
    <t>Written Statement — Staff</t>
  </si>
  <si>
    <t>7</t>
  </si>
  <si>
    <t>Vandalism / Property Damage</t>
  </si>
  <si>
    <t>Opening: 'Hello [Parent Name], this is [Admin Name] at [School]. I'm calling about an incident of property damage on campus involving [Student Name].' | Share: What was damaged, estimated value if known, date/time. | Required: '[Student] may be responsible for restitution for the cost of repair/replacement.' | Process: 'We are completing our investigation. Once we confirm responsibility, we will discuss next steps including consequences and restitution.' | Close: 'I will contact you again by [date] with our finding. Do you have any questions?' | Document: Damage described, restitution mentioned, contact name.</t>
  </si>
  <si>
    <t>SPED Coordinator Consultation</t>
  </si>
  <si>
    <t>Firearm</t>
  </si>
  <si>
    <t>TEC §37.007(e)(1) — Firearm (Mandatory Expulsion)</t>
  </si>
  <si>
    <t>Off Campus — School-Sponsored Event</t>
  </si>
  <si>
    <t>DAEP — Discretionary</t>
  </si>
  <si>
    <t>Medical Report</t>
  </si>
  <si>
    <t>8</t>
  </si>
  <si>
    <t>Theft</t>
  </si>
  <si>
    <t>Opening: 'Hello [Parent Name], this is [Admin Name] at [School]. I'm calling regarding a theft report involving [Student Name].' | Share: General description of what occurred, date, location. | Process: 'We are investigating and interviewing students. [Student] will have the opportunity to share their side.' | Required: 'If responsibility is confirmed, restitution and a consequence under our code of conduct will be required.' | Close: 'I will follow up with you by [date] with our finding.' | Document: What was described, contact name.</t>
  </si>
  <si>
    <t>Legal Counsel</t>
  </si>
  <si>
    <t>TEC §37.0012 — CBC Review Required</t>
  </si>
  <si>
    <t>Off Campus — Other</t>
  </si>
  <si>
    <t>DAEP — Mandatory</t>
  </si>
  <si>
    <t>Police Report</t>
  </si>
  <si>
    <t>9</t>
  </si>
  <si>
    <t>Sexual Harassment / Misconduct</t>
  </si>
  <si>
    <t>Opening: 'Hello [Parent Name], this is [Admin Name] at [School]. I need to speak with you about a serious matter involving [Student Name].' | Required: 'Our school is required under Title IX and Texas law to investigate all reports of sexual harassment or misconduct.' | If calling parent of target: 'A report was made. We are committed to taking this seriously and completing a thorough investigation. [Student]'s safety is our priority.' | If calling parent of alleged: 'A report has been filed. [Student] will have the opportunity to respond during the investigation.' | Do NOT say: details of the allegation, the other student's name, outcome. | Required: 'A Title IX coordinator is involved in this investigation.' | Document: Role, Title IX coordinator involvement disclosed, contact name.</t>
  </si>
  <si>
    <t>TEC §37.0832 — Bullying</t>
  </si>
  <si>
    <t>Online / Social Media</t>
  </si>
  <si>
    <t>Expulsion Referral</t>
  </si>
  <si>
    <t>Search Record</t>
  </si>
  <si>
    <t>10</t>
  </si>
  <si>
    <t>Opening: 'Hello [Parent Name], this is [Admin Name] at [School]. I'm calling about a behavioral incident today with [Student Name].' | Share: General description — refused to follow staff direction, specific location and time. | Collaborative: 'I want to share what happened and also hear from you about anything that may be going on with [Student] that I should know.' | Process: 'We have assigned [consequence]. I want to make sure we are working together so this doesn't continue.' | Close: 'Is there anything at home I should be aware of? And can we agree to follow up in [X days] to see how [Student] is doing?' | Document: Consequence mentioned, family context shared, follow-up committed.</t>
  </si>
  <si>
    <t>Campus Code of Conduct</t>
  </si>
  <si>
    <t>Law Enforcement Referral</t>
  </si>
  <si>
    <t>Photograph</t>
  </si>
  <si>
    <t>11</t>
  </si>
  <si>
    <t>Opening: 'Hello [Parent Name], this is [Admin Name] at [School]. I'm calling about a classroom disruption today involving [Student Name].' | Share: Class period, general nature of disruption, teacher name. | Collaborative: 'I want to loop you in so we can address this together before it becomes a pattern.' | Process: 'Today's consequence is [X]. I'm asking for your support in reinforcing expectations at home.' | Close: 'What questions do you have? Is there anything going on that might be affecting [Student]'s behavior?' | Document: Consequence mentioned, parent response.</t>
  </si>
  <si>
    <t>12</t>
  </si>
  <si>
    <t>Tobacco / E-Cigarette / Vaping</t>
  </si>
  <si>
    <t>Opening: 'Hello [Parent Name], this is [Admin Name] at [School]. I'm calling about a vaping/tobacco violation today involving [Student Name].' | Share: What was confiscated, location, time. | Required: '[Item] has been confiscated per campus policy. It will not be returned.' | Process: 'The consequence for this first offense is [X]. This is documented in [Student]'s discipline record.' | Health note: 'I would encourage a conversation at home about the health risks — nicotine addiction is a real concern at this age.' | Close: 'Do you have questions about the consequence or next steps?' | Document: Item confiscated, consequence, contact name.</t>
  </si>
  <si>
    <t>No Action — Self-Defense</t>
  </si>
  <si>
    <t>Other — Campus Policy</t>
  </si>
  <si>
    <t>Opening: 'Hello [Parent Name], this is [Admin Name] at [School]. I'm calling to notify you of a behavioral incident involving [Student Name].' | Share: Brief description, date, time, location. | Process: 'We are/have [investigated / assigned consequence / scheduled a conference].' | Collaborative: 'I want to keep you informed and make sure we are working together to support [Student].' | Close: 'Do you have questions? When can you be available for a follow-up conversation if needed?' | Document: What was shared, parent response, follow-up agreed.</t>
  </si>
  <si>
    <t>Alternative Consequence (see notes)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</si>
</sst>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hh:mm"/>
  </numFmts>
  <fonts count="48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sz val="10"/>
      <color rgb="FFFFFFFF"/>
      <name val="Calibri"/>
      <charset val="1"/>
    </font>
    <font>
      <b/>
      <sz val="13"/>
      <color rgb="FF4B2D7F"/>
      <name val="Calibri"/>
      <charset val="1"/>
    </font>
    <font>
      <sz val="10"/>
      <color rgb="FF444444"/>
      <name val="Calibri"/>
      <charset val="1"/>
    </font>
    <font>
      <b/>
      <sz val="11"/>
      <color rgb="FFFFFFFF"/>
      <name val="Calibri"/>
      <charset val="1"/>
    </font>
    <font>
      <b/>
      <sz val="10"/>
      <color rgb="FF4B2D7F"/>
      <name val="Calibri"/>
      <charset val="1"/>
    </font>
    <font>
      <sz val="10"/>
      <color rgb="FF1A1A2E"/>
      <name val="Calibri"/>
      <charset val="1"/>
    </font>
    <font>
      <b/>
      <sz val="9"/>
      <color rgb="FFFFFFFF"/>
      <name val="Calibri"/>
      <charset val="1"/>
    </font>
    <font>
      <sz val="9"/>
      <color rgb="FF1A1A2E"/>
      <name val="Calibri"/>
      <charset val="1"/>
    </font>
    <font>
      <b/>
      <sz val="14"/>
      <color rgb="FFFFFFFF"/>
      <name val="Calibri"/>
      <charset val="1"/>
    </font>
    <font>
      <sz val="9"/>
      <color rgb="FF4B2D7F"/>
      <name val="Calibri"/>
      <charset val="1"/>
    </font>
    <font>
      <sz val="8"/>
      <color rgb="FF4B2D7F"/>
      <name val="Calibri"/>
      <charset val="1"/>
    </font>
    <font>
      <i/>
      <sz val="9"/>
      <color rgb="FF888888"/>
      <name val="Calibri"/>
      <charset val="1"/>
    </font>
    <font>
      <b/>
      <sz val="20"/>
      <color rgb="FFFFFFFF"/>
      <name val="Calibri"/>
      <charset val="1"/>
    </font>
    <font>
      <i/>
      <sz val="11"/>
      <color rgb="FF4B2D7F"/>
      <name val="Calibri"/>
      <charset val="1"/>
    </font>
    <font>
      <b/>
      <sz val="12"/>
      <color rgb="FFFFFFFF"/>
      <name val="Calibri"/>
      <charset val="1"/>
    </font>
    <font>
      <sz val="11"/>
      <color rgb="FF222222"/>
      <name val="Calibri"/>
      <charset val="1"/>
    </font>
    <font>
      <b/>
      <sz val="18"/>
      <color rgb="FFC0392B"/>
      <name val="Calibri"/>
      <charset val="1"/>
    </font>
    <font>
      <b/>
      <sz val="18"/>
      <color rgb="FFE8650A"/>
      <name val="Calibri"/>
      <charset val="1"/>
    </font>
    <font>
      <b/>
      <sz val="18"/>
      <color rgb="FFF4A620"/>
      <name val="Calibri"/>
      <charset val="1"/>
    </font>
    <font>
      <b/>
      <sz val="18"/>
      <color rgb="FF0E7490"/>
      <name val="Calibri"/>
      <charset val="1"/>
    </font>
    <font>
      <b/>
      <sz val="18"/>
      <color rgb="FF1E8449"/>
      <name val="Calibri"/>
      <charset val="1"/>
    </font>
    <font>
      <b/>
      <sz val="18"/>
      <color rgb="FF6B4BA1"/>
      <name val="Calibri"/>
      <charset val="1"/>
    </font>
    <font>
      <b/>
      <sz val="18"/>
      <color rgb="FF4B2D7F"/>
      <name val="Calibri"/>
      <charset val="1"/>
    </font>
    <font>
      <sz val="8"/>
      <color rgb="FFC0392B"/>
      <name val="Calibri"/>
      <charset val="1"/>
    </font>
    <font>
      <i/>
      <sz val="8"/>
      <color rgb="FF4B2D7F"/>
      <name val="Calibri"/>
      <charset val="1"/>
    </font>
    <font>
      <b/>
      <sz val="16"/>
      <color rgb="FFFFFFFF"/>
      <name val="Calibri"/>
      <charset val="1"/>
    </font>
    <font>
      <i/>
      <sz val="10"/>
      <color rgb="FF4B2D7F"/>
      <name val="Calibri"/>
      <charset val="1"/>
    </font>
    <font>
      <sz val="11"/>
      <color rgb="FF1A1A2E"/>
      <name val="Calibri"/>
      <charset val="1"/>
    </font>
    <font>
      <b/>
      <sz val="14"/>
      <color rgb="FF4B2D7F"/>
      <name val="Calibri"/>
      <charset val="1"/>
    </font>
    <font>
      <b/>
      <sz val="13"/>
      <color rgb="FFE8650A"/>
      <name val="Calibri"/>
      <charset val="1"/>
    </font>
    <font>
      <b/>
      <sz val="13"/>
      <color rgb="FF0E7490"/>
      <name val="Calibri"/>
      <charset val="1"/>
    </font>
    <font>
      <b/>
      <sz val="13"/>
      <color rgb="FFC0392B"/>
      <name val="Calibri"/>
      <charset val="1"/>
    </font>
    <font>
      <b/>
      <sz val="13"/>
      <color rgb="FF6B4BA1"/>
      <name val="Calibri"/>
      <charset val="1"/>
    </font>
    <font>
      <b/>
      <sz val="14"/>
      <color rgb="FFC0392B"/>
      <name val="Calibri"/>
      <charset val="1"/>
    </font>
    <font>
      <b/>
      <sz val="14"/>
      <color rgb="FFE8650A"/>
      <name val="Calibri"/>
      <charset val="1"/>
    </font>
    <font>
      <sz val="10"/>
      <color rgb="FF222222"/>
      <name val="Calibri"/>
      <charset val="1"/>
    </font>
    <font>
      <b/>
      <sz val="11"/>
      <color rgb="FF4B2D7F"/>
      <name val="Calibri"/>
      <charset val="1"/>
    </font>
    <font>
      <b/>
      <sz val="10"/>
      <color rgb="FFFFFFFF"/>
      <name val="Calibri"/>
      <charset val="1"/>
    </font>
    <font>
      <sz val="8"/>
      <color rgb="FFFFFFFF"/>
      <name val="Calibri"/>
      <charset val="1"/>
    </font>
    <font>
      <b/>
      <sz val="13"/>
      <color rgb="FFFFFFFF"/>
      <name val="Calibri"/>
      <charset val="1"/>
    </font>
    <font>
      <b/>
      <sz val="9"/>
      <color rgb="FF4B2D7F"/>
      <name val="Calibri"/>
      <charset val="1"/>
    </font>
    <font>
      <sz val="11"/>
      <color rgb="FFFFFFFF"/>
      <name val="Calibri"/>
      <charset val="1"/>
    </font>
    <font>
      <b/>
      <sz val="12"/>
      <color rgb="FF4B2D7F"/>
      <name val="Calibri"/>
      <charset val="1"/>
    </font>
    <font>
      <sz val="10"/>
      <color rgb="FF1E8449"/>
      <name val="Calibri"/>
      <charset val="1"/>
    </font>
    <font>
      <sz val="10"/>
      <color rgb="FFC0392B"/>
      <name val="Calibri"/>
      <charset val="1"/>
    </font>
    <font>
      <sz val="10"/>
      <color rgb="FF4B2D7F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rgb="FF4B2D7F"/>
        <bgColor rgb="FF444444"/>
      </patternFill>
    </fill>
    <fill>
      <patternFill patternType="solid">
        <fgColor rgb="FFE8650A"/>
        <bgColor rgb="FFC0392B"/>
      </patternFill>
    </fill>
    <fill>
      <patternFill patternType="solid">
        <fgColor rgb="FFEDE7F6"/>
        <bgColor rgb="FFF0F0F0"/>
      </patternFill>
    </fill>
    <fill>
      <patternFill patternType="solid">
        <fgColor rgb="FFFAFAFA"/>
        <bgColor rgb="FFF8F5FF"/>
      </patternFill>
    </fill>
    <fill>
      <patternFill patternType="solid">
        <fgColor rgb="FFFFFFFF"/>
        <bgColor rgb="FFFAFAFA"/>
      </patternFill>
    </fill>
    <fill>
      <patternFill patternType="solid">
        <fgColor rgb="FF6B4BA1"/>
        <bgColor rgb="FF4B2D7F"/>
      </patternFill>
    </fill>
    <fill>
      <patternFill patternType="solid">
        <fgColor rgb="FFC0392B"/>
        <bgColor rgb="FF993366"/>
      </patternFill>
    </fill>
    <fill>
      <patternFill patternType="solid">
        <fgColor rgb="FFFDE8D8"/>
        <bgColor rgb="FFFDECEA"/>
      </patternFill>
    </fill>
    <fill>
      <patternFill patternType="solid">
        <fgColor rgb="FFF0F0F0"/>
        <bgColor rgb="FFF5F0FF"/>
      </patternFill>
    </fill>
    <fill>
      <patternFill patternType="solid">
        <fgColor rgb="FF0E7490"/>
        <bgColor rgb="FF008080"/>
      </patternFill>
    </fill>
    <fill>
      <patternFill patternType="solid">
        <fgColor rgb="FF392B22"/>
        <bgColor rgb="FF222222"/>
      </patternFill>
    </fill>
    <fill>
      <patternFill patternType="solid">
        <fgColor rgb="FF1E8449"/>
        <bgColor rgb="FF008080"/>
      </patternFill>
    </fill>
    <fill>
      <patternFill patternType="solid">
        <fgColor rgb="FFF4A620"/>
        <bgColor rgb="FFFFCC00"/>
      </patternFill>
    </fill>
    <fill>
      <patternFill patternType="solid">
        <fgColor rgb="FFFDECEA"/>
        <bgColor rgb="FFFDE8D8"/>
      </patternFill>
    </fill>
    <fill>
      <patternFill patternType="solid">
        <fgColor rgb="FFF8F5FF"/>
        <bgColor rgb="FFF5F0FF"/>
      </patternFill>
    </fill>
    <fill>
      <patternFill patternType="solid">
        <fgColor rgb="FFF5F0FF"/>
        <bgColor rgb="FFF8F5FF"/>
      </patternFill>
    </fill>
  </fills>
  <borders count="6">
    <border>
      <left/>
      <right/>
      <top/>
      <bottom/>
      <diagonal/>
    </border>
    <border>
      <left style="thin">
        <color rgb="FFD4C8F0"/>
      </left>
      <right style="thin">
        <color rgb="FFD4C8F0"/>
      </right>
      <top style="thin">
        <color rgb="FFD4C8F0"/>
      </top>
      <bottom style="thin">
        <color rgb="FFD4C8F0"/>
      </bottom>
      <diagonal/>
    </border>
    <border>
      <left style="thin">
        <color rgb="FFD4C8F0"/>
      </left>
      <right style="thin">
        <color rgb="FFD4C8F0"/>
      </right>
      <top/>
      <bottom style="medium">
        <color rgb="FF4B2D7F"/>
      </bottom>
      <diagonal/>
    </border>
    <border>
      <left style="thin">
        <color rgb="FF4B2D7F"/>
      </left>
      <right style="thin">
        <color rgb="FF4B2D7F"/>
      </right>
      <top style="thin">
        <color rgb="FF4B2D7F"/>
      </top>
      <bottom style="thin">
        <color rgb="FF4B2D7F"/>
      </bottom>
      <diagonal/>
    </border>
    <border>
      <left/>
      <right/>
      <top style="thin">
        <color rgb="FF4B2D7F"/>
      </top>
      <bottom style="thin">
        <color rgb="FF4B2D7F"/>
      </bottom>
      <diagonal/>
    </border>
    <border>
      <left/>
      <right style="thin">
        <color rgb="FF4B2D7F"/>
      </right>
      <top style="thin">
        <color rgb="FF4B2D7F"/>
      </top>
      <bottom style="thin">
        <color rgb="FF4B2D7F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6" fillId="4" borderId="1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left" vertical="center" wrapText="1"/>
    </xf>
    <xf numFmtId="165" fontId="9" fillId="6" borderId="1" xfId="0" applyNumberFormat="1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1" fontId="13" fillId="10" borderId="1" xfId="0" applyNumberFormat="1" applyFont="1" applyFill="1" applyBorder="1" applyAlignment="1">
      <alignment horizontal="left" vertical="center" wrapText="1"/>
    </xf>
    <xf numFmtId="164" fontId="9" fillId="4" borderId="1" xfId="0" applyNumberFormat="1" applyFont="1" applyFill="1" applyBorder="1" applyAlignment="1">
      <alignment horizontal="left" vertical="center" wrapText="1"/>
    </xf>
    <xf numFmtId="165" fontId="9" fillId="4" borderId="1" xfId="0" applyNumberFormat="1" applyFont="1" applyFill="1" applyBorder="1" applyAlignment="1">
      <alignment horizontal="left" vertical="center" wrapText="1"/>
    </xf>
    <xf numFmtId="0" fontId="0" fillId="9" borderId="0" xfId="0" applyFill="1"/>
    <xf numFmtId="0" fontId="0" fillId="8" borderId="0" xfId="0" applyFill="1"/>
    <xf numFmtId="0" fontId="0" fillId="4" borderId="0" xfId="0" applyFill="1"/>
    <xf numFmtId="0" fontId="17" fillId="4" borderId="1" xfId="0" applyFont="1" applyFill="1" applyBorder="1" applyAlignment="1">
      <alignment horizontal="left" vertical="center" wrapText="1"/>
    </xf>
    <xf numFmtId="1" fontId="18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6" borderId="0" xfId="0" applyFill="1"/>
    <xf numFmtId="0" fontId="17" fillId="6" borderId="1" xfId="0" applyFont="1" applyFill="1" applyBorder="1" applyAlignment="1">
      <alignment horizontal="left" vertical="center" wrapText="1"/>
    </xf>
    <xf numFmtId="1" fontId="19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1" fontId="18" fillId="6" borderId="1" xfId="0" applyNumberFormat="1" applyFont="1" applyFill="1" applyBorder="1" applyAlignment="1">
      <alignment horizontal="center" vertical="center" wrapText="1"/>
    </xf>
    <xf numFmtId="1" fontId="19" fillId="4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" fontId="20" fillId="6" borderId="1" xfId="0" applyNumberFormat="1" applyFont="1" applyFill="1" applyBorder="1" applyAlignment="1">
      <alignment horizontal="center" vertical="center" wrapText="1"/>
    </xf>
    <xf numFmtId="1" fontId="21" fillId="4" borderId="1" xfId="0" applyNumberFormat="1" applyFont="1" applyFill="1" applyBorder="1" applyAlignment="1">
      <alignment horizontal="center" vertical="center" wrapText="1"/>
    </xf>
    <xf numFmtId="1" fontId="22" fillId="6" borderId="1" xfId="0" applyNumberFormat="1" applyFont="1" applyFill="1" applyBorder="1" applyAlignment="1">
      <alignment horizontal="center" vertical="center" wrapText="1"/>
    </xf>
    <xf numFmtId="1" fontId="23" fillId="4" borderId="1" xfId="0" applyNumberFormat="1" applyFont="1" applyFill="1" applyBorder="1" applyAlignment="1">
      <alignment horizontal="center" vertical="center" wrapText="1"/>
    </xf>
    <xf numFmtId="0" fontId="0" fillId="11" borderId="0" xfId="0" applyFill="1"/>
    <xf numFmtId="1" fontId="24" fillId="4" borderId="1" xfId="0" applyNumberFormat="1" applyFont="1" applyFill="1" applyBorder="1" applyAlignment="1">
      <alignment horizontal="center" vertical="center" wrapText="1"/>
    </xf>
    <xf numFmtId="1" fontId="21" fillId="6" borderId="1" xfId="0" applyNumberFormat="1" applyFont="1" applyFill="1" applyBorder="1" applyAlignment="1">
      <alignment horizontal="center" vertical="center" wrapText="1"/>
    </xf>
    <xf numFmtId="1" fontId="22" fillId="4" borderId="1" xfId="0" applyNumberFormat="1" applyFont="1" applyFill="1" applyBorder="1" applyAlignment="1">
      <alignment horizontal="center" vertical="center" wrapText="1"/>
    </xf>
    <xf numFmtId="1" fontId="24" fillId="6" borderId="1" xfId="0" applyNumberFormat="1" applyFont="1" applyFill="1" applyBorder="1" applyAlignment="1">
      <alignment horizontal="center" vertical="center" wrapText="1"/>
    </xf>
    <xf numFmtId="1" fontId="20" fillId="4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8" fillId="8" borderId="3" xfId="0" applyFont="1" applyFill="1" applyBorder="1" applyAlignment="1">
      <alignment horizontal="center" vertical="center" wrapText="1"/>
    </xf>
    <xf numFmtId="164" fontId="13" fillId="10" borderId="1" xfId="0" applyNumberFormat="1" applyFont="1" applyFill="1" applyBorder="1" applyAlignment="1">
      <alignment horizontal="left" vertical="center" wrapText="1"/>
    </xf>
    <xf numFmtId="0" fontId="26" fillId="16" borderId="1" xfId="0" applyFont="1" applyFill="1" applyBorder="1" applyAlignment="1">
      <alignment horizontal="left" vertical="top" wrapText="1"/>
    </xf>
    <xf numFmtId="0" fontId="26" fillId="17" borderId="1" xfId="0" applyFont="1" applyFill="1" applyBorder="1" applyAlignment="1">
      <alignment horizontal="left" vertical="top" wrapText="1"/>
    </xf>
    <xf numFmtId="0" fontId="29" fillId="4" borderId="1" xfId="0" applyFont="1" applyFill="1" applyBorder="1" applyAlignment="1">
      <alignment horizontal="left" vertical="center" wrapText="1"/>
    </xf>
    <xf numFmtId="1" fontId="30" fillId="4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left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1" fontId="31" fillId="4" borderId="1" xfId="0" applyNumberFormat="1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 wrapText="1"/>
    </xf>
    <xf numFmtId="1" fontId="32" fillId="6" borderId="1" xfId="0" applyNumberFormat="1" applyFont="1" applyFill="1" applyBorder="1" applyAlignment="1">
      <alignment horizontal="center" vertical="center" wrapText="1"/>
    </xf>
    <xf numFmtId="1" fontId="32" fillId="4" borderId="1" xfId="0" applyNumberFormat="1" applyFont="1" applyFill="1" applyBorder="1" applyAlignment="1">
      <alignment horizontal="center" vertical="center" wrapText="1"/>
    </xf>
    <xf numFmtId="1" fontId="33" fillId="4" borderId="1" xfId="0" applyNumberFormat="1" applyFont="1" applyFill="1" applyBorder="1" applyAlignment="1">
      <alignment horizontal="center" vertical="center" wrapText="1"/>
    </xf>
    <xf numFmtId="1" fontId="33" fillId="6" borderId="1" xfId="0" applyNumberFormat="1" applyFont="1" applyFill="1" applyBorder="1" applyAlignment="1">
      <alignment horizontal="center" vertical="center" wrapText="1"/>
    </xf>
    <xf numFmtId="1" fontId="34" fillId="4" borderId="1" xfId="0" applyNumberFormat="1" applyFont="1" applyFill="1" applyBorder="1" applyAlignment="1">
      <alignment horizontal="center" vertical="center" wrapText="1"/>
    </xf>
    <xf numFmtId="1" fontId="34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1" fontId="35" fillId="4" borderId="1" xfId="0" applyNumberFormat="1" applyFont="1" applyFill="1" applyBorder="1" applyAlignment="1">
      <alignment horizontal="center" vertical="center" wrapText="1"/>
    </xf>
    <xf numFmtId="1" fontId="36" fillId="6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37" fillId="6" borderId="1" xfId="0" applyFont="1" applyFill="1" applyBorder="1" applyAlignment="1">
      <alignment horizontal="left" vertical="center" wrapText="1"/>
    </xf>
    <xf numFmtId="1" fontId="38" fillId="6" borderId="1" xfId="0" applyNumberFormat="1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left" vertical="center" wrapText="1"/>
    </xf>
    <xf numFmtId="1" fontId="38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42" fillId="4" borderId="1" xfId="0" applyFont="1" applyFill="1" applyBorder="1" applyAlignment="1">
      <alignment horizontal="left" vertical="center" wrapText="1"/>
    </xf>
    <xf numFmtId="0" fontId="42" fillId="6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 wrapText="1"/>
    </xf>
    <xf numFmtId="0" fontId="45" fillId="9" borderId="1" xfId="0" applyFont="1" applyFill="1" applyBorder="1" applyAlignment="1">
      <alignment horizontal="center" vertical="center" wrapText="1"/>
    </xf>
    <xf numFmtId="0" fontId="46" fillId="6" borderId="1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8" fillId="2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25" fillId="15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2" fillId="15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0" fontId="40" fillId="11" borderId="0" xfId="0" applyFont="1" applyFill="1" applyAlignment="1">
      <alignment horizontal="center" vertical="center" wrapText="1"/>
    </xf>
    <xf numFmtId="0" fontId="41" fillId="2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4" fillId="4" borderId="0" xfId="0" applyFont="1" applyFill="1" applyAlignment="1">
      <alignment horizontal="center" vertical="center" wrapText="1"/>
    </xf>
    <xf numFmtId="0" fontId="4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42">
    <dxf>
      <font>
        <b/>
        <color rgb="FF4B2D7F"/>
      </font>
      <fill>
        <patternFill>
          <bgColor rgb="FFF4A620"/>
        </patternFill>
      </fill>
    </dxf>
    <dxf>
      <font>
        <color rgb="FF1E8449"/>
      </font>
      <fill>
        <patternFill>
          <bgColor rgb="FFE9F7EF"/>
        </patternFill>
      </fill>
    </dxf>
    <dxf>
      <font>
        <b/>
        <color rgb="FFFFFFFF"/>
      </font>
      <fill>
        <patternFill>
          <bgColor rgb="FFE8650A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color rgb="FFC0392B"/>
      </font>
      <fill>
        <patternFill>
          <bgColor rgb="FFFDECEA"/>
        </patternFill>
      </fill>
    </dxf>
    <dxf>
      <font>
        <color rgb="FF4B2D7F"/>
      </font>
      <fill>
        <patternFill>
          <bgColor rgb="FFEDE7F6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color rgb="FF1E8449"/>
      </font>
      <fill>
        <patternFill>
          <bgColor rgb="FFE9F7EF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color rgb="FFE8650A"/>
      </font>
      <fill>
        <patternFill>
          <bgColor rgb="FFFDE8D8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color rgb="FF1E8449"/>
      </font>
      <fill>
        <patternFill>
          <bgColor rgb="FFE9F7EF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color rgb="FFFFFFFF"/>
      </font>
      <fill>
        <patternFill>
          <bgColor rgb="FF1E8449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b/>
        <color rgb="FFFFFFFF"/>
      </font>
      <fill>
        <patternFill>
          <bgColor rgb="FFE8650A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color rgb="FF1E8449"/>
      </font>
      <fill>
        <patternFill>
          <bgColor rgb="FFE9F7EF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b/>
        <color rgb="FFFFFFFF"/>
      </font>
      <fill>
        <patternFill>
          <bgColor rgb="FFE8650A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color rgb="FFFFFFFF"/>
      </font>
      <fill>
        <patternFill>
          <bgColor rgb="FF1E8449"/>
        </patternFill>
      </fill>
    </dxf>
    <dxf>
      <font>
        <color rgb="FFC0392B"/>
      </font>
      <fill>
        <patternFill>
          <bgColor rgb="FFFDECEA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color rgb="FF1E8449"/>
      </font>
      <fill>
        <patternFill>
          <bgColor rgb="FFE9F7EF"/>
        </patternFill>
      </fill>
    </dxf>
    <dxf>
      <font>
        <color rgb="FF888888"/>
      </font>
      <fill>
        <patternFill>
          <bgColor rgb="FFF0F0F0"/>
        </patternFill>
      </fill>
    </dxf>
    <dxf>
      <font>
        <color rgb="FFFFFFFF"/>
      </font>
      <fill>
        <patternFill>
          <bgColor rgb="FF1E8449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b/>
        <color rgb="FFFFFFFF"/>
      </font>
      <fill>
        <patternFill>
          <bgColor rgb="FFE8650A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color rgb="FF1E8449"/>
      </font>
      <fill>
        <patternFill>
          <bgColor rgb="FFE9F7EF"/>
        </patternFill>
      </fill>
    </dxf>
    <dxf>
      <font>
        <color rgb="FF888888"/>
      </font>
      <fill>
        <patternFill>
          <bgColor rgb="FFF0F0F0"/>
        </patternFill>
      </fill>
    </dxf>
    <dxf>
      <font>
        <color rgb="FFC0392B"/>
      </font>
      <fill>
        <patternFill>
          <bgColor rgb="FFFDECEA"/>
        </patternFill>
      </fill>
    </dxf>
    <dxf>
      <font>
        <b/>
        <color rgb="FF4B2D7F"/>
      </font>
      <fill>
        <patternFill>
          <bgColor rgb="FFF4A620"/>
        </patternFill>
      </fill>
    </dxf>
    <dxf>
      <font>
        <b/>
        <color rgb="FFFFFFFF"/>
      </font>
      <fill>
        <patternFill>
          <bgColor rgb="FFE8650A"/>
        </patternFill>
      </fill>
    </dxf>
    <dxf>
      <font>
        <b/>
        <color rgb="FFFFFFFF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F5F0FF"/>
      <rgbColor rgb="FF888888"/>
      <rgbColor rgb="FF9999FF"/>
      <rgbColor rgb="FF993366"/>
      <rgbColor rgb="FFFAFAFA"/>
      <rgbColor rgb="FFE9F7EF"/>
      <rgbColor rgb="FF660066"/>
      <rgbColor rgb="FFFF8080"/>
      <rgbColor rgb="FF0066CC"/>
      <rgbColor rgb="FFD4C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DE7F6"/>
      <rgbColor rgb="FFFDE8D8"/>
      <rgbColor rgb="FFF8F5FF"/>
      <rgbColor rgb="FFFF99CC"/>
      <rgbColor rgb="FFCC99FF"/>
      <rgbColor rgb="FFFDECEA"/>
      <rgbColor rgb="FF3366FF"/>
      <rgbColor rgb="FF33CCCC"/>
      <rgbColor rgb="FF99CC00"/>
      <rgbColor rgb="FFFFCC00"/>
      <rgbColor rgb="FFF4A620"/>
      <rgbColor rgb="FFE8650A"/>
      <rgbColor rgb="FF6B4BA1"/>
      <rgbColor rgb="FF969696"/>
      <rgbColor rgb="FF444444"/>
      <rgbColor rgb="FF1E8449"/>
      <rgbColor rgb="FF1A1A2E"/>
      <rgbColor rgb="FF222222"/>
      <rgbColor rgb="FFC0392B"/>
      <rgbColor rgb="FF993366"/>
      <rgbColor rgb="FF4B2D7F"/>
      <rgbColor rgb="FF392B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650A"/>
  </sheetPr>
  <dimension ref="A1:D28"/>
  <sheetViews>
    <sheetView tabSelected="1" zoomScaleNormal="100" workbookViewId="0">
      <selection sqref="A1:D1"/>
    </sheetView>
  </sheetViews>
  <sheetFormatPr defaultColWidth="8.6640625" defaultRowHeight="14.25" x14ac:dyDescent="0.45"/>
  <cols>
    <col min="1" max="1" width="3" customWidth="1"/>
    <col min="2" max="3" width="34" customWidth="1"/>
    <col min="4" max="4" width="3" customWidth="1"/>
  </cols>
  <sheetData>
    <row r="1" spans="1:4" ht="57.75" customHeight="1" x14ac:dyDescent="0.45">
      <c r="A1" s="75" t="s">
        <v>0</v>
      </c>
      <c r="B1" s="76"/>
      <c r="C1" s="76"/>
      <c r="D1" s="76"/>
    </row>
    <row r="2" spans="1:4" ht="24" customHeight="1" x14ac:dyDescent="0.45">
      <c r="A2" s="81" t="s">
        <v>1</v>
      </c>
      <c r="B2" s="76"/>
      <c r="C2" s="76"/>
      <c r="D2" s="76"/>
    </row>
    <row r="3" spans="1:4" ht="36" customHeight="1" x14ac:dyDescent="0.45">
      <c r="A3" s="80" t="s">
        <v>2</v>
      </c>
      <c r="B3" s="76"/>
      <c r="C3" s="76"/>
      <c r="D3" s="76"/>
    </row>
    <row r="4" spans="1:4" ht="51.75" customHeight="1" x14ac:dyDescent="0.45">
      <c r="A4" s="78" t="s">
        <v>3</v>
      </c>
      <c r="B4" s="76"/>
      <c r="C4" s="76"/>
      <c r="D4" s="76"/>
    </row>
    <row r="5" spans="1:4" ht="7.5" customHeight="1" x14ac:dyDescent="0.45"/>
    <row r="6" spans="1:4" ht="25.5" customHeight="1" x14ac:dyDescent="0.45">
      <c r="A6" s="77" t="s">
        <v>4</v>
      </c>
      <c r="B6" s="76"/>
      <c r="C6" s="76"/>
      <c r="D6" s="76"/>
    </row>
    <row r="7" spans="1:4" ht="21.75" customHeight="1" x14ac:dyDescent="0.45">
      <c r="B7" s="1" t="s">
        <v>5</v>
      </c>
      <c r="C7" s="2"/>
    </row>
    <row r="8" spans="1:4" ht="21.75" customHeight="1" x14ac:dyDescent="0.45">
      <c r="B8" s="1" t="s">
        <v>6</v>
      </c>
      <c r="C8" s="2"/>
    </row>
    <row r="9" spans="1:4" ht="21.75" customHeight="1" x14ac:dyDescent="0.45">
      <c r="B9" s="1" t="s">
        <v>7</v>
      </c>
      <c r="C9" s="2"/>
    </row>
    <row r="10" spans="1:4" ht="21.75" customHeight="1" x14ac:dyDescent="0.45">
      <c r="B10" s="1" t="s">
        <v>8</v>
      </c>
      <c r="C10" s="2"/>
    </row>
    <row r="11" spans="1:4" ht="21.75" customHeight="1" x14ac:dyDescent="0.45">
      <c r="B11" s="1" t="s">
        <v>9</v>
      </c>
      <c r="C11" s="2" t="s">
        <v>10</v>
      </c>
    </row>
    <row r="12" spans="1:4" ht="21.75" customHeight="1" x14ac:dyDescent="0.45">
      <c r="B12" s="1" t="s">
        <v>11</v>
      </c>
      <c r="C12" s="2"/>
    </row>
    <row r="13" spans="1:4" ht="7.5" customHeight="1" x14ac:dyDescent="0.45"/>
    <row r="14" spans="1:4" ht="25.5" customHeight="1" x14ac:dyDescent="0.45">
      <c r="A14" s="83" t="s">
        <v>12</v>
      </c>
      <c r="B14" s="76"/>
      <c r="C14" s="76"/>
      <c r="D14" s="76"/>
    </row>
    <row r="15" spans="1:4" ht="37.5" customHeight="1" x14ac:dyDescent="0.45">
      <c r="B15" s="3" t="s">
        <v>13</v>
      </c>
      <c r="C15" s="4" t="s">
        <v>14</v>
      </c>
    </row>
    <row r="16" spans="1:4" ht="37.5" customHeight="1" x14ac:dyDescent="0.45">
      <c r="B16" s="5" t="s">
        <v>15</v>
      </c>
      <c r="C16" s="6" t="s">
        <v>16</v>
      </c>
    </row>
    <row r="17" spans="1:4" ht="37.5" customHeight="1" x14ac:dyDescent="0.45">
      <c r="B17" s="3" t="s">
        <v>17</v>
      </c>
      <c r="C17" s="4" t="s">
        <v>18</v>
      </c>
    </row>
    <row r="18" spans="1:4" ht="37.5" customHeight="1" x14ac:dyDescent="0.45">
      <c r="B18" s="5" t="s">
        <v>19</v>
      </c>
      <c r="C18" s="6" t="s">
        <v>20</v>
      </c>
    </row>
    <row r="19" spans="1:4" ht="37.5" customHeight="1" x14ac:dyDescent="0.45">
      <c r="B19" s="3" t="s">
        <v>21</v>
      </c>
      <c r="C19" s="4" t="s">
        <v>22</v>
      </c>
    </row>
    <row r="20" spans="1:4" ht="37.5" customHeight="1" x14ac:dyDescent="0.45">
      <c r="B20" s="5" t="s">
        <v>23</v>
      </c>
      <c r="C20" s="6" t="s">
        <v>24</v>
      </c>
    </row>
    <row r="21" spans="1:4" ht="37.5" customHeight="1" x14ac:dyDescent="0.45">
      <c r="B21" s="3" t="s">
        <v>25</v>
      </c>
      <c r="C21" s="4" t="s">
        <v>26</v>
      </c>
    </row>
    <row r="22" spans="1:4" ht="37.5" customHeight="1" x14ac:dyDescent="0.45">
      <c r="B22" s="5" t="s">
        <v>27</v>
      </c>
      <c r="C22" s="6" t="s">
        <v>28</v>
      </c>
    </row>
    <row r="23" spans="1:4" ht="37.5" customHeight="1" x14ac:dyDescent="0.45">
      <c r="B23" s="3" t="s">
        <v>29</v>
      </c>
      <c r="C23" s="4" t="s">
        <v>30</v>
      </c>
    </row>
    <row r="24" spans="1:4" ht="37.5" customHeight="1" x14ac:dyDescent="0.45">
      <c r="B24" s="5" t="s">
        <v>31</v>
      </c>
      <c r="C24" s="6" t="s">
        <v>32</v>
      </c>
    </row>
    <row r="25" spans="1:4" ht="7.5" customHeight="1" x14ac:dyDescent="0.45"/>
    <row r="26" spans="1:4" ht="31.5" customHeight="1" x14ac:dyDescent="0.45">
      <c r="A26" s="79" t="s">
        <v>33</v>
      </c>
      <c r="B26" s="76"/>
      <c r="C26" s="76"/>
      <c r="D26" s="76"/>
    </row>
    <row r="28" spans="1:4" ht="31.5" customHeight="1" x14ac:dyDescent="0.45">
      <c r="A28" s="82" t="s">
        <v>34</v>
      </c>
      <c r="B28" s="76"/>
      <c r="C28" s="76"/>
      <c r="D28" s="76"/>
    </row>
  </sheetData>
  <mergeCells count="8">
    <mergeCell ref="A28:D28"/>
    <mergeCell ref="A14:D14"/>
    <mergeCell ref="A1:D1"/>
    <mergeCell ref="A6:D6"/>
    <mergeCell ref="A4:D4"/>
    <mergeCell ref="A26:D26"/>
    <mergeCell ref="A3:D3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B2D7F"/>
    <pageSetUpPr fitToPage="1"/>
  </sheetPr>
  <dimension ref="A1:AH30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14" customWidth="1"/>
    <col min="2" max="2" width="13" customWidth="1"/>
    <col min="3" max="3" width="10" customWidth="1"/>
    <col min="4" max="4" width="13" customWidth="1"/>
    <col min="5" max="5" width="12" customWidth="1"/>
    <col min="6" max="6" width="16" customWidth="1"/>
    <col min="7" max="7" width="14" customWidth="1"/>
    <col min="8" max="8" width="8" customWidth="1"/>
    <col min="9" max="9" width="18" customWidth="1"/>
    <col min="10" max="10" width="28" customWidth="1"/>
    <col min="11" max="11" width="36" customWidth="1"/>
    <col min="12" max="12" width="28" customWidth="1"/>
    <col min="13" max="13" width="18" customWidth="1"/>
    <col min="14" max="14" width="14" customWidth="1"/>
    <col min="15" max="15" width="10" customWidth="1"/>
    <col min="16" max="16" width="14" customWidth="1"/>
    <col min="17" max="17" width="16" customWidth="1"/>
    <col min="18" max="18" width="14" customWidth="1"/>
    <col min="19" max="19" width="18" customWidth="1"/>
    <col min="20" max="20" width="14" customWidth="1"/>
    <col min="21" max="21" width="18" customWidth="1"/>
    <col min="22" max="22" width="16" customWidth="1"/>
    <col min="23" max="23" width="24" customWidth="1"/>
    <col min="24" max="25" width="22" customWidth="1"/>
    <col min="26" max="27" width="14" customWidth="1"/>
    <col min="28" max="28" width="16" customWidth="1"/>
    <col min="29" max="29" width="28" customWidth="1"/>
    <col min="30" max="31" width="14" customWidth="1"/>
    <col min="32" max="32" width="12" customWidth="1"/>
    <col min="33" max="33" width="14" customWidth="1"/>
    <col min="34" max="34" width="28" customWidth="1"/>
  </cols>
  <sheetData>
    <row r="1" spans="1:34" ht="43.5" customHeight="1" x14ac:dyDescent="0.45">
      <c r="A1" s="86" t="s">
        <v>35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</row>
    <row r="2" spans="1:34" ht="21.75" customHeight="1" x14ac:dyDescent="0.45">
      <c r="A2" s="85" t="s">
        <v>36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</row>
    <row r="3" spans="1:34" ht="18" customHeight="1" x14ac:dyDescent="0.45">
      <c r="A3" s="84" t="s">
        <v>37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</row>
    <row r="4" spans="1:34" ht="36" customHeight="1" x14ac:dyDescent="0.45">
      <c r="A4" s="7" t="s">
        <v>38</v>
      </c>
      <c r="B4" s="7" t="s">
        <v>39</v>
      </c>
      <c r="C4" s="7" t="s">
        <v>40</v>
      </c>
      <c r="D4" s="7" t="s">
        <v>41</v>
      </c>
      <c r="E4" s="7" t="s">
        <v>42</v>
      </c>
      <c r="F4" s="7" t="s">
        <v>43</v>
      </c>
      <c r="G4" s="7" t="s">
        <v>44</v>
      </c>
      <c r="H4" s="7" t="s">
        <v>45</v>
      </c>
      <c r="I4" s="7" t="s">
        <v>46</v>
      </c>
      <c r="J4" s="7" t="s">
        <v>47</v>
      </c>
      <c r="K4" s="7" t="s">
        <v>48</v>
      </c>
      <c r="L4" s="7" t="s">
        <v>49</v>
      </c>
      <c r="M4" s="7" t="s">
        <v>50</v>
      </c>
      <c r="N4" s="7" t="s">
        <v>51</v>
      </c>
      <c r="O4" s="7" t="s">
        <v>52</v>
      </c>
      <c r="P4" s="7" t="s">
        <v>53</v>
      </c>
      <c r="Q4" s="7" t="s">
        <v>54</v>
      </c>
      <c r="R4" s="7" t="s">
        <v>55</v>
      </c>
      <c r="S4" s="7" t="s">
        <v>56</v>
      </c>
      <c r="T4" s="7" t="s">
        <v>57</v>
      </c>
      <c r="U4" s="7" t="s">
        <v>58</v>
      </c>
      <c r="V4" s="7" t="s">
        <v>59</v>
      </c>
      <c r="W4" s="7" t="s">
        <v>60</v>
      </c>
      <c r="X4" s="7" t="s">
        <v>61</v>
      </c>
      <c r="Y4" s="7" t="s">
        <v>62</v>
      </c>
      <c r="Z4" s="7" t="s">
        <v>63</v>
      </c>
      <c r="AA4" s="7" t="s">
        <v>64</v>
      </c>
      <c r="AB4" s="7" t="s">
        <v>65</v>
      </c>
      <c r="AC4" s="7" t="s">
        <v>66</v>
      </c>
      <c r="AD4" s="7" t="s">
        <v>67</v>
      </c>
      <c r="AE4" s="7" t="s">
        <v>68</v>
      </c>
      <c r="AF4" s="7" t="s">
        <v>69</v>
      </c>
      <c r="AG4" s="7" t="s">
        <v>70</v>
      </c>
      <c r="AH4" s="7" t="s">
        <v>71</v>
      </c>
    </row>
    <row r="5" spans="1:34" ht="18" customHeight="1" x14ac:dyDescent="0.45">
      <c r="A5" s="4"/>
      <c r="B5" s="8"/>
      <c r="C5" s="9"/>
      <c r="D5" s="10" t="str">
        <f t="shared" ref="D5:D68" si="0">IF(B5="","",TEXT(B5,"DDDD"))</f>
        <v/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8"/>
      <c r="U5" s="4"/>
      <c r="V5" s="11" t="str">
        <f>IF(E5="","",IFERROR(SUMIF('10-Day Compliance'!$A:$A,E5,'10-Day Compliance'!$E:$E),0))</f>
        <v/>
      </c>
      <c r="W5" s="10" t="str">
        <f t="shared" ref="W5:W68" si="1">IF(U5="No","",IF(V5="","",IF(V5&gt;=10,"🔴 EXCEEDED — MDR NOW",IF(V5&gt;=9,"🟠 URGENT — DAY "&amp;V5,IF(V5&gt;=7,"🟡 WARNING — DAY "&amp;V5,"✅ OK — Day "&amp;V5)))))</f>
        <v/>
      </c>
      <c r="X5" s="4"/>
      <c r="Y5" s="4"/>
      <c r="Z5" s="11" t="str">
        <f t="shared" ref="Z5:Z68" ca="1" si="2">IF(OR(B5="",X5="Closed"),"",TODAY()-B5)</f>
        <v/>
      </c>
      <c r="AA5" s="8"/>
      <c r="AB5" s="8"/>
      <c r="AC5" s="4"/>
      <c r="AD5" s="8"/>
      <c r="AE5" s="8"/>
      <c r="AF5" s="4"/>
      <c r="AG5" s="11" t="str">
        <f t="shared" ref="AG5:AG68" ca="1" si="3">IF(B5="","",TODAY()-B5)</f>
        <v/>
      </c>
      <c r="AH5" s="4"/>
    </row>
    <row r="6" spans="1:34" ht="18" customHeight="1" x14ac:dyDescent="0.45">
      <c r="A6" s="6"/>
      <c r="B6" s="12"/>
      <c r="C6" s="13"/>
      <c r="D6" s="10" t="str">
        <f t="shared" si="0"/>
        <v/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12"/>
      <c r="U6" s="6"/>
      <c r="V6" s="11" t="str">
        <f>IF(E6="","",IFERROR(SUMIF('10-Day Compliance'!$A:$A,E6,'10-Day Compliance'!$E:$E),0))</f>
        <v/>
      </c>
      <c r="W6" s="10" t="str">
        <f t="shared" si="1"/>
        <v/>
      </c>
      <c r="X6" s="6"/>
      <c r="Y6" s="6"/>
      <c r="Z6" s="11" t="str">
        <f t="shared" ca="1" si="2"/>
        <v/>
      </c>
      <c r="AA6" s="12"/>
      <c r="AB6" s="12"/>
      <c r="AC6" s="6"/>
      <c r="AD6" s="12"/>
      <c r="AE6" s="12"/>
      <c r="AF6" s="6"/>
      <c r="AG6" s="11" t="str">
        <f t="shared" ca="1" si="3"/>
        <v/>
      </c>
      <c r="AH6" s="6"/>
    </row>
    <row r="7" spans="1:34" ht="18" customHeight="1" x14ac:dyDescent="0.45">
      <c r="A7" s="4"/>
      <c r="B7" s="8"/>
      <c r="C7" s="9"/>
      <c r="D7" s="10" t="str">
        <f t="shared" si="0"/>
        <v/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8"/>
      <c r="U7" s="4"/>
      <c r="V7" s="11" t="str">
        <f>IF(E7="","",IFERROR(SUMIF('10-Day Compliance'!$A:$A,E7,'10-Day Compliance'!$E:$E),0))</f>
        <v/>
      </c>
      <c r="W7" s="10" t="str">
        <f t="shared" si="1"/>
        <v/>
      </c>
      <c r="X7" s="4"/>
      <c r="Y7" s="4"/>
      <c r="Z7" s="11" t="str">
        <f t="shared" ca="1" si="2"/>
        <v/>
      </c>
      <c r="AA7" s="8"/>
      <c r="AB7" s="8"/>
      <c r="AC7" s="4"/>
      <c r="AD7" s="8"/>
      <c r="AE7" s="8"/>
      <c r="AF7" s="4"/>
      <c r="AG7" s="11" t="str">
        <f t="shared" ca="1" si="3"/>
        <v/>
      </c>
      <c r="AH7" s="4"/>
    </row>
    <row r="8" spans="1:34" ht="18" customHeight="1" x14ac:dyDescent="0.45">
      <c r="A8" s="6"/>
      <c r="B8" s="12"/>
      <c r="C8" s="13"/>
      <c r="D8" s="10" t="str">
        <f t="shared" si="0"/>
        <v/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12"/>
      <c r="U8" s="6"/>
      <c r="V8" s="11" t="str">
        <f>IF(E8="","",IFERROR(SUMIF('10-Day Compliance'!$A:$A,E8,'10-Day Compliance'!$E:$E),0))</f>
        <v/>
      </c>
      <c r="W8" s="10" t="str">
        <f t="shared" si="1"/>
        <v/>
      </c>
      <c r="X8" s="6"/>
      <c r="Y8" s="6"/>
      <c r="Z8" s="11" t="str">
        <f t="shared" ca="1" si="2"/>
        <v/>
      </c>
      <c r="AA8" s="12"/>
      <c r="AB8" s="12"/>
      <c r="AC8" s="6"/>
      <c r="AD8" s="12"/>
      <c r="AE8" s="12"/>
      <c r="AF8" s="6"/>
      <c r="AG8" s="11" t="str">
        <f t="shared" ca="1" si="3"/>
        <v/>
      </c>
      <c r="AH8" s="6"/>
    </row>
    <row r="9" spans="1:34" ht="18" customHeight="1" x14ac:dyDescent="0.45">
      <c r="A9" s="4"/>
      <c r="B9" s="8"/>
      <c r="C9" s="9"/>
      <c r="D9" s="10" t="str">
        <f t="shared" si="0"/>
        <v/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8"/>
      <c r="U9" s="4"/>
      <c r="V9" s="11" t="str">
        <f>IF(E9="","",IFERROR(SUMIF('10-Day Compliance'!$A:$A,E9,'10-Day Compliance'!$E:$E),0))</f>
        <v/>
      </c>
      <c r="W9" s="10" t="str">
        <f t="shared" si="1"/>
        <v/>
      </c>
      <c r="X9" s="4"/>
      <c r="Y9" s="4"/>
      <c r="Z9" s="11" t="str">
        <f t="shared" ca="1" si="2"/>
        <v/>
      </c>
      <c r="AA9" s="8"/>
      <c r="AB9" s="8"/>
      <c r="AC9" s="4"/>
      <c r="AD9" s="8"/>
      <c r="AE9" s="8"/>
      <c r="AF9" s="4"/>
      <c r="AG9" s="11" t="str">
        <f t="shared" ca="1" si="3"/>
        <v/>
      </c>
      <c r="AH9" s="4"/>
    </row>
    <row r="10" spans="1:34" ht="18" customHeight="1" x14ac:dyDescent="0.45">
      <c r="A10" s="6"/>
      <c r="B10" s="12"/>
      <c r="C10" s="13"/>
      <c r="D10" s="10" t="str">
        <f t="shared" si="0"/>
        <v/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12"/>
      <c r="U10" s="6"/>
      <c r="V10" s="11" t="str">
        <f>IF(E10="","",IFERROR(SUMIF('10-Day Compliance'!$A:$A,E10,'10-Day Compliance'!$E:$E),0))</f>
        <v/>
      </c>
      <c r="W10" s="10" t="str">
        <f t="shared" si="1"/>
        <v/>
      </c>
      <c r="X10" s="6"/>
      <c r="Y10" s="6"/>
      <c r="Z10" s="11" t="str">
        <f t="shared" ca="1" si="2"/>
        <v/>
      </c>
      <c r="AA10" s="12"/>
      <c r="AB10" s="12"/>
      <c r="AC10" s="6"/>
      <c r="AD10" s="12"/>
      <c r="AE10" s="12"/>
      <c r="AF10" s="6"/>
      <c r="AG10" s="11" t="str">
        <f t="shared" ca="1" si="3"/>
        <v/>
      </c>
      <c r="AH10" s="6"/>
    </row>
    <row r="11" spans="1:34" ht="18" customHeight="1" x14ac:dyDescent="0.45">
      <c r="A11" s="4"/>
      <c r="B11" s="8"/>
      <c r="C11" s="9"/>
      <c r="D11" s="10" t="str">
        <f t="shared" si="0"/>
        <v/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8"/>
      <c r="U11" s="4"/>
      <c r="V11" s="11" t="str">
        <f>IF(E11="","",IFERROR(SUMIF('10-Day Compliance'!$A:$A,E11,'10-Day Compliance'!$E:$E),0))</f>
        <v/>
      </c>
      <c r="W11" s="10" t="str">
        <f t="shared" si="1"/>
        <v/>
      </c>
      <c r="X11" s="4"/>
      <c r="Y11" s="4"/>
      <c r="Z11" s="11" t="str">
        <f t="shared" ca="1" si="2"/>
        <v/>
      </c>
      <c r="AA11" s="8"/>
      <c r="AB11" s="8"/>
      <c r="AC11" s="4"/>
      <c r="AD11" s="8"/>
      <c r="AE11" s="8"/>
      <c r="AF11" s="4"/>
      <c r="AG11" s="11" t="str">
        <f t="shared" ca="1" si="3"/>
        <v/>
      </c>
      <c r="AH11" s="4"/>
    </row>
    <row r="12" spans="1:34" ht="18" customHeight="1" x14ac:dyDescent="0.45">
      <c r="A12" s="6"/>
      <c r="B12" s="12"/>
      <c r="C12" s="13"/>
      <c r="D12" s="10" t="str">
        <f t="shared" si="0"/>
        <v/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2"/>
      <c r="U12" s="6"/>
      <c r="V12" s="11" t="str">
        <f>IF(E12="","",IFERROR(SUMIF('10-Day Compliance'!$A:$A,E12,'10-Day Compliance'!$E:$E),0))</f>
        <v/>
      </c>
      <c r="W12" s="10" t="str">
        <f t="shared" si="1"/>
        <v/>
      </c>
      <c r="X12" s="6"/>
      <c r="Y12" s="6"/>
      <c r="Z12" s="11" t="str">
        <f t="shared" ca="1" si="2"/>
        <v/>
      </c>
      <c r="AA12" s="12"/>
      <c r="AB12" s="12"/>
      <c r="AC12" s="6"/>
      <c r="AD12" s="12"/>
      <c r="AE12" s="12"/>
      <c r="AF12" s="6"/>
      <c r="AG12" s="11" t="str">
        <f t="shared" ca="1" si="3"/>
        <v/>
      </c>
      <c r="AH12" s="6"/>
    </row>
    <row r="13" spans="1:34" ht="18" customHeight="1" x14ac:dyDescent="0.45">
      <c r="A13" s="4"/>
      <c r="B13" s="8"/>
      <c r="C13" s="9"/>
      <c r="D13" s="10" t="str">
        <f t="shared" si="0"/>
        <v/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8"/>
      <c r="U13" s="4"/>
      <c r="V13" s="11" t="str">
        <f>IF(E13="","",IFERROR(SUMIF('10-Day Compliance'!$A:$A,E13,'10-Day Compliance'!$E:$E),0))</f>
        <v/>
      </c>
      <c r="W13" s="10" t="str">
        <f t="shared" si="1"/>
        <v/>
      </c>
      <c r="X13" s="4"/>
      <c r="Y13" s="4"/>
      <c r="Z13" s="11" t="str">
        <f t="shared" ca="1" si="2"/>
        <v/>
      </c>
      <c r="AA13" s="8"/>
      <c r="AB13" s="8"/>
      <c r="AC13" s="4"/>
      <c r="AD13" s="8"/>
      <c r="AE13" s="8"/>
      <c r="AF13" s="4"/>
      <c r="AG13" s="11" t="str">
        <f t="shared" ca="1" si="3"/>
        <v/>
      </c>
      <c r="AH13" s="4"/>
    </row>
    <row r="14" spans="1:34" ht="18" customHeight="1" x14ac:dyDescent="0.45">
      <c r="A14" s="6"/>
      <c r="B14" s="12"/>
      <c r="C14" s="13"/>
      <c r="D14" s="10" t="str">
        <f t="shared" si="0"/>
        <v/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2"/>
      <c r="U14" s="6"/>
      <c r="V14" s="11" t="str">
        <f>IF(E14="","",IFERROR(SUMIF('10-Day Compliance'!$A:$A,E14,'10-Day Compliance'!$E:$E),0))</f>
        <v/>
      </c>
      <c r="W14" s="10" t="str">
        <f t="shared" si="1"/>
        <v/>
      </c>
      <c r="X14" s="6"/>
      <c r="Y14" s="6"/>
      <c r="Z14" s="11" t="str">
        <f t="shared" ca="1" si="2"/>
        <v/>
      </c>
      <c r="AA14" s="12"/>
      <c r="AB14" s="12"/>
      <c r="AC14" s="6"/>
      <c r="AD14" s="12"/>
      <c r="AE14" s="12"/>
      <c r="AF14" s="6"/>
      <c r="AG14" s="11" t="str">
        <f t="shared" ca="1" si="3"/>
        <v/>
      </c>
      <c r="AH14" s="6"/>
    </row>
    <row r="15" spans="1:34" ht="18" customHeight="1" x14ac:dyDescent="0.45">
      <c r="A15" s="4"/>
      <c r="B15" s="8"/>
      <c r="C15" s="9"/>
      <c r="D15" s="10" t="str">
        <f t="shared" si="0"/>
        <v/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8"/>
      <c r="U15" s="4"/>
      <c r="V15" s="11" t="str">
        <f>IF(E15="","",IFERROR(SUMIF('10-Day Compliance'!$A:$A,E15,'10-Day Compliance'!$E:$E),0))</f>
        <v/>
      </c>
      <c r="W15" s="10" t="str">
        <f t="shared" si="1"/>
        <v/>
      </c>
      <c r="X15" s="4"/>
      <c r="Y15" s="4"/>
      <c r="Z15" s="11" t="str">
        <f t="shared" ca="1" si="2"/>
        <v/>
      </c>
      <c r="AA15" s="8"/>
      <c r="AB15" s="8"/>
      <c r="AC15" s="4"/>
      <c r="AD15" s="8"/>
      <c r="AE15" s="8"/>
      <c r="AF15" s="4"/>
      <c r="AG15" s="11" t="str">
        <f t="shared" ca="1" si="3"/>
        <v/>
      </c>
      <c r="AH15" s="4"/>
    </row>
    <row r="16" spans="1:34" ht="18" customHeight="1" x14ac:dyDescent="0.45">
      <c r="A16" s="6"/>
      <c r="B16" s="12"/>
      <c r="C16" s="13"/>
      <c r="D16" s="10" t="str">
        <f t="shared" si="0"/>
        <v/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2"/>
      <c r="U16" s="6"/>
      <c r="V16" s="11" t="str">
        <f>IF(E16="","",IFERROR(SUMIF('10-Day Compliance'!$A:$A,E16,'10-Day Compliance'!$E:$E),0))</f>
        <v/>
      </c>
      <c r="W16" s="10" t="str">
        <f t="shared" si="1"/>
        <v/>
      </c>
      <c r="X16" s="6"/>
      <c r="Y16" s="6"/>
      <c r="Z16" s="11" t="str">
        <f t="shared" ca="1" si="2"/>
        <v/>
      </c>
      <c r="AA16" s="12"/>
      <c r="AB16" s="12"/>
      <c r="AC16" s="6"/>
      <c r="AD16" s="12"/>
      <c r="AE16" s="12"/>
      <c r="AF16" s="6"/>
      <c r="AG16" s="11" t="str">
        <f t="shared" ca="1" si="3"/>
        <v/>
      </c>
      <c r="AH16" s="6"/>
    </row>
    <row r="17" spans="1:34" ht="18" customHeight="1" x14ac:dyDescent="0.45">
      <c r="A17" s="4"/>
      <c r="B17" s="8"/>
      <c r="C17" s="9"/>
      <c r="D17" s="10" t="str">
        <f t="shared" si="0"/>
        <v/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8"/>
      <c r="U17" s="4"/>
      <c r="V17" s="11" t="str">
        <f>IF(E17="","",IFERROR(SUMIF('10-Day Compliance'!$A:$A,E17,'10-Day Compliance'!$E:$E),0))</f>
        <v/>
      </c>
      <c r="W17" s="10" t="str">
        <f t="shared" si="1"/>
        <v/>
      </c>
      <c r="X17" s="4"/>
      <c r="Y17" s="4"/>
      <c r="Z17" s="11" t="str">
        <f t="shared" ca="1" si="2"/>
        <v/>
      </c>
      <c r="AA17" s="8"/>
      <c r="AB17" s="8"/>
      <c r="AC17" s="4"/>
      <c r="AD17" s="8"/>
      <c r="AE17" s="8"/>
      <c r="AF17" s="4"/>
      <c r="AG17" s="11" t="str">
        <f t="shared" ca="1" si="3"/>
        <v/>
      </c>
      <c r="AH17" s="4"/>
    </row>
    <row r="18" spans="1:34" ht="18" customHeight="1" x14ac:dyDescent="0.45">
      <c r="A18" s="6"/>
      <c r="B18" s="12"/>
      <c r="C18" s="13"/>
      <c r="D18" s="10" t="str">
        <f t="shared" si="0"/>
        <v/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2"/>
      <c r="U18" s="6"/>
      <c r="V18" s="11" t="str">
        <f>IF(E18="","",IFERROR(SUMIF('10-Day Compliance'!$A:$A,E18,'10-Day Compliance'!$E:$E),0))</f>
        <v/>
      </c>
      <c r="W18" s="10" t="str">
        <f t="shared" si="1"/>
        <v/>
      </c>
      <c r="X18" s="6"/>
      <c r="Y18" s="6"/>
      <c r="Z18" s="11" t="str">
        <f t="shared" ca="1" si="2"/>
        <v/>
      </c>
      <c r="AA18" s="12"/>
      <c r="AB18" s="12"/>
      <c r="AC18" s="6"/>
      <c r="AD18" s="12"/>
      <c r="AE18" s="12"/>
      <c r="AF18" s="6"/>
      <c r="AG18" s="11" t="str">
        <f t="shared" ca="1" si="3"/>
        <v/>
      </c>
      <c r="AH18" s="6"/>
    </row>
    <row r="19" spans="1:34" ht="18" customHeight="1" x14ac:dyDescent="0.45">
      <c r="A19" s="4"/>
      <c r="B19" s="8"/>
      <c r="C19" s="9"/>
      <c r="D19" s="10" t="str">
        <f t="shared" si="0"/>
        <v/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8"/>
      <c r="U19" s="4"/>
      <c r="V19" s="11" t="str">
        <f>IF(E19="","",IFERROR(SUMIF('10-Day Compliance'!$A:$A,E19,'10-Day Compliance'!$E:$E),0))</f>
        <v/>
      </c>
      <c r="W19" s="10" t="str">
        <f t="shared" si="1"/>
        <v/>
      </c>
      <c r="X19" s="4"/>
      <c r="Y19" s="4"/>
      <c r="Z19" s="11" t="str">
        <f t="shared" ca="1" si="2"/>
        <v/>
      </c>
      <c r="AA19" s="8"/>
      <c r="AB19" s="8"/>
      <c r="AC19" s="4"/>
      <c r="AD19" s="8"/>
      <c r="AE19" s="8"/>
      <c r="AF19" s="4"/>
      <c r="AG19" s="11" t="str">
        <f t="shared" ca="1" si="3"/>
        <v/>
      </c>
      <c r="AH19" s="4"/>
    </row>
    <row r="20" spans="1:34" ht="18" customHeight="1" x14ac:dyDescent="0.45">
      <c r="A20" s="6"/>
      <c r="B20" s="12"/>
      <c r="C20" s="13"/>
      <c r="D20" s="10" t="str">
        <f t="shared" si="0"/>
        <v/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2"/>
      <c r="U20" s="6"/>
      <c r="V20" s="11" t="str">
        <f>IF(E20="","",IFERROR(SUMIF('10-Day Compliance'!$A:$A,E20,'10-Day Compliance'!$E:$E),0))</f>
        <v/>
      </c>
      <c r="W20" s="10" t="str">
        <f t="shared" si="1"/>
        <v/>
      </c>
      <c r="X20" s="6"/>
      <c r="Y20" s="6"/>
      <c r="Z20" s="11" t="str">
        <f t="shared" ca="1" si="2"/>
        <v/>
      </c>
      <c r="AA20" s="12"/>
      <c r="AB20" s="12"/>
      <c r="AC20" s="6"/>
      <c r="AD20" s="12"/>
      <c r="AE20" s="12"/>
      <c r="AF20" s="6"/>
      <c r="AG20" s="11" t="str">
        <f t="shared" ca="1" si="3"/>
        <v/>
      </c>
      <c r="AH20" s="6"/>
    </row>
    <row r="21" spans="1:34" ht="18" customHeight="1" x14ac:dyDescent="0.45">
      <c r="A21" s="4"/>
      <c r="B21" s="8"/>
      <c r="C21" s="9"/>
      <c r="D21" s="10" t="str">
        <f t="shared" si="0"/>
        <v/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8"/>
      <c r="U21" s="4"/>
      <c r="V21" s="11" t="str">
        <f>IF(E21="","",IFERROR(SUMIF('10-Day Compliance'!$A:$A,E21,'10-Day Compliance'!$E:$E),0))</f>
        <v/>
      </c>
      <c r="W21" s="10" t="str">
        <f t="shared" si="1"/>
        <v/>
      </c>
      <c r="X21" s="4"/>
      <c r="Y21" s="4"/>
      <c r="Z21" s="11" t="str">
        <f t="shared" ca="1" si="2"/>
        <v/>
      </c>
      <c r="AA21" s="8"/>
      <c r="AB21" s="8"/>
      <c r="AC21" s="4"/>
      <c r="AD21" s="8"/>
      <c r="AE21" s="8"/>
      <c r="AF21" s="4"/>
      <c r="AG21" s="11" t="str">
        <f t="shared" ca="1" si="3"/>
        <v/>
      </c>
      <c r="AH21" s="4"/>
    </row>
    <row r="22" spans="1:34" ht="18" customHeight="1" x14ac:dyDescent="0.45">
      <c r="A22" s="6"/>
      <c r="B22" s="12"/>
      <c r="C22" s="13"/>
      <c r="D22" s="10" t="str">
        <f t="shared" si="0"/>
        <v/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2"/>
      <c r="U22" s="6"/>
      <c r="V22" s="11" t="str">
        <f>IF(E22="","",IFERROR(SUMIF('10-Day Compliance'!$A:$A,E22,'10-Day Compliance'!$E:$E),0))</f>
        <v/>
      </c>
      <c r="W22" s="10" t="str">
        <f t="shared" si="1"/>
        <v/>
      </c>
      <c r="X22" s="6"/>
      <c r="Y22" s="6"/>
      <c r="Z22" s="11" t="str">
        <f t="shared" ca="1" si="2"/>
        <v/>
      </c>
      <c r="AA22" s="12"/>
      <c r="AB22" s="12"/>
      <c r="AC22" s="6"/>
      <c r="AD22" s="12"/>
      <c r="AE22" s="12"/>
      <c r="AF22" s="6"/>
      <c r="AG22" s="11" t="str">
        <f t="shared" ca="1" si="3"/>
        <v/>
      </c>
      <c r="AH22" s="6"/>
    </row>
    <row r="23" spans="1:34" ht="18" customHeight="1" x14ac:dyDescent="0.45">
      <c r="A23" s="4"/>
      <c r="B23" s="8"/>
      <c r="C23" s="9"/>
      <c r="D23" s="10" t="str">
        <f t="shared" si="0"/>
        <v/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8"/>
      <c r="U23" s="4"/>
      <c r="V23" s="11" t="str">
        <f>IF(E23="","",IFERROR(SUMIF('10-Day Compliance'!$A:$A,E23,'10-Day Compliance'!$E:$E),0))</f>
        <v/>
      </c>
      <c r="W23" s="10" t="str">
        <f t="shared" si="1"/>
        <v/>
      </c>
      <c r="X23" s="4"/>
      <c r="Y23" s="4"/>
      <c r="Z23" s="11" t="str">
        <f t="shared" ca="1" si="2"/>
        <v/>
      </c>
      <c r="AA23" s="8"/>
      <c r="AB23" s="8"/>
      <c r="AC23" s="4"/>
      <c r="AD23" s="8"/>
      <c r="AE23" s="8"/>
      <c r="AF23" s="4"/>
      <c r="AG23" s="11" t="str">
        <f t="shared" ca="1" si="3"/>
        <v/>
      </c>
      <c r="AH23" s="4"/>
    </row>
    <row r="24" spans="1:34" ht="18" customHeight="1" x14ac:dyDescent="0.45">
      <c r="A24" s="6"/>
      <c r="B24" s="12"/>
      <c r="C24" s="13"/>
      <c r="D24" s="10" t="str">
        <f t="shared" si="0"/>
        <v/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12"/>
      <c r="U24" s="6"/>
      <c r="V24" s="11" t="str">
        <f>IF(E24="","",IFERROR(SUMIF('10-Day Compliance'!$A:$A,E24,'10-Day Compliance'!$E:$E),0))</f>
        <v/>
      </c>
      <c r="W24" s="10" t="str">
        <f t="shared" si="1"/>
        <v/>
      </c>
      <c r="X24" s="6"/>
      <c r="Y24" s="6"/>
      <c r="Z24" s="11" t="str">
        <f t="shared" ca="1" si="2"/>
        <v/>
      </c>
      <c r="AA24" s="12"/>
      <c r="AB24" s="12"/>
      <c r="AC24" s="6"/>
      <c r="AD24" s="12"/>
      <c r="AE24" s="12"/>
      <c r="AF24" s="6"/>
      <c r="AG24" s="11" t="str">
        <f t="shared" ca="1" si="3"/>
        <v/>
      </c>
      <c r="AH24" s="6"/>
    </row>
    <row r="25" spans="1:34" ht="18" customHeight="1" x14ac:dyDescent="0.45">
      <c r="A25" s="4"/>
      <c r="B25" s="8"/>
      <c r="C25" s="9"/>
      <c r="D25" s="10" t="str">
        <f t="shared" si="0"/>
        <v/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8"/>
      <c r="U25" s="4"/>
      <c r="V25" s="11" t="str">
        <f>IF(E25="","",IFERROR(SUMIF('10-Day Compliance'!$A:$A,E25,'10-Day Compliance'!$E:$E),0))</f>
        <v/>
      </c>
      <c r="W25" s="10" t="str">
        <f t="shared" si="1"/>
        <v/>
      </c>
      <c r="X25" s="4"/>
      <c r="Y25" s="4"/>
      <c r="Z25" s="11" t="str">
        <f t="shared" ca="1" si="2"/>
        <v/>
      </c>
      <c r="AA25" s="8"/>
      <c r="AB25" s="8"/>
      <c r="AC25" s="4"/>
      <c r="AD25" s="8"/>
      <c r="AE25" s="8"/>
      <c r="AF25" s="4"/>
      <c r="AG25" s="11" t="str">
        <f t="shared" ca="1" si="3"/>
        <v/>
      </c>
      <c r="AH25" s="4"/>
    </row>
    <row r="26" spans="1:34" ht="18" customHeight="1" x14ac:dyDescent="0.45">
      <c r="A26" s="6"/>
      <c r="B26" s="12"/>
      <c r="C26" s="13"/>
      <c r="D26" s="10" t="str">
        <f t="shared" si="0"/>
        <v/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12"/>
      <c r="U26" s="6"/>
      <c r="V26" s="11" t="str">
        <f>IF(E26="","",IFERROR(SUMIF('10-Day Compliance'!$A:$A,E26,'10-Day Compliance'!$E:$E),0))</f>
        <v/>
      </c>
      <c r="W26" s="10" t="str">
        <f t="shared" si="1"/>
        <v/>
      </c>
      <c r="X26" s="6"/>
      <c r="Y26" s="6"/>
      <c r="Z26" s="11" t="str">
        <f t="shared" ca="1" si="2"/>
        <v/>
      </c>
      <c r="AA26" s="12"/>
      <c r="AB26" s="12"/>
      <c r="AC26" s="6"/>
      <c r="AD26" s="12"/>
      <c r="AE26" s="12"/>
      <c r="AF26" s="6"/>
      <c r="AG26" s="11" t="str">
        <f t="shared" ca="1" si="3"/>
        <v/>
      </c>
      <c r="AH26" s="6"/>
    </row>
    <row r="27" spans="1:34" ht="18" customHeight="1" x14ac:dyDescent="0.45">
      <c r="A27" s="4"/>
      <c r="B27" s="8"/>
      <c r="C27" s="9"/>
      <c r="D27" s="10" t="str">
        <f t="shared" si="0"/>
        <v/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8"/>
      <c r="U27" s="4"/>
      <c r="V27" s="11" t="str">
        <f>IF(E27="","",IFERROR(SUMIF('10-Day Compliance'!$A:$A,E27,'10-Day Compliance'!$E:$E),0))</f>
        <v/>
      </c>
      <c r="W27" s="10" t="str">
        <f t="shared" si="1"/>
        <v/>
      </c>
      <c r="X27" s="4"/>
      <c r="Y27" s="4"/>
      <c r="Z27" s="11" t="str">
        <f t="shared" ca="1" si="2"/>
        <v/>
      </c>
      <c r="AA27" s="8"/>
      <c r="AB27" s="8"/>
      <c r="AC27" s="4"/>
      <c r="AD27" s="8"/>
      <c r="AE27" s="8"/>
      <c r="AF27" s="4"/>
      <c r="AG27" s="11" t="str">
        <f t="shared" ca="1" si="3"/>
        <v/>
      </c>
      <c r="AH27" s="4"/>
    </row>
    <row r="28" spans="1:34" ht="18" customHeight="1" x14ac:dyDescent="0.45">
      <c r="A28" s="6"/>
      <c r="B28" s="12"/>
      <c r="C28" s="13"/>
      <c r="D28" s="10" t="str">
        <f t="shared" si="0"/>
        <v/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12"/>
      <c r="U28" s="6"/>
      <c r="V28" s="11" t="str">
        <f>IF(E28="","",IFERROR(SUMIF('10-Day Compliance'!$A:$A,E28,'10-Day Compliance'!$E:$E),0))</f>
        <v/>
      </c>
      <c r="W28" s="10" t="str">
        <f t="shared" si="1"/>
        <v/>
      </c>
      <c r="X28" s="6"/>
      <c r="Y28" s="6"/>
      <c r="Z28" s="11" t="str">
        <f t="shared" ca="1" si="2"/>
        <v/>
      </c>
      <c r="AA28" s="12"/>
      <c r="AB28" s="12"/>
      <c r="AC28" s="6"/>
      <c r="AD28" s="12"/>
      <c r="AE28" s="12"/>
      <c r="AF28" s="6"/>
      <c r="AG28" s="11" t="str">
        <f t="shared" ca="1" si="3"/>
        <v/>
      </c>
      <c r="AH28" s="6"/>
    </row>
    <row r="29" spans="1:34" ht="18" customHeight="1" x14ac:dyDescent="0.45">
      <c r="A29" s="4"/>
      <c r="B29" s="8"/>
      <c r="C29" s="9"/>
      <c r="D29" s="10" t="str">
        <f t="shared" si="0"/>
        <v/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8"/>
      <c r="U29" s="4"/>
      <c r="V29" s="11" t="str">
        <f>IF(E29="","",IFERROR(SUMIF('10-Day Compliance'!$A:$A,E29,'10-Day Compliance'!$E:$E),0))</f>
        <v/>
      </c>
      <c r="W29" s="10" t="str">
        <f t="shared" si="1"/>
        <v/>
      </c>
      <c r="X29" s="4"/>
      <c r="Y29" s="4"/>
      <c r="Z29" s="11" t="str">
        <f t="shared" ca="1" si="2"/>
        <v/>
      </c>
      <c r="AA29" s="8"/>
      <c r="AB29" s="8"/>
      <c r="AC29" s="4"/>
      <c r="AD29" s="8"/>
      <c r="AE29" s="8"/>
      <c r="AF29" s="4"/>
      <c r="AG29" s="11" t="str">
        <f t="shared" ca="1" si="3"/>
        <v/>
      </c>
      <c r="AH29" s="4"/>
    </row>
    <row r="30" spans="1:34" ht="18" customHeight="1" x14ac:dyDescent="0.45">
      <c r="A30" s="6"/>
      <c r="B30" s="12"/>
      <c r="C30" s="13"/>
      <c r="D30" s="10" t="str">
        <f t="shared" si="0"/>
        <v/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12"/>
      <c r="U30" s="6"/>
      <c r="V30" s="11" t="str">
        <f>IF(E30="","",IFERROR(SUMIF('10-Day Compliance'!$A:$A,E30,'10-Day Compliance'!$E:$E),0))</f>
        <v/>
      </c>
      <c r="W30" s="10" t="str">
        <f t="shared" si="1"/>
        <v/>
      </c>
      <c r="X30" s="6"/>
      <c r="Y30" s="6"/>
      <c r="Z30" s="11" t="str">
        <f t="shared" ca="1" si="2"/>
        <v/>
      </c>
      <c r="AA30" s="12"/>
      <c r="AB30" s="12"/>
      <c r="AC30" s="6"/>
      <c r="AD30" s="12"/>
      <c r="AE30" s="12"/>
      <c r="AF30" s="6"/>
      <c r="AG30" s="11" t="str">
        <f t="shared" ca="1" si="3"/>
        <v/>
      </c>
      <c r="AH30" s="6"/>
    </row>
    <row r="31" spans="1:34" ht="18" customHeight="1" x14ac:dyDescent="0.45">
      <c r="A31" s="4"/>
      <c r="B31" s="8"/>
      <c r="C31" s="9"/>
      <c r="D31" s="10" t="str">
        <f t="shared" si="0"/>
        <v/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8"/>
      <c r="U31" s="4"/>
      <c r="V31" s="11" t="str">
        <f>IF(E31="","",IFERROR(SUMIF('10-Day Compliance'!$A:$A,E31,'10-Day Compliance'!$E:$E),0))</f>
        <v/>
      </c>
      <c r="W31" s="10" t="str">
        <f t="shared" si="1"/>
        <v/>
      </c>
      <c r="X31" s="4"/>
      <c r="Y31" s="4"/>
      <c r="Z31" s="11" t="str">
        <f t="shared" ca="1" si="2"/>
        <v/>
      </c>
      <c r="AA31" s="8"/>
      <c r="AB31" s="8"/>
      <c r="AC31" s="4"/>
      <c r="AD31" s="8"/>
      <c r="AE31" s="8"/>
      <c r="AF31" s="4"/>
      <c r="AG31" s="11" t="str">
        <f t="shared" ca="1" si="3"/>
        <v/>
      </c>
      <c r="AH31" s="4"/>
    </row>
    <row r="32" spans="1:34" ht="18" customHeight="1" x14ac:dyDescent="0.45">
      <c r="A32" s="6"/>
      <c r="B32" s="12"/>
      <c r="C32" s="13"/>
      <c r="D32" s="10" t="str">
        <f t="shared" si="0"/>
        <v/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12"/>
      <c r="U32" s="6"/>
      <c r="V32" s="11" t="str">
        <f>IF(E32="","",IFERROR(SUMIF('10-Day Compliance'!$A:$A,E32,'10-Day Compliance'!$E:$E),0))</f>
        <v/>
      </c>
      <c r="W32" s="10" t="str">
        <f t="shared" si="1"/>
        <v/>
      </c>
      <c r="X32" s="6"/>
      <c r="Y32" s="6"/>
      <c r="Z32" s="11" t="str">
        <f t="shared" ca="1" si="2"/>
        <v/>
      </c>
      <c r="AA32" s="12"/>
      <c r="AB32" s="12"/>
      <c r="AC32" s="6"/>
      <c r="AD32" s="12"/>
      <c r="AE32" s="12"/>
      <c r="AF32" s="6"/>
      <c r="AG32" s="11" t="str">
        <f t="shared" ca="1" si="3"/>
        <v/>
      </c>
      <c r="AH32" s="6"/>
    </row>
    <row r="33" spans="1:34" ht="18" customHeight="1" x14ac:dyDescent="0.45">
      <c r="A33" s="4"/>
      <c r="B33" s="8"/>
      <c r="C33" s="9"/>
      <c r="D33" s="10" t="str">
        <f t="shared" si="0"/>
        <v/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8"/>
      <c r="U33" s="4"/>
      <c r="V33" s="11" t="str">
        <f>IF(E33="","",IFERROR(SUMIF('10-Day Compliance'!$A:$A,E33,'10-Day Compliance'!$E:$E),0))</f>
        <v/>
      </c>
      <c r="W33" s="10" t="str">
        <f t="shared" si="1"/>
        <v/>
      </c>
      <c r="X33" s="4"/>
      <c r="Y33" s="4"/>
      <c r="Z33" s="11" t="str">
        <f t="shared" ca="1" si="2"/>
        <v/>
      </c>
      <c r="AA33" s="8"/>
      <c r="AB33" s="8"/>
      <c r="AC33" s="4"/>
      <c r="AD33" s="8"/>
      <c r="AE33" s="8"/>
      <c r="AF33" s="4"/>
      <c r="AG33" s="11" t="str">
        <f t="shared" ca="1" si="3"/>
        <v/>
      </c>
      <c r="AH33" s="4"/>
    </row>
    <row r="34" spans="1:34" ht="18" customHeight="1" x14ac:dyDescent="0.45">
      <c r="A34" s="6"/>
      <c r="B34" s="12"/>
      <c r="C34" s="13"/>
      <c r="D34" s="10" t="str">
        <f t="shared" si="0"/>
        <v/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12"/>
      <c r="U34" s="6"/>
      <c r="V34" s="11" t="str">
        <f>IF(E34="","",IFERROR(SUMIF('10-Day Compliance'!$A:$A,E34,'10-Day Compliance'!$E:$E),0))</f>
        <v/>
      </c>
      <c r="W34" s="10" t="str">
        <f t="shared" si="1"/>
        <v/>
      </c>
      <c r="X34" s="6"/>
      <c r="Y34" s="6"/>
      <c r="Z34" s="11" t="str">
        <f t="shared" ca="1" si="2"/>
        <v/>
      </c>
      <c r="AA34" s="12"/>
      <c r="AB34" s="12"/>
      <c r="AC34" s="6"/>
      <c r="AD34" s="12"/>
      <c r="AE34" s="12"/>
      <c r="AF34" s="6"/>
      <c r="AG34" s="11" t="str">
        <f t="shared" ca="1" si="3"/>
        <v/>
      </c>
      <c r="AH34" s="6"/>
    </row>
    <row r="35" spans="1:34" ht="18" customHeight="1" x14ac:dyDescent="0.45">
      <c r="A35" s="4"/>
      <c r="B35" s="8"/>
      <c r="C35" s="9"/>
      <c r="D35" s="10" t="str">
        <f t="shared" si="0"/>
        <v/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8"/>
      <c r="U35" s="4"/>
      <c r="V35" s="11" t="str">
        <f>IF(E35="","",IFERROR(SUMIF('10-Day Compliance'!$A:$A,E35,'10-Day Compliance'!$E:$E),0))</f>
        <v/>
      </c>
      <c r="W35" s="10" t="str">
        <f t="shared" si="1"/>
        <v/>
      </c>
      <c r="X35" s="4"/>
      <c r="Y35" s="4"/>
      <c r="Z35" s="11" t="str">
        <f t="shared" ca="1" si="2"/>
        <v/>
      </c>
      <c r="AA35" s="8"/>
      <c r="AB35" s="8"/>
      <c r="AC35" s="4"/>
      <c r="AD35" s="8"/>
      <c r="AE35" s="8"/>
      <c r="AF35" s="4"/>
      <c r="AG35" s="11" t="str">
        <f t="shared" ca="1" si="3"/>
        <v/>
      </c>
      <c r="AH35" s="4"/>
    </row>
    <row r="36" spans="1:34" ht="18" customHeight="1" x14ac:dyDescent="0.45">
      <c r="A36" s="6"/>
      <c r="B36" s="12"/>
      <c r="C36" s="13"/>
      <c r="D36" s="10" t="str">
        <f t="shared" si="0"/>
        <v/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12"/>
      <c r="U36" s="6"/>
      <c r="V36" s="11" t="str">
        <f>IF(E36="","",IFERROR(SUMIF('10-Day Compliance'!$A:$A,E36,'10-Day Compliance'!$E:$E),0))</f>
        <v/>
      </c>
      <c r="W36" s="10" t="str">
        <f t="shared" si="1"/>
        <v/>
      </c>
      <c r="X36" s="6"/>
      <c r="Y36" s="6"/>
      <c r="Z36" s="11" t="str">
        <f t="shared" ca="1" si="2"/>
        <v/>
      </c>
      <c r="AA36" s="12"/>
      <c r="AB36" s="12"/>
      <c r="AC36" s="6"/>
      <c r="AD36" s="12"/>
      <c r="AE36" s="12"/>
      <c r="AF36" s="6"/>
      <c r="AG36" s="11" t="str">
        <f t="shared" ca="1" si="3"/>
        <v/>
      </c>
      <c r="AH36" s="6"/>
    </row>
    <row r="37" spans="1:34" ht="18" customHeight="1" x14ac:dyDescent="0.45">
      <c r="A37" s="4"/>
      <c r="B37" s="8"/>
      <c r="C37" s="9"/>
      <c r="D37" s="10" t="str">
        <f t="shared" si="0"/>
        <v/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8"/>
      <c r="U37" s="4"/>
      <c r="V37" s="11" t="str">
        <f>IF(E37="","",IFERROR(SUMIF('10-Day Compliance'!$A:$A,E37,'10-Day Compliance'!$E:$E),0))</f>
        <v/>
      </c>
      <c r="W37" s="10" t="str">
        <f t="shared" si="1"/>
        <v/>
      </c>
      <c r="X37" s="4"/>
      <c r="Y37" s="4"/>
      <c r="Z37" s="11" t="str">
        <f t="shared" ca="1" si="2"/>
        <v/>
      </c>
      <c r="AA37" s="8"/>
      <c r="AB37" s="8"/>
      <c r="AC37" s="4"/>
      <c r="AD37" s="8"/>
      <c r="AE37" s="8"/>
      <c r="AF37" s="4"/>
      <c r="AG37" s="11" t="str">
        <f t="shared" ca="1" si="3"/>
        <v/>
      </c>
      <c r="AH37" s="4"/>
    </row>
    <row r="38" spans="1:34" ht="18" customHeight="1" x14ac:dyDescent="0.45">
      <c r="A38" s="6"/>
      <c r="B38" s="12"/>
      <c r="C38" s="13"/>
      <c r="D38" s="10" t="str">
        <f t="shared" si="0"/>
        <v/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12"/>
      <c r="U38" s="6"/>
      <c r="V38" s="11" t="str">
        <f>IF(E38="","",IFERROR(SUMIF('10-Day Compliance'!$A:$A,E38,'10-Day Compliance'!$E:$E),0))</f>
        <v/>
      </c>
      <c r="W38" s="10" t="str">
        <f t="shared" si="1"/>
        <v/>
      </c>
      <c r="X38" s="6"/>
      <c r="Y38" s="6"/>
      <c r="Z38" s="11" t="str">
        <f t="shared" ca="1" si="2"/>
        <v/>
      </c>
      <c r="AA38" s="12"/>
      <c r="AB38" s="12"/>
      <c r="AC38" s="6"/>
      <c r="AD38" s="12"/>
      <c r="AE38" s="12"/>
      <c r="AF38" s="6"/>
      <c r="AG38" s="11" t="str">
        <f t="shared" ca="1" si="3"/>
        <v/>
      </c>
      <c r="AH38" s="6"/>
    </row>
    <row r="39" spans="1:34" ht="18" customHeight="1" x14ac:dyDescent="0.45">
      <c r="A39" s="4"/>
      <c r="B39" s="8"/>
      <c r="C39" s="9"/>
      <c r="D39" s="10" t="str">
        <f t="shared" si="0"/>
        <v/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8"/>
      <c r="U39" s="4"/>
      <c r="V39" s="11" t="str">
        <f>IF(E39="","",IFERROR(SUMIF('10-Day Compliance'!$A:$A,E39,'10-Day Compliance'!$E:$E),0))</f>
        <v/>
      </c>
      <c r="W39" s="10" t="str">
        <f t="shared" si="1"/>
        <v/>
      </c>
      <c r="X39" s="4"/>
      <c r="Y39" s="4"/>
      <c r="Z39" s="11" t="str">
        <f t="shared" ca="1" si="2"/>
        <v/>
      </c>
      <c r="AA39" s="8"/>
      <c r="AB39" s="8"/>
      <c r="AC39" s="4"/>
      <c r="AD39" s="8"/>
      <c r="AE39" s="8"/>
      <c r="AF39" s="4"/>
      <c r="AG39" s="11" t="str">
        <f t="shared" ca="1" si="3"/>
        <v/>
      </c>
      <c r="AH39" s="4"/>
    </row>
    <row r="40" spans="1:34" ht="18" customHeight="1" x14ac:dyDescent="0.45">
      <c r="A40" s="6"/>
      <c r="B40" s="12"/>
      <c r="C40" s="13"/>
      <c r="D40" s="10" t="str">
        <f t="shared" si="0"/>
        <v/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12"/>
      <c r="U40" s="6"/>
      <c r="V40" s="11" t="str">
        <f>IF(E40="","",IFERROR(SUMIF('10-Day Compliance'!$A:$A,E40,'10-Day Compliance'!$E:$E),0))</f>
        <v/>
      </c>
      <c r="W40" s="10" t="str">
        <f t="shared" si="1"/>
        <v/>
      </c>
      <c r="X40" s="6"/>
      <c r="Y40" s="6"/>
      <c r="Z40" s="11" t="str">
        <f t="shared" ca="1" si="2"/>
        <v/>
      </c>
      <c r="AA40" s="12"/>
      <c r="AB40" s="12"/>
      <c r="AC40" s="6"/>
      <c r="AD40" s="12"/>
      <c r="AE40" s="12"/>
      <c r="AF40" s="6"/>
      <c r="AG40" s="11" t="str">
        <f t="shared" ca="1" si="3"/>
        <v/>
      </c>
      <c r="AH40" s="6"/>
    </row>
    <row r="41" spans="1:34" ht="18" customHeight="1" x14ac:dyDescent="0.45">
      <c r="A41" s="4"/>
      <c r="B41" s="8"/>
      <c r="C41" s="9"/>
      <c r="D41" s="10" t="str">
        <f t="shared" si="0"/>
        <v/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8"/>
      <c r="U41" s="4"/>
      <c r="V41" s="11" t="str">
        <f>IF(E41="","",IFERROR(SUMIF('10-Day Compliance'!$A:$A,E41,'10-Day Compliance'!$E:$E),0))</f>
        <v/>
      </c>
      <c r="W41" s="10" t="str">
        <f t="shared" si="1"/>
        <v/>
      </c>
      <c r="X41" s="4"/>
      <c r="Y41" s="4"/>
      <c r="Z41" s="11" t="str">
        <f t="shared" ca="1" si="2"/>
        <v/>
      </c>
      <c r="AA41" s="8"/>
      <c r="AB41" s="8"/>
      <c r="AC41" s="4"/>
      <c r="AD41" s="8"/>
      <c r="AE41" s="8"/>
      <c r="AF41" s="4"/>
      <c r="AG41" s="11" t="str">
        <f t="shared" ca="1" si="3"/>
        <v/>
      </c>
      <c r="AH41" s="4"/>
    </row>
    <row r="42" spans="1:34" ht="18" customHeight="1" x14ac:dyDescent="0.45">
      <c r="A42" s="6"/>
      <c r="B42" s="12"/>
      <c r="C42" s="13"/>
      <c r="D42" s="10" t="str">
        <f t="shared" si="0"/>
        <v/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12"/>
      <c r="U42" s="6"/>
      <c r="V42" s="11" t="str">
        <f>IF(E42="","",IFERROR(SUMIF('10-Day Compliance'!$A:$A,E42,'10-Day Compliance'!$E:$E),0))</f>
        <v/>
      </c>
      <c r="W42" s="10" t="str">
        <f t="shared" si="1"/>
        <v/>
      </c>
      <c r="X42" s="6"/>
      <c r="Y42" s="6"/>
      <c r="Z42" s="11" t="str">
        <f t="shared" ca="1" si="2"/>
        <v/>
      </c>
      <c r="AA42" s="12"/>
      <c r="AB42" s="12"/>
      <c r="AC42" s="6"/>
      <c r="AD42" s="12"/>
      <c r="AE42" s="12"/>
      <c r="AF42" s="6"/>
      <c r="AG42" s="11" t="str">
        <f t="shared" ca="1" si="3"/>
        <v/>
      </c>
      <c r="AH42" s="6"/>
    </row>
    <row r="43" spans="1:34" ht="18" customHeight="1" x14ac:dyDescent="0.45">
      <c r="A43" s="4"/>
      <c r="B43" s="8"/>
      <c r="C43" s="9"/>
      <c r="D43" s="10" t="str">
        <f t="shared" si="0"/>
        <v/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8"/>
      <c r="U43" s="4"/>
      <c r="V43" s="11" t="str">
        <f>IF(E43="","",IFERROR(SUMIF('10-Day Compliance'!$A:$A,E43,'10-Day Compliance'!$E:$E),0))</f>
        <v/>
      </c>
      <c r="W43" s="10" t="str">
        <f t="shared" si="1"/>
        <v/>
      </c>
      <c r="X43" s="4"/>
      <c r="Y43" s="4"/>
      <c r="Z43" s="11" t="str">
        <f t="shared" ca="1" si="2"/>
        <v/>
      </c>
      <c r="AA43" s="8"/>
      <c r="AB43" s="8"/>
      <c r="AC43" s="4"/>
      <c r="AD43" s="8"/>
      <c r="AE43" s="8"/>
      <c r="AF43" s="4"/>
      <c r="AG43" s="11" t="str">
        <f t="shared" ca="1" si="3"/>
        <v/>
      </c>
      <c r="AH43" s="4"/>
    </row>
    <row r="44" spans="1:34" ht="18" customHeight="1" x14ac:dyDescent="0.45">
      <c r="A44" s="6"/>
      <c r="B44" s="12"/>
      <c r="C44" s="13"/>
      <c r="D44" s="10" t="str">
        <f t="shared" si="0"/>
        <v/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12"/>
      <c r="U44" s="6"/>
      <c r="V44" s="11" t="str">
        <f>IF(E44="","",IFERROR(SUMIF('10-Day Compliance'!$A:$A,E44,'10-Day Compliance'!$E:$E),0))</f>
        <v/>
      </c>
      <c r="W44" s="10" t="str">
        <f t="shared" si="1"/>
        <v/>
      </c>
      <c r="X44" s="6"/>
      <c r="Y44" s="6"/>
      <c r="Z44" s="11" t="str">
        <f t="shared" ca="1" si="2"/>
        <v/>
      </c>
      <c r="AA44" s="12"/>
      <c r="AB44" s="12"/>
      <c r="AC44" s="6"/>
      <c r="AD44" s="12"/>
      <c r="AE44" s="12"/>
      <c r="AF44" s="6"/>
      <c r="AG44" s="11" t="str">
        <f t="shared" ca="1" si="3"/>
        <v/>
      </c>
      <c r="AH44" s="6"/>
    </row>
    <row r="45" spans="1:34" ht="18" customHeight="1" x14ac:dyDescent="0.45">
      <c r="A45" s="4"/>
      <c r="B45" s="8"/>
      <c r="C45" s="9"/>
      <c r="D45" s="10" t="str">
        <f t="shared" si="0"/>
        <v/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8"/>
      <c r="U45" s="4"/>
      <c r="V45" s="11" t="str">
        <f>IF(E45="","",IFERROR(SUMIF('10-Day Compliance'!$A:$A,E45,'10-Day Compliance'!$E:$E),0))</f>
        <v/>
      </c>
      <c r="W45" s="10" t="str">
        <f t="shared" si="1"/>
        <v/>
      </c>
      <c r="X45" s="4"/>
      <c r="Y45" s="4"/>
      <c r="Z45" s="11" t="str">
        <f t="shared" ca="1" si="2"/>
        <v/>
      </c>
      <c r="AA45" s="8"/>
      <c r="AB45" s="8"/>
      <c r="AC45" s="4"/>
      <c r="AD45" s="8"/>
      <c r="AE45" s="8"/>
      <c r="AF45" s="4"/>
      <c r="AG45" s="11" t="str">
        <f t="shared" ca="1" si="3"/>
        <v/>
      </c>
      <c r="AH45" s="4"/>
    </row>
    <row r="46" spans="1:34" ht="18" customHeight="1" x14ac:dyDescent="0.45">
      <c r="A46" s="6"/>
      <c r="B46" s="12"/>
      <c r="C46" s="13"/>
      <c r="D46" s="10" t="str">
        <f t="shared" si="0"/>
        <v/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12"/>
      <c r="U46" s="6"/>
      <c r="V46" s="11" t="str">
        <f>IF(E46="","",IFERROR(SUMIF('10-Day Compliance'!$A:$A,E46,'10-Day Compliance'!$E:$E),0))</f>
        <v/>
      </c>
      <c r="W46" s="10" t="str">
        <f t="shared" si="1"/>
        <v/>
      </c>
      <c r="X46" s="6"/>
      <c r="Y46" s="6"/>
      <c r="Z46" s="11" t="str">
        <f t="shared" ca="1" si="2"/>
        <v/>
      </c>
      <c r="AA46" s="12"/>
      <c r="AB46" s="12"/>
      <c r="AC46" s="6"/>
      <c r="AD46" s="12"/>
      <c r="AE46" s="12"/>
      <c r="AF46" s="6"/>
      <c r="AG46" s="11" t="str">
        <f t="shared" ca="1" si="3"/>
        <v/>
      </c>
      <c r="AH46" s="6"/>
    </row>
    <row r="47" spans="1:34" ht="18" customHeight="1" x14ac:dyDescent="0.45">
      <c r="A47" s="4"/>
      <c r="B47" s="8"/>
      <c r="C47" s="9"/>
      <c r="D47" s="10" t="str">
        <f t="shared" si="0"/>
        <v/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8"/>
      <c r="U47" s="4"/>
      <c r="V47" s="11" t="str">
        <f>IF(E47="","",IFERROR(SUMIF('10-Day Compliance'!$A:$A,E47,'10-Day Compliance'!$E:$E),0))</f>
        <v/>
      </c>
      <c r="W47" s="10" t="str">
        <f t="shared" si="1"/>
        <v/>
      </c>
      <c r="X47" s="4"/>
      <c r="Y47" s="4"/>
      <c r="Z47" s="11" t="str">
        <f t="shared" ca="1" si="2"/>
        <v/>
      </c>
      <c r="AA47" s="8"/>
      <c r="AB47" s="8"/>
      <c r="AC47" s="4"/>
      <c r="AD47" s="8"/>
      <c r="AE47" s="8"/>
      <c r="AF47" s="4"/>
      <c r="AG47" s="11" t="str">
        <f t="shared" ca="1" si="3"/>
        <v/>
      </c>
      <c r="AH47" s="4"/>
    </row>
    <row r="48" spans="1:34" ht="18" customHeight="1" x14ac:dyDescent="0.45">
      <c r="A48" s="6"/>
      <c r="B48" s="12"/>
      <c r="C48" s="13"/>
      <c r="D48" s="10" t="str">
        <f t="shared" si="0"/>
        <v/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12"/>
      <c r="U48" s="6"/>
      <c r="V48" s="11" t="str">
        <f>IF(E48="","",IFERROR(SUMIF('10-Day Compliance'!$A:$A,E48,'10-Day Compliance'!$E:$E),0))</f>
        <v/>
      </c>
      <c r="W48" s="10" t="str">
        <f t="shared" si="1"/>
        <v/>
      </c>
      <c r="X48" s="6"/>
      <c r="Y48" s="6"/>
      <c r="Z48" s="11" t="str">
        <f t="shared" ca="1" si="2"/>
        <v/>
      </c>
      <c r="AA48" s="12"/>
      <c r="AB48" s="12"/>
      <c r="AC48" s="6"/>
      <c r="AD48" s="12"/>
      <c r="AE48" s="12"/>
      <c r="AF48" s="6"/>
      <c r="AG48" s="11" t="str">
        <f t="shared" ca="1" si="3"/>
        <v/>
      </c>
      <c r="AH48" s="6"/>
    </row>
    <row r="49" spans="1:34" ht="18" customHeight="1" x14ac:dyDescent="0.45">
      <c r="A49" s="4"/>
      <c r="B49" s="8"/>
      <c r="C49" s="9"/>
      <c r="D49" s="10" t="str">
        <f t="shared" si="0"/>
        <v/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8"/>
      <c r="U49" s="4"/>
      <c r="V49" s="11" t="str">
        <f>IF(E49="","",IFERROR(SUMIF('10-Day Compliance'!$A:$A,E49,'10-Day Compliance'!$E:$E),0))</f>
        <v/>
      </c>
      <c r="W49" s="10" t="str">
        <f t="shared" si="1"/>
        <v/>
      </c>
      <c r="X49" s="4"/>
      <c r="Y49" s="4"/>
      <c r="Z49" s="11" t="str">
        <f t="shared" ca="1" si="2"/>
        <v/>
      </c>
      <c r="AA49" s="8"/>
      <c r="AB49" s="8"/>
      <c r="AC49" s="4"/>
      <c r="AD49" s="8"/>
      <c r="AE49" s="8"/>
      <c r="AF49" s="4"/>
      <c r="AG49" s="11" t="str">
        <f t="shared" ca="1" si="3"/>
        <v/>
      </c>
      <c r="AH49" s="4"/>
    </row>
    <row r="50" spans="1:34" ht="18" customHeight="1" x14ac:dyDescent="0.45">
      <c r="A50" s="6"/>
      <c r="B50" s="12"/>
      <c r="C50" s="13"/>
      <c r="D50" s="10" t="str">
        <f t="shared" si="0"/>
        <v/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12"/>
      <c r="U50" s="6"/>
      <c r="V50" s="11" t="str">
        <f>IF(E50="","",IFERROR(SUMIF('10-Day Compliance'!$A:$A,E50,'10-Day Compliance'!$E:$E),0))</f>
        <v/>
      </c>
      <c r="W50" s="10" t="str">
        <f t="shared" si="1"/>
        <v/>
      </c>
      <c r="X50" s="6"/>
      <c r="Y50" s="6"/>
      <c r="Z50" s="11" t="str">
        <f t="shared" ca="1" si="2"/>
        <v/>
      </c>
      <c r="AA50" s="12"/>
      <c r="AB50" s="12"/>
      <c r="AC50" s="6"/>
      <c r="AD50" s="12"/>
      <c r="AE50" s="12"/>
      <c r="AF50" s="6"/>
      <c r="AG50" s="11" t="str">
        <f t="shared" ca="1" si="3"/>
        <v/>
      </c>
      <c r="AH50" s="6"/>
    </row>
    <row r="51" spans="1:34" ht="18" customHeight="1" x14ac:dyDescent="0.45">
      <c r="A51" s="4"/>
      <c r="B51" s="8"/>
      <c r="C51" s="9"/>
      <c r="D51" s="10" t="str">
        <f t="shared" si="0"/>
        <v/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8"/>
      <c r="U51" s="4"/>
      <c r="V51" s="11" t="str">
        <f>IF(E51="","",IFERROR(SUMIF('10-Day Compliance'!$A:$A,E51,'10-Day Compliance'!$E:$E),0))</f>
        <v/>
      </c>
      <c r="W51" s="10" t="str">
        <f t="shared" si="1"/>
        <v/>
      </c>
      <c r="X51" s="4"/>
      <c r="Y51" s="4"/>
      <c r="Z51" s="11" t="str">
        <f t="shared" ca="1" si="2"/>
        <v/>
      </c>
      <c r="AA51" s="8"/>
      <c r="AB51" s="8"/>
      <c r="AC51" s="4"/>
      <c r="AD51" s="8"/>
      <c r="AE51" s="8"/>
      <c r="AF51" s="4"/>
      <c r="AG51" s="11" t="str">
        <f t="shared" ca="1" si="3"/>
        <v/>
      </c>
      <c r="AH51" s="4"/>
    </row>
    <row r="52" spans="1:34" ht="18" customHeight="1" x14ac:dyDescent="0.45">
      <c r="A52" s="6"/>
      <c r="B52" s="12"/>
      <c r="C52" s="13"/>
      <c r="D52" s="10" t="str">
        <f t="shared" si="0"/>
        <v/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12"/>
      <c r="U52" s="6"/>
      <c r="V52" s="11" t="str">
        <f>IF(E52="","",IFERROR(SUMIF('10-Day Compliance'!$A:$A,E52,'10-Day Compliance'!$E:$E),0))</f>
        <v/>
      </c>
      <c r="W52" s="10" t="str">
        <f t="shared" si="1"/>
        <v/>
      </c>
      <c r="X52" s="6"/>
      <c r="Y52" s="6"/>
      <c r="Z52" s="11" t="str">
        <f t="shared" ca="1" si="2"/>
        <v/>
      </c>
      <c r="AA52" s="12"/>
      <c r="AB52" s="12"/>
      <c r="AC52" s="6"/>
      <c r="AD52" s="12"/>
      <c r="AE52" s="12"/>
      <c r="AF52" s="6"/>
      <c r="AG52" s="11" t="str">
        <f t="shared" ca="1" si="3"/>
        <v/>
      </c>
      <c r="AH52" s="6"/>
    </row>
    <row r="53" spans="1:34" ht="18" customHeight="1" x14ac:dyDescent="0.45">
      <c r="A53" s="4"/>
      <c r="B53" s="8"/>
      <c r="C53" s="9"/>
      <c r="D53" s="10" t="str">
        <f t="shared" si="0"/>
        <v/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8"/>
      <c r="U53" s="4"/>
      <c r="V53" s="11" t="str">
        <f>IF(E53="","",IFERROR(SUMIF('10-Day Compliance'!$A:$A,E53,'10-Day Compliance'!$E:$E),0))</f>
        <v/>
      </c>
      <c r="W53" s="10" t="str">
        <f t="shared" si="1"/>
        <v/>
      </c>
      <c r="X53" s="4"/>
      <c r="Y53" s="4"/>
      <c r="Z53" s="11" t="str">
        <f t="shared" ca="1" si="2"/>
        <v/>
      </c>
      <c r="AA53" s="8"/>
      <c r="AB53" s="8"/>
      <c r="AC53" s="4"/>
      <c r="AD53" s="8"/>
      <c r="AE53" s="8"/>
      <c r="AF53" s="4"/>
      <c r="AG53" s="11" t="str">
        <f t="shared" ca="1" si="3"/>
        <v/>
      </c>
      <c r="AH53" s="4"/>
    </row>
    <row r="54" spans="1:34" ht="18" customHeight="1" x14ac:dyDescent="0.45">
      <c r="A54" s="6"/>
      <c r="B54" s="12"/>
      <c r="C54" s="13"/>
      <c r="D54" s="10" t="str">
        <f t="shared" si="0"/>
        <v/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12"/>
      <c r="U54" s="6"/>
      <c r="V54" s="11" t="str">
        <f>IF(E54="","",IFERROR(SUMIF('10-Day Compliance'!$A:$A,E54,'10-Day Compliance'!$E:$E),0))</f>
        <v/>
      </c>
      <c r="W54" s="10" t="str">
        <f t="shared" si="1"/>
        <v/>
      </c>
      <c r="X54" s="6"/>
      <c r="Y54" s="6"/>
      <c r="Z54" s="11" t="str">
        <f t="shared" ca="1" si="2"/>
        <v/>
      </c>
      <c r="AA54" s="12"/>
      <c r="AB54" s="12"/>
      <c r="AC54" s="6"/>
      <c r="AD54" s="12"/>
      <c r="AE54" s="12"/>
      <c r="AF54" s="6"/>
      <c r="AG54" s="11" t="str">
        <f t="shared" ca="1" si="3"/>
        <v/>
      </c>
      <c r="AH54" s="6"/>
    </row>
    <row r="55" spans="1:34" ht="18" customHeight="1" x14ac:dyDescent="0.45">
      <c r="A55" s="4"/>
      <c r="B55" s="8"/>
      <c r="C55" s="9"/>
      <c r="D55" s="10" t="str">
        <f t="shared" si="0"/>
        <v/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8"/>
      <c r="U55" s="4"/>
      <c r="V55" s="11" t="str">
        <f>IF(E55="","",IFERROR(SUMIF('10-Day Compliance'!$A:$A,E55,'10-Day Compliance'!$E:$E),0))</f>
        <v/>
      </c>
      <c r="W55" s="10" t="str">
        <f t="shared" si="1"/>
        <v/>
      </c>
      <c r="X55" s="4"/>
      <c r="Y55" s="4"/>
      <c r="Z55" s="11" t="str">
        <f t="shared" ca="1" si="2"/>
        <v/>
      </c>
      <c r="AA55" s="8"/>
      <c r="AB55" s="8"/>
      <c r="AC55" s="4"/>
      <c r="AD55" s="8"/>
      <c r="AE55" s="8"/>
      <c r="AF55" s="4"/>
      <c r="AG55" s="11" t="str">
        <f t="shared" ca="1" si="3"/>
        <v/>
      </c>
      <c r="AH55" s="4"/>
    </row>
    <row r="56" spans="1:34" ht="18" customHeight="1" x14ac:dyDescent="0.45">
      <c r="A56" s="6"/>
      <c r="B56" s="12"/>
      <c r="C56" s="13"/>
      <c r="D56" s="10" t="str">
        <f t="shared" si="0"/>
        <v/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12"/>
      <c r="U56" s="6"/>
      <c r="V56" s="11" t="str">
        <f>IF(E56="","",IFERROR(SUMIF('10-Day Compliance'!$A:$A,E56,'10-Day Compliance'!$E:$E),0))</f>
        <v/>
      </c>
      <c r="W56" s="10" t="str">
        <f t="shared" si="1"/>
        <v/>
      </c>
      <c r="X56" s="6"/>
      <c r="Y56" s="6"/>
      <c r="Z56" s="11" t="str">
        <f t="shared" ca="1" si="2"/>
        <v/>
      </c>
      <c r="AA56" s="12"/>
      <c r="AB56" s="12"/>
      <c r="AC56" s="6"/>
      <c r="AD56" s="12"/>
      <c r="AE56" s="12"/>
      <c r="AF56" s="6"/>
      <c r="AG56" s="11" t="str">
        <f t="shared" ca="1" si="3"/>
        <v/>
      </c>
      <c r="AH56" s="6"/>
    </row>
    <row r="57" spans="1:34" ht="18" customHeight="1" x14ac:dyDescent="0.45">
      <c r="A57" s="4"/>
      <c r="B57" s="8"/>
      <c r="C57" s="9"/>
      <c r="D57" s="10" t="str">
        <f t="shared" si="0"/>
        <v/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8"/>
      <c r="U57" s="4"/>
      <c r="V57" s="11" t="str">
        <f>IF(E57="","",IFERROR(SUMIF('10-Day Compliance'!$A:$A,E57,'10-Day Compliance'!$E:$E),0))</f>
        <v/>
      </c>
      <c r="W57" s="10" t="str">
        <f t="shared" si="1"/>
        <v/>
      </c>
      <c r="X57" s="4"/>
      <c r="Y57" s="4"/>
      <c r="Z57" s="11" t="str">
        <f t="shared" ca="1" si="2"/>
        <v/>
      </c>
      <c r="AA57" s="8"/>
      <c r="AB57" s="8"/>
      <c r="AC57" s="4"/>
      <c r="AD57" s="8"/>
      <c r="AE57" s="8"/>
      <c r="AF57" s="4"/>
      <c r="AG57" s="11" t="str">
        <f t="shared" ca="1" si="3"/>
        <v/>
      </c>
      <c r="AH57" s="4"/>
    </row>
    <row r="58" spans="1:34" ht="18" customHeight="1" x14ac:dyDescent="0.45">
      <c r="A58" s="6"/>
      <c r="B58" s="12"/>
      <c r="C58" s="13"/>
      <c r="D58" s="10" t="str">
        <f t="shared" si="0"/>
        <v/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12"/>
      <c r="U58" s="6"/>
      <c r="V58" s="11" t="str">
        <f>IF(E58="","",IFERROR(SUMIF('10-Day Compliance'!$A:$A,E58,'10-Day Compliance'!$E:$E),0))</f>
        <v/>
      </c>
      <c r="W58" s="10" t="str">
        <f t="shared" si="1"/>
        <v/>
      </c>
      <c r="X58" s="6"/>
      <c r="Y58" s="6"/>
      <c r="Z58" s="11" t="str">
        <f t="shared" ca="1" si="2"/>
        <v/>
      </c>
      <c r="AA58" s="12"/>
      <c r="AB58" s="12"/>
      <c r="AC58" s="6"/>
      <c r="AD58" s="12"/>
      <c r="AE58" s="12"/>
      <c r="AF58" s="6"/>
      <c r="AG58" s="11" t="str">
        <f t="shared" ca="1" si="3"/>
        <v/>
      </c>
      <c r="AH58" s="6"/>
    </row>
    <row r="59" spans="1:34" ht="18" customHeight="1" x14ac:dyDescent="0.45">
      <c r="A59" s="4"/>
      <c r="B59" s="8"/>
      <c r="C59" s="9"/>
      <c r="D59" s="10" t="str">
        <f t="shared" si="0"/>
        <v/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8"/>
      <c r="U59" s="4"/>
      <c r="V59" s="11" t="str">
        <f>IF(E59="","",IFERROR(SUMIF('10-Day Compliance'!$A:$A,E59,'10-Day Compliance'!$E:$E),0))</f>
        <v/>
      </c>
      <c r="W59" s="10" t="str">
        <f t="shared" si="1"/>
        <v/>
      </c>
      <c r="X59" s="4"/>
      <c r="Y59" s="4"/>
      <c r="Z59" s="11" t="str">
        <f t="shared" ca="1" si="2"/>
        <v/>
      </c>
      <c r="AA59" s="8"/>
      <c r="AB59" s="8"/>
      <c r="AC59" s="4"/>
      <c r="AD59" s="8"/>
      <c r="AE59" s="8"/>
      <c r="AF59" s="4"/>
      <c r="AG59" s="11" t="str">
        <f t="shared" ca="1" si="3"/>
        <v/>
      </c>
      <c r="AH59" s="4"/>
    </row>
    <row r="60" spans="1:34" ht="18" customHeight="1" x14ac:dyDescent="0.45">
      <c r="A60" s="6"/>
      <c r="B60" s="12"/>
      <c r="C60" s="13"/>
      <c r="D60" s="10" t="str">
        <f t="shared" si="0"/>
        <v/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12"/>
      <c r="U60" s="6"/>
      <c r="V60" s="11" t="str">
        <f>IF(E60="","",IFERROR(SUMIF('10-Day Compliance'!$A:$A,E60,'10-Day Compliance'!$E:$E),0))</f>
        <v/>
      </c>
      <c r="W60" s="10" t="str">
        <f t="shared" si="1"/>
        <v/>
      </c>
      <c r="X60" s="6"/>
      <c r="Y60" s="6"/>
      <c r="Z60" s="11" t="str">
        <f t="shared" ca="1" si="2"/>
        <v/>
      </c>
      <c r="AA60" s="12"/>
      <c r="AB60" s="12"/>
      <c r="AC60" s="6"/>
      <c r="AD60" s="12"/>
      <c r="AE60" s="12"/>
      <c r="AF60" s="6"/>
      <c r="AG60" s="11" t="str">
        <f t="shared" ca="1" si="3"/>
        <v/>
      </c>
      <c r="AH60" s="6"/>
    </row>
    <row r="61" spans="1:34" ht="18" customHeight="1" x14ac:dyDescent="0.45">
      <c r="A61" s="4"/>
      <c r="B61" s="8"/>
      <c r="C61" s="9"/>
      <c r="D61" s="10" t="str">
        <f t="shared" si="0"/>
        <v/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8"/>
      <c r="U61" s="4"/>
      <c r="V61" s="11" t="str">
        <f>IF(E61="","",IFERROR(SUMIF('10-Day Compliance'!$A:$A,E61,'10-Day Compliance'!$E:$E),0))</f>
        <v/>
      </c>
      <c r="W61" s="10" t="str">
        <f t="shared" si="1"/>
        <v/>
      </c>
      <c r="X61" s="4"/>
      <c r="Y61" s="4"/>
      <c r="Z61" s="11" t="str">
        <f t="shared" ca="1" si="2"/>
        <v/>
      </c>
      <c r="AA61" s="8"/>
      <c r="AB61" s="8"/>
      <c r="AC61" s="4"/>
      <c r="AD61" s="8"/>
      <c r="AE61" s="8"/>
      <c r="AF61" s="4"/>
      <c r="AG61" s="11" t="str">
        <f t="shared" ca="1" si="3"/>
        <v/>
      </c>
      <c r="AH61" s="4"/>
    </row>
    <row r="62" spans="1:34" ht="18" customHeight="1" x14ac:dyDescent="0.45">
      <c r="A62" s="6"/>
      <c r="B62" s="12"/>
      <c r="C62" s="13"/>
      <c r="D62" s="10" t="str">
        <f t="shared" si="0"/>
        <v/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12"/>
      <c r="U62" s="6"/>
      <c r="V62" s="11" t="str">
        <f>IF(E62="","",IFERROR(SUMIF('10-Day Compliance'!$A:$A,E62,'10-Day Compliance'!$E:$E),0))</f>
        <v/>
      </c>
      <c r="W62" s="10" t="str">
        <f t="shared" si="1"/>
        <v/>
      </c>
      <c r="X62" s="6"/>
      <c r="Y62" s="6"/>
      <c r="Z62" s="11" t="str">
        <f t="shared" ca="1" si="2"/>
        <v/>
      </c>
      <c r="AA62" s="12"/>
      <c r="AB62" s="12"/>
      <c r="AC62" s="6"/>
      <c r="AD62" s="12"/>
      <c r="AE62" s="12"/>
      <c r="AF62" s="6"/>
      <c r="AG62" s="11" t="str">
        <f t="shared" ca="1" si="3"/>
        <v/>
      </c>
      <c r="AH62" s="6"/>
    </row>
    <row r="63" spans="1:34" ht="18" customHeight="1" x14ac:dyDescent="0.45">
      <c r="A63" s="4"/>
      <c r="B63" s="8"/>
      <c r="C63" s="9"/>
      <c r="D63" s="10" t="str">
        <f t="shared" si="0"/>
        <v/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8"/>
      <c r="U63" s="4"/>
      <c r="V63" s="11" t="str">
        <f>IF(E63="","",IFERROR(SUMIF('10-Day Compliance'!$A:$A,E63,'10-Day Compliance'!$E:$E),0))</f>
        <v/>
      </c>
      <c r="W63" s="10" t="str">
        <f t="shared" si="1"/>
        <v/>
      </c>
      <c r="X63" s="4"/>
      <c r="Y63" s="4"/>
      <c r="Z63" s="11" t="str">
        <f t="shared" ca="1" si="2"/>
        <v/>
      </c>
      <c r="AA63" s="8"/>
      <c r="AB63" s="8"/>
      <c r="AC63" s="4"/>
      <c r="AD63" s="8"/>
      <c r="AE63" s="8"/>
      <c r="AF63" s="4"/>
      <c r="AG63" s="11" t="str">
        <f t="shared" ca="1" si="3"/>
        <v/>
      </c>
      <c r="AH63" s="4"/>
    </row>
    <row r="64" spans="1:34" ht="18" customHeight="1" x14ac:dyDescent="0.45">
      <c r="A64" s="6"/>
      <c r="B64" s="12"/>
      <c r="C64" s="13"/>
      <c r="D64" s="10" t="str">
        <f t="shared" si="0"/>
        <v/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12"/>
      <c r="U64" s="6"/>
      <c r="V64" s="11" t="str">
        <f>IF(E64="","",IFERROR(SUMIF('10-Day Compliance'!$A:$A,E64,'10-Day Compliance'!$E:$E),0))</f>
        <v/>
      </c>
      <c r="W64" s="10" t="str">
        <f t="shared" si="1"/>
        <v/>
      </c>
      <c r="X64" s="6"/>
      <c r="Y64" s="6"/>
      <c r="Z64" s="11" t="str">
        <f t="shared" ca="1" si="2"/>
        <v/>
      </c>
      <c r="AA64" s="12"/>
      <c r="AB64" s="12"/>
      <c r="AC64" s="6"/>
      <c r="AD64" s="12"/>
      <c r="AE64" s="12"/>
      <c r="AF64" s="6"/>
      <c r="AG64" s="11" t="str">
        <f t="shared" ca="1" si="3"/>
        <v/>
      </c>
      <c r="AH64" s="6"/>
    </row>
    <row r="65" spans="1:34" ht="18" customHeight="1" x14ac:dyDescent="0.45">
      <c r="A65" s="4"/>
      <c r="B65" s="8"/>
      <c r="C65" s="9"/>
      <c r="D65" s="10" t="str">
        <f t="shared" si="0"/>
        <v/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8"/>
      <c r="U65" s="4"/>
      <c r="V65" s="11" t="str">
        <f>IF(E65="","",IFERROR(SUMIF('10-Day Compliance'!$A:$A,E65,'10-Day Compliance'!$E:$E),0))</f>
        <v/>
      </c>
      <c r="W65" s="10" t="str">
        <f t="shared" si="1"/>
        <v/>
      </c>
      <c r="X65" s="4"/>
      <c r="Y65" s="4"/>
      <c r="Z65" s="11" t="str">
        <f t="shared" ca="1" si="2"/>
        <v/>
      </c>
      <c r="AA65" s="8"/>
      <c r="AB65" s="8"/>
      <c r="AC65" s="4"/>
      <c r="AD65" s="8"/>
      <c r="AE65" s="8"/>
      <c r="AF65" s="4"/>
      <c r="AG65" s="11" t="str">
        <f t="shared" ca="1" si="3"/>
        <v/>
      </c>
      <c r="AH65" s="4"/>
    </row>
    <row r="66" spans="1:34" ht="18" customHeight="1" x14ac:dyDescent="0.45">
      <c r="A66" s="6"/>
      <c r="B66" s="12"/>
      <c r="C66" s="13"/>
      <c r="D66" s="10" t="str">
        <f t="shared" si="0"/>
        <v/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12"/>
      <c r="U66" s="6"/>
      <c r="V66" s="11" t="str">
        <f>IF(E66="","",IFERROR(SUMIF('10-Day Compliance'!$A:$A,E66,'10-Day Compliance'!$E:$E),0))</f>
        <v/>
      </c>
      <c r="W66" s="10" t="str">
        <f t="shared" si="1"/>
        <v/>
      </c>
      <c r="X66" s="6"/>
      <c r="Y66" s="6"/>
      <c r="Z66" s="11" t="str">
        <f t="shared" ca="1" si="2"/>
        <v/>
      </c>
      <c r="AA66" s="12"/>
      <c r="AB66" s="12"/>
      <c r="AC66" s="6"/>
      <c r="AD66" s="12"/>
      <c r="AE66" s="12"/>
      <c r="AF66" s="6"/>
      <c r="AG66" s="11" t="str">
        <f t="shared" ca="1" si="3"/>
        <v/>
      </c>
      <c r="AH66" s="6"/>
    </row>
    <row r="67" spans="1:34" ht="18" customHeight="1" x14ac:dyDescent="0.45">
      <c r="A67" s="4"/>
      <c r="B67" s="8"/>
      <c r="C67" s="9"/>
      <c r="D67" s="10" t="str">
        <f t="shared" si="0"/>
        <v/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8"/>
      <c r="U67" s="4"/>
      <c r="V67" s="11" t="str">
        <f>IF(E67="","",IFERROR(SUMIF('10-Day Compliance'!$A:$A,E67,'10-Day Compliance'!$E:$E),0))</f>
        <v/>
      </c>
      <c r="W67" s="10" t="str">
        <f t="shared" si="1"/>
        <v/>
      </c>
      <c r="X67" s="4"/>
      <c r="Y67" s="4"/>
      <c r="Z67" s="11" t="str">
        <f t="shared" ca="1" si="2"/>
        <v/>
      </c>
      <c r="AA67" s="8"/>
      <c r="AB67" s="8"/>
      <c r="AC67" s="4"/>
      <c r="AD67" s="8"/>
      <c r="AE67" s="8"/>
      <c r="AF67" s="4"/>
      <c r="AG67" s="11" t="str">
        <f t="shared" ca="1" si="3"/>
        <v/>
      </c>
      <c r="AH67" s="4"/>
    </row>
    <row r="68" spans="1:34" ht="18" customHeight="1" x14ac:dyDescent="0.45">
      <c r="A68" s="6"/>
      <c r="B68" s="12"/>
      <c r="C68" s="13"/>
      <c r="D68" s="10" t="str">
        <f t="shared" si="0"/>
        <v/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12"/>
      <c r="U68" s="6"/>
      <c r="V68" s="11" t="str">
        <f>IF(E68="","",IFERROR(SUMIF('10-Day Compliance'!$A:$A,E68,'10-Day Compliance'!$E:$E),0))</f>
        <v/>
      </c>
      <c r="W68" s="10" t="str">
        <f t="shared" si="1"/>
        <v/>
      </c>
      <c r="X68" s="6"/>
      <c r="Y68" s="6"/>
      <c r="Z68" s="11" t="str">
        <f t="shared" ca="1" si="2"/>
        <v/>
      </c>
      <c r="AA68" s="12"/>
      <c r="AB68" s="12"/>
      <c r="AC68" s="6"/>
      <c r="AD68" s="12"/>
      <c r="AE68" s="12"/>
      <c r="AF68" s="6"/>
      <c r="AG68" s="11" t="str">
        <f t="shared" ca="1" si="3"/>
        <v/>
      </c>
      <c r="AH68" s="6"/>
    </row>
    <row r="69" spans="1:34" ht="18" customHeight="1" x14ac:dyDescent="0.45">
      <c r="A69" s="4"/>
      <c r="B69" s="8"/>
      <c r="C69" s="9"/>
      <c r="D69" s="10" t="str">
        <f t="shared" ref="D69:D132" si="4">IF(B69="","",TEXT(B69,"DDDD"))</f>
        <v/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8"/>
      <c r="U69" s="4"/>
      <c r="V69" s="11" t="str">
        <f>IF(E69="","",IFERROR(SUMIF('10-Day Compliance'!$A:$A,E69,'10-Day Compliance'!$E:$E),0))</f>
        <v/>
      </c>
      <c r="W69" s="10" t="str">
        <f t="shared" ref="W69:W132" si="5">IF(U69="No","",IF(V69="","",IF(V69&gt;=10,"🔴 EXCEEDED — MDR NOW",IF(V69&gt;=9,"🟠 URGENT — DAY "&amp;V69,IF(V69&gt;=7,"🟡 WARNING — DAY "&amp;V69,"✅ OK — Day "&amp;V69)))))</f>
        <v/>
      </c>
      <c r="X69" s="4"/>
      <c r="Y69" s="4"/>
      <c r="Z69" s="11" t="str">
        <f t="shared" ref="Z69:Z132" ca="1" si="6">IF(OR(B69="",X69="Closed"),"",TODAY()-B69)</f>
        <v/>
      </c>
      <c r="AA69" s="8"/>
      <c r="AB69" s="8"/>
      <c r="AC69" s="4"/>
      <c r="AD69" s="8"/>
      <c r="AE69" s="8"/>
      <c r="AF69" s="4"/>
      <c r="AG69" s="11" t="str">
        <f t="shared" ref="AG69:AG132" ca="1" si="7">IF(B69="","",TODAY()-B69)</f>
        <v/>
      </c>
      <c r="AH69" s="4"/>
    </row>
    <row r="70" spans="1:34" ht="18" customHeight="1" x14ac:dyDescent="0.45">
      <c r="A70" s="6"/>
      <c r="B70" s="12"/>
      <c r="C70" s="13"/>
      <c r="D70" s="10" t="str">
        <f t="shared" si="4"/>
        <v/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12"/>
      <c r="U70" s="6"/>
      <c r="V70" s="11" t="str">
        <f>IF(E70="","",IFERROR(SUMIF('10-Day Compliance'!$A:$A,E70,'10-Day Compliance'!$E:$E),0))</f>
        <v/>
      </c>
      <c r="W70" s="10" t="str">
        <f t="shared" si="5"/>
        <v/>
      </c>
      <c r="X70" s="6"/>
      <c r="Y70" s="6"/>
      <c r="Z70" s="11" t="str">
        <f t="shared" ca="1" si="6"/>
        <v/>
      </c>
      <c r="AA70" s="12"/>
      <c r="AB70" s="12"/>
      <c r="AC70" s="6"/>
      <c r="AD70" s="12"/>
      <c r="AE70" s="12"/>
      <c r="AF70" s="6"/>
      <c r="AG70" s="11" t="str">
        <f t="shared" ca="1" si="7"/>
        <v/>
      </c>
      <c r="AH70" s="6"/>
    </row>
    <row r="71" spans="1:34" ht="18" customHeight="1" x14ac:dyDescent="0.45">
      <c r="A71" s="4"/>
      <c r="B71" s="8"/>
      <c r="C71" s="9"/>
      <c r="D71" s="10" t="str">
        <f t="shared" si="4"/>
        <v/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8"/>
      <c r="U71" s="4"/>
      <c r="V71" s="11" t="str">
        <f>IF(E71="","",IFERROR(SUMIF('10-Day Compliance'!$A:$A,E71,'10-Day Compliance'!$E:$E),0))</f>
        <v/>
      </c>
      <c r="W71" s="10" t="str">
        <f t="shared" si="5"/>
        <v/>
      </c>
      <c r="X71" s="4"/>
      <c r="Y71" s="4"/>
      <c r="Z71" s="11" t="str">
        <f t="shared" ca="1" si="6"/>
        <v/>
      </c>
      <c r="AA71" s="8"/>
      <c r="AB71" s="8"/>
      <c r="AC71" s="4"/>
      <c r="AD71" s="8"/>
      <c r="AE71" s="8"/>
      <c r="AF71" s="4"/>
      <c r="AG71" s="11" t="str">
        <f t="shared" ca="1" si="7"/>
        <v/>
      </c>
      <c r="AH71" s="4"/>
    </row>
    <row r="72" spans="1:34" ht="18" customHeight="1" x14ac:dyDescent="0.45">
      <c r="A72" s="6"/>
      <c r="B72" s="12"/>
      <c r="C72" s="13"/>
      <c r="D72" s="10" t="str">
        <f t="shared" si="4"/>
        <v/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12"/>
      <c r="U72" s="6"/>
      <c r="V72" s="11" t="str">
        <f>IF(E72="","",IFERROR(SUMIF('10-Day Compliance'!$A:$A,E72,'10-Day Compliance'!$E:$E),0))</f>
        <v/>
      </c>
      <c r="W72" s="10" t="str">
        <f t="shared" si="5"/>
        <v/>
      </c>
      <c r="X72" s="6"/>
      <c r="Y72" s="6"/>
      <c r="Z72" s="11" t="str">
        <f t="shared" ca="1" si="6"/>
        <v/>
      </c>
      <c r="AA72" s="12"/>
      <c r="AB72" s="12"/>
      <c r="AC72" s="6"/>
      <c r="AD72" s="12"/>
      <c r="AE72" s="12"/>
      <c r="AF72" s="6"/>
      <c r="AG72" s="11" t="str">
        <f t="shared" ca="1" si="7"/>
        <v/>
      </c>
      <c r="AH72" s="6"/>
    </row>
    <row r="73" spans="1:34" ht="18" customHeight="1" x14ac:dyDescent="0.45">
      <c r="A73" s="4"/>
      <c r="B73" s="8"/>
      <c r="C73" s="9"/>
      <c r="D73" s="10" t="str">
        <f t="shared" si="4"/>
        <v/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8"/>
      <c r="U73" s="4"/>
      <c r="V73" s="11" t="str">
        <f>IF(E73="","",IFERROR(SUMIF('10-Day Compliance'!$A:$A,E73,'10-Day Compliance'!$E:$E),0))</f>
        <v/>
      </c>
      <c r="W73" s="10" t="str">
        <f t="shared" si="5"/>
        <v/>
      </c>
      <c r="X73" s="4"/>
      <c r="Y73" s="4"/>
      <c r="Z73" s="11" t="str">
        <f t="shared" ca="1" si="6"/>
        <v/>
      </c>
      <c r="AA73" s="8"/>
      <c r="AB73" s="8"/>
      <c r="AC73" s="4"/>
      <c r="AD73" s="8"/>
      <c r="AE73" s="8"/>
      <c r="AF73" s="4"/>
      <c r="AG73" s="11" t="str">
        <f t="shared" ca="1" si="7"/>
        <v/>
      </c>
      <c r="AH73" s="4"/>
    </row>
    <row r="74" spans="1:34" ht="18" customHeight="1" x14ac:dyDescent="0.45">
      <c r="A74" s="6"/>
      <c r="B74" s="12"/>
      <c r="C74" s="13"/>
      <c r="D74" s="10" t="str">
        <f t="shared" si="4"/>
        <v/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12"/>
      <c r="U74" s="6"/>
      <c r="V74" s="11" t="str">
        <f>IF(E74="","",IFERROR(SUMIF('10-Day Compliance'!$A:$A,E74,'10-Day Compliance'!$E:$E),0))</f>
        <v/>
      </c>
      <c r="W74" s="10" t="str">
        <f t="shared" si="5"/>
        <v/>
      </c>
      <c r="X74" s="6"/>
      <c r="Y74" s="6"/>
      <c r="Z74" s="11" t="str">
        <f t="shared" ca="1" si="6"/>
        <v/>
      </c>
      <c r="AA74" s="12"/>
      <c r="AB74" s="12"/>
      <c r="AC74" s="6"/>
      <c r="AD74" s="12"/>
      <c r="AE74" s="12"/>
      <c r="AF74" s="6"/>
      <c r="AG74" s="11" t="str">
        <f t="shared" ca="1" si="7"/>
        <v/>
      </c>
      <c r="AH74" s="6"/>
    </row>
    <row r="75" spans="1:34" ht="18" customHeight="1" x14ac:dyDescent="0.45">
      <c r="A75" s="4"/>
      <c r="B75" s="8"/>
      <c r="C75" s="9"/>
      <c r="D75" s="10" t="str">
        <f t="shared" si="4"/>
        <v/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8"/>
      <c r="U75" s="4"/>
      <c r="V75" s="11" t="str">
        <f>IF(E75="","",IFERROR(SUMIF('10-Day Compliance'!$A:$A,E75,'10-Day Compliance'!$E:$E),0))</f>
        <v/>
      </c>
      <c r="W75" s="10" t="str">
        <f t="shared" si="5"/>
        <v/>
      </c>
      <c r="X75" s="4"/>
      <c r="Y75" s="4"/>
      <c r="Z75" s="11" t="str">
        <f t="shared" ca="1" si="6"/>
        <v/>
      </c>
      <c r="AA75" s="8"/>
      <c r="AB75" s="8"/>
      <c r="AC75" s="4"/>
      <c r="AD75" s="8"/>
      <c r="AE75" s="8"/>
      <c r="AF75" s="4"/>
      <c r="AG75" s="11" t="str">
        <f t="shared" ca="1" si="7"/>
        <v/>
      </c>
      <c r="AH75" s="4"/>
    </row>
    <row r="76" spans="1:34" ht="18" customHeight="1" x14ac:dyDescent="0.45">
      <c r="A76" s="6"/>
      <c r="B76" s="12"/>
      <c r="C76" s="13"/>
      <c r="D76" s="10" t="str">
        <f t="shared" si="4"/>
        <v/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12"/>
      <c r="U76" s="6"/>
      <c r="V76" s="11" t="str">
        <f>IF(E76="","",IFERROR(SUMIF('10-Day Compliance'!$A:$A,E76,'10-Day Compliance'!$E:$E),0))</f>
        <v/>
      </c>
      <c r="W76" s="10" t="str">
        <f t="shared" si="5"/>
        <v/>
      </c>
      <c r="X76" s="6"/>
      <c r="Y76" s="6"/>
      <c r="Z76" s="11" t="str">
        <f t="shared" ca="1" si="6"/>
        <v/>
      </c>
      <c r="AA76" s="12"/>
      <c r="AB76" s="12"/>
      <c r="AC76" s="6"/>
      <c r="AD76" s="12"/>
      <c r="AE76" s="12"/>
      <c r="AF76" s="6"/>
      <c r="AG76" s="11" t="str">
        <f t="shared" ca="1" si="7"/>
        <v/>
      </c>
      <c r="AH76" s="6"/>
    </row>
    <row r="77" spans="1:34" ht="18" customHeight="1" x14ac:dyDescent="0.45">
      <c r="A77" s="4"/>
      <c r="B77" s="8"/>
      <c r="C77" s="9"/>
      <c r="D77" s="10" t="str">
        <f t="shared" si="4"/>
        <v/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8"/>
      <c r="U77" s="4"/>
      <c r="V77" s="11" t="str">
        <f>IF(E77="","",IFERROR(SUMIF('10-Day Compliance'!$A:$A,E77,'10-Day Compliance'!$E:$E),0))</f>
        <v/>
      </c>
      <c r="W77" s="10" t="str">
        <f t="shared" si="5"/>
        <v/>
      </c>
      <c r="X77" s="4"/>
      <c r="Y77" s="4"/>
      <c r="Z77" s="11" t="str">
        <f t="shared" ca="1" si="6"/>
        <v/>
      </c>
      <c r="AA77" s="8"/>
      <c r="AB77" s="8"/>
      <c r="AC77" s="4"/>
      <c r="AD77" s="8"/>
      <c r="AE77" s="8"/>
      <c r="AF77" s="4"/>
      <c r="AG77" s="11" t="str">
        <f t="shared" ca="1" si="7"/>
        <v/>
      </c>
      <c r="AH77" s="4"/>
    </row>
    <row r="78" spans="1:34" ht="18" customHeight="1" x14ac:dyDescent="0.45">
      <c r="A78" s="6"/>
      <c r="B78" s="12"/>
      <c r="C78" s="13"/>
      <c r="D78" s="10" t="str">
        <f t="shared" si="4"/>
        <v/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12"/>
      <c r="U78" s="6"/>
      <c r="V78" s="11" t="str">
        <f>IF(E78="","",IFERROR(SUMIF('10-Day Compliance'!$A:$A,E78,'10-Day Compliance'!$E:$E),0))</f>
        <v/>
      </c>
      <c r="W78" s="10" t="str">
        <f t="shared" si="5"/>
        <v/>
      </c>
      <c r="X78" s="6"/>
      <c r="Y78" s="6"/>
      <c r="Z78" s="11" t="str">
        <f t="shared" ca="1" si="6"/>
        <v/>
      </c>
      <c r="AA78" s="12"/>
      <c r="AB78" s="12"/>
      <c r="AC78" s="6"/>
      <c r="AD78" s="12"/>
      <c r="AE78" s="12"/>
      <c r="AF78" s="6"/>
      <c r="AG78" s="11" t="str">
        <f t="shared" ca="1" si="7"/>
        <v/>
      </c>
      <c r="AH78" s="6"/>
    </row>
    <row r="79" spans="1:34" ht="18" customHeight="1" x14ac:dyDescent="0.45">
      <c r="A79" s="4"/>
      <c r="B79" s="8"/>
      <c r="C79" s="9"/>
      <c r="D79" s="10" t="str">
        <f t="shared" si="4"/>
        <v/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8"/>
      <c r="U79" s="4"/>
      <c r="V79" s="11" t="str">
        <f>IF(E79="","",IFERROR(SUMIF('10-Day Compliance'!$A:$A,E79,'10-Day Compliance'!$E:$E),0))</f>
        <v/>
      </c>
      <c r="W79" s="10" t="str">
        <f t="shared" si="5"/>
        <v/>
      </c>
      <c r="X79" s="4"/>
      <c r="Y79" s="4"/>
      <c r="Z79" s="11" t="str">
        <f t="shared" ca="1" si="6"/>
        <v/>
      </c>
      <c r="AA79" s="8"/>
      <c r="AB79" s="8"/>
      <c r="AC79" s="4"/>
      <c r="AD79" s="8"/>
      <c r="AE79" s="8"/>
      <c r="AF79" s="4"/>
      <c r="AG79" s="11" t="str">
        <f t="shared" ca="1" si="7"/>
        <v/>
      </c>
      <c r="AH79" s="4"/>
    </row>
    <row r="80" spans="1:34" ht="18" customHeight="1" x14ac:dyDescent="0.45">
      <c r="A80" s="6"/>
      <c r="B80" s="12"/>
      <c r="C80" s="13"/>
      <c r="D80" s="10" t="str">
        <f t="shared" si="4"/>
        <v/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12"/>
      <c r="U80" s="6"/>
      <c r="V80" s="11" t="str">
        <f>IF(E80="","",IFERROR(SUMIF('10-Day Compliance'!$A:$A,E80,'10-Day Compliance'!$E:$E),0))</f>
        <v/>
      </c>
      <c r="W80" s="10" t="str">
        <f t="shared" si="5"/>
        <v/>
      </c>
      <c r="X80" s="6"/>
      <c r="Y80" s="6"/>
      <c r="Z80" s="11" t="str">
        <f t="shared" ca="1" si="6"/>
        <v/>
      </c>
      <c r="AA80" s="12"/>
      <c r="AB80" s="12"/>
      <c r="AC80" s="6"/>
      <c r="AD80" s="12"/>
      <c r="AE80" s="12"/>
      <c r="AF80" s="6"/>
      <c r="AG80" s="11" t="str">
        <f t="shared" ca="1" si="7"/>
        <v/>
      </c>
      <c r="AH80" s="6"/>
    </row>
    <row r="81" spans="1:34" ht="18" customHeight="1" x14ac:dyDescent="0.45">
      <c r="A81" s="4"/>
      <c r="B81" s="8"/>
      <c r="C81" s="9"/>
      <c r="D81" s="10" t="str">
        <f t="shared" si="4"/>
        <v/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8"/>
      <c r="U81" s="4"/>
      <c r="V81" s="11" t="str">
        <f>IF(E81="","",IFERROR(SUMIF('10-Day Compliance'!$A:$A,E81,'10-Day Compliance'!$E:$E),0))</f>
        <v/>
      </c>
      <c r="W81" s="10" t="str">
        <f t="shared" si="5"/>
        <v/>
      </c>
      <c r="X81" s="4"/>
      <c r="Y81" s="4"/>
      <c r="Z81" s="11" t="str">
        <f t="shared" ca="1" si="6"/>
        <v/>
      </c>
      <c r="AA81" s="8"/>
      <c r="AB81" s="8"/>
      <c r="AC81" s="4"/>
      <c r="AD81" s="8"/>
      <c r="AE81" s="8"/>
      <c r="AF81" s="4"/>
      <c r="AG81" s="11" t="str">
        <f t="shared" ca="1" si="7"/>
        <v/>
      </c>
      <c r="AH81" s="4"/>
    </row>
    <row r="82" spans="1:34" ht="18" customHeight="1" x14ac:dyDescent="0.45">
      <c r="A82" s="6"/>
      <c r="B82" s="12"/>
      <c r="C82" s="13"/>
      <c r="D82" s="10" t="str">
        <f t="shared" si="4"/>
        <v/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12"/>
      <c r="U82" s="6"/>
      <c r="V82" s="11" t="str">
        <f>IF(E82="","",IFERROR(SUMIF('10-Day Compliance'!$A:$A,E82,'10-Day Compliance'!$E:$E),0))</f>
        <v/>
      </c>
      <c r="W82" s="10" t="str">
        <f t="shared" si="5"/>
        <v/>
      </c>
      <c r="X82" s="6"/>
      <c r="Y82" s="6"/>
      <c r="Z82" s="11" t="str">
        <f t="shared" ca="1" si="6"/>
        <v/>
      </c>
      <c r="AA82" s="12"/>
      <c r="AB82" s="12"/>
      <c r="AC82" s="6"/>
      <c r="AD82" s="12"/>
      <c r="AE82" s="12"/>
      <c r="AF82" s="6"/>
      <c r="AG82" s="11" t="str">
        <f t="shared" ca="1" si="7"/>
        <v/>
      </c>
      <c r="AH82" s="6"/>
    </row>
    <row r="83" spans="1:34" ht="18" customHeight="1" x14ac:dyDescent="0.45">
      <c r="A83" s="4"/>
      <c r="B83" s="8"/>
      <c r="C83" s="9"/>
      <c r="D83" s="10" t="str">
        <f t="shared" si="4"/>
        <v/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8"/>
      <c r="U83" s="4"/>
      <c r="V83" s="11" t="str">
        <f>IF(E83="","",IFERROR(SUMIF('10-Day Compliance'!$A:$A,E83,'10-Day Compliance'!$E:$E),0))</f>
        <v/>
      </c>
      <c r="W83" s="10" t="str">
        <f t="shared" si="5"/>
        <v/>
      </c>
      <c r="X83" s="4"/>
      <c r="Y83" s="4"/>
      <c r="Z83" s="11" t="str">
        <f t="shared" ca="1" si="6"/>
        <v/>
      </c>
      <c r="AA83" s="8"/>
      <c r="AB83" s="8"/>
      <c r="AC83" s="4"/>
      <c r="AD83" s="8"/>
      <c r="AE83" s="8"/>
      <c r="AF83" s="4"/>
      <c r="AG83" s="11" t="str">
        <f t="shared" ca="1" si="7"/>
        <v/>
      </c>
      <c r="AH83" s="4"/>
    </row>
    <row r="84" spans="1:34" ht="18" customHeight="1" x14ac:dyDescent="0.45">
      <c r="A84" s="6"/>
      <c r="B84" s="12"/>
      <c r="C84" s="13"/>
      <c r="D84" s="10" t="str">
        <f t="shared" si="4"/>
        <v/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12"/>
      <c r="U84" s="6"/>
      <c r="V84" s="11" t="str">
        <f>IF(E84="","",IFERROR(SUMIF('10-Day Compliance'!$A:$A,E84,'10-Day Compliance'!$E:$E),0))</f>
        <v/>
      </c>
      <c r="W84" s="10" t="str">
        <f t="shared" si="5"/>
        <v/>
      </c>
      <c r="X84" s="6"/>
      <c r="Y84" s="6"/>
      <c r="Z84" s="11" t="str">
        <f t="shared" ca="1" si="6"/>
        <v/>
      </c>
      <c r="AA84" s="12"/>
      <c r="AB84" s="12"/>
      <c r="AC84" s="6"/>
      <c r="AD84" s="12"/>
      <c r="AE84" s="12"/>
      <c r="AF84" s="6"/>
      <c r="AG84" s="11" t="str">
        <f t="shared" ca="1" si="7"/>
        <v/>
      </c>
      <c r="AH84" s="6"/>
    </row>
    <row r="85" spans="1:34" ht="18" customHeight="1" x14ac:dyDescent="0.45">
      <c r="A85" s="4"/>
      <c r="B85" s="8"/>
      <c r="C85" s="9"/>
      <c r="D85" s="10" t="str">
        <f t="shared" si="4"/>
        <v/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8"/>
      <c r="U85" s="4"/>
      <c r="V85" s="11" t="str">
        <f>IF(E85="","",IFERROR(SUMIF('10-Day Compliance'!$A:$A,E85,'10-Day Compliance'!$E:$E),0))</f>
        <v/>
      </c>
      <c r="W85" s="10" t="str">
        <f t="shared" si="5"/>
        <v/>
      </c>
      <c r="X85" s="4"/>
      <c r="Y85" s="4"/>
      <c r="Z85" s="11" t="str">
        <f t="shared" ca="1" si="6"/>
        <v/>
      </c>
      <c r="AA85" s="8"/>
      <c r="AB85" s="8"/>
      <c r="AC85" s="4"/>
      <c r="AD85" s="8"/>
      <c r="AE85" s="8"/>
      <c r="AF85" s="4"/>
      <c r="AG85" s="11" t="str">
        <f t="shared" ca="1" si="7"/>
        <v/>
      </c>
      <c r="AH85" s="4"/>
    </row>
    <row r="86" spans="1:34" ht="18" customHeight="1" x14ac:dyDescent="0.45">
      <c r="A86" s="6"/>
      <c r="B86" s="12"/>
      <c r="C86" s="13"/>
      <c r="D86" s="10" t="str">
        <f t="shared" si="4"/>
        <v/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12"/>
      <c r="U86" s="6"/>
      <c r="V86" s="11" t="str">
        <f>IF(E86="","",IFERROR(SUMIF('10-Day Compliance'!$A:$A,E86,'10-Day Compliance'!$E:$E),0))</f>
        <v/>
      </c>
      <c r="W86" s="10" t="str">
        <f t="shared" si="5"/>
        <v/>
      </c>
      <c r="X86" s="6"/>
      <c r="Y86" s="6"/>
      <c r="Z86" s="11" t="str">
        <f t="shared" ca="1" si="6"/>
        <v/>
      </c>
      <c r="AA86" s="12"/>
      <c r="AB86" s="12"/>
      <c r="AC86" s="6"/>
      <c r="AD86" s="12"/>
      <c r="AE86" s="12"/>
      <c r="AF86" s="6"/>
      <c r="AG86" s="11" t="str">
        <f t="shared" ca="1" si="7"/>
        <v/>
      </c>
      <c r="AH86" s="6"/>
    </row>
    <row r="87" spans="1:34" ht="18" customHeight="1" x14ac:dyDescent="0.45">
      <c r="A87" s="4"/>
      <c r="B87" s="8"/>
      <c r="C87" s="9"/>
      <c r="D87" s="10" t="str">
        <f t="shared" si="4"/>
        <v/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8"/>
      <c r="U87" s="4"/>
      <c r="V87" s="11" t="str">
        <f>IF(E87="","",IFERROR(SUMIF('10-Day Compliance'!$A:$A,E87,'10-Day Compliance'!$E:$E),0))</f>
        <v/>
      </c>
      <c r="W87" s="10" t="str">
        <f t="shared" si="5"/>
        <v/>
      </c>
      <c r="X87" s="4"/>
      <c r="Y87" s="4"/>
      <c r="Z87" s="11" t="str">
        <f t="shared" ca="1" si="6"/>
        <v/>
      </c>
      <c r="AA87" s="8"/>
      <c r="AB87" s="8"/>
      <c r="AC87" s="4"/>
      <c r="AD87" s="8"/>
      <c r="AE87" s="8"/>
      <c r="AF87" s="4"/>
      <c r="AG87" s="11" t="str">
        <f t="shared" ca="1" si="7"/>
        <v/>
      </c>
      <c r="AH87" s="4"/>
    </row>
    <row r="88" spans="1:34" ht="18" customHeight="1" x14ac:dyDescent="0.45">
      <c r="A88" s="6"/>
      <c r="B88" s="12"/>
      <c r="C88" s="13"/>
      <c r="D88" s="10" t="str">
        <f t="shared" si="4"/>
        <v/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12"/>
      <c r="U88" s="6"/>
      <c r="V88" s="11" t="str">
        <f>IF(E88="","",IFERROR(SUMIF('10-Day Compliance'!$A:$A,E88,'10-Day Compliance'!$E:$E),0))</f>
        <v/>
      </c>
      <c r="W88" s="10" t="str">
        <f t="shared" si="5"/>
        <v/>
      </c>
      <c r="X88" s="6"/>
      <c r="Y88" s="6"/>
      <c r="Z88" s="11" t="str">
        <f t="shared" ca="1" si="6"/>
        <v/>
      </c>
      <c r="AA88" s="12"/>
      <c r="AB88" s="12"/>
      <c r="AC88" s="6"/>
      <c r="AD88" s="12"/>
      <c r="AE88" s="12"/>
      <c r="AF88" s="6"/>
      <c r="AG88" s="11" t="str">
        <f t="shared" ca="1" si="7"/>
        <v/>
      </c>
      <c r="AH88" s="6"/>
    </row>
    <row r="89" spans="1:34" ht="18" customHeight="1" x14ac:dyDescent="0.45">
      <c r="A89" s="4"/>
      <c r="B89" s="8"/>
      <c r="C89" s="9"/>
      <c r="D89" s="10" t="str">
        <f t="shared" si="4"/>
        <v/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8"/>
      <c r="U89" s="4"/>
      <c r="V89" s="11" t="str">
        <f>IF(E89="","",IFERROR(SUMIF('10-Day Compliance'!$A:$A,E89,'10-Day Compliance'!$E:$E),0))</f>
        <v/>
      </c>
      <c r="W89" s="10" t="str">
        <f t="shared" si="5"/>
        <v/>
      </c>
      <c r="X89" s="4"/>
      <c r="Y89" s="4"/>
      <c r="Z89" s="11" t="str">
        <f t="shared" ca="1" si="6"/>
        <v/>
      </c>
      <c r="AA89" s="8"/>
      <c r="AB89" s="8"/>
      <c r="AC89" s="4"/>
      <c r="AD89" s="8"/>
      <c r="AE89" s="8"/>
      <c r="AF89" s="4"/>
      <c r="AG89" s="11" t="str">
        <f t="shared" ca="1" si="7"/>
        <v/>
      </c>
      <c r="AH89" s="4"/>
    </row>
    <row r="90" spans="1:34" ht="18" customHeight="1" x14ac:dyDescent="0.45">
      <c r="A90" s="6"/>
      <c r="B90" s="12"/>
      <c r="C90" s="13"/>
      <c r="D90" s="10" t="str">
        <f t="shared" si="4"/>
        <v/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12"/>
      <c r="U90" s="6"/>
      <c r="V90" s="11" t="str">
        <f>IF(E90="","",IFERROR(SUMIF('10-Day Compliance'!$A:$A,E90,'10-Day Compliance'!$E:$E),0))</f>
        <v/>
      </c>
      <c r="W90" s="10" t="str">
        <f t="shared" si="5"/>
        <v/>
      </c>
      <c r="X90" s="6"/>
      <c r="Y90" s="6"/>
      <c r="Z90" s="11" t="str">
        <f t="shared" ca="1" si="6"/>
        <v/>
      </c>
      <c r="AA90" s="12"/>
      <c r="AB90" s="12"/>
      <c r="AC90" s="6"/>
      <c r="AD90" s="12"/>
      <c r="AE90" s="12"/>
      <c r="AF90" s="6"/>
      <c r="AG90" s="11" t="str">
        <f t="shared" ca="1" si="7"/>
        <v/>
      </c>
      <c r="AH90" s="6"/>
    </row>
    <row r="91" spans="1:34" ht="18" customHeight="1" x14ac:dyDescent="0.45">
      <c r="A91" s="4"/>
      <c r="B91" s="8"/>
      <c r="C91" s="9"/>
      <c r="D91" s="10" t="str">
        <f t="shared" si="4"/>
        <v/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8"/>
      <c r="U91" s="4"/>
      <c r="V91" s="11" t="str">
        <f>IF(E91="","",IFERROR(SUMIF('10-Day Compliance'!$A:$A,E91,'10-Day Compliance'!$E:$E),0))</f>
        <v/>
      </c>
      <c r="W91" s="10" t="str">
        <f t="shared" si="5"/>
        <v/>
      </c>
      <c r="X91" s="4"/>
      <c r="Y91" s="4"/>
      <c r="Z91" s="11" t="str">
        <f t="shared" ca="1" si="6"/>
        <v/>
      </c>
      <c r="AA91" s="8"/>
      <c r="AB91" s="8"/>
      <c r="AC91" s="4"/>
      <c r="AD91" s="8"/>
      <c r="AE91" s="8"/>
      <c r="AF91" s="4"/>
      <c r="AG91" s="11" t="str">
        <f t="shared" ca="1" si="7"/>
        <v/>
      </c>
      <c r="AH91" s="4"/>
    </row>
    <row r="92" spans="1:34" ht="18" customHeight="1" x14ac:dyDescent="0.45">
      <c r="A92" s="6"/>
      <c r="B92" s="12"/>
      <c r="C92" s="13"/>
      <c r="D92" s="10" t="str">
        <f t="shared" si="4"/>
        <v/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12"/>
      <c r="U92" s="6"/>
      <c r="V92" s="11" t="str">
        <f>IF(E92="","",IFERROR(SUMIF('10-Day Compliance'!$A:$A,E92,'10-Day Compliance'!$E:$E),0))</f>
        <v/>
      </c>
      <c r="W92" s="10" t="str">
        <f t="shared" si="5"/>
        <v/>
      </c>
      <c r="X92" s="6"/>
      <c r="Y92" s="6"/>
      <c r="Z92" s="11" t="str">
        <f t="shared" ca="1" si="6"/>
        <v/>
      </c>
      <c r="AA92" s="12"/>
      <c r="AB92" s="12"/>
      <c r="AC92" s="6"/>
      <c r="AD92" s="12"/>
      <c r="AE92" s="12"/>
      <c r="AF92" s="6"/>
      <c r="AG92" s="11" t="str">
        <f t="shared" ca="1" si="7"/>
        <v/>
      </c>
      <c r="AH92" s="6"/>
    </row>
    <row r="93" spans="1:34" ht="18" customHeight="1" x14ac:dyDescent="0.45">
      <c r="A93" s="4"/>
      <c r="B93" s="8"/>
      <c r="C93" s="9"/>
      <c r="D93" s="10" t="str">
        <f t="shared" si="4"/>
        <v/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8"/>
      <c r="U93" s="4"/>
      <c r="V93" s="11" t="str">
        <f>IF(E93="","",IFERROR(SUMIF('10-Day Compliance'!$A:$A,E93,'10-Day Compliance'!$E:$E),0))</f>
        <v/>
      </c>
      <c r="W93" s="10" t="str">
        <f t="shared" si="5"/>
        <v/>
      </c>
      <c r="X93" s="4"/>
      <c r="Y93" s="4"/>
      <c r="Z93" s="11" t="str">
        <f t="shared" ca="1" si="6"/>
        <v/>
      </c>
      <c r="AA93" s="8"/>
      <c r="AB93" s="8"/>
      <c r="AC93" s="4"/>
      <c r="AD93" s="8"/>
      <c r="AE93" s="8"/>
      <c r="AF93" s="4"/>
      <c r="AG93" s="11" t="str">
        <f t="shared" ca="1" si="7"/>
        <v/>
      </c>
      <c r="AH93" s="4"/>
    </row>
    <row r="94" spans="1:34" ht="18" customHeight="1" x14ac:dyDescent="0.45">
      <c r="A94" s="6"/>
      <c r="B94" s="12"/>
      <c r="C94" s="13"/>
      <c r="D94" s="10" t="str">
        <f t="shared" si="4"/>
        <v/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12"/>
      <c r="U94" s="6"/>
      <c r="V94" s="11" t="str">
        <f>IF(E94="","",IFERROR(SUMIF('10-Day Compliance'!$A:$A,E94,'10-Day Compliance'!$E:$E),0))</f>
        <v/>
      </c>
      <c r="W94" s="10" t="str">
        <f t="shared" si="5"/>
        <v/>
      </c>
      <c r="X94" s="6"/>
      <c r="Y94" s="6"/>
      <c r="Z94" s="11" t="str">
        <f t="shared" ca="1" si="6"/>
        <v/>
      </c>
      <c r="AA94" s="12"/>
      <c r="AB94" s="12"/>
      <c r="AC94" s="6"/>
      <c r="AD94" s="12"/>
      <c r="AE94" s="12"/>
      <c r="AF94" s="6"/>
      <c r="AG94" s="11" t="str">
        <f t="shared" ca="1" si="7"/>
        <v/>
      </c>
      <c r="AH94" s="6"/>
    </row>
    <row r="95" spans="1:34" ht="18" customHeight="1" x14ac:dyDescent="0.45">
      <c r="A95" s="4"/>
      <c r="B95" s="8"/>
      <c r="C95" s="9"/>
      <c r="D95" s="10" t="str">
        <f t="shared" si="4"/>
        <v/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8"/>
      <c r="U95" s="4"/>
      <c r="V95" s="11" t="str">
        <f>IF(E95="","",IFERROR(SUMIF('10-Day Compliance'!$A:$A,E95,'10-Day Compliance'!$E:$E),0))</f>
        <v/>
      </c>
      <c r="W95" s="10" t="str">
        <f t="shared" si="5"/>
        <v/>
      </c>
      <c r="X95" s="4"/>
      <c r="Y95" s="4"/>
      <c r="Z95" s="11" t="str">
        <f t="shared" ca="1" si="6"/>
        <v/>
      </c>
      <c r="AA95" s="8"/>
      <c r="AB95" s="8"/>
      <c r="AC95" s="4"/>
      <c r="AD95" s="8"/>
      <c r="AE95" s="8"/>
      <c r="AF95" s="4"/>
      <c r="AG95" s="11" t="str">
        <f t="shared" ca="1" si="7"/>
        <v/>
      </c>
      <c r="AH95" s="4"/>
    </row>
    <row r="96" spans="1:34" ht="18" customHeight="1" x14ac:dyDescent="0.45">
      <c r="A96" s="6"/>
      <c r="B96" s="12"/>
      <c r="C96" s="13"/>
      <c r="D96" s="10" t="str">
        <f t="shared" si="4"/>
        <v/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12"/>
      <c r="U96" s="6"/>
      <c r="V96" s="11" t="str">
        <f>IF(E96="","",IFERROR(SUMIF('10-Day Compliance'!$A:$A,E96,'10-Day Compliance'!$E:$E),0))</f>
        <v/>
      </c>
      <c r="W96" s="10" t="str">
        <f t="shared" si="5"/>
        <v/>
      </c>
      <c r="X96" s="6"/>
      <c r="Y96" s="6"/>
      <c r="Z96" s="11" t="str">
        <f t="shared" ca="1" si="6"/>
        <v/>
      </c>
      <c r="AA96" s="12"/>
      <c r="AB96" s="12"/>
      <c r="AC96" s="6"/>
      <c r="AD96" s="12"/>
      <c r="AE96" s="12"/>
      <c r="AF96" s="6"/>
      <c r="AG96" s="11" t="str">
        <f t="shared" ca="1" si="7"/>
        <v/>
      </c>
      <c r="AH96" s="6"/>
    </row>
    <row r="97" spans="1:34" ht="18" customHeight="1" x14ac:dyDescent="0.45">
      <c r="A97" s="4"/>
      <c r="B97" s="8"/>
      <c r="C97" s="9"/>
      <c r="D97" s="10" t="str">
        <f t="shared" si="4"/>
        <v/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8"/>
      <c r="U97" s="4"/>
      <c r="V97" s="11" t="str">
        <f>IF(E97="","",IFERROR(SUMIF('10-Day Compliance'!$A:$A,E97,'10-Day Compliance'!$E:$E),0))</f>
        <v/>
      </c>
      <c r="W97" s="10" t="str">
        <f t="shared" si="5"/>
        <v/>
      </c>
      <c r="X97" s="4"/>
      <c r="Y97" s="4"/>
      <c r="Z97" s="11" t="str">
        <f t="shared" ca="1" si="6"/>
        <v/>
      </c>
      <c r="AA97" s="8"/>
      <c r="AB97" s="8"/>
      <c r="AC97" s="4"/>
      <c r="AD97" s="8"/>
      <c r="AE97" s="8"/>
      <c r="AF97" s="4"/>
      <c r="AG97" s="11" t="str">
        <f t="shared" ca="1" si="7"/>
        <v/>
      </c>
      <c r="AH97" s="4"/>
    </row>
    <row r="98" spans="1:34" ht="18" customHeight="1" x14ac:dyDescent="0.45">
      <c r="A98" s="6"/>
      <c r="B98" s="12"/>
      <c r="C98" s="13"/>
      <c r="D98" s="10" t="str">
        <f t="shared" si="4"/>
        <v/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12"/>
      <c r="U98" s="6"/>
      <c r="V98" s="11" t="str">
        <f>IF(E98="","",IFERROR(SUMIF('10-Day Compliance'!$A:$A,E98,'10-Day Compliance'!$E:$E),0))</f>
        <v/>
      </c>
      <c r="W98" s="10" t="str">
        <f t="shared" si="5"/>
        <v/>
      </c>
      <c r="X98" s="6"/>
      <c r="Y98" s="6"/>
      <c r="Z98" s="11" t="str">
        <f t="shared" ca="1" si="6"/>
        <v/>
      </c>
      <c r="AA98" s="12"/>
      <c r="AB98" s="12"/>
      <c r="AC98" s="6"/>
      <c r="AD98" s="12"/>
      <c r="AE98" s="12"/>
      <c r="AF98" s="6"/>
      <c r="AG98" s="11" t="str">
        <f t="shared" ca="1" si="7"/>
        <v/>
      </c>
      <c r="AH98" s="6"/>
    </row>
    <row r="99" spans="1:34" ht="18" customHeight="1" x14ac:dyDescent="0.45">
      <c r="A99" s="4"/>
      <c r="B99" s="8"/>
      <c r="C99" s="9"/>
      <c r="D99" s="10" t="str">
        <f t="shared" si="4"/>
        <v/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8"/>
      <c r="U99" s="4"/>
      <c r="V99" s="11" t="str">
        <f>IF(E99="","",IFERROR(SUMIF('10-Day Compliance'!$A:$A,E99,'10-Day Compliance'!$E:$E),0))</f>
        <v/>
      </c>
      <c r="W99" s="10" t="str">
        <f t="shared" si="5"/>
        <v/>
      </c>
      <c r="X99" s="4"/>
      <c r="Y99" s="4"/>
      <c r="Z99" s="11" t="str">
        <f t="shared" ca="1" si="6"/>
        <v/>
      </c>
      <c r="AA99" s="8"/>
      <c r="AB99" s="8"/>
      <c r="AC99" s="4"/>
      <c r="AD99" s="8"/>
      <c r="AE99" s="8"/>
      <c r="AF99" s="4"/>
      <c r="AG99" s="11" t="str">
        <f t="shared" ca="1" si="7"/>
        <v/>
      </c>
      <c r="AH99" s="4"/>
    </row>
    <row r="100" spans="1:34" ht="18" customHeight="1" x14ac:dyDescent="0.45">
      <c r="A100" s="6"/>
      <c r="B100" s="12"/>
      <c r="C100" s="13"/>
      <c r="D100" s="10" t="str">
        <f t="shared" si="4"/>
        <v/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12"/>
      <c r="U100" s="6"/>
      <c r="V100" s="11" t="str">
        <f>IF(E100="","",IFERROR(SUMIF('10-Day Compliance'!$A:$A,E100,'10-Day Compliance'!$E:$E),0))</f>
        <v/>
      </c>
      <c r="W100" s="10" t="str">
        <f t="shared" si="5"/>
        <v/>
      </c>
      <c r="X100" s="6"/>
      <c r="Y100" s="6"/>
      <c r="Z100" s="11" t="str">
        <f t="shared" ca="1" si="6"/>
        <v/>
      </c>
      <c r="AA100" s="12"/>
      <c r="AB100" s="12"/>
      <c r="AC100" s="6"/>
      <c r="AD100" s="12"/>
      <c r="AE100" s="12"/>
      <c r="AF100" s="6"/>
      <c r="AG100" s="11" t="str">
        <f t="shared" ca="1" si="7"/>
        <v/>
      </c>
      <c r="AH100" s="6"/>
    </row>
    <row r="101" spans="1:34" ht="18" customHeight="1" x14ac:dyDescent="0.45">
      <c r="A101" s="4"/>
      <c r="B101" s="8"/>
      <c r="C101" s="9"/>
      <c r="D101" s="10" t="str">
        <f t="shared" si="4"/>
        <v/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8"/>
      <c r="U101" s="4"/>
      <c r="V101" s="11" t="str">
        <f>IF(E101="","",IFERROR(SUMIF('10-Day Compliance'!$A:$A,E101,'10-Day Compliance'!$E:$E),0))</f>
        <v/>
      </c>
      <c r="W101" s="10" t="str">
        <f t="shared" si="5"/>
        <v/>
      </c>
      <c r="X101" s="4"/>
      <c r="Y101" s="4"/>
      <c r="Z101" s="11" t="str">
        <f t="shared" ca="1" si="6"/>
        <v/>
      </c>
      <c r="AA101" s="8"/>
      <c r="AB101" s="8"/>
      <c r="AC101" s="4"/>
      <c r="AD101" s="8"/>
      <c r="AE101" s="8"/>
      <c r="AF101" s="4"/>
      <c r="AG101" s="11" t="str">
        <f t="shared" ca="1" si="7"/>
        <v/>
      </c>
      <c r="AH101" s="4"/>
    </row>
    <row r="102" spans="1:34" ht="18" customHeight="1" x14ac:dyDescent="0.45">
      <c r="A102" s="6"/>
      <c r="B102" s="12"/>
      <c r="C102" s="13"/>
      <c r="D102" s="10" t="str">
        <f t="shared" si="4"/>
        <v/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12"/>
      <c r="U102" s="6"/>
      <c r="V102" s="11" t="str">
        <f>IF(E102="","",IFERROR(SUMIF('10-Day Compliance'!$A:$A,E102,'10-Day Compliance'!$E:$E),0))</f>
        <v/>
      </c>
      <c r="W102" s="10" t="str">
        <f t="shared" si="5"/>
        <v/>
      </c>
      <c r="X102" s="6"/>
      <c r="Y102" s="6"/>
      <c r="Z102" s="11" t="str">
        <f t="shared" ca="1" si="6"/>
        <v/>
      </c>
      <c r="AA102" s="12"/>
      <c r="AB102" s="12"/>
      <c r="AC102" s="6"/>
      <c r="AD102" s="12"/>
      <c r="AE102" s="12"/>
      <c r="AF102" s="6"/>
      <c r="AG102" s="11" t="str">
        <f t="shared" ca="1" si="7"/>
        <v/>
      </c>
      <c r="AH102" s="6"/>
    </row>
    <row r="103" spans="1:34" ht="18" customHeight="1" x14ac:dyDescent="0.45">
      <c r="A103" s="4"/>
      <c r="B103" s="8"/>
      <c r="C103" s="9"/>
      <c r="D103" s="10" t="str">
        <f t="shared" si="4"/>
        <v/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8"/>
      <c r="U103" s="4"/>
      <c r="V103" s="11" t="str">
        <f>IF(E103="","",IFERROR(SUMIF('10-Day Compliance'!$A:$A,E103,'10-Day Compliance'!$E:$E),0))</f>
        <v/>
      </c>
      <c r="W103" s="10" t="str">
        <f t="shared" si="5"/>
        <v/>
      </c>
      <c r="X103" s="4"/>
      <c r="Y103" s="4"/>
      <c r="Z103" s="11" t="str">
        <f t="shared" ca="1" si="6"/>
        <v/>
      </c>
      <c r="AA103" s="8"/>
      <c r="AB103" s="8"/>
      <c r="AC103" s="4"/>
      <c r="AD103" s="8"/>
      <c r="AE103" s="8"/>
      <c r="AF103" s="4"/>
      <c r="AG103" s="11" t="str">
        <f t="shared" ca="1" si="7"/>
        <v/>
      </c>
      <c r="AH103" s="4"/>
    </row>
    <row r="104" spans="1:34" ht="18" customHeight="1" x14ac:dyDescent="0.45">
      <c r="A104" s="6"/>
      <c r="B104" s="12"/>
      <c r="C104" s="13"/>
      <c r="D104" s="10" t="str">
        <f t="shared" si="4"/>
        <v/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12"/>
      <c r="U104" s="6"/>
      <c r="V104" s="11" t="str">
        <f>IF(E104="","",IFERROR(SUMIF('10-Day Compliance'!$A:$A,E104,'10-Day Compliance'!$E:$E),0))</f>
        <v/>
      </c>
      <c r="W104" s="10" t="str">
        <f t="shared" si="5"/>
        <v/>
      </c>
      <c r="X104" s="6"/>
      <c r="Y104" s="6"/>
      <c r="Z104" s="11" t="str">
        <f t="shared" ca="1" si="6"/>
        <v/>
      </c>
      <c r="AA104" s="12"/>
      <c r="AB104" s="12"/>
      <c r="AC104" s="6"/>
      <c r="AD104" s="12"/>
      <c r="AE104" s="12"/>
      <c r="AF104" s="6"/>
      <c r="AG104" s="11" t="str">
        <f t="shared" ca="1" si="7"/>
        <v/>
      </c>
      <c r="AH104" s="6"/>
    </row>
    <row r="105" spans="1:34" ht="18" customHeight="1" x14ac:dyDescent="0.45">
      <c r="A105" s="4"/>
      <c r="B105" s="8"/>
      <c r="C105" s="9"/>
      <c r="D105" s="10" t="str">
        <f t="shared" si="4"/>
        <v/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8"/>
      <c r="U105" s="4"/>
      <c r="V105" s="11" t="str">
        <f>IF(E105="","",IFERROR(SUMIF('10-Day Compliance'!$A:$A,E105,'10-Day Compliance'!$E:$E),0))</f>
        <v/>
      </c>
      <c r="W105" s="10" t="str">
        <f t="shared" si="5"/>
        <v/>
      </c>
      <c r="X105" s="4"/>
      <c r="Y105" s="4"/>
      <c r="Z105" s="11" t="str">
        <f t="shared" ca="1" si="6"/>
        <v/>
      </c>
      <c r="AA105" s="8"/>
      <c r="AB105" s="8"/>
      <c r="AC105" s="4"/>
      <c r="AD105" s="8"/>
      <c r="AE105" s="8"/>
      <c r="AF105" s="4"/>
      <c r="AG105" s="11" t="str">
        <f t="shared" ca="1" si="7"/>
        <v/>
      </c>
      <c r="AH105" s="4"/>
    </row>
    <row r="106" spans="1:34" ht="18" customHeight="1" x14ac:dyDescent="0.45">
      <c r="A106" s="6"/>
      <c r="B106" s="12"/>
      <c r="C106" s="13"/>
      <c r="D106" s="10" t="str">
        <f t="shared" si="4"/>
        <v/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12"/>
      <c r="U106" s="6"/>
      <c r="V106" s="11" t="str">
        <f>IF(E106="","",IFERROR(SUMIF('10-Day Compliance'!$A:$A,E106,'10-Day Compliance'!$E:$E),0))</f>
        <v/>
      </c>
      <c r="W106" s="10" t="str">
        <f t="shared" si="5"/>
        <v/>
      </c>
      <c r="X106" s="6"/>
      <c r="Y106" s="6"/>
      <c r="Z106" s="11" t="str">
        <f t="shared" ca="1" si="6"/>
        <v/>
      </c>
      <c r="AA106" s="12"/>
      <c r="AB106" s="12"/>
      <c r="AC106" s="6"/>
      <c r="AD106" s="12"/>
      <c r="AE106" s="12"/>
      <c r="AF106" s="6"/>
      <c r="AG106" s="11" t="str">
        <f t="shared" ca="1" si="7"/>
        <v/>
      </c>
      <c r="AH106" s="6"/>
    </row>
    <row r="107" spans="1:34" ht="18" customHeight="1" x14ac:dyDescent="0.45">
      <c r="A107" s="4"/>
      <c r="B107" s="8"/>
      <c r="C107" s="9"/>
      <c r="D107" s="10" t="str">
        <f t="shared" si="4"/>
        <v/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8"/>
      <c r="U107" s="4"/>
      <c r="V107" s="11" t="str">
        <f>IF(E107="","",IFERROR(SUMIF('10-Day Compliance'!$A:$A,E107,'10-Day Compliance'!$E:$E),0))</f>
        <v/>
      </c>
      <c r="W107" s="10" t="str">
        <f t="shared" si="5"/>
        <v/>
      </c>
      <c r="X107" s="4"/>
      <c r="Y107" s="4"/>
      <c r="Z107" s="11" t="str">
        <f t="shared" ca="1" si="6"/>
        <v/>
      </c>
      <c r="AA107" s="8"/>
      <c r="AB107" s="8"/>
      <c r="AC107" s="4"/>
      <c r="AD107" s="8"/>
      <c r="AE107" s="8"/>
      <c r="AF107" s="4"/>
      <c r="AG107" s="11" t="str">
        <f t="shared" ca="1" si="7"/>
        <v/>
      </c>
      <c r="AH107" s="4"/>
    </row>
    <row r="108" spans="1:34" ht="18" customHeight="1" x14ac:dyDescent="0.45">
      <c r="A108" s="6"/>
      <c r="B108" s="12"/>
      <c r="C108" s="13"/>
      <c r="D108" s="10" t="str">
        <f t="shared" si="4"/>
        <v/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12"/>
      <c r="U108" s="6"/>
      <c r="V108" s="11" t="str">
        <f>IF(E108="","",IFERROR(SUMIF('10-Day Compliance'!$A:$A,E108,'10-Day Compliance'!$E:$E),0))</f>
        <v/>
      </c>
      <c r="W108" s="10" t="str">
        <f t="shared" si="5"/>
        <v/>
      </c>
      <c r="X108" s="6"/>
      <c r="Y108" s="6"/>
      <c r="Z108" s="11" t="str">
        <f t="shared" ca="1" si="6"/>
        <v/>
      </c>
      <c r="AA108" s="12"/>
      <c r="AB108" s="12"/>
      <c r="AC108" s="6"/>
      <c r="AD108" s="12"/>
      <c r="AE108" s="12"/>
      <c r="AF108" s="6"/>
      <c r="AG108" s="11" t="str">
        <f t="shared" ca="1" si="7"/>
        <v/>
      </c>
      <c r="AH108" s="6"/>
    </row>
    <row r="109" spans="1:34" ht="18" customHeight="1" x14ac:dyDescent="0.45">
      <c r="A109" s="4"/>
      <c r="B109" s="8"/>
      <c r="C109" s="9"/>
      <c r="D109" s="10" t="str">
        <f t="shared" si="4"/>
        <v/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8"/>
      <c r="U109" s="4"/>
      <c r="V109" s="11" t="str">
        <f>IF(E109="","",IFERROR(SUMIF('10-Day Compliance'!$A:$A,E109,'10-Day Compliance'!$E:$E),0))</f>
        <v/>
      </c>
      <c r="W109" s="10" t="str">
        <f t="shared" si="5"/>
        <v/>
      </c>
      <c r="X109" s="4"/>
      <c r="Y109" s="4"/>
      <c r="Z109" s="11" t="str">
        <f t="shared" ca="1" si="6"/>
        <v/>
      </c>
      <c r="AA109" s="8"/>
      <c r="AB109" s="8"/>
      <c r="AC109" s="4"/>
      <c r="AD109" s="8"/>
      <c r="AE109" s="8"/>
      <c r="AF109" s="4"/>
      <c r="AG109" s="11" t="str">
        <f t="shared" ca="1" si="7"/>
        <v/>
      </c>
      <c r="AH109" s="4"/>
    </row>
    <row r="110" spans="1:34" ht="18" customHeight="1" x14ac:dyDescent="0.45">
      <c r="A110" s="6"/>
      <c r="B110" s="12"/>
      <c r="C110" s="13"/>
      <c r="D110" s="10" t="str">
        <f t="shared" si="4"/>
        <v/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12"/>
      <c r="U110" s="6"/>
      <c r="V110" s="11" t="str">
        <f>IF(E110="","",IFERROR(SUMIF('10-Day Compliance'!$A:$A,E110,'10-Day Compliance'!$E:$E),0))</f>
        <v/>
      </c>
      <c r="W110" s="10" t="str">
        <f t="shared" si="5"/>
        <v/>
      </c>
      <c r="X110" s="6"/>
      <c r="Y110" s="6"/>
      <c r="Z110" s="11" t="str">
        <f t="shared" ca="1" si="6"/>
        <v/>
      </c>
      <c r="AA110" s="12"/>
      <c r="AB110" s="12"/>
      <c r="AC110" s="6"/>
      <c r="AD110" s="12"/>
      <c r="AE110" s="12"/>
      <c r="AF110" s="6"/>
      <c r="AG110" s="11" t="str">
        <f t="shared" ca="1" si="7"/>
        <v/>
      </c>
      <c r="AH110" s="6"/>
    </row>
    <row r="111" spans="1:34" ht="18" customHeight="1" x14ac:dyDescent="0.45">
      <c r="A111" s="4"/>
      <c r="B111" s="8"/>
      <c r="C111" s="9"/>
      <c r="D111" s="10" t="str">
        <f t="shared" si="4"/>
        <v/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8"/>
      <c r="U111" s="4"/>
      <c r="V111" s="11" t="str">
        <f>IF(E111="","",IFERROR(SUMIF('10-Day Compliance'!$A:$A,E111,'10-Day Compliance'!$E:$E),0))</f>
        <v/>
      </c>
      <c r="W111" s="10" t="str">
        <f t="shared" si="5"/>
        <v/>
      </c>
      <c r="X111" s="4"/>
      <c r="Y111" s="4"/>
      <c r="Z111" s="11" t="str">
        <f t="shared" ca="1" si="6"/>
        <v/>
      </c>
      <c r="AA111" s="8"/>
      <c r="AB111" s="8"/>
      <c r="AC111" s="4"/>
      <c r="AD111" s="8"/>
      <c r="AE111" s="8"/>
      <c r="AF111" s="4"/>
      <c r="AG111" s="11" t="str">
        <f t="shared" ca="1" si="7"/>
        <v/>
      </c>
      <c r="AH111" s="4"/>
    </row>
    <row r="112" spans="1:34" ht="18" customHeight="1" x14ac:dyDescent="0.45">
      <c r="A112" s="6"/>
      <c r="B112" s="12"/>
      <c r="C112" s="13"/>
      <c r="D112" s="10" t="str">
        <f t="shared" si="4"/>
        <v/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12"/>
      <c r="U112" s="6"/>
      <c r="V112" s="11" t="str">
        <f>IF(E112="","",IFERROR(SUMIF('10-Day Compliance'!$A:$A,E112,'10-Day Compliance'!$E:$E),0))</f>
        <v/>
      </c>
      <c r="W112" s="10" t="str">
        <f t="shared" si="5"/>
        <v/>
      </c>
      <c r="X112" s="6"/>
      <c r="Y112" s="6"/>
      <c r="Z112" s="11" t="str">
        <f t="shared" ca="1" si="6"/>
        <v/>
      </c>
      <c r="AA112" s="12"/>
      <c r="AB112" s="12"/>
      <c r="AC112" s="6"/>
      <c r="AD112" s="12"/>
      <c r="AE112" s="12"/>
      <c r="AF112" s="6"/>
      <c r="AG112" s="11" t="str">
        <f t="shared" ca="1" si="7"/>
        <v/>
      </c>
      <c r="AH112" s="6"/>
    </row>
    <row r="113" spans="1:34" ht="18" customHeight="1" x14ac:dyDescent="0.45">
      <c r="A113" s="4"/>
      <c r="B113" s="8"/>
      <c r="C113" s="9"/>
      <c r="D113" s="10" t="str">
        <f t="shared" si="4"/>
        <v/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8"/>
      <c r="U113" s="4"/>
      <c r="V113" s="11" t="str">
        <f>IF(E113="","",IFERROR(SUMIF('10-Day Compliance'!$A:$A,E113,'10-Day Compliance'!$E:$E),0))</f>
        <v/>
      </c>
      <c r="W113" s="10" t="str">
        <f t="shared" si="5"/>
        <v/>
      </c>
      <c r="X113" s="4"/>
      <c r="Y113" s="4"/>
      <c r="Z113" s="11" t="str">
        <f t="shared" ca="1" si="6"/>
        <v/>
      </c>
      <c r="AA113" s="8"/>
      <c r="AB113" s="8"/>
      <c r="AC113" s="4"/>
      <c r="AD113" s="8"/>
      <c r="AE113" s="8"/>
      <c r="AF113" s="4"/>
      <c r="AG113" s="11" t="str">
        <f t="shared" ca="1" si="7"/>
        <v/>
      </c>
      <c r="AH113" s="4"/>
    </row>
    <row r="114" spans="1:34" ht="18" customHeight="1" x14ac:dyDescent="0.45">
      <c r="A114" s="6"/>
      <c r="B114" s="12"/>
      <c r="C114" s="13"/>
      <c r="D114" s="10" t="str">
        <f t="shared" si="4"/>
        <v/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12"/>
      <c r="U114" s="6"/>
      <c r="V114" s="11" t="str">
        <f>IF(E114="","",IFERROR(SUMIF('10-Day Compliance'!$A:$A,E114,'10-Day Compliance'!$E:$E),0))</f>
        <v/>
      </c>
      <c r="W114" s="10" t="str">
        <f t="shared" si="5"/>
        <v/>
      </c>
      <c r="X114" s="6"/>
      <c r="Y114" s="6"/>
      <c r="Z114" s="11" t="str">
        <f t="shared" ca="1" si="6"/>
        <v/>
      </c>
      <c r="AA114" s="12"/>
      <c r="AB114" s="12"/>
      <c r="AC114" s="6"/>
      <c r="AD114" s="12"/>
      <c r="AE114" s="12"/>
      <c r="AF114" s="6"/>
      <c r="AG114" s="11" t="str">
        <f t="shared" ca="1" si="7"/>
        <v/>
      </c>
      <c r="AH114" s="6"/>
    </row>
    <row r="115" spans="1:34" ht="18" customHeight="1" x14ac:dyDescent="0.45">
      <c r="A115" s="4"/>
      <c r="B115" s="8"/>
      <c r="C115" s="9"/>
      <c r="D115" s="10" t="str">
        <f t="shared" si="4"/>
        <v/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8"/>
      <c r="U115" s="4"/>
      <c r="V115" s="11" t="str">
        <f>IF(E115="","",IFERROR(SUMIF('10-Day Compliance'!$A:$A,E115,'10-Day Compliance'!$E:$E),0))</f>
        <v/>
      </c>
      <c r="W115" s="10" t="str">
        <f t="shared" si="5"/>
        <v/>
      </c>
      <c r="X115" s="4"/>
      <c r="Y115" s="4"/>
      <c r="Z115" s="11" t="str">
        <f t="shared" ca="1" si="6"/>
        <v/>
      </c>
      <c r="AA115" s="8"/>
      <c r="AB115" s="8"/>
      <c r="AC115" s="4"/>
      <c r="AD115" s="8"/>
      <c r="AE115" s="8"/>
      <c r="AF115" s="4"/>
      <c r="AG115" s="11" t="str">
        <f t="shared" ca="1" si="7"/>
        <v/>
      </c>
      <c r="AH115" s="4"/>
    </row>
    <row r="116" spans="1:34" ht="18" customHeight="1" x14ac:dyDescent="0.45">
      <c r="A116" s="6"/>
      <c r="B116" s="12"/>
      <c r="C116" s="13"/>
      <c r="D116" s="10" t="str">
        <f t="shared" si="4"/>
        <v/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12"/>
      <c r="U116" s="6"/>
      <c r="V116" s="11" t="str">
        <f>IF(E116="","",IFERROR(SUMIF('10-Day Compliance'!$A:$A,E116,'10-Day Compliance'!$E:$E),0))</f>
        <v/>
      </c>
      <c r="W116" s="10" t="str">
        <f t="shared" si="5"/>
        <v/>
      </c>
      <c r="X116" s="6"/>
      <c r="Y116" s="6"/>
      <c r="Z116" s="11" t="str">
        <f t="shared" ca="1" si="6"/>
        <v/>
      </c>
      <c r="AA116" s="12"/>
      <c r="AB116" s="12"/>
      <c r="AC116" s="6"/>
      <c r="AD116" s="12"/>
      <c r="AE116" s="12"/>
      <c r="AF116" s="6"/>
      <c r="AG116" s="11" t="str">
        <f t="shared" ca="1" si="7"/>
        <v/>
      </c>
      <c r="AH116" s="6"/>
    </row>
    <row r="117" spans="1:34" ht="18" customHeight="1" x14ac:dyDescent="0.45">
      <c r="A117" s="4"/>
      <c r="B117" s="8"/>
      <c r="C117" s="9"/>
      <c r="D117" s="10" t="str">
        <f t="shared" si="4"/>
        <v/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8"/>
      <c r="U117" s="4"/>
      <c r="V117" s="11" t="str">
        <f>IF(E117="","",IFERROR(SUMIF('10-Day Compliance'!$A:$A,E117,'10-Day Compliance'!$E:$E),0))</f>
        <v/>
      </c>
      <c r="W117" s="10" t="str">
        <f t="shared" si="5"/>
        <v/>
      </c>
      <c r="X117" s="4"/>
      <c r="Y117" s="4"/>
      <c r="Z117" s="11" t="str">
        <f t="shared" ca="1" si="6"/>
        <v/>
      </c>
      <c r="AA117" s="8"/>
      <c r="AB117" s="8"/>
      <c r="AC117" s="4"/>
      <c r="AD117" s="8"/>
      <c r="AE117" s="8"/>
      <c r="AF117" s="4"/>
      <c r="AG117" s="11" t="str">
        <f t="shared" ca="1" si="7"/>
        <v/>
      </c>
      <c r="AH117" s="4"/>
    </row>
    <row r="118" spans="1:34" ht="18" customHeight="1" x14ac:dyDescent="0.45">
      <c r="A118" s="6"/>
      <c r="B118" s="12"/>
      <c r="C118" s="13"/>
      <c r="D118" s="10" t="str">
        <f t="shared" si="4"/>
        <v/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12"/>
      <c r="U118" s="6"/>
      <c r="V118" s="11" t="str">
        <f>IF(E118="","",IFERROR(SUMIF('10-Day Compliance'!$A:$A,E118,'10-Day Compliance'!$E:$E),0))</f>
        <v/>
      </c>
      <c r="W118" s="10" t="str">
        <f t="shared" si="5"/>
        <v/>
      </c>
      <c r="X118" s="6"/>
      <c r="Y118" s="6"/>
      <c r="Z118" s="11" t="str">
        <f t="shared" ca="1" si="6"/>
        <v/>
      </c>
      <c r="AA118" s="12"/>
      <c r="AB118" s="12"/>
      <c r="AC118" s="6"/>
      <c r="AD118" s="12"/>
      <c r="AE118" s="12"/>
      <c r="AF118" s="6"/>
      <c r="AG118" s="11" t="str">
        <f t="shared" ca="1" si="7"/>
        <v/>
      </c>
      <c r="AH118" s="6"/>
    </row>
    <row r="119" spans="1:34" ht="18" customHeight="1" x14ac:dyDescent="0.45">
      <c r="A119" s="4"/>
      <c r="B119" s="8"/>
      <c r="C119" s="9"/>
      <c r="D119" s="10" t="str">
        <f t="shared" si="4"/>
        <v/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8"/>
      <c r="U119" s="4"/>
      <c r="V119" s="11" t="str">
        <f>IF(E119="","",IFERROR(SUMIF('10-Day Compliance'!$A:$A,E119,'10-Day Compliance'!$E:$E),0))</f>
        <v/>
      </c>
      <c r="W119" s="10" t="str">
        <f t="shared" si="5"/>
        <v/>
      </c>
      <c r="X119" s="4"/>
      <c r="Y119" s="4"/>
      <c r="Z119" s="11" t="str">
        <f t="shared" ca="1" si="6"/>
        <v/>
      </c>
      <c r="AA119" s="8"/>
      <c r="AB119" s="8"/>
      <c r="AC119" s="4"/>
      <c r="AD119" s="8"/>
      <c r="AE119" s="8"/>
      <c r="AF119" s="4"/>
      <c r="AG119" s="11" t="str">
        <f t="shared" ca="1" si="7"/>
        <v/>
      </c>
      <c r="AH119" s="4"/>
    </row>
    <row r="120" spans="1:34" ht="18" customHeight="1" x14ac:dyDescent="0.45">
      <c r="A120" s="6"/>
      <c r="B120" s="12"/>
      <c r="C120" s="13"/>
      <c r="D120" s="10" t="str">
        <f t="shared" si="4"/>
        <v/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12"/>
      <c r="U120" s="6"/>
      <c r="V120" s="11" t="str">
        <f>IF(E120="","",IFERROR(SUMIF('10-Day Compliance'!$A:$A,E120,'10-Day Compliance'!$E:$E),0))</f>
        <v/>
      </c>
      <c r="W120" s="10" t="str">
        <f t="shared" si="5"/>
        <v/>
      </c>
      <c r="X120" s="6"/>
      <c r="Y120" s="6"/>
      <c r="Z120" s="11" t="str">
        <f t="shared" ca="1" si="6"/>
        <v/>
      </c>
      <c r="AA120" s="12"/>
      <c r="AB120" s="12"/>
      <c r="AC120" s="6"/>
      <c r="AD120" s="12"/>
      <c r="AE120" s="12"/>
      <c r="AF120" s="6"/>
      <c r="AG120" s="11" t="str">
        <f t="shared" ca="1" si="7"/>
        <v/>
      </c>
      <c r="AH120" s="6"/>
    </row>
    <row r="121" spans="1:34" ht="18" customHeight="1" x14ac:dyDescent="0.45">
      <c r="A121" s="4"/>
      <c r="B121" s="8"/>
      <c r="C121" s="9"/>
      <c r="D121" s="10" t="str">
        <f t="shared" si="4"/>
        <v/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8"/>
      <c r="U121" s="4"/>
      <c r="V121" s="11" t="str">
        <f>IF(E121="","",IFERROR(SUMIF('10-Day Compliance'!$A:$A,E121,'10-Day Compliance'!$E:$E),0))</f>
        <v/>
      </c>
      <c r="W121" s="10" t="str">
        <f t="shared" si="5"/>
        <v/>
      </c>
      <c r="X121" s="4"/>
      <c r="Y121" s="4"/>
      <c r="Z121" s="11" t="str">
        <f t="shared" ca="1" si="6"/>
        <v/>
      </c>
      <c r="AA121" s="8"/>
      <c r="AB121" s="8"/>
      <c r="AC121" s="4"/>
      <c r="AD121" s="8"/>
      <c r="AE121" s="8"/>
      <c r="AF121" s="4"/>
      <c r="AG121" s="11" t="str">
        <f t="shared" ca="1" si="7"/>
        <v/>
      </c>
      <c r="AH121" s="4"/>
    </row>
    <row r="122" spans="1:34" ht="18" customHeight="1" x14ac:dyDescent="0.45">
      <c r="A122" s="6"/>
      <c r="B122" s="12"/>
      <c r="C122" s="13"/>
      <c r="D122" s="10" t="str">
        <f t="shared" si="4"/>
        <v/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12"/>
      <c r="U122" s="6"/>
      <c r="V122" s="11" t="str">
        <f>IF(E122="","",IFERROR(SUMIF('10-Day Compliance'!$A:$A,E122,'10-Day Compliance'!$E:$E),0))</f>
        <v/>
      </c>
      <c r="W122" s="10" t="str">
        <f t="shared" si="5"/>
        <v/>
      </c>
      <c r="X122" s="6"/>
      <c r="Y122" s="6"/>
      <c r="Z122" s="11" t="str">
        <f t="shared" ca="1" si="6"/>
        <v/>
      </c>
      <c r="AA122" s="12"/>
      <c r="AB122" s="12"/>
      <c r="AC122" s="6"/>
      <c r="AD122" s="12"/>
      <c r="AE122" s="12"/>
      <c r="AF122" s="6"/>
      <c r="AG122" s="11" t="str">
        <f t="shared" ca="1" si="7"/>
        <v/>
      </c>
      <c r="AH122" s="6"/>
    </row>
    <row r="123" spans="1:34" ht="18" customHeight="1" x14ac:dyDescent="0.45">
      <c r="A123" s="4"/>
      <c r="B123" s="8"/>
      <c r="C123" s="9"/>
      <c r="D123" s="10" t="str">
        <f t="shared" si="4"/>
        <v/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8"/>
      <c r="U123" s="4"/>
      <c r="V123" s="11" t="str">
        <f>IF(E123="","",IFERROR(SUMIF('10-Day Compliance'!$A:$A,E123,'10-Day Compliance'!$E:$E),0))</f>
        <v/>
      </c>
      <c r="W123" s="10" t="str">
        <f t="shared" si="5"/>
        <v/>
      </c>
      <c r="X123" s="4"/>
      <c r="Y123" s="4"/>
      <c r="Z123" s="11" t="str">
        <f t="shared" ca="1" si="6"/>
        <v/>
      </c>
      <c r="AA123" s="8"/>
      <c r="AB123" s="8"/>
      <c r="AC123" s="4"/>
      <c r="AD123" s="8"/>
      <c r="AE123" s="8"/>
      <c r="AF123" s="4"/>
      <c r="AG123" s="11" t="str">
        <f t="shared" ca="1" si="7"/>
        <v/>
      </c>
      <c r="AH123" s="4"/>
    </row>
    <row r="124" spans="1:34" ht="18" customHeight="1" x14ac:dyDescent="0.45">
      <c r="A124" s="6"/>
      <c r="B124" s="12"/>
      <c r="C124" s="13"/>
      <c r="D124" s="10" t="str">
        <f t="shared" si="4"/>
        <v/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12"/>
      <c r="U124" s="6"/>
      <c r="V124" s="11" t="str">
        <f>IF(E124="","",IFERROR(SUMIF('10-Day Compliance'!$A:$A,E124,'10-Day Compliance'!$E:$E),0))</f>
        <v/>
      </c>
      <c r="W124" s="10" t="str">
        <f t="shared" si="5"/>
        <v/>
      </c>
      <c r="X124" s="6"/>
      <c r="Y124" s="6"/>
      <c r="Z124" s="11" t="str">
        <f t="shared" ca="1" si="6"/>
        <v/>
      </c>
      <c r="AA124" s="12"/>
      <c r="AB124" s="12"/>
      <c r="AC124" s="6"/>
      <c r="AD124" s="12"/>
      <c r="AE124" s="12"/>
      <c r="AF124" s="6"/>
      <c r="AG124" s="11" t="str">
        <f t="shared" ca="1" si="7"/>
        <v/>
      </c>
      <c r="AH124" s="6"/>
    </row>
    <row r="125" spans="1:34" ht="18" customHeight="1" x14ac:dyDescent="0.45">
      <c r="A125" s="4"/>
      <c r="B125" s="8"/>
      <c r="C125" s="9"/>
      <c r="D125" s="10" t="str">
        <f t="shared" si="4"/>
        <v/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8"/>
      <c r="U125" s="4"/>
      <c r="V125" s="11" t="str">
        <f>IF(E125="","",IFERROR(SUMIF('10-Day Compliance'!$A:$A,E125,'10-Day Compliance'!$E:$E),0))</f>
        <v/>
      </c>
      <c r="W125" s="10" t="str">
        <f t="shared" si="5"/>
        <v/>
      </c>
      <c r="X125" s="4"/>
      <c r="Y125" s="4"/>
      <c r="Z125" s="11" t="str">
        <f t="shared" ca="1" si="6"/>
        <v/>
      </c>
      <c r="AA125" s="8"/>
      <c r="AB125" s="8"/>
      <c r="AC125" s="4"/>
      <c r="AD125" s="8"/>
      <c r="AE125" s="8"/>
      <c r="AF125" s="4"/>
      <c r="AG125" s="11" t="str">
        <f t="shared" ca="1" si="7"/>
        <v/>
      </c>
      <c r="AH125" s="4"/>
    </row>
    <row r="126" spans="1:34" ht="18" customHeight="1" x14ac:dyDescent="0.45">
      <c r="A126" s="6"/>
      <c r="B126" s="12"/>
      <c r="C126" s="13"/>
      <c r="D126" s="10" t="str">
        <f t="shared" si="4"/>
        <v/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12"/>
      <c r="U126" s="6"/>
      <c r="V126" s="11" t="str">
        <f>IF(E126="","",IFERROR(SUMIF('10-Day Compliance'!$A:$A,E126,'10-Day Compliance'!$E:$E),0))</f>
        <v/>
      </c>
      <c r="W126" s="10" t="str">
        <f t="shared" si="5"/>
        <v/>
      </c>
      <c r="X126" s="6"/>
      <c r="Y126" s="6"/>
      <c r="Z126" s="11" t="str">
        <f t="shared" ca="1" si="6"/>
        <v/>
      </c>
      <c r="AA126" s="12"/>
      <c r="AB126" s="12"/>
      <c r="AC126" s="6"/>
      <c r="AD126" s="12"/>
      <c r="AE126" s="12"/>
      <c r="AF126" s="6"/>
      <c r="AG126" s="11" t="str">
        <f t="shared" ca="1" si="7"/>
        <v/>
      </c>
      <c r="AH126" s="6"/>
    </row>
    <row r="127" spans="1:34" ht="18" customHeight="1" x14ac:dyDescent="0.45">
      <c r="A127" s="4"/>
      <c r="B127" s="8"/>
      <c r="C127" s="9"/>
      <c r="D127" s="10" t="str">
        <f t="shared" si="4"/>
        <v/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8"/>
      <c r="U127" s="4"/>
      <c r="V127" s="11" t="str">
        <f>IF(E127="","",IFERROR(SUMIF('10-Day Compliance'!$A:$A,E127,'10-Day Compliance'!$E:$E),0))</f>
        <v/>
      </c>
      <c r="W127" s="10" t="str">
        <f t="shared" si="5"/>
        <v/>
      </c>
      <c r="X127" s="4"/>
      <c r="Y127" s="4"/>
      <c r="Z127" s="11" t="str">
        <f t="shared" ca="1" si="6"/>
        <v/>
      </c>
      <c r="AA127" s="8"/>
      <c r="AB127" s="8"/>
      <c r="AC127" s="4"/>
      <c r="AD127" s="8"/>
      <c r="AE127" s="8"/>
      <c r="AF127" s="4"/>
      <c r="AG127" s="11" t="str">
        <f t="shared" ca="1" si="7"/>
        <v/>
      </c>
      <c r="AH127" s="4"/>
    </row>
    <row r="128" spans="1:34" ht="18" customHeight="1" x14ac:dyDescent="0.45">
      <c r="A128" s="6"/>
      <c r="B128" s="12"/>
      <c r="C128" s="13"/>
      <c r="D128" s="10" t="str">
        <f t="shared" si="4"/>
        <v/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12"/>
      <c r="U128" s="6"/>
      <c r="V128" s="11" t="str">
        <f>IF(E128="","",IFERROR(SUMIF('10-Day Compliance'!$A:$A,E128,'10-Day Compliance'!$E:$E),0))</f>
        <v/>
      </c>
      <c r="W128" s="10" t="str">
        <f t="shared" si="5"/>
        <v/>
      </c>
      <c r="X128" s="6"/>
      <c r="Y128" s="6"/>
      <c r="Z128" s="11" t="str">
        <f t="shared" ca="1" si="6"/>
        <v/>
      </c>
      <c r="AA128" s="12"/>
      <c r="AB128" s="12"/>
      <c r="AC128" s="6"/>
      <c r="AD128" s="12"/>
      <c r="AE128" s="12"/>
      <c r="AF128" s="6"/>
      <c r="AG128" s="11" t="str">
        <f t="shared" ca="1" si="7"/>
        <v/>
      </c>
      <c r="AH128" s="6"/>
    </row>
    <row r="129" spans="1:34" ht="18" customHeight="1" x14ac:dyDescent="0.45">
      <c r="A129" s="4"/>
      <c r="B129" s="8"/>
      <c r="C129" s="9"/>
      <c r="D129" s="10" t="str">
        <f t="shared" si="4"/>
        <v/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8"/>
      <c r="U129" s="4"/>
      <c r="V129" s="11" t="str">
        <f>IF(E129="","",IFERROR(SUMIF('10-Day Compliance'!$A:$A,E129,'10-Day Compliance'!$E:$E),0))</f>
        <v/>
      </c>
      <c r="W129" s="10" t="str">
        <f t="shared" si="5"/>
        <v/>
      </c>
      <c r="X129" s="4"/>
      <c r="Y129" s="4"/>
      <c r="Z129" s="11" t="str">
        <f t="shared" ca="1" si="6"/>
        <v/>
      </c>
      <c r="AA129" s="8"/>
      <c r="AB129" s="8"/>
      <c r="AC129" s="4"/>
      <c r="AD129" s="8"/>
      <c r="AE129" s="8"/>
      <c r="AF129" s="4"/>
      <c r="AG129" s="11" t="str">
        <f t="shared" ca="1" si="7"/>
        <v/>
      </c>
      <c r="AH129" s="4"/>
    </row>
    <row r="130" spans="1:34" ht="18" customHeight="1" x14ac:dyDescent="0.45">
      <c r="A130" s="6"/>
      <c r="B130" s="12"/>
      <c r="C130" s="13"/>
      <c r="D130" s="10" t="str">
        <f t="shared" si="4"/>
        <v/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12"/>
      <c r="U130" s="6"/>
      <c r="V130" s="11" t="str">
        <f>IF(E130="","",IFERROR(SUMIF('10-Day Compliance'!$A:$A,E130,'10-Day Compliance'!$E:$E),0))</f>
        <v/>
      </c>
      <c r="W130" s="10" t="str">
        <f t="shared" si="5"/>
        <v/>
      </c>
      <c r="X130" s="6"/>
      <c r="Y130" s="6"/>
      <c r="Z130" s="11" t="str">
        <f t="shared" ca="1" si="6"/>
        <v/>
      </c>
      <c r="AA130" s="12"/>
      <c r="AB130" s="12"/>
      <c r="AC130" s="6"/>
      <c r="AD130" s="12"/>
      <c r="AE130" s="12"/>
      <c r="AF130" s="6"/>
      <c r="AG130" s="11" t="str">
        <f t="shared" ca="1" si="7"/>
        <v/>
      </c>
      <c r="AH130" s="6"/>
    </row>
    <row r="131" spans="1:34" ht="18" customHeight="1" x14ac:dyDescent="0.45">
      <c r="A131" s="4"/>
      <c r="B131" s="8"/>
      <c r="C131" s="9"/>
      <c r="D131" s="10" t="str">
        <f t="shared" si="4"/>
        <v/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8"/>
      <c r="U131" s="4"/>
      <c r="V131" s="11" t="str">
        <f>IF(E131="","",IFERROR(SUMIF('10-Day Compliance'!$A:$A,E131,'10-Day Compliance'!$E:$E),0))</f>
        <v/>
      </c>
      <c r="W131" s="10" t="str">
        <f t="shared" si="5"/>
        <v/>
      </c>
      <c r="X131" s="4"/>
      <c r="Y131" s="4"/>
      <c r="Z131" s="11" t="str">
        <f t="shared" ca="1" si="6"/>
        <v/>
      </c>
      <c r="AA131" s="8"/>
      <c r="AB131" s="8"/>
      <c r="AC131" s="4"/>
      <c r="AD131" s="8"/>
      <c r="AE131" s="8"/>
      <c r="AF131" s="4"/>
      <c r="AG131" s="11" t="str">
        <f t="shared" ca="1" si="7"/>
        <v/>
      </c>
      <c r="AH131" s="4"/>
    </row>
    <row r="132" spans="1:34" ht="18" customHeight="1" x14ac:dyDescent="0.45">
      <c r="A132" s="6"/>
      <c r="B132" s="12"/>
      <c r="C132" s="13"/>
      <c r="D132" s="10" t="str">
        <f t="shared" si="4"/>
        <v/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12"/>
      <c r="U132" s="6"/>
      <c r="V132" s="11" t="str">
        <f>IF(E132="","",IFERROR(SUMIF('10-Day Compliance'!$A:$A,E132,'10-Day Compliance'!$E:$E),0))</f>
        <v/>
      </c>
      <c r="W132" s="10" t="str">
        <f t="shared" si="5"/>
        <v/>
      </c>
      <c r="X132" s="6"/>
      <c r="Y132" s="6"/>
      <c r="Z132" s="11" t="str">
        <f t="shared" ca="1" si="6"/>
        <v/>
      </c>
      <c r="AA132" s="12"/>
      <c r="AB132" s="12"/>
      <c r="AC132" s="6"/>
      <c r="AD132" s="12"/>
      <c r="AE132" s="12"/>
      <c r="AF132" s="6"/>
      <c r="AG132" s="11" t="str">
        <f t="shared" ca="1" si="7"/>
        <v/>
      </c>
      <c r="AH132" s="6"/>
    </row>
    <row r="133" spans="1:34" ht="18" customHeight="1" x14ac:dyDescent="0.45">
      <c r="A133" s="4"/>
      <c r="B133" s="8"/>
      <c r="C133" s="9"/>
      <c r="D133" s="10" t="str">
        <f t="shared" ref="D133:D196" si="8">IF(B133="","",TEXT(B133,"DDDD"))</f>
        <v/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8"/>
      <c r="U133" s="4"/>
      <c r="V133" s="11" t="str">
        <f>IF(E133="","",IFERROR(SUMIF('10-Day Compliance'!$A:$A,E133,'10-Day Compliance'!$E:$E),0))</f>
        <v/>
      </c>
      <c r="W133" s="10" t="str">
        <f t="shared" ref="W133:W196" si="9">IF(U133="No","",IF(V133="","",IF(V133&gt;=10,"🔴 EXCEEDED — MDR NOW",IF(V133&gt;=9,"🟠 URGENT — DAY "&amp;V133,IF(V133&gt;=7,"🟡 WARNING — DAY "&amp;V133,"✅ OK — Day "&amp;V133)))))</f>
        <v/>
      </c>
      <c r="X133" s="4"/>
      <c r="Y133" s="4"/>
      <c r="Z133" s="11" t="str">
        <f t="shared" ref="Z133:Z196" ca="1" si="10">IF(OR(B133="",X133="Closed"),"",TODAY()-B133)</f>
        <v/>
      </c>
      <c r="AA133" s="8"/>
      <c r="AB133" s="8"/>
      <c r="AC133" s="4"/>
      <c r="AD133" s="8"/>
      <c r="AE133" s="8"/>
      <c r="AF133" s="4"/>
      <c r="AG133" s="11" t="str">
        <f t="shared" ref="AG133:AG196" ca="1" si="11">IF(B133="","",TODAY()-B133)</f>
        <v/>
      </c>
      <c r="AH133" s="4"/>
    </row>
    <row r="134" spans="1:34" ht="18" customHeight="1" x14ac:dyDescent="0.45">
      <c r="A134" s="6"/>
      <c r="B134" s="12"/>
      <c r="C134" s="13"/>
      <c r="D134" s="10" t="str">
        <f t="shared" si="8"/>
        <v/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12"/>
      <c r="U134" s="6"/>
      <c r="V134" s="11" t="str">
        <f>IF(E134="","",IFERROR(SUMIF('10-Day Compliance'!$A:$A,E134,'10-Day Compliance'!$E:$E),0))</f>
        <v/>
      </c>
      <c r="W134" s="10" t="str">
        <f t="shared" si="9"/>
        <v/>
      </c>
      <c r="X134" s="6"/>
      <c r="Y134" s="6"/>
      <c r="Z134" s="11" t="str">
        <f t="shared" ca="1" si="10"/>
        <v/>
      </c>
      <c r="AA134" s="12"/>
      <c r="AB134" s="12"/>
      <c r="AC134" s="6"/>
      <c r="AD134" s="12"/>
      <c r="AE134" s="12"/>
      <c r="AF134" s="6"/>
      <c r="AG134" s="11" t="str">
        <f t="shared" ca="1" si="11"/>
        <v/>
      </c>
      <c r="AH134" s="6"/>
    </row>
    <row r="135" spans="1:34" ht="18" customHeight="1" x14ac:dyDescent="0.45">
      <c r="A135" s="4"/>
      <c r="B135" s="8"/>
      <c r="C135" s="9"/>
      <c r="D135" s="10" t="str">
        <f t="shared" si="8"/>
        <v/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8"/>
      <c r="U135" s="4"/>
      <c r="V135" s="11" t="str">
        <f>IF(E135="","",IFERROR(SUMIF('10-Day Compliance'!$A:$A,E135,'10-Day Compliance'!$E:$E),0))</f>
        <v/>
      </c>
      <c r="W135" s="10" t="str">
        <f t="shared" si="9"/>
        <v/>
      </c>
      <c r="X135" s="4"/>
      <c r="Y135" s="4"/>
      <c r="Z135" s="11" t="str">
        <f t="shared" ca="1" si="10"/>
        <v/>
      </c>
      <c r="AA135" s="8"/>
      <c r="AB135" s="8"/>
      <c r="AC135" s="4"/>
      <c r="AD135" s="8"/>
      <c r="AE135" s="8"/>
      <c r="AF135" s="4"/>
      <c r="AG135" s="11" t="str">
        <f t="shared" ca="1" si="11"/>
        <v/>
      </c>
      <c r="AH135" s="4"/>
    </row>
    <row r="136" spans="1:34" ht="18" customHeight="1" x14ac:dyDescent="0.45">
      <c r="A136" s="6"/>
      <c r="B136" s="12"/>
      <c r="C136" s="13"/>
      <c r="D136" s="10" t="str">
        <f t="shared" si="8"/>
        <v/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12"/>
      <c r="U136" s="6"/>
      <c r="V136" s="11" t="str">
        <f>IF(E136="","",IFERROR(SUMIF('10-Day Compliance'!$A:$A,E136,'10-Day Compliance'!$E:$E),0))</f>
        <v/>
      </c>
      <c r="W136" s="10" t="str">
        <f t="shared" si="9"/>
        <v/>
      </c>
      <c r="X136" s="6"/>
      <c r="Y136" s="6"/>
      <c r="Z136" s="11" t="str">
        <f t="shared" ca="1" si="10"/>
        <v/>
      </c>
      <c r="AA136" s="12"/>
      <c r="AB136" s="12"/>
      <c r="AC136" s="6"/>
      <c r="AD136" s="12"/>
      <c r="AE136" s="12"/>
      <c r="AF136" s="6"/>
      <c r="AG136" s="11" t="str">
        <f t="shared" ca="1" si="11"/>
        <v/>
      </c>
      <c r="AH136" s="6"/>
    </row>
    <row r="137" spans="1:34" ht="18" customHeight="1" x14ac:dyDescent="0.45">
      <c r="A137" s="4"/>
      <c r="B137" s="8"/>
      <c r="C137" s="9"/>
      <c r="D137" s="10" t="str">
        <f t="shared" si="8"/>
        <v/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8"/>
      <c r="U137" s="4"/>
      <c r="V137" s="11" t="str">
        <f>IF(E137="","",IFERROR(SUMIF('10-Day Compliance'!$A:$A,E137,'10-Day Compliance'!$E:$E),0))</f>
        <v/>
      </c>
      <c r="W137" s="10" t="str">
        <f t="shared" si="9"/>
        <v/>
      </c>
      <c r="X137" s="4"/>
      <c r="Y137" s="4"/>
      <c r="Z137" s="11" t="str">
        <f t="shared" ca="1" si="10"/>
        <v/>
      </c>
      <c r="AA137" s="8"/>
      <c r="AB137" s="8"/>
      <c r="AC137" s="4"/>
      <c r="AD137" s="8"/>
      <c r="AE137" s="8"/>
      <c r="AF137" s="4"/>
      <c r="AG137" s="11" t="str">
        <f t="shared" ca="1" si="11"/>
        <v/>
      </c>
      <c r="AH137" s="4"/>
    </row>
    <row r="138" spans="1:34" ht="18" customHeight="1" x14ac:dyDescent="0.45">
      <c r="A138" s="6"/>
      <c r="B138" s="12"/>
      <c r="C138" s="13"/>
      <c r="D138" s="10" t="str">
        <f t="shared" si="8"/>
        <v/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12"/>
      <c r="U138" s="6"/>
      <c r="V138" s="11" t="str">
        <f>IF(E138="","",IFERROR(SUMIF('10-Day Compliance'!$A:$A,E138,'10-Day Compliance'!$E:$E),0))</f>
        <v/>
      </c>
      <c r="W138" s="10" t="str">
        <f t="shared" si="9"/>
        <v/>
      </c>
      <c r="X138" s="6"/>
      <c r="Y138" s="6"/>
      <c r="Z138" s="11" t="str">
        <f t="shared" ca="1" si="10"/>
        <v/>
      </c>
      <c r="AA138" s="12"/>
      <c r="AB138" s="12"/>
      <c r="AC138" s="6"/>
      <c r="AD138" s="12"/>
      <c r="AE138" s="12"/>
      <c r="AF138" s="6"/>
      <c r="AG138" s="11" t="str">
        <f t="shared" ca="1" si="11"/>
        <v/>
      </c>
      <c r="AH138" s="6"/>
    </row>
    <row r="139" spans="1:34" ht="18" customHeight="1" x14ac:dyDescent="0.45">
      <c r="A139" s="4"/>
      <c r="B139" s="8"/>
      <c r="C139" s="9"/>
      <c r="D139" s="10" t="str">
        <f t="shared" si="8"/>
        <v/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8"/>
      <c r="U139" s="4"/>
      <c r="V139" s="11" t="str">
        <f>IF(E139="","",IFERROR(SUMIF('10-Day Compliance'!$A:$A,E139,'10-Day Compliance'!$E:$E),0))</f>
        <v/>
      </c>
      <c r="W139" s="10" t="str">
        <f t="shared" si="9"/>
        <v/>
      </c>
      <c r="X139" s="4"/>
      <c r="Y139" s="4"/>
      <c r="Z139" s="11" t="str">
        <f t="shared" ca="1" si="10"/>
        <v/>
      </c>
      <c r="AA139" s="8"/>
      <c r="AB139" s="8"/>
      <c r="AC139" s="4"/>
      <c r="AD139" s="8"/>
      <c r="AE139" s="8"/>
      <c r="AF139" s="4"/>
      <c r="AG139" s="11" t="str">
        <f t="shared" ca="1" si="11"/>
        <v/>
      </c>
      <c r="AH139" s="4"/>
    </row>
    <row r="140" spans="1:34" ht="18" customHeight="1" x14ac:dyDescent="0.45">
      <c r="A140" s="6"/>
      <c r="B140" s="12"/>
      <c r="C140" s="13"/>
      <c r="D140" s="10" t="str">
        <f t="shared" si="8"/>
        <v/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12"/>
      <c r="U140" s="6"/>
      <c r="V140" s="11" t="str">
        <f>IF(E140="","",IFERROR(SUMIF('10-Day Compliance'!$A:$A,E140,'10-Day Compliance'!$E:$E),0))</f>
        <v/>
      </c>
      <c r="W140" s="10" t="str">
        <f t="shared" si="9"/>
        <v/>
      </c>
      <c r="X140" s="6"/>
      <c r="Y140" s="6"/>
      <c r="Z140" s="11" t="str">
        <f t="shared" ca="1" si="10"/>
        <v/>
      </c>
      <c r="AA140" s="12"/>
      <c r="AB140" s="12"/>
      <c r="AC140" s="6"/>
      <c r="AD140" s="12"/>
      <c r="AE140" s="12"/>
      <c r="AF140" s="6"/>
      <c r="AG140" s="11" t="str">
        <f t="shared" ca="1" si="11"/>
        <v/>
      </c>
      <c r="AH140" s="6"/>
    </row>
    <row r="141" spans="1:34" ht="18" customHeight="1" x14ac:dyDescent="0.45">
      <c r="A141" s="4"/>
      <c r="B141" s="8"/>
      <c r="C141" s="9"/>
      <c r="D141" s="10" t="str">
        <f t="shared" si="8"/>
        <v/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8"/>
      <c r="U141" s="4"/>
      <c r="V141" s="11" t="str">
        <f>IF(E141="","",IFERROR(SUMIF('10-Day Compliance'!$A:$A,E141,'10-Day Compliance'!$E:$E),0))</f>
        <v/>
      </c>
      <c r="W141" s="10" t="str">
        <f t="shared" si="9"/>
        <v/>
      </c>
      <c r="X141" s="4"/>
      <c r="Y141" s="4"/>
      <c r="Z141" s="11" t="str">
        <f t="shared" ca="1" si="10"/>
        <v/>
      </c>
      <c r="AA141" s="8"/>
      <c r="AB141" s="8"/>
      <c r="AC141" s="4"/>
      <c r="AD141" s="8"/>
      <c r="AE141" s="8"/>
      <c r="AF141" s="4"/>
      <c r="AG141" s="11" t="str">
        <f t="shared" ca="1" si="11"/>
        <v/>
      </c>
      <c r="AH141" s="4"/>
    </row>
    <row r="142" spans="1:34" ht="18" customHeight="1" x14ac:dyDescent="0.45">
      <c r="A142" s="6"/>
      <c r="B142" s="12"/>
      <c r="C142" s="13"/>
      <c r="D142" s="10" t="str">
        <f t="shared" si="8"/>
        <v/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12"/>
      <c r="U142" s="6"/>
      <c r="V142" s="11" t="str">
        <f>IF(E142="","",IFERROR(SUMIF('10-Day Compliance'!$A:$A,E142,'10-Day Compliance'!$E:$E),0))</f>
        <v/>
      </c>
      <c r="W142" s="10" t="str">
        <f t="shared" si="9"/>
        <v/>
      </c>
      <c r="X142" s="6"/>
      <c r="Y142" s="6"/>
      <c r="Z142" s="11" t="str">
        <f t="shared" ca="1" si="10"/>
        <v/>
      </c>
      <c r="AA142" s="12"/>
      <c r="AB142" s="12"/>
      <c r="AC142" s="6"/>
      <c r="AD142" s="12"/>
      <c r="AE142" s="12"/>
      <c r="AF142" s="6"/>
      <c r="AG142" s="11" t="str">
        <f t="shared" ca="1" si="11"/>
        <v/>
      </c>
      <c r="AH142" s="6"/>
    </row>
    <row r="143" spans="1:34" ht="18" customHeight="1" x14ac:dyDescent="0.45">
      <c r="A143" s="4"/>
      <c r="B143" s="8"/>
      <c r="C143" s="9"/>
      <c r="D143" s="10" t="str">
        <f t="shared" si="8"/>
        <v/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8"/>
      <c r="U143" s="4"/>
      <c r="V143" s="11" t="str">
        <f>IF(E143="","",IFERROR(SUMIF('10-Day Compliance'!$A:$A,E143,'10-Day Compliance'!$E:$E),0))</f>
        <v/>
      </c>
      <c r="W143" s="10" t="str">
        <f t="shared" si="9"/>
        <v/>
      </c>
      <c r="X143" s="4"/>
      <c r="Y143" s="4"/>
      <c r="Z143" s="11" t="str">
        <f t="shared" ca="1" si="10"/>
        <v/>
      </c>
      <c r="AA143" s="8"/>
      <c r="AB143" s="8"/>
      <c r="AC143" s="4"/>
      <c r="AD143" s="8"/>
      <c r="AE143" s="8"/>
      <c r="AF143" s="4"/>
      <c r="AG143" s="11" t="str">
        <f t="shared" ca="1" si="11"/>
        <v/>
      </c>
      <c r="AH143" s="4"/>
    </row>
    <row r="144" spans="1:34" ht="18" customHeight="1" x14ac:dyDescent="0.45">
      <c r="A144" s="6"/>
      <c r="B144" s="12"/>
      <c r="C144" s="13"/>
      <c r="D144" s="10" t="str">
        <f t="shared" si="8"/>
        <v/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12"/>
      <c r="U144" s="6"/>
      <c r="V144" s="11" t="str">
        <f>IF(E144="","",IFERROR(SUMIF('10-Day Compliance'!$A:$A,E144,'10-Day Compliance'!$E:$E),0))</f>
        <v/>
      </c>
      <c r="W144" s="10" t="str">
        <f t="shared" si="9"/>
        <v/>
      </c>
      <c r="X144" s="6"/>
      <c r="Y144" s="6"/>
      <c r="Z144" s="11" t="str">
        <f t="shared" ca="1" si="10"/>
        <v/>
      </c>
      <c r="AA144" s="12"/>
      <c r="AB144" s="12"/>
      <c r="AC144" s="6"/>
      <c r="AD144" s="12"/>
      <c r="AE144" s="12"/>
      <c r="AF144" s="6"/>
      <c r="AG144" s="11" t="str">
        <f t="shared" ca="1" si="11"/>
        <v/>
      </c>
      <c r="AH144" s="6"/>
    </row>
    <row r="145" spans="1:34" ht="18" customHeight="1" x14ac:dyDescent="0.45">
      <c r="A145" s="4"/>
      <c r="B145" s="8"/>
      <c r="C145" s="9"/>
      <c r="D145" s="10" t="str">
        <f t="shared" si="8"/>
        <v/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8"/>
      <c r="U145" s="4"/>
      <c r="V145" s="11" t="str">
        <f>IF(E145="","",IFERROR(SUMIF('10-Day Compliance'!$A:$A,E145,'10-Day Compliance'!$E:$E),0))</f>
        <v/>
      </c>
      <c r="W145" s="10" t="str">
        <f t="shared" si="9"/>
        <v/>
      </c>
      <c r="X145" s="4"/>
      <c r="Y145" s="4"/>
      <c r="Z145" s="11" t="str">
        <f t="shared" ca="1" si="10"/>
        <v/>
      </c>
      <c r="AA145" s="8"/>
      <c r="AB145" s="8"/>
      <c r="AC145" s="4"/>
      <c r="AD145" s="8"/>
      <c r="AE145" s="8"/>
      <c r="AF145" s="4"/>
      <c r="AG145" s="11" t="str">
        <f t="shared" ca="1" si="11"/>
        <v/>
      </c>
      <c r="AH145" s="4"/>
    </row>
    <row r="146" spans="1:34" ht="18" customHeight="1" x14ac:dyDescent="0.45">
      <c r="A146" s="6"/>
      <c r="B146" s="12"/>
      <c r="C146" s="13"/>
      <c r="D146" s="10" t="str">
        <f t="shared" si="8"/>
        <v/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12"/>
      <c r="U146" s="6"/>
      <c r="V146" s="11" t="str">
        <f>IF(E146="","",IFERROR(SUMIF('10-Day Compliance'!$A:$A,E146,'10-Day Compliance'!$E:$E),0))</f>
        <v/>
      </c>
      <c r="W146" s="10" t="str">
        <f t="shared" si="9"/>
        <v/>
      </c>
      <c r="X146" s="6"/>
      <c r="Y146" s="6"/>
      <c r="Z146" s="11" t="str">
        <f t="shared" ca="1" si="10"/>
        <v/>
      </c>
      <c r="AA146" s="12"/>
      <c r="AB146" s="12"/>
      <c r="AC146" s="6"/>
      <c r="AD146" s="12"/>
      <c r="AE146" s="12"/>
      <c r="AF146" s="6"/>
      <c r="AG146" s="11" t="str">
        <f t="shared" ca="1" si="11"/>
        <v/>
      </c>
      <c r="AH146" s="6"/>
    </row>
    <row r="147" spans="1:34" ht="18" customHeight="1" x14ac:dyDescent="0.45">
      <c r="A147" s="4"/>
      <c r="B147" s="8"/>
      <c r="C147" s="9"/>
      <c r="D147" s="10" t="str">
        <f t="shared" si="8"/>
        <v/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8"/>
      <c r="U147" s="4"/>
      <c r="V147" s="11" t="str">
        <f>IF(E147="","",IFERROR(SUMIF('10-Day Compliance'!$A:$A,E147,'10-Day Compliance'!$E:$E),0))</f>
        <v/>
      </c>
      <c r="W147" s="10" t="str">
        <f t="shared" si="9"/>
        <v/>
      </c>
      <c r="X147" s="4"/>
      <c r="Y147" s="4"/>
      <c r="Z147" s="11" t="str">
        <f t="shared" ca="1" si="10"/>
        <v/>
      </c>
      <c r="AA147" s="8"/>
      <c r="AB147" s="8"/>
      <c r="AC147" s="4"/>
      <c r="AD147" s="8"/>
      <c r="AE147" s="8"/>
      <c r="AF147" s="4"/>
      <c r="AG147" s="11" t="str">
        <f t="shared" ca="1" si="11"/>
        <v/>
      </c>
      <c r="AH147" s="4"/>
    </row>
    <row r="148" spans="1:34" ht="18" customHeight="1" x14ac:dyDescent="0.45">
      <c r="A148" s="6"/>
      <c r="B148" s="12"/>
      <c r="C148" s="13"/>
      <c r="D148" s="10" t="str">
        <f t="shared" si="8"/>
        <v/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12"/>
      <c r="U148" s="6"/>
      <c r="V148" s="11" t="str">
        <f>IF(E148="","",IFERROR(SUMIF('10-Day Compliance'!$A:$A,E148,'10-Day Compliance'!$E:$E),0))</f>
        <v/>
      </c>
      <c r="W148" s="10" t="str">
        <f t="shared" si="9"/>
        <v/>
      </c>
      <c r="X148" s="6"/>
      <c r="Y148" s="6"/>
      <c r="Z148" s="11" t="str">
        <f t="shared" ca="1" si="10"/>
        <v/>
      </c>
      <c r="AA148" s="12"/>
      <c r="AB148" s="12"/>
      <c r="AC148" s="6"/>
      <c r="AD148" s="12"/>
      <c r="AE148" s="12"/>
      <c r="AF148" s="6"/>
      <c r="AG148" s="11" t="str">
        <f t="shared" ca="1" si="11"/>
        <v/>
      </c>
      <c r="AH148" s="6"/>
    </row>
    <row r="149" spans="1:34" ht="18" customHeight="1" x14ac:dyDescent="0.45">
      <c r="A149" s="4"/>
      <c r="B149" s="8"/>
      <c r="C149" s="9"/>
      <c r="D149" s="10" t="str">
        <f t="shared" si="8"/>
        <v/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8"/>
      <c r="U149" s="4"/>
      <c r="V149" s="11" t="str">
        <f>IF(E149="","",IFERROR(SUMIF('10-Day Compliance'!$A:$A,E149,'10-Day Compliance'!$E:$E),0))</f>
        <v/>
      </c>
      <c r="W149" s="10" t="str">
        <f t="shared" si="9"/>
        <v/>
      </c>
      <c r="X149" s="4"/>
      <c r="Y149" s="4"/>
      <c r="Z149" s="11" t="str">
        <f t="shared" ca="1" si="10"/>
        <v/>
      </c>
      <c r="AA149" s="8"/>
      <c r="AB149" s="8"/>
      <c r="AC149" s="4"/>
      <c r="AD149" s="8"/>
      <c r="AE149" s="8"/>
      <c r="AF149" s="4"/>
      <c r="AG149" s="11" t="str">
        <f t="shared" ca="1" si="11"/>
        <v/>
      </c>
      <c r="AH149" s="4"/>
    </row>
    <row r="150" spans="1:34" ht="18" customHeight="1" x14ac:dyDescent="0.45">
      <c r="A150" s="6"/>
      <c r="B150" s="12"/>
      <c r="C150" s="13"/>
      <c r="D150" s="10" t="str">
        <f t="shared" si="8"/>
        <v/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12"/>
      <c r="U150" s="6"/>
      <c r="V150" s="11" t="str">
        <f>IF(E150="","",IFERROR(SUMIF('10-Day Compliance'!$A:$A,E150,'10-Day Compliance'!$E:$E),0))</f>
        <v/>
      </c>
      <c r="W150" s="10" t="str">
        <f t="shared" si="9"/>
        <v/>
      </c>
      <c r="X150" s="6"/>
      <c r="Y150" s="6"/>
      <c r="Z150" s="11" t="str">
        <f t="shared" ca="1" si="10"/>
        <v/>
      </c>
      <c r="AA150" s="12"/>
      <c r="AB150" s="12"/>
      <c r="AC150" s="6"/>
      <c r="AD150" s="12"/>
      <c r="AE150" s="12"/>
      <c r="AF150" s="6"/>
      <c r="AG150" s="11" t="str">
        <f t="shared" ca="1" si="11"/>
        <v/>
      </c>
      <c r="AH150" s="6"/>
    </row>
    <row r="151" spans="1:34" ht="18" customHeight="1" x14ac:dyDescent="0.45">
      <c r="A151" s="4"/>
      <c r="B151" s="8"/>
      <c r="C151" s="9"/>
      <c r="D151" s="10" t="str">
        <f t="shared" si="8"/>
        <v/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8"/>
      <c r="U151" s="4"/>
      <c r="V151" s="11" t="str">
        <f>IF(E151="","",IFERROR(SUMIF('10-Day Compliance'!$A:$A,E151,'10-Day Compliance'!$E:$E),0))</f>
        <v/>
      </c>
      <c r="W151" s="10" t="str">
        <f t="shared" si="9"/>
        <v/>
      </c>
      <c r="X151" s="4"/>
      <c r="Y151" s="4"/>
      <c r="Z151" s="11" t="str">
        <f t="shared" ca="1" si="10"/>
        <v/>
      </c>
      <c r="AA151" s="8"/>
      <c r="AB151" s="8"/>
      <c r="AC151" s="4"/>
      <c r="AD151" s="8"/>
      <c r="AE151" s="8"/>
      <c r="AF151" s="4"/>
      <c r="AG151" s="11" t="str">
        <f t="shared" ca="1" si="11"/>
        <v/>
      </c>
      <c r="AH151" s="4"/>
    </row>
    <row r="152" spans="1:34" ht="18" customHeight="1" x14ac:dyDescent="0.45">
      <c r="A152" s="6"/>
      <c r="B152" s="12"/>
      <c r="C152" s="13"/>
      <c r="D152" s="10" t="str">
        <f t="shared" si="8"/>
        <v/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12"/>
      <c r="U152" s="6"/>
      <c r="V152" s="11" t="str">
        <f>IF(E152="","",IFERROR(SUMIF('10-Day Compliance'!$A:$A,E152,'10-Day Compliance'!$E:$E),0))</f>
        <v/>
      </c>
      <c r="W152" s="10" t="str">
        <f t="shared" si="9"/>
        <v/>
      </c>
      <c r="X152" s="6"/>
      <c r="Y152" s="6"/>
      <c r="Z152" s="11" t="str">
        <f t="shared" ca="1" si="10"/>
        <v/>
      </c>
      <c r="AA152" s="12"/>
      <c r="AB152" s="12"/>
      <c r="AC152" s="6"/>
      <c r="AD152" s="12"/>
      <c r="AE152" s="12"/>
      <c r="AF152" s="6"/>
      <c r="AG152" s="11" t="str">
        <f t="shared" ca="1" si="11"/>
        <v/>
      </c>
      <c r="AH152" s="6"/>
    </row>
    <row r="153" spans="1:34" ht="18" customHeight="1" x14ac:dyDescent="0.45">
      <c r="A153" s="4"/>
      <c r="B153" s="8"/>
      <c r="C153" s="9"/>
      <c r="D153" s="10" t="str">
        <f t="shared" si="8"/>
        <v/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8"/>
      <c r="U153" s="4"/>
      <c r="V153" s="11" t="str">
        <f>IF(E153="","",IFERROR(SUMIF('10-Day Compliance'!$A:$A,E153,'10-Day Compliance'!$E:$E),0))</f>
        <v/>
      </c>
      <c r="W153" s="10" t="str">
        <f t="shared" si="9"/>
        <v/>
      </c>
      <c r="X153" s="4"/>
      <c r="Y153" s="4"/>
      <c r="Z153" s="11" t="str">
        <f t="shared" ca="1" si="10"/>
        <v/>
      </c>
      <c r="AA153" s="8"/>
      <c r="AB153" s="8"/>
      <c r="AC153" s="4"/>
      <c r="AD153" s="8"/>
      <c r="AE153" s="8"/>
      <c r="AF153" s="4"/>
      <c r="AG153" s="11" t="str">
        <f t="shared" ca="1" si="11"/>
        <v/>
      </c>
      <c r="AH153" s="4"/>
    </row>
    <row r="154" spans="1:34" ht="18" customHeight="1" x14ac:dyDescent="0.45">
      <c r="A154" s="6"/>
      <c r="B154" s="12"/>
      <c r="C154" s="13"/>
      <c r="D154" s="10" t="str">
        <f t="shared" si="8"/>
        <v/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12"/>
      <c r="U154" s="6"/>
      <c r="V154" s="11" t="str">
        <f>IF(E154="","",IFERROR(SUMIF('10-Day Compliance'!$A:$A,E154,'10-Day Compliance'!$E:$E),0))</f>
        <v/>
      </c>
      <c r="W154" s="10" t="str">
        <f t="shared" si="9"/>
        <v/>
      </c>
      <c r="X154" s="6"/>
      <c r="Y154" s="6"/>
      <c r="Z154" s="11" t="str">
        <f t="shared" ca="1" si="10"/>
        <v/>
      </c>
      <c r="AA154" s="12"/>
      <c r="AB154" s="12"/>
      <c r="AC154" s="6"/>
      <c r="AD154" s="12"/>
      <c r="AE154" s="12"/>
      <c r="AF154" s="6"/>
      <c r="AG154" s="11" t="str">
        <f t="shared" ca="1" si="11"/>
        <v/>
      </c>
      <c r="AH154" s="6"/>
    </row>
    <row r="155" spans="1:34" ht="18" customHeight="1" x14ac:dyDescent="0.45">
      <c r="A155" s="4"/>
      <c r="B155" s="8"/>
      <c r="C155" s="9"/>
      <c r="D155" s="10" t="str">
        <f t="shared" si="8"/>
        <v/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8"/>
      <c r="U155" s="4"/>
      <c r="V155" s="11" t="str">
        <f>IF(E155="","",IFERROR(SUMIF('10-Day Compliance'!$A:$A,E155,'10-Day Compliance'!$E:$E),0))</f>
        <v/>
      </c>
      <c r="W155" s="10" t="str">
        <f t="shared" si="9"/>
        <v/>
      </c>
      <c r="X155" s="4"/>
      <c r="Y155" s="4"/>
      <c r="Z155" s="11" t="str">
        <f t="shared" ca="1" si="10"/>
        <v/>
      </c>
      <c r="AA155" s="8"/>
      <c r="AB155" s="8"/>
      <c r="AC155" s="4"/>
      <c r="AD155" s="8"/>
      <c r="AE155" s="8"/>
      <c r="AF155" s="4"/>
      <c r="AG155" s="11" t="str">
        <f t="shared" ca="1" si="11"/>
        <v/>
      </c>
      <c r="AH155" s="4"/>
    </row>
    <row r="156" spans="1:34" ht="18" customHeight="1" x14ac:dyDescent="0.45">
      <c r="A156" s="6"/>
      <c r="B156" s="12"/>
      <c r="C156" s="13"/>
      <c r="D156" s="10" t="str">
        <f t="shared" si="8"/>
        <v/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12"/>
      <c r="U156" s="6"/>
      <c r="V156" s="11" t="str">
        <f>IF(E156="","",IFERROR(SUMIF('10-Day Compliance'!$A:$A,E156,'10-Day Compliance'!$E:$E),0))</f>
        <v/>
      </c>
      <c r="W156" s="10" t="str">
        <f t="shared" si="9"/>
        <v/>
      </c>
      <c r="X156" s="6"/>
      <c r="Y156" s="6"/>
      <c r="Z156" s="11" t="str">
        <f t="shared" ca="1" si="10"/>
        <v/>
      </c>
      <c r="AA156" s="12"/>
      <c r="AB156" s="12"/>
      <c r="AC156" s="6"/>
      <c r="AD156" s="12"/>
      <c r="AE156" s="12"/>
      <c r="AF156" s="6"/>
      <c r="AG156" s="11" t="str">
        <f t="shared" ca="1" si="11"/>
        <v/>
      </c>
      <c r="AH156" s="6"/>
    </row>
    <row r="157" spans="1:34" ht="18" customHeight="1" x14ac:dyDescent="0.45">
      <c r="A157" s="4"/>
      <c r="B157" s="8"/>
      <c r="C157" s="9"/>
      <c r="D157" s="10" t="str">
        <f t="shared" si="8"/>
        <v/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8"/>
      <c r="U157" s="4"/>
      <c r="V157" s="11" t="str">
        <f>IF(E157="","",IFERROR(SUMIF('10-Day Compliance'!$A:$A,E157,'10-Day Compliance'!$E:$E),0))</f>
        <v/>
      </c>
      <c r="W157" s="10" t="str">
        <f t="shared" si="9"/>
        <v/>
      </c>
      <c r="X157" s="4"/>
      <c r="Y157" s="4"/>
      <c r="Z157" s="11" t="str">
        <f t="shared" ca="1" si="10"/>
        <v/>
      </c>
      <c r="AA157" s="8"/>
      <c r="AB157" s="8"/>
      <c r="AC157" s="4"/>
      <c r="AD157" s="8"/>
      <c r="AE157" s="8"/>
      <c r="AF157" s="4"/>
      <c r="AG157" s="11" t="str">
        <f t="shared" ca="1" si="11"/>
        <v/>
      </c>
      <c r="AH157" s="4"/>
    </row>
    <row r="158" spans="1:34" ht="18" customHeight="1" x14ac:dyDescent="0.45">
      <c r="A158" s="6"/>
      <c r="B158" s="12"/>
      <c r="C158" s="13"/>
      <c r="D158" s="10" t="str">
        <f t="shared" si="8"/>
        <v/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12"/>
      <c r="U158" s="6"/>
      <c r="V158" s="11" t="str">
        <f>IF(E158="","",IFERROR(SUMIF('10-Day Compliance'!$A:$A,E158,'10-Day Compliance'!$E:$E),0))</f>
        <v/>
      </c>
      <c r="W158" s="10" t="str">
        <f t="shared" si="9"/>
        <v/>
      </c>
      <c r="X158" s="6"/>
      <c r="Y158" s="6"/>
      <c r="Z158" s="11" t="str">
        <f t="shared" ca="1" si="10"/>
        <v/>
      </c>
      <c r="AA158" s="12"/>
      <c r="AB158" s="12"/>
      <c r="AC158" s="6"/>
      <c r="AD158" s="12"/>
      <c r="AE158" s="12"/>
      <c r="AF158" s="6"/>
      <c r="AG158" s="11" t="str">
        <f t="shared" ca="1" si="11"/>
        <v/>
      </c>
      <c r="AH158" s="6"/>
    </row>
    <row r="159" spans="1:34" ht="18" customHeight="1" x14ac:dyDescent="0.45">
      <c r="A159" s="4"/>
      <c r="B159" s="8"/>
      <c r="C159" s="9"/>
      <c r="D159" s="10" t="str">
        <f t="shared" si="8"/>
        <v/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8"/>
      <c r="U159" s="4"/>
      <c r="V159" s="11" t="str">
        <f>IF(E159="","",IFERROR(SUMIF('10-Day Compliance'!$A:$A,E159,'10-Day Compliance'!$E:$E),0))</f>
        <v/>
      </c>
      <c r="W159" s="10" t="str">
        <f t="shared" si="9"/>
        <v/>
      </c>
      <c r="X159" s="4"/>
      <c r="Y159" s="4"/>
      <c r="Z159" s="11" t="str">
        <f t="shared" ca="1" si="10"/>
        <v/>
      </c>
      <c r="AA159" s="8"/>
      <c r="AB159" s="8"/>
      <c r="AC159" s="4"/>
      <c r="AD159" s="8"/>
      <c r="AE159" s="8"/>
      <c r="AF159" s="4"/>
      <c r="AG159" s="11" t="str">
        <f t="shared" ca="1" si="11"/>
        <v/>
      </c>
      <c r="AH159" s="4"/>
    </row>
    <row r="160" spans="1:34" ht="18" customHeight="1" x14ac:dyDescent="0.45">
      <c r="A160" s="6"/>
      <c r="B160" s="12"/>
      <c r="C160" s="13"/>
      <c r="D160" s="10" t="str">
        <f t="shared" si="8"/>
        <v/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12"/>
      <c r="U160" s="6"/>
      <c r="V160" s="11" t="str">
        <f>IF(E160="","",IFERROR(SUMIF('10-Day Compliance'!$A:$A,E160,'10-Day Compliance'!$E:$E),0))</f>
        <v/>
      </c>
      <c r="W160" s="10" t="str">
        <f t="shared" si="9"/>
        <v/>
      </c>
      <c r="X160" s="6"/>
      <c r="Y160" s="6"/>
      <c r="Z160" s="11" t="str">
        <f t="shared" ca="1" si="10"/>
        <v/>
      </c>
      <c r="AA160" s="12"/>
      <c r="AB160" s="12"/>
      <c r="AC160" s="6"/>
      <c r="AD160" s="12"/>
      <c r="AE160" s="12"/>
      <c r="AF160" s="6"/>
      <c r="AG160" s="11" t="str">
        <f t="shared" ca="1" si="11"/>
        <v/>
      </c>
      <c r="AH160" s="6"/>
    </row>
    <row r="161" spans="1:34" ht="18" customHeight="1" x14ac:dyDescent="0.45">
      <c r="A161" s="4"/>
      <c r="B161" s="8"/>
      <c r="C161" s="9"/>
      <c r="D161" s="10" t="str">
        <f t="shared" si="8"/>
        <v/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8"/>
      <c r="U161" s="4"/>
      <c r="V161" s="11" t="str">
        <f>IF(E161="","",IFERROR(SUMIF('10-Day Compliance'!$A:$A,E161,'10-Day Compliance'!$E:$E),0))</f>
        <v/>
      </c>
      <c r="W161" s="10" t="str">
        <f t="shared" si="9"/>
        <v/>
      </c>
      <c r="X161" s="4"/>
      <c r="Y161" s="4"/>
      <c r="Z161" s="11" t="str">
        <f t="shared" ca="1" si="10"/>
        <v/>
      </c>
      <c r="AA161" s="8"/>
      <c r="AB161" s="8"/>
      <c r="AC161" s="4"/>
      <c r="AD161" s="8"/>
      <c r="AE161" s="8"/>
      <c r="AF161" s="4"/>
      <c r="AG161" s="11" t="str">
        <f t="shared" ca="1" si="11"/>
        <v/>
      </c>
      <c r="AH161" s="4"/>
    </row>
    <row r="162" spans="1:34" ht="18" customHeight="1" x14ac:dyDescent="0.45">
      <c r="A162" s="6"/>
      <c r="B162" s="12"/>
      <c r="C162" s="13"/>
      <c r="D162" s="10" t="str">
        <f t="shared" si="8"/>
        <v/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12"/>
      <c r="U162" s="6"/>
      <c r="V162" s="11" t="str">
        <f>IF(E162="","",IFERROR(SUMIF('10-Day Compliance'!$A:$A,E162,'10-Day Compliance'!$E:$E),0))</f>
        <v/>
      </c>
      <c r="W162" s="10" t="str">
        <f t="shared" si="9"/>
        <v/>
      </c>
      <c r="X162" s="6"/>
      <c r="Y162" s="6"/>
      <c r="Z162" s="11" t="str">
        <f t="shared" ca="1" si="10"/>
        <v/>
      </c>
      <c r="AA162" s="12"/>
      <c r="AB162" s="12"/>
      <c r="AC162" s="6"/>
      <c r="AD162" s="12"/>
      <c r="AE162" s="12"/>
      <c r="AF162" s="6"/>
      <c r="AG162" s="11" t="str">
        <f t="shared" ca="1" si="11"/>
        <v/>
      </c>
      <c r="AH162" s="6"/>
    </row>
    <row r="163" spans="1:34" ht="18" customHeight="1" x14ac:dyDescent="0.45">
      <c r="A163" s="4"/>
      <c r="B163" s="8"/>
      <c r="C163" s="9"/>
      <c r="D163" s="10" t="str">
        <f t="shared" si="8"/>
        <v/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8"/>
      <c r="U163" s="4"/>
      <c r="V163" s="11" t="str">
        <f>IF(E163="","",IFERROR(SUMIF('10-Day Compliance'!$A:$A,E163,'10-Day Compliance'!$E:$E),0))</f>
        <v/>
      </c>
      <c r="W163" s="10" t="str">
        <f t="shared" si="9"/>
        <v/>
      </c>
      <c r="X163" s="4"/>
      <c r="Y163" s="4"/>
      <c r="Z163" s="11" t="str">
        <f t="shared" ca="1" si="10"/>
        <v/>
      </c>
      <c r="AA163" s="8"/>
      <c r="AB163" s="8"/>
      <c r="AC163" s="4"/>
      <c r="AD163" s="8"/>
      <c r="AE163" s="8"/>
      <c r="AF163" s="4"/>
      <c r="AG163" s="11" t="str">
        <f t="shared" ca="1" si="11"/>
        <v/>
      </c>
      <c r="AH163" s="4"/>
    </row>
    <row r="164" spans="1:34" ht="18" customHeight="1" x14ac:dyDescent="0.45">
      <c r="A164" s="6"/>
      <c r="B164" s="12"/>
      <c r="C164" s="13"/>
      <c r="D164" s="10" t="str">
        <f t="shared" si="8"/>
        <v/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12"/>
      <c r="U164" s="6"/>
      <c r="V164" s="11" t="str">
        <f>IF(E164="","",IFERROR(SUMIF('10-Day Compliance'!$A:$A,E164,'10-Day Compliance'!$E:$E),0))</f>
        <v/>
      </c>
      <c r="W164" s="10" t="str">
        <f t="shared" si="9"/>
        <v/>
      </c>
      <c r="X164" s="6"/>
      <c r="Y164" s="6"/>
      <c r="Z164" s="11" t="str">
        <f t="shared" ca="1" si="10"/>
        <v/>
      </c>
      <c r="AA164" s="12"/>
      <c r="AB164" s="12"/>
      <c r="AC164" s="6"/>
      <c r="AD164" s="12"/>
      <c r="AE164" s="12"/>
      <c r="AF164" s="6"/>
      <c r="AG164" s="11" t="str">
        <f t="shared" ca="1" si="11"/>
        <v/>
      </c>
      <c r="AH164" s="6"/>
    </row>
    <row r="165" spans="1:34" ht="18" customHeight="1" x14ac:dyDescent="0.45">
      <c r="A165" s="4"/>
      <c r="B165" s="8"/>
      <c r="C165" s="9"/>
      <c r="D165" s="10" t="str">
        <f t="shared" si="8"/>
        <v/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8"/>
      <c r="U165" s="4"/>
      <c r="V165" s="11" t="str">
        <f>IF(E165="","",IFERROR(SUMIF('10-Day Compliance'!$A:$A,E165,'10-Day Compliance'!$E:$E),0))</f>
        <v/>
      </c>
      <c r="W165" s="10" t="str">
        <f t="shared" si="9"/>
        <v/>
      </c>
      <c r="X165" s="4"/>
      <c r="Y165" s="4"/>
      <c r="Z165" s="11" t="str">
        <f t="shared" ca="1" si="10"/>
        <v/>
      </c>
      <c r="AA165" s="8"/>
      <c r="AB165" s="8"/>
      <c r="AC165" s="4"/>
      <c r="AD165" s="8"/>
      <c r="AE165" s="8"/>
      <c r="AF165" s="4"/>
      <c r="AG165" s="11" t="str">
        <f t="shared" ca="1" si="11"/>
        <v/>
      </c>
      <c r="AH165" s="4"/>
    </row>
    <row r="166" spans="1:34" ht="18" customHeight="1" x14ac:dyDescent="0.45">
      <c r="A166" s="6"/>
      <c r="B166" s="12"/>
      <c r="C166" s="13"/>
      <c r="D166" s="10" t="str">
        <f t="shared" si="8"/>
        <v/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12"/>
      <c r="U166" s="6"/>
      <c r="V166" s="11" t="str">
        <f>IF(E166="","",IFERROR(SUMIF('10-Day Compliance'!$A:$A,E166,'10-Day Compliance'!$E:$E),0))</f>
        <v/>
      </c>
      <c r="W166" s="10" t="str">
        <f t="shared" si="9"/>
        <v/>
      </c>
      <c r="X166" s="6"/>
      <c r="Y166" s="6"/>
      <c r="Z166" s="11" t="str">
        <f t="shared" ca="1" si="10"/>
        <v/>
      </c>
      <c r="AA166" s="12"/>
      <c r="AB166" s="12"/>
      <c r="AC166" s="6"/>
      <c r="AD166" s="12"/>
      <c r="AE166" s="12"/>
      <c r="AF166" s="6"/>
      <c r="AG166" s="11" t="str">
        <f t="shared" ca="1" si="11"/>
        <v/>
      </c>
      <c r="AH166" s="6"/>
    </row>
    <row r="167" spans="1:34" ht="18" customHeight="1" x14ac:dyDescent="0.45">
      <c r="A167" s="4"/>
      <c r="B167" s="8"/>
      <c r="C167" s="9"/>
      <c r="D167" s="10" t="str">
        <f t="shared" si="8"/>
        <v/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8"/>
      <c r="U167" s="4"/>
      <c r="V167" s="11" t="str">
        <f>IF(E167="","",IFERROR(SUMIF('10-Day Compliance'!$A:$A,E167,'10-Day Compliance'!$E:$E),0))</f>
        <v/>
      </c>
      <c r="W167" s="10" t="str">
        <f t="shared" si="9"/>
        <v/>
      </c>
      <c r="X167" s="4"/>
      <c r="Y167" s="4"/>
      <c r="Z167" s="11" t="str">
        <f t="shared" ca="1" si="10"/>
        <v/>
      </c>
      <c r="AA167" s="8"/>
      <c r="AB167" s="8"/>
      <c r="AC167" s="4"/>
      <c r="AD167" s="8"/>
      <c r="AE167" s="8"/>
      <c r="AF167" s="4"/>
      <c r="AG167" s="11" t="str">
        <f t="shared" ca="1" si="11"/>
        <v/>
      </c>
      <c r="AH167" s="4"/>
    </row>
    <row r="168" spans="1:34" ht="18" customHeight="1" x14ac:dyDescent="0.45">
      <c r="A168" s="6"/>
      <c r="B168" s="12"/>
      <c r="C168" s="13"/>
      <c r="D168" s="10" t="str">
        <f t="shared" si="8"/>
        <v/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12"/>
      <c r="U168" s="6"/>
      <c r="V168" s="11" t="str">
        <f>IF(E168="","",IFERROR(SUMIF('10-Day Compliance'!$A:$A,E168,'10-Day Compliance'!$E:$E),0))</f>
        <v/>
      </c>
      <c r="W168" s="10" t="str">
        <f t="shared" si="9"/>
        <v/>
      </c>
      <c r="X168" s="6"/>
      <c r="Y168" s="6"/>
      <c r="Z168" s="11" t="str">
        <f t="shared" ca="1" si="10"/>
        <v/>
      </c>
      <c r="AA168" s="12"/>
      <c r="AB168" s="12"/>
      <c r="AC168" s="6"/>
      <c r="AD168" s="12"/>
      <c r="AE168" s="12"/>
      <c r="AF168" s="6"/>
      <c r="AG168" s="11" t="str">
        <f t="shared" ca="1" si="11"/>
        <v/>
      </c>
      <c r="AH168" s="6"/>
    </row>
    <row r="169" spans="1:34" ht="18" customHeight="1" x14ac:dyDescent="0.45">
      <c r="A169" s="4"/>
      <c r="B169" s="8"/>
      <c r="C169" s="9"/>
      <c r="D169" s="10" t="str">
        <f t="shared" si="8"/>
        <v/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8"/>
      <c r="U169" s="4"/>
      <c r="V169" s="11" t="str">
        <f>IF(E169="","",IFERROR(SUMIF('10-Day Compliance'!$A:$A,E169,'10-Day Compliance'!$E:$E),0))</f>
        <v/>
      </c>
      <c r="W169" s="10" t="str">
        <f t="shared" si="9"/>
        <v/>
      </c>
      <c r="X169" s="4"/>
      <c r="Y169" s="4"/>
      <c r="Z169" s="11" t="str">
        <f t="shared" ca="1" si="10"/>
        <v/>
      </c>
      <c r="AA169" s="8"/>
      <c r="AB169" s="8"/>
      <c r="AC169" s="4"/>
      <c r="AD169" s="8"/>
      <c r="AE169" s="8"/>
      <c r="AF169" s="4"/>
      <c r="AG169" s="11" t="str">
        <f t="shared" ca="1" si="11"/>
        <v/>
      </c>
      <c r="AH169" s="4"/>
    </row>
    <row r="170" spans="1:34" ht="18" customHeight="1" x14ac:dyDescent="0.45">
      <c r="A170" s="6"/>
      <c r="B170" s="12"/>
      <c r="C170" s="13"/>
      <c r="D170" s="10" t="str">
        <f t="shared" si="8"/>
        <v/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12"/>
      <c r="U170" s="6"/>
      <c r="V170" s="11" t="str">
        <f>IF(E170="","",IFERROR(SUMIF('10-Day Compliance'!$A:$A,E170,'10-Day Compliance'!$E:$E),0))</f>
        <v/>
      </c>
      <c r="W170" s="10" t="str">
        <f t="shared" si="9"/>
        <v/>
      </c>
      <c r="X170" s="6"/>
      <c r="Y170" s="6"/>
      <c r="Z170" s="11" t="str">
        <f t="shared" ca="1" si="10"/>
        <v/>
      </c>
      <c r="AA170" s="12"/>
      <c r="AB170" s="12"/>
      <c r="AC170" s="6"/>
      <c r="AD170" s="12"/>
      <c r="AE170" s="12"/>
      <c r="AF170" s="6"/>
      <c r="AG170" s="11" t="str">
        <f t="shared" ca="1" si="11"/>
        <v/>
      </c>
      <c r="AH170" s="6"/>
    </row>
    <row r="171" spans="1:34" ht="18" customHeight="1" x14ac:dyDescent="0.45">
      <c r="A171" s="4"/>
      <c r="B171" s="8"/>
      <c r="C171" s="9"/>
      <c r="D171" s="10" t="str">
        <f t="shared" si="8"/>
        <v/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8"/>
      <c r="U171" s="4"/>
      <c r="V171" s="11" t="str">
        <f>IF(E171="","",IFERROR(SUMIF('10-Day Compliance'!$A:$A,E171,'10-Day Compliance'!$E:$E),0))</f>
        <v/>
      </c>
      <c r="W171" s="10" t="str">
        <f t="shared" si="9"/>
        <v/>
      </c>
      <c r="X171" s="4"/>
      <c r="Y171" s="4"/>
      <c r="Z171" s="11" t="str">
        <f t="shared" ca="1" si="10"/>
        <v/>
      </c>
      <c r="AA171" s="8"/>
      <c r="AB171" s="8"/>
      <c r="AC171" s="4"/>
      <c r="AD171" s="8"/>
      <c r="AE171" s="8"/>
      <c r="AF171" s="4"/>
      <c r="AG171" s="11" t="str">
        <f t="shared" ca="1" si="11"/>
        <v/>
      </c>
      <c r="AH171" s="4"/>
    </row>
    <row r="172" spans="1:34" ht="18" customHeight="1" x14ac:dyDescent="0.45">
      <c r="A172" s="6"/>
      <c r="B172" s="12"/>
      <c r="C172" s="13"/>
      <c r="D172" s="10" t="str">
        <f t="shared" si="8"/>
        <v/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12"/>
      <c r="U172" s="6"/>
      <c r="V172" s="11" t="str">
        <f>IF(E172="","",IFERROR(SUMIF('10-Day Compliance'!$A:$A,E172,'10-Day Compliance'!$E:$E),0))</f>
        <v/>
      </c>
      <c r="W172" s="10" t="str">
        <f t="shared" si="9"/>
        <v/>
      </c>
      <c r="X172" s="6"/>
      <c r="Y172" s="6"/>
      <c r="Z172" s="11" t="str">
        <f t="shared" ca="1" si="10"/>
        <v/>
      </c>
      <c r="AA172" s="12"/>
      <c r="AB172" s="12"/>
      <c r="AC172" s="6"/>
      <c r="AD172" s="12"/>
      <c r="AE172" s="12"/>
      <c r="AF172" s="6"/>
      <c r="AG172" s="11" t="str">
        <f t="shared" ca="1" si="11"/>
        <v/>
      </c>
      <c r="AH172" s="6"/>
    </row>
    <row r="173" spans="1:34" ht="18" customHeight="1" x14ac:dyDescent="0.45">
      <c r="A173" s="4"/>
      <c r="B173" s="8"/>
      <c r="C173" s="9"/>
      <c r="D173" s="10" t="str">
        <f t="shared" si="8"/>
        <v/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8"/>
      <c r="U173" s="4"/>
      <c r="V173" s="11" t="str">
        <f>IF(E173="","",IFERROR(SUMIF('10-Day Compliance'!$A:$A,E173,'10-Day Compliance'!$E:$E),0))</f>
        <v/>
      </c>
      <c r="W173" s="10" t="str">
        <f t="shared" si="9"/>
        <v/>
      </c>
      <c r="X173" s="4"/>
      <c r="Y173" s="4"/>
      <c r="Z173" s="11" t="str">
        <f t="shared" ca="1" si="10"/>
        <v/>
      </c>
      <c r="AA173" s="8"/>
      <c r="AB173" s="8"/>
      <c r="AC173" s="4"/>
      <c r="AD173" s="8"/>
      <c r="AE173" s="8"/>
      <c r="AF173" s="4"/>
      <c r="AG173" s="11" t="str">
        <f t="shared" ca="1" si="11"/>
        <v/>
      </c>
      <c r="AH173" s="4"/>
    </row>
    <row r="174" spans="1:34" ht="18" customHeight="1" x14ac:dyDescent="0.45">
      <c r="A174" s="6"/>
      <c r="B174" s="12"/>
      <c r="C174" s="13"/>
      <c r="D174" s="10" t="str">
        <f t="shared" si="8"/>
        <v/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12"/>
      <c r="U174" s="6"/>
      <c r="V174" s="11" t="str">
        <f>IF(E174="","",IFERROR(SUMIF('10-Day Compliance'!$A:$A,E174,'10-Day Compliance'!$E:$E),0))</f>
        <v/>
      </c>
      <c r="W174" s="10" t="str">
        <f t="shared" si="9"/>
        <v/>
      </c>
      <c r="X174" s="6"/>
      <c r="Y174" s="6"/>
      <c r="Z174" s="11" t="str">
        <f t="shared" ca="1" si="10"/>
        <v/>
      </c>
      <c r="AA174" s="12"/>
      <c r="AB174" s="12"/>
      <c r="AC174" s="6"/>
      <c r="AD174" s="12"/>
      <c r="AE174" s="12"/>
      <c r="AF174" s="6"/>
      <c r="AG174" s="11" t="str">
        <f t="shared" ca="1" si="11"/>
        <v/>
      </c>
      <c r="AH174" s="6"/>
    </row>
    <row r="175" spans="1:34" ht="18" customHeight="1" x14ac:dyDescent="0.45">
      <c r="A175" s="4"/>
      <c r="B175" s="8"/>
      <c r="C175" s="9"/>
      <c r="D175" s="10" t="str">
        <f t="shared" si="8"/>
        <v/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8"/>
      <c r="U175" s="4"/>
      <c r="V175" s="11" t="str">
        <f>IF(E175="","",IFERROR(SUMIF('10-Day Compliance'!$A:$A,E175,'10-Day Compliance'!$E:$E),0))</f>
        <v/>
      </c>
      <c r="W175" s="10" t="str">
        <f t="shared" si="9"/>
        <v/>
      </c>
      <c r="X175" s="4"/>
      <c r="Y175" s="4"/>
      <c r="Z175" s="11" t="str">
        <f t="shared" ca="1" si="10"/>
        <v/>
      </c>
      <c r="AA175" s="8"/>
      <c r="AB175" s="8"/>
      <c r="AC175" s="4"/>
      <c r="AD175" s="8"/>
      <c r="AE175" s="8"/>
      <c r="AF175" s="4"/>
      <c r="AG175" s="11" t="str">
        <f t="shared" ca="1" si="11"/>
        <v/>
      </c>
      <c r="AH175" s="4"/>
    </row>
    <row r="176" spans="1:34" ht="18" customHeight="1" x14ac:dyDescent="0.45">
      <c r="A176" s="6"/>
      <c r="B176" s="12"/>
      <c r="C176" s="13"/>
      <c r="D176" s="10" t="str">
        <f t="shared" si="8"/>
        <v/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12"/>
      <c r="U176" s="6"/>
      <c r="V176" s="11" t="str">
        <f>IF(E176="","",IFERROR(SUMIF('10-Day Compliance'!$A:$A,E176,'10-Day Compliance'!$E:$E),0))</f>
        <v/>
      </c>
      <c r="W176" s="10" t="str">
        <f t="shared" si="9"/>
        <v/>
      </c>
      <c r="X176" s="6"/>
      <c r="Y176" s="6"/>
      <c r="Z176" s="11" t="str">
        <f t="shared" ca="1" si="10"/>
        <v/>
      </c>
      <c r="AA176" s="12"/>
      <c r="AB176" s="12"/>
      <c r="AC176" s="6"/>
      <c r="AD176" s="12"/>
      <c r="AE176" s="12"/>
      <c r="AF176" s="6"/>
      <c r="AG176" s="11" t="str">
        <f t="shared" ca="1" si="11"/>
        <v/>
      </c>
      <c r="AH176" s="6"/>
    </row>
    <row r="177" spans="1:34" ht="18" customHeight="1" x14ac:dyDescent="0.45">
      <c r="A177" s="4"/>
      <c r="B177" s="8"/>
      <c r="C177" s="9"/>
      <c r="D177" s="10" t="str">
        <f t="shared" si="8"/>
        <v/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8"/>
      <c r="U177" s="4"/>
      <c r="V177" s="11" t="str">
        <f>IF(E177="","",IFERROR(SUMIF('10-Day Compliance'!$A:$A,E177,'10-Day Compliance'!$E:$E),0))</f>
        <v/>
      </c>
      <c r="W177" s="10" t="str">
        <f t="shared" si="9"/>
        <v/>
      </c>
      <c r="X177" s="4"/>
      <c r="Y177" s="4"/>
      <c r="Z177" s="11" t="str">
        <f t="shared" ca="1" si="10"/>
        <v/>
      </c>
      <c r="AA177" s="8"/>
      <c r="AB177" s="8"/>
      <c r="AC177" s="4"/>
      <c r="AD177" s="8"/>
      <c r="AE177" s="8"/>
      <c r="AF177" s="4"/>
      <c r="AG177" s="11" t="str">
        <f t="shared" ca="1" si="11"/>
        <v/>
      </c>
      <c r="AH177" s="4"/>
    </row>
    <row r="178" spans="1:34" ht="18" customHeight="1" x14ac:dyDescent="0.45">
      <c r="A178" s="6"/>
      <c r="B178" s="12"/>
      <c r="C178" s="13"/>
      <c r="D178" s="10" t="str">
        <f t="shared" si="8"/>
        <v/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12"/>
      <c r="U178" s="6"/>
      <c r="V178" s="11" t="str">
        <f>IF(E178="","",IFERROR(SUMIF('10-Day Compliance'!$A:$A,E178,'10-Day Compliance'!$E:$E),0))</f>
        <v/>
      </c>
      <c r="W178" s="10" t="str">
        <f t="shared" si="9"/>
        <v/>
      </c>
      <c r="X178" s="6"/>
      <c r="Y178" s="6"/>
      <c r="Z178" s="11" t="str">
        <f t="shared" ca="1" si="10"/>
        <v/>
      </c>
      <c r="AA178" s="12"/>
      <c r="AB178" s="12"/>
      <c r="AC178" s="6"/>
      <c r="AD178" s="12"/>
      <c r="AE178" s="12"/>
      <c r="AF178" s="6"/>
      <c r="AG178" s="11" t="str">
        <f t="shared" ca="1" si="11"/>
        <v/>
      </c>
      <c r="AH178" s="6"/>
    </row>
    <row r="179" spans="1:34" ht="18" customHeight="1" x14ac:dyDescent="0.45">
      <c r="A179" s="4"/>
      <c r="B179" s="8"/>
      <c r="C179" s="9"/>
      <c r="D179" s="10" t="str">
        <f t="shared" si="8"/>
        <v/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8"/>
      <c r="U179" s="4"/>
      <c r="V179" s="11" t="str">
        <f>IF(E179="","",IFERROR(SUMIF('10-Day Compliance'!$A:$A,E179,'10-Day Compliance'!$E:$E),0))</f>
        <v/>
      </c>
      <c r="W179" s="10" t="str">
        <f t="shared" si="9"/>
        <v/>
      </c>
      <c r="X179" s="4"/>
      <c r="Y179" s="4"/>
      <c r="Z179" s="11" t="str">
        <f t="shared" ca="1" si="10"/>
        <v/>
      </c>
      <c r="AA179" s="8"/>
      <c r="AB179" s="8"/>
      <c r="AC179" s="4"/>
      <c r="AD179" s="8"/>
      <c r="AE179" s="8"/>
      <c r="AF179" s="4"/>
      <c r="AG179" s="11" t="str">
        <f t="shared" ca="1" si="11"/>
        <v/>
      </c>
      <c r="AH179" s="4"/>
    </row>
    <row r="180" spans="1:34" ht="18" customHeight="1" x14ac:dyDescent="0.45">
      <c r="A180" s="6"/>
      <c r="B180" s="12"/>
      <c r="C180" s="13"/>
      <c r="D180" s="10" t="str">
        <f t="shared" si="8"/>
        <v/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12"/>
      <c r="U180" s="6"/>
      <c r="V180" s="11" t="str">
        <f>IF(E180="","",IFERROR(SUMIF('10-Day Compliance'!$A:$A,E180,'10-Day Compliance'!$E:$E),0))</f>
        <v/>
      </c>
      <c r="W180" s="10" t="str">
        <f t="shared" si="9"/>
        <v/>
      </c>
      <c r="X180" s="6"/>
      <c r="Y180" s="6"/>
      <c r="Z180" s="11" t="str">
        <f t="shared" ca="1" si="10"/>
        <v/>
      </c>
      <c r="AA180" s="12"/>
      <c r="AB180" s="12"/>
      <c r="AC180" s="6"/>
      <c r="AD180" s="12"/>
      <c r="AE180" s="12"/>
      <c r="AF180" s="6"/>
      <c r="AG180" s="11" t="str">
        <f t="shared" ca="1" si="11"/>
        <v/>
      </c>
      <c r="AH180" s="6"/>
    </row>
    <row r="181" spans="1:34" ht="18" customHeight="1" x14ac:dyDescent="0.45">
      <c r="A181" s="4"/>
      <c r="B181" s="8"/>
      <c r="C181" s="9"/>
      <c r="D181" s="10" t="str">
        <f t="shared" si="8"/>
        <v/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8"/>
      <c r="U181" s="4"/>
      <c r="V181" s="11" t="str">
        <f>IF(E181="","",IFERROR(SUMIF('10-Day Compliance'!$A:$A,E181,'10-Day Compliance'!$E:$E),0))</f>
        <v/>
      </c>
      <c r="W181" s="10" t="str">
        <f t="shared" si="9"/>
        <v/>
      </c>
      <c r="X181" s="4"/>
      <c r="Y181" s="4"/>
      <c r="Z181" s="11" t="str">
        <f t="shared" ca="1" si="10"/>
        <v/>
      </c>
      <c r="AA181" s="8"/>
      <c r="AB181" s="8"/>
      <c r="AC181" s="4"/>
      <c r="AD181" s="8"/>
      <c r="AE181" s="8"/>
      <c r="AF181" s="4"/>
      <c r="AG181" s="11" t="str">
        <f t="shared" ca="1" si="11"/>
        <v/>
      </c>
      <c r="AH181" s="4"/>
    </row>
    <row r="182" spans="1:34" ht="18" customHeight="1" x14ac:dyDescent="0.45">
      <c r="A182" s="6"/>
      <c r="B182" s="12"/>
      <c r="C182" s="13"/>
      <c r="D182" s="10" t="str">
        <f t="shared" si="8"/>
        <v/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12"/>
      <c r="U182" s="6"/>
      <c r="V182" s="11" t="str">
        <f>IF(E182="","",IFERROR(SUMIF('10-Day Compliance'!$A:$A,E182,'10-Day Compliance'!$E:$E),0))</f>
        <v/>
      </c>
      <c r="W182" s="10" t="str">
        <f t="shared" si="9"/>
        <v/>
      </c>
      <c r="X182" s="6"/>
      <c r="Y182" s="6"/>
      <c r="Z182" s="11" t="str">
        <f t="shared" ca="1" si="10"/>
        <v/>
      </c>
      <c r="AA182" s="12"/>
      <c r="AB182" s="12"/>
      <c r="AC182" s="6"/>
      <c r="AD182" s="12"/>
      <c r="AE182" s="12"/>
      <c r="AF182" s="6"/>
      <c r="AG182" s="11" t="str">
        <f t="shared" ca="1" si="11"/>
        <v/>
      </c>
      <c r="AH182" s="6"/>
    </row>
    <row r="183" spans="1:34" ht="18" customHeight="1" x14ac:dyDescent="0.45">
      <c r="A183" s="4"/>
      <c r="B183" s="8"/>
      <c r="C183" s="9"/>
      <c r="D183" s="10" t="str">
        <f t="shared" si="8"/>
        <v/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8"/>
      <c r="U183" s="4"/>
      <c r="V183" s="11" t="str">
        <f>IF(E183="","",IFERROR(SUMIF('10-Day Compliance'!$A:$A,E183,'10-Day Compliance'!$E:$E),0))</f>
        <v/>
      </c>
      <c r="W183" s="10" t="str">
        <f t="shared" si="9"/>
        <v/>
      </c>
      <c r="X183" s="4"/>
      <c r="Y183" s="4"/>
      <c r="Z183" s="11" t="str">
        <f t="shared" ca="1" si="10"/>
        <v/>
      </c>
      <c r="AA183" s="8"/>
      <c r="AB183" s="8"/>
      <c r="AC183" s="4"/>
      <c r="AD183" s="8"/>
      <c r="AE183" s="8"/>
      <c r="AF183" s="4"/>
      <c r="AG183" s="11" t="str">
        <f t="shared" ca="1" si="11"/>
        <v/>
      </c>
      <c r="AH183" s="4"/>
    </row>
    <row r="184" spans="1:34" ht="18" customHeight="1" x14ac:dyDescent="0.45">
      <c r="A184" s="6"/>
      <c r="B184" s="12"/>
      <c r="C184" s="13"/>
      <c r="D184" s="10" t="str">
        <f t="shared" si="8"/>
        <v/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12"/>
      <c r="U184" s="6"/>
      <c r="V184" s="11" t="str">
        <f>IF(E184="","",IFERROR(SUMIF('10-Day Compliance'!$A:$A,E184,'10-Day Compliance'!$E:$E),0))</f>
        <v/>
      </c>
      <c r="W184" s="10" t="str">
        <f t="shared" si="9"/>
        <v/>
      </c>
      <c r="X184" s="6"/>
      <c r="Y184" s="6"/>
      <c r="Z184" s="11" t="str">
        <f t="shared" ca="1" si="10"/>
        <v/>
      </c>
      <c r="AA184" s="12"/>
      <c r="AB184" s="12"/>
      <c r="AC184" s="6"/>
      <c r="AD184" s="12"/>
      <c r="AE184" s="12"/>
      <c r="AF184" s="6"/>
      <c r="AG184" s="11" t="str">
        <f t="shared" ca="1" si="11"/>
        <v/>
      </c>
      <c r="AH184" s="6"/>
    </row>
    <row r="185" spans="1:34" ht="18" customHeight="1" x14ac:dyDescent="0.45">
      <c r="A185" s="4"/>
      <c r="B185" s="8"/>
      <c r="C185" s="9"/>
      <c r="D185" s="10" t="str">
        <f t="shared" si="8"/>
        <v/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8"/>
      <c r="U185" s="4"/>
      <c r="V185" s="11" t="str">
        <f>IF(E185="","",IFERROR(SUMIF('10-Day Compliance'!$A:$A,E185,'10-Day Compliance'!$E:$E),0))</f>
        <v/>
      </c>
      <c r="W185" s="10" t="str">
        <f t="shared" si="9"/>
        <v/>
      </c>
      <c r="X185" s="4"/>
      <c r="Y185" s="4"/>
      <c r="Z185" s="11" t="str">
        <f t="shared" ca="1" si="10"/>
        <v/>
      </c>
      <c r="AA185" s="8"/>
      <c r="AB185" s="8"/>
      <c r="AC185" s="4"/>
      <c r="AD185" s="8"/>
      <c r="AE185" s="8"/>
      <c r="AF185" s="4"/>
      <c r="AG185" s="11" t="str">
        <f t="shared" ca="1" si="11"/>
        <v/>
      </c>
      <c r="AH185" s="4"/>
    </row>
    <row r="186" spans="1:34" ht="18" customHeight="1" x14ac:dyDescent="0.45">
      <c r="A186" s="6"/>
      <c r="B186" s="12"/>
      <c r="C186" s="13"/>
      <c r="D186" s="10" t="str">
        <f t="shared" si="8"/>
        <v/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12"/>
      <c r="U186" s="6"/>
      <c r="V186" s="11" t="str">
        <f>IF(E186="","",IFERROR(SUMIF('10-Day Compliance'!$A:$A,E186,'10-Day Compliance'!$E:$E),0))</f>
        <v/>
      </c>
      <c r="W186" s="10" t="str">
        <f t="shared" si="9"/>
        <v/>
      </c>
      <c r="X186" s="6"/>
      <c r="Y186" s="6"/>
      <c r="Z186" s="11" t="str">
        <f t="shared" ca="1" si="10"/>
        <v/>
      </c>
      <c r="AA186" s="12"/>
      <c r="AB186" s="12"/>
      <c r="AC186" s="6"/>
      <c r="AD186" s="12"/>
      <c r="AE186" s="12"/>
      <c r="AF186" s="6"/>
      <c r="AG186" s="11" t="str">
        <f t="shared" ca="1" si="11"/>
        <v/>
      </c>
      <c r="AH186" s="6"/>
    </row>
    <row r="187" spans="1:34" ht="18" customHeight="1" x14ac:dyDescent="0.45">
      <c r="A187" s="4"/>
      <c r="B187" s="8"/>
      <c r="C187" s="9"/>
      <c r="D187" s="10" t="str">
        <f t="shared" si="8"/>
        <v/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8"/>
      <c r="U187" s="4"/>
      <c r="V187" s="11" t="str">
        <f>IF(E187="","",IFERROR(SUMIF('10-Day Compliance'!$A:$A,E187,'10-Day Compliance'!$E:$E),0))</f>
        <v/>
      </c>
      <c r="W187" s="10" t="str">
        <f t="shared" si="9"/>
        <v/>
      </c>
      <c r="X187" s="4"/>
      <c r="Y187" s="4"/>
      <c r="Z187" s="11" t="str">
        <f t="shared" ca="1" si="10"/>
        <v/>
      </c>
      <c r="AA187" s="8"/>
      <c r="AB187" s="8"/>
      <c r="AC187" s="4"/>
      <c r="AD187" s="8"/>
      <c r="AE187" s="8"/>
      <c r="AF187" s="4"/>
      <c r="AG187" s="11" t="str">
        <f t="shared" ca="1" si="11"/>
        <v/>
      </c>
      <c r="AH187" s="4"/>
    </row>
    <row r="188" spans="1:34" ht="18" customHeight="1" x14ac:dyDescent="0.45">
      <c r="A188" s="6"/>
      <c r="B188" s="12"/>
      <c r="C188" s="13"/>
      <c r="D188" s="10" t="str">
        <f t="shared" si="8"/>
        <v/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12"/>
      <c r="U188" s="6"/>
      <c r="V188" s="11" t="str">
        <f>IF(E188="","",IFERROR(SUMIF('10-Day Compliance'!$A:$A,E188,'10-Day Compliance'!$E:$E),0))</f>
        <v/>
      </c>
      <c r="W188" s="10" t="str">
        <f t="shared" si="9"/>
        <v/>
      </c>
      <c r="X188" s="6"/>
      <c r="Y188" s="6"/>
      <c r="Z188" s="11" t="str">
        <f t="shared" ca="1" si="10"/>
        <v/>
      </c>
      <c r="AA188" s="12"/>
      <c r="AB188" s="12"/>
      <c r="AC188" s="6"/>
      <c r="AD188" s="12"/>
      <c r="AE188" s="12"/>
      <c r="AF188" s="6"/>
      <c r="AG188" s="11" t="str">
        <f t="shared" ca="1" si="11"/>
        <v/>
      </c>
      <c r="AH188" s="6"/>
    </row>
    <row r="189" spans="1:34" ht="18" customHeight="1" x14ac:dyDescent="0.45">
      <c r="A189" s="4"/>
      <c r="B189" s="8"/>
      <c r="C189" s="9"/>
      <c r="D189" s="10" t="str">
        <f t="shared" si="8"/>
        <v/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8"/>
      <c r="U189" s="4"/>
      <c r="V189" s="11" t="str">
        <f>IF(E189="","",IFERROR(SUMIF('10-Day Compliance'!$A:$A,E189,'10-Day Compliance'!$E:$E),0))</f>
        <v/>
      </c>
      <c r="W189" s="10" t="str">
        <f t="shared" si="9"/>
        <v/>
      </c>
      <c r="X189" s="4"/>
      <c r="Y189" s="4"/>
      <c r="Z189" s="11" t="str">
        <f t="shared" ca="1" si="10"/>
        <v/>
      </c>
      <c r="AA189" s="8"/>
      <c r="AB189" s="8"/>
      <c r="AC189" s="4"/>
      <c r="AD189" s="8"/>
      <c r="AE189" s="8"/>
      <c r="AF189" s="4"/>
      <c r="AG189" s="11" t="str">
        <f t="shared" ca="1" si="11"/>
        <v/>
      </c>
      <c r="AH189" s="4"/>
    </row>
    <row r="190" spans="1:34" ht="18" customHeight="1" x14ac:dyDescent="0.45">
      <c r="A190" s="6"/>
      <c r="B190" s="12"/>
      <c r="C190" s="13"/>
      <c r="D190" s="10" t="str">
        <f t="shared" si="8"/>
        <v/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12"/>
      <c r="U190" s="6"/>
      <c r="V190" s="11" t="str">
        <f>IF(E190="","",IFERROR(SUMIF('10-Day Compliance'!$A:$A,E190,'10-Day Compliance'!$E:$E),0))</f>
        <v/>
      </c>
      <c r="W190" s="10" t="str">
        <f t="shared" si="9"/>
        <v/>
      </c>
      <c r="X190" s="6"/>
      <c r="Y190" s="6"/>
      <c r="Z190" s="11" t="str">
        <f t="shared" ca="1" si="10"/>
        <v/>
      </c>
      <c r="AA190" s="12"/>
      <c r="AB190" s="12"/>
      <c r="AC190" s="6"/>
      <c r="AD190" s="12"/>
      <c r="AE190" s="12"/>
      <c r="AF190" s="6"/>
      <c r="AG190" s="11" t="str">
        <f t="shared" ca="1" si="11"/>
        <v/>
      </c>
      <c r="AH190" s="6"/>
    </row>
    <row r="191" spans="1:34" ht="18" customHeight="1" x14ac:dyDescent="0.45">
      <c r="A191" s="4"/>
      <c r="B191" s="8"/>
      <c r="C191" s="9"/>
      <c r="D191" s="10" t="str">
        <f t="shared" si="8"/>
        <v/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8"/>
      <c r="U191" s="4"/>
      <c r="V191" s="11" t="str">
        <f>IF(E191="","",IFERROR(SUMIF('10-Day Compliance'!$A:$A,E191,'10-Day Compliance'!$E:$E),0))</f>
        <v/>
      </c>
      <c r="W191" s="10" t="str">
        <f t="shared" si="9"/>
        <v/>
      </c>
      <c r="X191" s="4"/>
      <c r="Y191" s="4"/>
      <c r="Z191" s="11" t="str">
        <f t="shared" ca="1" si="10"/>
        <v/>
      </c>
      <c r="AA191" s="8"/>
      <c r="AB191" s="8"/>
      <c r="AC191" s="4"/>
      <c r="AD191" s="8"/>
      <c r="AE191" s="8"/>
      <c r="AF191" s="4"/>
      <c r="AG191" s="11" t="str">
        <f t="shared" ca="1" si="11"/>
        <v/>
      </c>
      <c r="AH191" s="4"/>
    </row>
    <row r="192" spans="1:34" ht="18" customHeight="1" x14ac:dyDescent="0.45">
      <c r="A192" s="6"/>
      <c r="B192" s="12"/>
      <c r="C192" s="13"/>
      <c r="D192" s="10" t="str">
        <f t="shared" si="8"/>
        <v/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12"/>
      <c r="U192" s="6"/>
      <c r="V192" s="11" t="str">
        <f>IF(E192="","",IFERROR(SUMIF('10-Day Compliance'!$A:$A,E192,'10-Day Compliance'!$E:$E),0))</f>
        <v/>
      </c>
      <c r="W192" s="10" t="str">
        <f t="shared" si="9"/>
        <v/>
      </c>
      <c r="X192" s="6"/>
      <c r="Y192" s="6"/>
      <c r="Z192" s="11" t="str">
        <f t="shared" ca="1" si="10"/>
        <v/>
      </c>
      <c r="AA192" s="12"/>
      <c r="AB192" s="12"/>
      <c r="AC192" s="6"/>
      <c r="AD192" s="12"/>
      <c r="AE192" s="12"/>
      <c r="AF192" s="6"/>
      <c r="AG192" s="11" t="str">
        <f t="shared" ca="1" si="11"/>
        <v/>
      </c>
      <c r="AH192" s="6"/>
    </row>
    <row r="193" spans="1:34" ht="18" customHeight="1" x14ac:dyDescent="0.45">
      <c r="A193" s="4"/>
      <c r="B193" s="8"/>
      <c r="C193" s="9"/>
      <c r="D193" s="10" t="str">
        <f t="shared" si="8"/>
        <v/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8"/>
      <c r="U193" s="4"/>
      <c r="V193" s="11" t="str">
        <f>IF(E193="","",IFERROR(SUMIF('10-Day Compliance'!$A:$A,E193,'10-Day Compliance'!$E:$E),0))</f>
        <v/>
      </c>
      <c r="W193" s="10" t="str">
        <f t="shared" si="9"/>
        <v/>
      </c>
      <c r="X193" s="4"/>
      <c r="Y193" s="4"/>
      <c r="Z193" s="11" t="str">
        <f t="shared" ca="1" si="10"/>
        <v/>
      </c>
      <c r="AA193" s="8"/>
      <c r="AB193" s="8"/>
      <c r="AC193" s="4"/>
      <c r="AD193" s="8"/>
      <c r="AE193" s="8"/>
      <c r="AF193" s="4"/>
      <c r="AG193" s="11" t="str">
        <f t="shared" ca="1" si="11"/>
        <v/>
      </c>
      <c r="AH193" s="4"/>
    </row>
    <row r="194" spans="1:34" ht="18" customHeight="1" x14ac:dyDescent="0.45">
      <c r="A194" s="6"/>
      <c r="B194" s="12"/>
      <c r="C194" s="13"/>
      <c r="D194" s="10" t="str">
        <f t="shared" si="8"/>
        <v/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12"/>
      <c r="U194" s="6"/>
      <c r="V194" s="11" t="str">
        <f>IF(E194="","",IFERROR(SUMIF('10-Day Compliance'!$A:$A,E194,'10-Day Compliance'!$E:$E),0))</f>
        <v/>
      </c>
      <c r="W194" s="10" t="str">
        <f t="shared" si="9"/>
        <v/>
      </c>
      <c r="X194" s="6"/>
      <c r="Y194" s="6"/>
      <c r="Z194" s="11" t="str">
        <f t="shared" ca="1" si="10"/>
        <v/>
      </c>
      <c r="AA194" s="12"/>
      <c r="AB194" s="12"/>
      <c r="AC194" s="6"/>
      <c r="AD194" s="12"/>
      <c r="AE194" s="12"/>
      <c r="AF194" s="6"/>
      <c r="AG194" s="11" t="str">
        <f t="shared" ca="1" si="11"/>
        <v/>
      </c>
      <c r="AH194" s="6"/>
    </row>
    <row r="195" spans="1:34" ht="18" customHeight="1" x14ac:dyDescent="0.45">
      <c r="A195" s="4"/>
      <c r="B195" s="8"/>
      <c r="C195" s="9"/>
      <c r="D195" s="10" t="str">
        <f t="shared" si="8"/>
        <v/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8"/>
      <c r="U195" s="4"/>
      <c r="V195" s="11" t="str">
        <f>IF(E195="","",IFERROR(SUMIF('10-Day Compliance'!$A:$A,E195,'10-Day Compliance'!$E:$E),0))</f>
        <v/>
      </c>
      <c r="W195" s="10" t="str">
        <f t="shared" si="9"/>
        <v/>
      </c>
      <c r="X195" s="4"/>
      <c r="Y195" s="4"/>
      <c r="Z195" s="11" t="str">
        <f t="shared" ca="1" si="10"/>
        <v/>
      </c>
      <c r="AA195" s="8"/>
      <c r="AB195" s="8"/>
      <c r="AC195" s="4"/>
      <c r="AD195" s="8"/>
      <c r="AE195" s="8"/>
      <c r="AF195" s="4"/>
      <c r="AG195" s="11" t="str">
        <f t="shared" ca="1" si="11"/>
        <v/>
      </c>
      <c r="AH195" s="4"/>
    </row>
    <row r="196" spans="1:34" ht="18" customHeight="1" x14ac:dyDescent="0.45">
      <c r="A196" s="6"/>
      <c r="B196" s="12"/>
      <c r="C196" s="13"/>
      <c r="D196" s="10" t="str">
        <f t="shared" si="8"/>
        <v/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12"/>
      <c r="U196" s="6"/>
      <c r="V196" s="11" t="str">
        <f>IF(E196="","",IFERROR(SUMIF('10-Day Compliance'!$A:$A,E196,'10-Day Compliance'!$E:$E),0))</f>
        <v/>
      </c>
      <c r="W196" s="10" t="str">
        <f t="shared" si="9"/>
        <v/>
      </c>
      <c r="X196" s="6"/>
      <c r="Y196" s="6"/>
      <c r="Z196" s="11" t="str">
        <f t="shared" ca="1" si="10"/>
        <v/>
      </c>
      <c r="AA196" s="12"/>
      <c r="AB196" s="12"/>
      <c r="AC196" s="6"/>
      <c r="AD196" s="12"/>
      <c r="AE196" s="12"/>
      <c r="AF196" s="6"/>
      <c r="AG196" s="11" t="str">
        <f t="shared" ca="1" si="11"/>
        <v/>
      </c>
      <c r="AH196" s="6"/>
    </row>
    <row r="197" spans="1:34" ht="18" customHeight="1" x14ac:dyDescent="0.45">
      <c r="A197" s="4"/>
      <c r="B197" s="8"/>
      <c r="C197" s="9"/>
      <c r="D197" s="10" t="str">
        <f t="shared" ref="D197:D260" si="12">IF(B197="","",TEXT(B197,"DDDD"))</f>
        <v/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8"/>
      <c r="U197" s="4"/>
      <c r="V197" s="11" t="str">
        <f>IF(E197="","",IFERROR(SUMIF('10-Day Compliance'!$A:$A,E197,'10-Day Compliance'!$E:$E),0))</f>
        <v/>
      </c>
      <c r="W197" s="10" t="str">
        <f t="shared" ref="W197:W260" si="13">IF(U197="No","",IF(V197="","",IF(V197&gt;=10,"🔴 EXCEEDED — MDR NOW",IF(V197&gt;=9,"🟠 URGENT — DAY "&amp;V197,IF(V197&gt;=7,"🟡 WARNING — DAY "&amp;V197,"✅ OK — Day "&amp;V197)))))</f>
        <v/>
      </c>
      <c r="X197" s="4"/>
      <c r="Y197" s="4"/>
      <c r="Z197" s="11" t="str">
        <f t="shared" ref="Z197:Z260" ca="1" si="14">IF(OR(B197="",X197="Closed"),"",TODAY()-B197)</f>
        <v/>
      </c>
      <c r="AA197" s="8"/>
      <c r="AB197" s="8"/>
      <c r="AC197" s="4"/>
      <c r="AD197" s="8"/>
      <c r="AE197" s="8"/>
      <c r="AF197" s="4"/>
      <c r="AG197" s="11" t="str">
        <f t="shared" ref="AG197:AG260" ca="1" si="15">IF(B197="","",TODAY()-B197)</f>
        <v/>
      </c>
      <c r="AH197" s="4"/>
    </row>
    <row r="198" spans="1:34" ht="18" customHeight="1" x14ac:dyDescent="0.45">
      <c r="A198" s="6"/>
      <c r="B198" s="12"/>
      <c r="C198" s="13"/>
      <c r="D198" s="10" t="str">
        <f t="shared" si="12"/>
        <v/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12"/>
      <c r="U198" s="6"/>
      <c r="V198" s="11" t="str">
        <f>IF(E198="","",IFERROR(SUMIF('10-Day Compliance'!$A:$A,E198,'10-Day Compliance'!$E:$E),0))</f>
        <v/>
      </c>
      <c r="W198" s="10" t="str">
        <f t="shared" si="13"/>
        <v/>
      </c>
      <c r="X198" s="6"/>
      <c r="Y198" s="6"/>
      <c r="Z198" s="11" t="str">
        <f t="shared" ca="1" si="14"/>
        <v/>
      </c>
      <c r="AA198" s="12"/>
      <c r="AB198" s="12"/>
      <c r="AC198" s="6"/>
      <c r="AD198" s="12"/>
      <c r="AE198" s="12"/>
      <c r="AF198" s="6"/>
      <c r="AG198" s="11" t="str">
        <f t="shared" ca="1" si="15"/>
        <v/>
      </c>
      <c r="AH198" s="6"/>
    </row>
    <row r="199" spans="1:34" ht="18" customHeight="1" x14ac:dyDescent="0.45">
      <c r="A199" s="4"/>
      <c r="B199" s="8"/>
      <c r="C199" s="9"/>
      <c r="D199" s="10" t="str">
        <f t="shared" si="12"/>
        <v/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8"/>
      <c r="U199" s="4"/>
      <c r="V199" s="11" t="str">
        <f>IF(E199="","",IFERROR(SUMIF('10-Day Compliance'!$A:$A,E199,'10-Day Compliance'!$E:$E),0))</f>
        <v/>
      </c>
      <c r="W199" s="10" t="str">
        <f t="shared" si="13"/>
        <v/>
      </c>
      <c r="X199" s="4"/>
      <c r="Y199" s="4"/>
      <c r="Z199" s="11" t="str">
        <f t="shared" ca="1" si="14"/>
        <v/>
      </c>
      <c r="AA199" s="8"/>
      <c r="AB199" s="8"/>
      <c r="AC199" s="4"/>
      <c r="AD199" s="8"/>
      <c r="AE199" s="8"/>
      <c r="AF199" s="4"/>
      <c r="AG199" s="11" t="str">
        <f t="shared" ca="1" si="15"/>
        <v/>
      </c>
      <c r="AH199" s="4"/>
    </row>
    <row r="200" spans="1:34" ht="18" customHeight="1" x14ac:dyDescent="0.45">
      <c r="A200" s="6"/>
      <c r="B200" s="12"/>
      <c r="C200" s="13"/>
      <c r="D200" s="10" t="str">
        <f t="shared" si="12"/>
        <v/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12"/>
      <c r="U200" s="6"/>
      <c r="V200" s="11" t="str">
        <f>IF(E200="","",IFERROR(SUMIF('10-Day Compliance'!$A:$A,E200,'10-Day Compliance'!$E:$E),0))</f>
        <v/>
      </c>
      <c r="W200" s="10" t="str">
        <f t="shared" si="13"/>
        <v/>
      </c>
      <c r="X200" s="6"/>
      <c r="Y200" s="6"/>
      <c r="Z200" s="11" t="str">
        <f t="shared" ca="1" si="14"/>
        <v/>
      </c>
      <c r="AA200" s="12"/>
      <c r="AB200" s="12"/>
      <c r="AC200" s="6"/>
      <c r="AD200" s="12"/>
      <c r="AE200" s="12"/>
      <c r="AF200" s="6"/>
      <c r="AG200" s="11" t="str">
        <f t="shared" ca="1" si="15"/>
        <v/>
      </c>
      <c r="AH200" s="6"/>
    </row>
    <row r="201" spans="1:34" ht="18" customHeight="1" x14ac:dyDescent="0.45">
      <c r="A201" s="4"/>
      <c r="B201" s="8"/>
      <c r="C201" s="9"/>
      <c r="D201" s="10" t="str">
        <f t="shared" si="12"/>
        <v/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8"/>
      <c r="U201" s="4"/>
      <c r="V201" s="11" t="str">
        <f>IF(E201="","",IFERROR(SUMIF('10-Day Compliance'!$A:$A,E201,'10-Day Compliance'!$E:$E),0))</f>
        <v/>
      </c>
      <c r="W201" s="10" t="str">
        <f t="shared" si="13"/>
        <v/>
      </c>
      <c r="X201" s="4"/>
      <c r="Y201" s="4"/>
      <c r="Z201" s="11" t="str">
        <f t="shared" ca="1" si="14"/>
        <v/>
      </c>
      <c r="AA201" s="8"/>
      <c r="AB201" s="8"/>
      <c r="AC201" s="4"/>
      <c r="AD201" s="8"/>
      <c r="AE201" s="8"/>
      <c r="AF201" s="4"/>
      <c r="AG201" s="11" t="str">
        <f t="shared" ca="1" si="15"/>
        <v/>
      </c>
      <c r="AH201" s="4"/>
    </row>
    <row r="202" spans="1:34" ht="18" customHeight="1" x14ac:dyDescent="0.45">
      <c r="A202" s="6"/>
      <c r="B202" s="12"/>
      <c r="C202" s="13"/>
      <c r="D202" s="10" t="str">
        <f t="shared" si="12"/>
        <v/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12"/>
      <c r="U202" s="6"/>
      <c r="V202" s="11" t="str">
        <f>IF(E202="","",IFERROR(SUMIF('10-Day Compliance'!$A:$A,E202,'10-Day Compliance'!$E:$E),0))</f>
        <v/>
      </c>
      <c r="W202" s="10" t="str">
        <f t="shared" si="13"/>
        <v/>
      </c>
      <c r="X202" s="6"/>
      <c r="Y202" s="6"/>
      <c r="Z202" s="11" t="str">
        <f t="shared" ca="1" si="14"/>
        <v/>
      </c>
      <c r="AA202" s="12"/>
      <c r="AB202" s="12"/>
      <c r="AC202" s="6"/>
      <c r="AD202" s="12"/>
      <c r="AE202" s="12"/>
      <c r="AF202" s="6"/>
      <c r="AG202" s="11" t="str">
        <f t="shared" ca="1" si="15"/>
        <v/>
      </c>
      <c r="AH202" s="6"/>
    </row>
    <row r="203" spans="1:34" ht="18" customHeight="1" x14ac:dyDescent="0.45">
      <c r="A203" s="4"/>
      <c r="B203" s="8"/>
      <c r="C203" s="9"/>
      <c r="D203" s="10" t="str">
        <f t="shared" si="12"/>
        <v/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8"/>
      <c r="U203" s="4"/>
      <c r="V203" s="11" t="str">
        <f>IF(E203="","",IFERROR(SUMIF('10-Day Compliance'!$A:$A,E203,'10-Day Compliance'!$E:$E),0))</f>
        <v/>
      </c>
      <c r="W203" s="10" t="str">
        <f t="shared" si="13"/>
        <v/>
      </c>
      <c r="X203" s="4"/>
      <c r="Y203" s="4"/>
      <c r="Z203" s="11" t="str">
        <f t="shared" ca="1" si="14"/>
        <v/>
      </c>
      <c r="AA203" s="8"/>
      <c r="AB203" s="8"/>
      <c r="AC203" s="4"/>
      <c r="AD203" s="8"/>
      <c r="AE203" s="8"/>
      <c r="AF203" s="4"/>
      <c r="AG203" s="11" t="str">
        <f t="shared" ca="1" si="15"/>
        <v/>
      </c>
      <c r="AH203" s="4"/>
    </row>
    <row r="204" spans="1:34" ht="18" customHeight="1" x14ac:dyDescent="0.45">
      <c r="A204" s="6"/>
      <c r="B204" s="12"/>
      <c r="C204" s="13"/>
      <c r="D204" s="10" t="str">
        <f t="shared" si="12"/>
        <v/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12"/>
      <c r="U204" s="6"/>
      <c r="V204" s="11" t="str">
        <f>IF(E204="","",IFERROR(SUMIF('10-Day Compliance'!$A:$A,E204,'10-Day Compliance'!$E:$E),0))</f>
        <v/>
      </c>
      <c r="W204" s="10" t="str">
        <f t="shared" si="13"/>
        <v/>
      </c>
      <c r="X204" s="6"/>
      <c r="Y204" s="6"/>
      <c r="Z204" s="11" t="str">
        <f t="shared" ca="1" si="14"/>
        <v/>
      </c>
      <c r="AA204" s="12"/>
      <c r="AB204" s="12"/>
      <c r="AC204" s="6"/>
      <c r="AD204" s="12"/>
      <c r="AE204" s="12"/>
      <c r="AF204" s="6"/>
      <c r="AG204" s="11" t="str">
        <f t="shared" ca="1" si="15"/>
        <v/>
      </c>
      <c r="AH204" s="6"/>
    </row>
    <row r="205" spans="1:34" ht="18" customHeight="1" x14ac:dyDescent="0.45">
      <c r="A205" s="4"/>
      <c r="B205" s="8"/>
      <c r="C205" s="9"/>
      <c r="D205" s="10" t="str">
        <f t="shared" si="12"/>
        <v/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8"/>
      <c r="U205" s="4"/>
      <c r="V205" s="11" t="str">
        <f>IF(E205="","",IFERROR(SUMIF('10-Day Compliance'!$A:$A,E205,'10-Day Compliance'!$E:$E),0))</f>
        <v/>
      </c>
      <c r="W205" s="10" t="str">
        <f t="shared" si="13"/>
        <v/>
      </c>
      <c r="X205" s="4"/>
      <c r="Y205" s="4"/>
      <c r="Z205" s="11" t="str">
        <f t="shared" ca="1" si="14"/>
        <v/>
      </c>
      <c r="AA205" s="8"/>
      <c r="AB205" s="8"/>
      <c r="AC205" s="4"/>
      <c r="AD205" s="8"/>
      <c r="AE205" s="8"/>
      <c r="AF205" s="4"/>
      <c r="AG205" s="11" t="str">
        <f t="shared" ca="1" si="15"/>
        <v/>
      </c>
      <c r="AH205" s="4"/>
    </row>
    <row r="206" spans="1:34" ht="18" customHeight="1" x14ac:dyDescent="0.45">
      <c r="A206" s="6"/>
      <c r="B206" s="12"/>
      <c r="C206" s="13"/>
      <c r="D206" s="10" t="str">
        <f t="shared" si="12"/>
        <v/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12"/>
      <c r="U206" s="6"/>
      <c r="V206" s="11" t="str">
        <f>IF(E206="","",IFERROR(SUMIF('10-Day Compliance'!$A:$A,E206,'10-Day Compliance'!$E:$E),0))</f>
        <v/>
      </c>
      <c r="W206" s="10" t="str">
        <f t="shared" si="13"/>
        <v/>
      </c>
      <c r="X206" s="6"/>
      <c r="Y206" s="6"/>
      <c r="Z206" s="11" t="str">
        <f t="shared" ca="1" si="14"/>
        <v/>
      </c>
      <c r="AA206" s="12"/>
      <c r="AB206" s="12"/>
      <c r="AC206" s="6"/>
      <c r="AD206" s="12"/>
      <c r="AE206" s="12"/>
      <c r="AF206" s="6"/>
      <c r="AG206" s="11" t="str">
        <f t="shared" ca="1" si="15"/>
        <v/>
      </c>
      <c r="AH206" s="6"/>
    </row>
    <row r="207" spans="1:34" ht="18" customHeight="1" x14ac:dyDescent="0.45">
      <c r="A207" s="4"/>
      <c r="B207" s="8"/>
      <c r="C207" s="9"/>
      <c r="D207" s="10" t="str">
        <f t="shared" si="12"/>
        <v/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8"/>
      <c r="U207" s="4"/>
      <c r="V207" s="11" t="str">
        <f>IF(E207="","",IFERROR(SUMIF('10-Day Compliance'!$A:$A,E207,'10-Day Compliance'!$E:$E),0))</f>
        <v/>
      </c>
      <c r="W207" s="10" t="str">
        <f t="shared" si="13"/>
        <v/>
      </c>
      <c r="X207" s="4"/>
      <c r="Y207" s="4"/>
      <c r="Z207" s="11" t="str">
        <f t="shared" ca="1" si="14"/>
        <v/>
      </c>
      <c r="AA207" s="8"/>
      <c r="AB207" s="8"/>
      <c r="AC207" s="4"/>
      <c r="AD207" s="8"/>
      <c r="AE207" s="8"/>
      <c r="AF207" s="4"/>
      <c r="AG207" s="11" t="str">
        <f t="shared" ca="1" si="15"/>
        <v/>
      </c>
      <c r="AH207" s="4"/>
    </row>
    <row r="208" spans="1:34" ht="18" customHeight="1" x14ac:dyDescent="0.45">
      <c r="A208" s="6"/>
      <c r="B208" s="12"/>
      <c r="C208" s="13"/>
      <c r="D208" s="10" t="str">
        <f t="shared" si="12"/>
        <v/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12"/>
      <c r="U208" s="6"/>
      <c r="V208" s="11" t="str">
        <f>IF(E208="","",IFERROR(SUMIF('10-Day Compliance'!$A:$A,E208,'10-Day Compliance'!$E:$E),0))</f>
        <v/>
      </c>
      <c r="W208" s="10" t="str">
        <f t="shared" si="13"/>
        <v/>
      </c>
      <c r="X208" s="6"/>
      <c r="Y208" s="6"/>
      <c r="Z208" s="11" t="str">
        <f t="shared" ca="1" si="14"/>
        <v/>
      </c>
      <c r="AA208" s="12"/>
      <c r="AB208" s="12"/>
      <c r="AC208" s="6"/>
      <c r="AD208" s="12"/>
      <c r="AE208" s="12"/>
      <c r="AF208" s="6"/>
      <c r="AG208" s="11" t="str">
        <f t="shared" ca="1" si="15"/>
        <v/>
      </c>
      <c r="AH208" s="6"/>
    </row>
    <row r="209" spans="1:34" ht="18" customHeight="1" x14ac:dyDescent="0.45">
      <c r="A209" s="4"/>
      <c r="B209" s="8"/>
      <c r="C209" s="9"/>
      <c r="D209" s="10" t="str">
        <f t="shared" si="12"/>
        <v/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8"/>
      <c r="U209" s="4"/>
      <c r="V209" s="11" t="str">
        <f>IF(E209="","",IFERROR(SUMIF('10-Day Compliance'!$A:$A,E209,'10-Day Compliance'!$E:$E),0))</f>
        <v/>
      </c>
      <c r="W209" s="10" t="str">
        <f t="shared" si="13"/>
        <v/>
      </c>
      <c r="X209" s="4"/>
      <c r="Y209" s="4"/>
      <c r="Z209" s="11" t="str">
        <f t="shared" ca="1" si="14"/>
        <v/>
      </c>
      <c r="AA209" s="8"/>
      <c r="AB209" s="8"/>
      <c r="AC209" s="4"/>
      <c r="AD209" s="8"/>
      <c r="AE209" s="8"/>
      <c r="AF209" s="4"/>
      <c r="AG209" s="11" t="str">
        <f t="shared" ca="1" si="15"/>
        <v/>
      </c>
      <c r="AH209" s="4"/>
    </row>
    <row r="210" spans="1:34" ht="18" customHeight="1" x14ac:dyDescent="0.45">
      <c r="A210" s="6"/>
      <c r="B210" s="12"/>
      <c r="C210" s="13"/>
      <c r="D210" s="10" t="str">
        <f t="shared" si="12"/>
        <v/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12"/>
      <c r="U210" s="6"/>
      <c r="V210" s="11" t="str">
        <f>IF(E210="","",IFERROR(SUMIF('10-Day Compliance'!$A:$A,E210,'10-Day Compliance'!$E:$E),0))</f>
        <v/>
      </c>
      <c r="W210" s="10" t="str">
        <f t="shared" si="13"/>
        <v/>
      </c>
      <c r="X210" s="6"/>
      <c r="Y210" s="6"/>
      <c r="Z210" s="11" t="str">
        <f t="shared" ca="1" si="14"/>
        <v/>
      </c>
      <c r="AA210" s="12"/>
      <c r="AB210" s="12"/>
      <c r="AC210" s="6"/>
      <c r="AD210" s="12"/>
      <c r="AE210" s="12"/>
      <c r="AF210" s="6"/>
      <c r="AG210" s="11" t="str">
        <f t="shared" ca="1" si="15"/>
        <v/>
      </c>
      <c r="AH210" s="6"/>
    </row>
    <row r="211" spans="1:34" ht="18" customHeight="1" x14ac:dyDescent="0.45">
      <c r="A211" s="4"/>
      <c r="B211" s="8"/>
      <c r="C211" s="9"/>
      <c r="D211" s="10" t="str">
        <f t="shared" si="12"/>
        <v/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8"/>
      <c r="U211" s="4"/>
      <c r="V211" s="11" t="str">
        <f>IF(E211="","",IFERROR(SUMIF('10-Day Compliance'!$A:$A,E211,'10-Day Compliance'!$E:$E),0))</f>
        <v/>
      </c>
      <c r="W211" s="10" t="str">
        <f t="shared" si="13"/>
        <v/>
      </c>
      <c r="X211" s="4"/>
      <c r="Y211" s="4"/>
      <c r="Z211" s="11" t="str">
        <f t="shared" ca="1" si="14"/>
        <v/>
      </c>
      <c r="AA211" s="8"/>
      <c r="AB211" s="8"/>
      <c r="AC211" s="4"/>
      <c r="AD211" s="8"/>
      <c r="AE211" s="8"/>
      <c r="AF211" s="4"/>
      <c r="AG211" s="11" t="str">
        <f t="shared" ca="1" si="15"/>
        <v/>
      </c>
      <c r="AH211" s="4"/>
    </row>
    <row r="212" spans="1:34" ht="18" customHeight="1" x14ac:dyDescent="0.45">
      <c r="A212" s="6"/>
      <c r="B212" s="12"/>
      <c r="C212" s="13"/>
      <c r="D212" s="10" t="str">
        <f t="shared" si="12"/>
        <v/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12"/>
      <c r="U212" s="6"/>
      <c r="V212" s="11" t="str">
        <f>IF(E212="","",IFERROR(SUMIF('10-Day Compliance'!$A:$A,E212,'10-Day Compliance'!$E:$E),0))</f>
        <v/>
      </c>
      <c r="W212" s="10" t="str">
        <f t="shared" si="13"/>
        <v/>
      </c>
      <c r="X212" s="6"/>
      <c r="Y212" s="6"/>
      <c r="Z212" s="11" t="str">
        <f t="shared" ca="1" si="14"/>
        <v/>
      </c>
      <c r="AA212" s="12"/>
      <c r="AB212" s="12"/>
      <c r="AC212" s="6"/>
      <c r="AD212" s="12"/>
      <c r="AE212" s="12"/>
      <c r="AF212" s="6"/>
      <c r="AG212" s="11" t="str">
        <f t="shared" ca="1" si="15"/>
        <v/>
      </c>
      <c r="AH212" s="6"/>
    </row>
    <row r="213" spans="1:34" ht="18" customHeight="1" x14ac:dyDescent="0.45">
      <c r="A213" s="4"/>
      <c r="B213" s="8"/>
      <c r="C213" s="9"/>
      <c r="D213" s="10" t="str">
        <f t="shared" si="12"/>
        <v/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8"/>
      <c r="U213" s="4"/>
      <c r="V213" s="11" t="str">
        <f>IF(E213="","",IFERROR(SUMIF('10-Day Compliance'!$A:$A,E213,'10-Day Compliance'!$E:$E),0))</f>
        <v/>
      </c>
      <c r="W213" s="10" t="str">
        <f t="shared" si="13"/>
        <v/>
      </c>
      <c r="X213" s="4"/>
      <c r="Y213" s="4"/>
      <c r="Z213" s="11" t="str">
        <f t="shared" ca="1" si="14"/>
        <v/>
      </c>
      <c r="AA213" s="8"/>
      <c r="AB213" s="8"/>
      <c r="AC213" s="4"/>
      <c r="AD213" s="8"/>
      <c r="AE213" s="8"/>
      <c r="AF213" s="4"/>
      <c r="AG213" s="11" t="str">
        <f t="shared" ca="1" si="15"/>
        <v/>
      </c>
      <c r="AH213" s="4"/>
    </row>
    <row r="214" spans="1:34" ht="18" customHeight="1" x14ac:dyDescent="0.45">
      <c r="A214" s="6"/>
      <c r="B214" s="12"/>
      <c r="C214" s="13"/>
      <c r="D214" s="10" t="str">
        <f t="shared" si="12"/>
        <v/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12"/>
      <c r="U214" s="6"/>
      <c r="V214" s="11" t="str">
        <f>IF(E214="","",IFERROR(SUMIF('10-Day Compliance'!$A:$A,E214,'10-Day Compliance'!$E:$E),0))</f>
        <v/>
      </c>
      <c r="W214" s="10" t="str">
        <f t="shared" si="13"/>
        <v/>
      </c>
      <c r="X214" s="6"/>
      <c r="Y214" s="6"/>
      <c r="Z214" s="11" t="str">
        <f t="shared" ca="1" si="14"/>
        <v/>
      </c>
      <c r="AA214" s="12"/>
      <c r="AB214" s="12"/>
      <c r="AC214" s="6"/>
      <c r="AD214" s="12"/>
      <c r="AE214" s="12"/>
      <c r="AF214" s="6"/>
      <c r="AG214" s="11" t="str">
        <f t="shared" ca="1" si="15"/>
        <v/>
      </c>
      <c r="AH214" s="6"/>
    </row>
    <row r="215" spans="1:34" ht="18" customHeight="1" x14ac:dyDescent="0.45">
      <c r="A215" s="4"/>
      <c r="B215" s="8"/>
      <c r="C215" s="9"/>
      <c r="D215" s="10" t="str">
        <f t="shared" si="12"/>
        <v/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8"/>
      <c r="U215" s="4"/>
      <c r="V215" s="11" t="str">
        <f>IF(E215="","",IFERROR(SUMIF('10-Day Compliance'!$A:$A,E215,'10-Day Compliance'!$E:$E),0))</f>
        <v/>
      </c>
      <c r="W215" s="10" t="str">
        <f t="shared" si="13"/>
        <v/>
      </c>
      <c r="X215" s="4"/>
      <c r="Y215" s="4"/>
      <c r="Z215" s="11" t="str">
        <f t="shared" ca="1" si="14"/>
        <v/>
      </c>
      <c r="AA215" s="8"/>
      <c r="AB215" s="8"/>
      <c r="AC215" s="4"/>
      <c r="AD215" s="8"/>
      <c r="AE215" s="8"/>
      <c r="AF215" s="4"/>
      <c r="AG215" s="11" t="str">
        <f t="shared" ca="1" si="15"/>
        <v/>
      </c>
      <c r="AH215" s="4"/>
    </row>
    <row r="216" spans="1:34" ht="18" customHeight="1" x14ac:dyDescent="0.45">
      <c r="A216" s="6"/>
      <c r="B216" s="12"/>
      <c r="C216" s="13"/>
      <c r="D216" s="10" t="str">
        <f t="shared" si="12"/>
        <v/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12"/>
      <c r="U216" s="6"/>
      <c r="V216" s="11" t="str">
        <f>IF(E216="","",IFERROR(SUMIF('10-Day Compliance'!$A:$A,E216,'10-Day Compliance'!$E:$E),0))</f>
        <v/>
      </c>
      <c r="W216" s="10" t="str">
        <f t="shared" si="13"/>
        <v/>
      </c>
      <c r="X216" s="6"/>
      <c r="Y216" s="6"/>
      <c r="Z216" s="11" t="str">
        <f t="shared" ca="1" si="14"/>
        <v/>
      </c>
      <c r="AA216" s="12"/>
      <c r="AB216" s="12"/>
      <c r="AC216" s="6"/>
      <c r="AD216" s="12"/>
      <c r="AE216" s="12"/>
      <c r="AF216" s="6"/>
      <c r="AG216" s="11" t="str">
        <f t="shared" ca="1" si="15"/>
        <v/>
      </c>
      <c r="AH216" s="6"/>
    </row>
    <row r="217" spans="1:34" ht="18" customHeight="1" x14ac:dyDescent="0.45">
      <c r="A217" s="4"/>
      <c r="B217" s="8"/>
      <c r="C217" s="9"/>
      <c r="D217" s="10" t="str">
        <f t="shared" si="12"/>
        <v/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8"/>
      <c r="U217" s="4"/>
      <c r="V217" s="11" t="str">
        <f>IF(E217="","",IFERROR(SUMIF('10-Day Compliance'!$A:$A,E217,'10-Day Compliance'!$E:$E),0))</f>
        <v/>
      </c>
      <c r="W217" s="10" t="str">
        <f t="shared" si="13"/>
        <v/>
      </c>
      <c r="X217" s="4"/>
      <c r="Y217" s="4"/>
      <c r="Z217" s="11" t="str">
        <f t="shared" ca="1" si="14"/>
        <v/>
      </c>
      <c r="AA217" s="8"/>
      <c r="AB217" s="8"/>
      <c r="AC217" s="4"/>
      <c r="AD217" s="8"/>
      <c r="AE217" s="8"/>
      <c r="AF217" s="4"/>
      <c r="AG217" s="11" t="str">
        <f t="shared" ca="1" si="15"/>
        <v/>
      </c>
      <c r="AH217" s="4"/>
    </row>
    <row r="218" spans="1:34" ht="18" customHeight="1" x14ac:dyDescent="0.45">
      <c r="A218" s="6"/>
      <c r="B218" s="12"/>
      <c r="C218" s="13"/>
      <c r="D218" s="10" t="str">
        <f t="shared" si="12"/>
        <v/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12"/>
      <c r="U218" s="6"/>
      <c r="V218" s="11" t="str">
        <f>IF(E218="","",IFERROR(SUMIF('10-Day Compliance'!$A:$A,E218,'10-Day Compliance'!$E:$E),0))</f>
        <v/>
      </c>
      <c r="W218" s="10" t="str">
        <f t="shared" si="13"/>
        <v/>
      </c>
      <c r="X218" s="6"/>
      <c r="Y218" s="6"/>
      <c r="Z218" s="11" t="str">
        <f t="shared" ca="1" si="14"/>
        <v/>
      </c>
      <c r="AA218" s="12"/>
      <c r="AB218" s="12"/>
      <c r="AC218" s="6"/>
      <c r="AD218" s="12"/>
      <c r="AE218" s="12"/>
      <c r="AF218" s="6"/>
      <c r="AG218" s="11" t="str">
        <f t="shared" ca="1" si="15"/>
        <v/>
      </c>
      <c r="AH218" s="6"/>
    </row>
    <row r="219" spans="1:34" ht="18" customHeight="1" x14ac:dyDescent="0.45">
      <c r="A219" s="4"/>
      <c r="B219" s="8"/>
      <c r="C219" s="9"/>
      <c r="D219" s="10" t="str">
        <f t="shared" si="12"/>
        <v/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8"/>
      <c r="U219" s="4"/>
      <c r="V219" s="11" t="str">
        <f>IF(E219="","",IFERROR(SUMIF('10-Day Compliance'!$A:$A,E219,'10-Day Compliance'!$E:$E),0))</f>
        <v/>
      </c>
      <c r="W219" s="10" t="str">
        <f t="shared" si="13"/>
        <v/>
      </c>
      <c r="X219" s="4"/>
      <c r="Y219" s="4"/>
      <c r="Z219" s="11" t="str">
        <f t="shared" ca="1" si="14"/>
        <v/>
      </c>
      <c r="AA219" s="8"/>
      <c r="AB219" s="8"/>
      <c r="AC219" s="4"/>
      <c r="AD219" s="8"/>
      <c r="AE219" s="8"/>
      <c r="AF219" s="4"/>
      <c r="AG219" s="11" t="str">
        <f t="shared" ca="1" si="15"/>
        <v/>
      </c>
      <c r="AH219" s="4"/>
    </row>
    <row r="220" spans="1:34" ht="18" customHeight="1" x14ac:dyDescent="0.45">
      <c r="A220" s="6"/>
      <c r="B220" s="12"/>
      <c r="C220" s="13"/>
      <c r="D220" s="10" t="str">
        <f t="shared" si="12"/>
        <v/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12"/>
      <c r="U220" s="6"/>
      <c r="V220" s="11" t="str">
        <f>IF(E220="","",IFERROR(SUMIF('10-Day Compliance'!$A:$A,E220,'10-Day Compliance'!$E:$E),0))</f>
        <v/>
      </c>
      <c r="W220" s="10" t="str">
        <f t="shared" si="13"/>
        <v/>
      </c>
      <c r="X220" s="6"/>
      <c r="Y220" s="6"/>
      <c r="Z220" s="11" t="str">
        <f t="shared" ca="1" si="14"/>
        <v/>
      </c>
      <c r="AA220" s="12"/>
      <c r="AB220" s="12"/>
      <c r="AC220" s="6"/>
      <c r="AD220" s="12"/>
      <c r="AE220" s="12"/>
      <c r="AF220" s="6"/>
      <c r="AG220" s="11" t="str">
        <f t="shared" ca="1" si="15"/>
        <v/>
      </c>
      <c r="AH220" s="6"/>
    </row>
    <row r="221" spans="1:34" ht="18" customHeight="1" x14ac:dyDescent="0.45">
      <c r="A221" s="4"/>
      <c r="B221" s="8"/>
      <c r="C221" s="9"/>
      <c r="D221" s="10" t="str">
        <f t="shared" si="12"/>
        <v/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8"/>
      <c r="U221" s="4"/>
      <c r="V221" s="11" t="str">
        <f>IF(E221="","",IFERROR(SUMIF('10-Day Compliance'!$A:$A,E221,'10-Day Compliance'!$E:$E),0))</f>
        <v/>
      </c>
      <c r="W221" s="10" t="str">
        <f t="shared" si="13"/>
        <v/>
      </c>
      <c r="X221" s="4"/>
      <c r="Y221" s="4"/>
      <c r="Z221" s="11" t="str">
        <f t="shared" ca="1" si="14"/>
        <v/>
      </c>
      <c r="AA221" s="8"/>
      <c r="AB221" s="8"/>
      <c r="AC221" s="4"/>
      <c r="AD221" s="8"/>
      <c r="AE221" s="8"/>
      <c r="AF221" s="4"/>
      <c r="AG221" s="11" t="str">
        <f t="shared" ca="1" si="15"/>
        <v/>
      </c>
      <c r="AH221" s="4"/>
    </row>
    <row r="222" spans="1:34" ht="18" customHeight="1" x14ac:dyDescent="0.45">
      <c r="A222" s="6"/>
      <c r="B222" s="12"/>
      <c r="C222" s="13"/>
      <c r="D222" s="10" t="str">
        <f t="shared" si="12"/>
        <v/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12"/>
      <c r="U222" s="6"/>
      <c r="V222" s="11" t="str">
        <f>IF(E222="","",IFERROR(SUMIF('10-Day Compliance'!$A:$A,E222,'10-Day Compliance'!$E:$E),0))</f>
        <v/>
      </c>
      <c r="W222" s="10" t="str">
        <f t="shared" si="13"/>
        <v/>
      </c>
      <c r="X222" s="6"/>
      <c r="Y222" s="6"/>
      <c r="Z222" s="11" t="str">
        <f t="shared" ca="1" si="14"/>
        <v/>
      </c>
      <c r="AA222" s="12"/>
      <c r="AB222" s="12"/>
      <c r="AC222" s="6"/>
      <c r="AD222" s="12"/>
      <c r="AE222" s="12"/>
      <c r="AF222" s="6"/>
      <c r="AG222" s="11" t="str">
        <f t="shared" ca="1" si="15"/>
        <v/>
      </c>
      <c r="AH222" s="6"/>
    </row>
    <row r="223" spans="1:34" ht="18" customHeight="1" x14ac:dyDescent="0.45">
      <c r="A223" s="4"/>
      <c r="B223" s="8"/>
      <c r="C223" s="9"/>
      <c r="D223" s="10" t="str">
        <f t="shared" si="12"/>
        <v/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8"/>
      <c r="U223" s="4"/>
      <c r="V223" s="11" t="str">
        <f>IF(E223="","",IFERROR(SUMIF('10-Day Compliance'!$A:$A,E223,'10-Day Compliance'!$E:$E),0))</f>
        <v/>
      </c>
      <c r="W223" s="10" t="str">
        <f t="shared" si="13"/>
        <v/>
      </c>
      <c r="X223" s="4"/>
      <c r="Y223" s="4"/>
      <c r="Z223" s="11" t="str">
        <f t="shared" ca="1" si="14"/>
        <v/>
      </c>
      <c r="AA223" s="8"/>
      <c r="AB223" s="8"/>
      <c r="AC223" s="4"/>
      <c r="AD223" s="8"/>
      <c r="AE223" s="8"/>
      <c r="AF223" s="4"/>
      <c r="AG223" s="11" t="str">
        <f t="shared" ca="1" si="15"/>
        <v/>
      </c>
      <c r="AH223" s="4"/>
    </row>
    <row r="224" spans="1:34" ht="18" customHeight="1" x14ac:dyDescent="0.45">
      <c r="A224" s="6"/>
      <c r="B224" s="12"/>
      <c r="C224" s="13"/>
      <c r="D224" s="10" t="str">
        <f t="shared" si="12"/>
        <v/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12"/>
      <c r="U224" s="6"/>
      <c r="V224" s="11" t="str">
        <f>IF(E224="","",IFERROR(SUMIF('10-Day Compliance'!$A:$A,E224,'10-Day Compliance'!$E:$E),0))</f>
        <v/>
      </c>
      <c r="W224" s="10" t="str">
        <f t="shared" si="13"/>
        <v/>
      </c>
      <c r="X224" s="6"/>
      <c r="Y224" s="6"/>
      <c r="Z224" s="11" t="str">
        <f t="shared" ca="1" si="14"/>
        <v/>
      </c>
      <c r="AA224" s="12"/>
      <c r="AB224" s="12"/>
      <c r="AC224" s="6"/>
      <c r="AD224" s="12"/>
      <c r="AE224" s="12"/>
      <c r="AF224" s="6"/>
      <c r="AG224" s="11" t="str">
        <f t="shared" ca="1" si="15"/>
        <v/>
      </c>
      <c r="AH224" s="6"/>
    </row>
    <row r="225" spans="1:34" ht="18" customHeight="1" x14ac:dyDescent="0.45">
      <c r="A225" s="4"/>
      <c r="B225" s="8"/>
      <c r="C225" s="9"/>
      <c r="D225" s="10" t="str">
        <f t="shared" si="12"/>
        <v/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8"/>
      <c r="U225" s="4"/>
      <c r="V225" s="11" t="str">
        <f>IF(E225="","",IFERROR(SUMIF('10-Day Compliance'!$A:$A,E225,'10-Day Compliance'!$E:$E),0))</f>
        <v/>
      </c>
      <c r="W225" s="10" t="str">
        <f t="shared" si="13"/>
        <v/>
      </c>
      <c r="X225" s="4"/>
      <c r="Y225" s="4"/>
      <c r="Z225" s="11" t="str">
        <f t="shared" ca="1" si="14"/>
        <v/>
      </c>
      <c r="AA225" s="8"/>
      <c r="AB225" s="8"/>
      <c r="AC225" s="4"/>
      <c r="AD225" s="8"/>
      <c r="AE225" s="8"/>
      <c r="AF225" s="4"/>
      <c r="AG225" s="11" t="str">
        <f t="shared" ca="1" si="15"/>
        <v/>
      </c>
      <c r="AH225" s="4"/>
    </row>
    <row r="226" spans="1:34" ht="18" customHeight="1" x14ac:dyDescent="0.45">
      <c r="A226" s="6"/>
      <c r="B226" s="12"/>
      <c r="C226" s="13"/>
      <c r="D226" s="10" t="str">
        <f t="shared" si="12"/>
        <v/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12"/>
      <c r="U226" s="6"/>
      <c r="V226" s="11" t="str">
        <f>IF(E226="","",IFERROR(SUMIF('10-Day Compliance'!$A:$A,E226,'10-Day Compliance'!$E:$E),0))</f>
        <v/>
      </c>
      <c r="W226" s="10" t="str">
        <f t="shared" si="13"/>
        <v/>
      </c>
      <c r="X226" s="6"/>
      <c r="Y226" s="6"/>
      <c r="Z226" s="11" t="str">
        <f t="shared" ca="1" si="14"/>
        <v/>
      </c>
      <c r="AA226" s="12"/>
      <c r="AB226" s="12"/>
      <c r="AC226" s="6"/>
      <c r="AD226" s="12"/>
      <c r="AE226" s="12"/>
      <c r="AF226" s="6"/>
      <c r="AG226" s="11" t="str">
        <f t="shared" ca="1" si="15"/>
        <v/>
      </c>
      <c r="AH226" s="6"/>
    </row>
    <row r="227" spans="1:34" ht="18" customHeight="1" x14ac:dyDescent="0.45">
      <c r="A227" s="4"/>
      <c r="B227" s="8"/>
      <c r="C227" s="9"/>
      <c r="D227" s="10" t="str">
        <f t="shared" si="12"/>
        <v/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8"/>
      <c r="U227" s="4"/>
      <c r="V227" s="11" t="str">
        <f>IF(E227="","",IFERROR(SUMIF('10-Day Compliance'!$A:$A,E227,'10-Day Compliance'!$E:$E),0))</f>
        <v/>
      </c>
      <c r="W227" s="10" t="str">
        <f t="shared" si="13"/>
        <v/>
      </c>
      <c r="X227" s="4"/>
      <c r="Y227" s="4"/>
      <c r="Z227" s="11" t="str">
        <f t="shared" ca="1" si="14"/>
        <v/>
      </c>
      <c r="AA227" s="8"/>
      <c r="AB227" s="8"/>
      <c r="AC227" s="4"/>
      <c r="AD227" s="8"/>
      <c r="AE227" s="8"/>
      <c r="AF227" s="4"/>
      <c r="AG227" s="11" t="str">
        <f t="shared" ca="1" si="15"/>
        <v/>
      </c>
      <c r="AH227" s="4"/>
    </row>
    <row r="228" spans="1:34" ht="18" customHeight="1" x14ac:dyDescent="0.45">
      <c r="A228" s="6"/>
      <c r="B228" s="12"/>
      <c r="C228" s="13"/>
      <c r="D228" s="10" t="str">
        <f t="shared" si="12"/>
        <v/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12"/>
      <c r="U228" s="6"/>
      <c r="V228" s="11" t="str">
        <f>IF(E228="","",IFERROR(SUMIF('10-Day Compliance'!$A:$A,E228,'10-Day Compliance'!$E:$E),0))</f>
        <v/>
      </c>
      <c r="W228" s="10" t="str">
        <f t="shared" si="13"/>
        <v/>
      </c>
      <c r="X228" s="6"/>
      <c r="Y228" s="6"/>
      <c r="Z228" s="11" t="str">
        <f t="shared" ca="1" si="14"/>
        <v/>
      </c>
      <c r="AA228" s="12"/>
      <c r="AB228" s="12"/>
      <c r="AC228" s="6"/>
      <c r="AD228" s="12"/>
      <c r="AE228" s="12"/>
      <c r="AF228" s="6"/>
      <c r="AG228" s="11" t="str">
        <f t="shared" ca="1" si="15"/>
        <v/>
      </c>
      <c r="AH228" s="6"/>
    </row>
    <row r="229" spans="1:34" ht="18" customHeight="1" x14ac:dyDescent="0.45">
      <c r="A229" s="4"/>
      <c r="B229" s="8"/>
      <c r="C229" s="9"/>
      <c r="D229" s="10" t="str">
        <f t="shared" si="12"/>
        <v/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8"/>
      <c r="U229" s="4"/>
      <c r="V229" s="11" t="str">
        <f>IF(E229="","",IFERROR(SUMIF('10-Day Compliance'!$A:$A,E229,'10-Day Compliance'!$E:$E),0))</f>
        <v/>
      </c>
      <c r="W229" s="10" t="str">
        <f t="shared" si="13"/>
        <v/>
      </c>
      <c r="X229" s="4"/>
      <c r="Y229" s="4"/>
      <c r="Z229" s="11" t="str">
        <f t="shared" ca="1" si="14"/>
        <v/>
      </c>
      <c r="AA229" s="8"/>
      <c r="AB229" s="8"/>
      <c r="AC229" s="4"/>
      <c r="AD229" s="8"/>
      <c r="AE229" s="8"/>
      <c r="AF229" s="4"/>
      <c r="AG229" s="11" t="str">
        <f t="shared" ca="1" si="15"/>
        <v/>
      </c>
      <c r="AH229" s="4"/>
    </row>
    <row r="230" spans="1:34" ht="18" customHeight="1" x14ac:dyDescent="0.45">
      <c r="A230" s="6"/>
      <c r="B230" s="12"/>
      <c r="C230" s="13"/>
      <c r="D230" s="10" t="str">
        <f t="shared" si="12"/>
        <v/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12"/>
      <c r="U230" s="6"/>
      <c r="V230" s="11" t="str">
        <f>IF(E230="","",IFERROR(SUMIF('10-Day Compliance'!$A:$A,E230,'10-Day Compliance'!$E:$E),0))</f>
        <v/>
      </c>
      <c r="W230" s="10" t="str">
        <f t="shared" si="13"/>
        <v/>
      </c>
      <c r="X230" s="6"/>
      <c r="Y230" s="6"/>
      <c r="Z230" s="11" t="str">
        <f t="shared" ca="1" si="14"/>
        <v/>
      </c>
      <c r="AA230" s="12"/>
      <c r="AB230" s="12"/>
      <c r="AC230" s="6"/>
      <c r="AD230" s="12"/>
      <c r="AE230" s="12"/>
      <c r="AF230" s="6"/>
      <c r="AG230" s="11" t="str">
        <f t="shared" ca="1" si="15"/>
        <v/>
      </c>
      <c r="AH230" s="6"/>
    </row>
    <row r="231" spans="1:34" ht="18" customHeight="1" x14ac:dyDescent="0.45">
      <c r="A231" s="4"/>
      <c r="B231" s="8"/>
      <c r="C231" s="9"/>
      <c r="D231" s="10" t="str">
        <f t="shared" si="12"/>
        <v/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8"/>
      <c r="U231" s="4"/>
      <c r="V231" s="11" t="str">
        <f>IF(E231="","",IFERROR(SUMIF('10-Day Compliance'!$A:$A,E231,'10-Day Compliance'!$E:$E),0))</f>
        <v/>
      </c>
      <c r="W231" s="10" t="str">
        <f t="shared" si="13"/>
        <v/>
      </c>
      <c r="X231" s="4"/>
      <c r="Y231" s="4"/>
      <c r="Z231" s="11" t="str">
        <f t="shared" ca="1" si="14"/>
        <v/>
      </c>
      <c r="AA231" s="8"/>
      <c r="AB231" s="8"/>
      <c r="AC231" s="4"/>
      <c r="AD231" s="8"/>
      <c r="AE231" s="8"/>
      <c r="AF231" s="4"/>
      <c r="AG231" s="11" t="str">
        <f t="shared" ca="1" si="15"/>
        <v/>
      </c>
      <c r="AH231" s="4"/>
    </row>
    <row r="232" spans="1:34" ht="18" customHeight="1" x14ac:dyDescent="0.45">
      <c r="A232" s="6"/>
      <c r="B232" s="12"/>
      <c r="C232" s="13"/>
      <c r="D232" s="10" t="str">
        <f t="shared" si="12"/>
        <v/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12"/>
      <c r="U232" s="6"/>
      <c r="V232" s="11" t="str">
        <f>IF(E232="","",IFERROR(SUMIF('10-Day Compliance'!$A:$A,E232,'10-Day Compliance'!$E:$E),0))</f>
        <v/>
      </c>
      <c r="W232" s="10" t="str">
        <f t="shared" si="13"/>
        <v/>
      </c>
      <c r="X232" s="6"/>
      <c r="Y232" s="6"/>
      <c r="Z232" s="11" t="str">
        <f t="shared" ca="1" si="14"/>
        <v/>
      </c>
      <c r="AA232" s="12"/>
      <c r="AB232" s="12"/>
      <c r="AC232" s="6"/>
      <c r="AD232" s="12"/>
      <c r="AE232" s="12"/>
      <c r="AF232" s="6"/>
      <c r="AG232" s="11" t="str">
        <f t="shared" ca="1" si="15"/>
        <v/>
      </c>
      <c r="AH232" s="6"/>
    </row>
    <row r="233" spans="1:34" ht="18" customHeight="1" x14ac:dyDescent="0.45">
      <c r="A233" s="4"/>
      <c r="B233" s="8"/>
      <c r="C233" s="9"/>
      <c r="D233" s="10" t="str">
        <f t="shared" si="12"/>
        <v/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8"/>
      <c r="U233" s="4"/>
      <c r="V233" s="11" t="str">
        <f>IF(E233="","",IFERROR(SUMIF('10-Day Compliance'!$A:$A,E233,'10-Day Compliance'!$E:$E),0))</f>
        <v/>
      </c>
      <c r="W233" s="10" t="str">
        <f t="shared" si="13"/>
        <v/>
      </c>
      <c r="X233" s="4"/>
      <c r="Y233" s="4"/>
      <c r="Z233" s="11" t="str">
        <f t="shared" ca="1" si="14"/>
        <v/>
      </c>
      <c r="AA233" s="8"/>
      <c r="AB233" s="8"/>
      <c r="AC233" s="4"/>
      <c r="AD233" s="8"/>
      <c r="AE233" s="8"/>
      <c r="AF233" s="4"/>
      <c r="AG233" s="11" t="str">
        <f t="shared" ca="1" si="15"/>
        <v/>
      </c>
      <c r="AH233" s="4"/>
    </row>
    <row r="234" spans="1:34" ht="18" customHeight="1" x14ac:dyDescent="0.45">
      <c r="A234" s="6"/>
      <c r="B234" s="12"/>
      <c r="C234" s="13"/>
      <c r="D234" s="10" t="str">
        <f t="shared" si="12"/>
        <v/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12"/>
      <c r="U234" s="6"/>
      <c r="V234" s="11" t="str">
        <f>IF(E234="","",IFERROR(SUMIF('10-Day Compliance'!$A:$A,E234,'10-Day Compliance'!$E:$E),0))</f>
        <v/>
      </c>
      <c r="W234" s="10" t="str">
        <f t="shared" si="13"/>
        <v/>
      </c>
      <c r="X234" s="6"/>
      <c r="Y234" s="6"/>
      <c r="Z234" s="11" t="str">
        <f t="shared" ca="1" si="14"/>
        <v/>
      </c>
      <c r="AA234" s="12"/>
      <c r="AB234" s="12"/>
      <c r="AC234" s="6"/>
      <c r="AD234" s="12"/>
      <c r="AE234" s="12"/>
      <c r="AF234" s="6"/>
      <c r="AG234" s="11" t="str">
        <f t="shared" ca="1" si="15"/>
        <v/>
      </c>
      <c r="AH234" s="6"/>
    </row>
    <row r="235" spans="1:34" ht="18" customHeight="1" x14ac:dyDescent="0.45">
      <c r="A235" s="4"/>
      <c r="B235" s="8"/>
      <c r="C235" s="9"/>
      <c r="D235" s="10" t="str">
        <f t="shared" si="12"/>
        <v/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8"/>
      <c r="U235" s="4"/>
      <c r="V235" s="11" t="str">
        <f>IF(E235="","",IFERROR(SUMIF('10-Day Compliance'!$A:$A,E235,'10-Day Compliance'!$E:$E),0))</f>
        <v/>
      </c>
      <c r="W235" s="10" t="str">
        <f t="shared" si="13"/>
        <v/>
      </c>
      <c r="X235" s="4"/>
      <c r="Y235" s="4"/>
      <c r="Z235" s="11" t="str">
        <f t="shared" ca="1" si="14"/>
        <v/>
      </c>
      <c r="AA235" s="8"/>
      <c r="AB235" s="8"/>
      <c r="AC235" s="4"/>
      <c r="AD235" s="8"/>
      <c r="AE235" s="8"/>
      <c r="AF235" s="4"/>
      <c r="AG235" s="11" t="str">
        <f t="shared" ca="1" si="15"/>
        <v/>
      </c>
      <c r="AH235" s="4"/>
    </row>
    <row r="236" spans="1:34" ht="18" customHeight="1" x14ac:dyDescent="0.45">
      <c r="A236" s="6"/>
      <c r="B236" s="12"/>
      <c r="C236" s="13"/>
      <c r="D236" s="10" t="str">
        <f t="shared" si="12"/>
        <v/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12"/>
      <c r="U236" s="6"/>
      <c r="V236" s="11" t="str">
        <f>IF(E236="","",IFERROR(SUMIF('10-Day Compliance'!$A:$A,E236,'10-Day Compliance'!$E:$E),0))</f>
        <v/>
      </c>
      <c r="W236" s="10" t="str">
        <f t="shared" si="13"/>
        <v/>
      </c>
      <c r="X236" s="6"/>
      <c r="Y236" s="6"/>
      <c r="Z236" s="11" t="str">
        <f t="shared" ca="1" si="14"/>
        <v/>
      </c>
      <c r="AA236" s="12"/>
      <c r="AB236" s="12"/>
      <c r="AC236" s="6"/>
      <c r="AD236" s="12"/>
      <c r="AE236" s="12"/>
      <c r="AF236" s="6"/>
      <c r="AG236" s="11" t="str">
        <f t="shared" ca="1" si="15"/>
        <v/>
      </c>
      <c r="AH236" s="6"/>
    </row>
    <row r="237" spans="1:34" ht="18" customHeight="1" x14ac:dyDescent="0.45">
      <c r="A237" s="4"/>
      <c r="B237" s="8"/>
      <c r="C237" s="9"/>
      <c r="D237" s="10" t="str">
        <f t="shared" si="12"/>
        <v/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8"/>
      <c r="U237" s="4"/>
      <c r="V237" s="11" t="str">
        <f>IF(E237="","",IFERROR(SUMIF('10-Day Compliance'!$A:$A,E237,'10-Day Compliance'!$E:$E),0))</f>
        <v/>
      </c>
      <c r="W237" s="10" t="str">
        <f t="shared" si="13"/>
        <v/>
      </c>
      <c r="X237" s="4"/>
      <c r="Y237" s="4"/>
      <c r="Z237" s="11" t="str">
        <f t="shared" ca="1" si="14"/>
        <v/>
      </c>
      <c r="AA237" s="8"/>
      <c r="AB237" s="8"/>
      <c r="AC237" s="4"/>
      <c r="AD237" s="8"/>
      <c r="AE237" s="8"/>
      <c r="AF237" s="4"/>
      <c r="AG237" s="11" t="str">
        <f t="shared" ca="1" si="15"/>
        <v/>
      </c>
      <c r="AH237" s="4"/>
    </row>
    <row r="238" spans="1:34" ht="18" customHeight="1" x14ac:dyDescent="0.45">
      <c r="A238" s="6"/>
      <c r="B238" s="12"/>
      <c r="C238" s="13"/>
      <c r="D238" s="10" t="str">
        <f t="shared" si="12"/>
        <v/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12"/>
      <c r="U238" s="6"/>
      <c r="V238" s="11" t="str">
        <f>IF(E238="","",IFERROR(SUMIF('10-Day Compliance'!$A:$A,E238,'10-Day Compliance'!$E:$E),0))</f>
        <v/>
      </c>
      <c r="W238" s="10" t="str">
        <f t="shared" si="13"/>
        <v/>
      </c>
      <c r="X238" s="6"/>
      <c r="Y238" s="6"/>
      <c r="Z238" s="11" t="str">
        <f t="shared" ca="1" si="14"/>
        <v/>
      </c>
      <c r="AA238" s="12"/>
      <c r="AB238" s="12"/>
      <c r="AC238" s="6"/>
      <c r="AD238" s="12"/>
      <c r="AE238" s="12"/>
      <c r="AF238" s="6"/>
      <c r="AG238" s="11" t="str">
        <f t="shared" ca="1" si="15"/>
        <v/>
      </c>
      <c r="AH238" s="6"/>
    </row>
    <row r="239" spans="1:34" ht="18" customHeight="1" x14ac:dyDescent="0.45">
      <c r="A239" s="4"/>
      <c r="B239" s="8"/>
      <c r="C239" s="9"/>
      <c r="D239" s="10" t="str">
        <f t="shared" si="12"/>
        <v/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8"/>
      <c r="U239" s="4"/>
      <c r="V239" s="11" t="str">
        <f>IF(E239="","",IFERROR(SUMIF('10-Day Compliance'!$A:$A,E239,'10-Day Compliance'!$E:$E),0))</f>
        <v/>
      </c>
      <c r="W239" s="10" t="str">
        <f t="shared" si="13"/>
        <v/>
      </c>
      <c r="X239" s="4"/>
      <c r="Y239" s="4"/>
      <c r="Z239" s="11" t="str">
        <f t="shared" ca="1" si="14"/>
        <v/>
      </c>
      <c r="AA239" s="8"/>
      <c r="AB239" s="8"/>
      <c r="AC239" s="4"/>
      <c r="AD239" s="8"/>
      <c r="AE239" s="8"/>
      <c r="AF239" s="4"/>
      <c r="AG239" s="11" t="str">
        <f t="shared" ca="1" si="15"/>
        <v/>
      </c>
      <c r="AH239" s="4"/>
    </row>
    <row r="240" spans="1:34" ht="18" customHeight="1" x14ac:dyDescent="0.45">
      <c r="A240" s="6"/>
      <c r="B240" s="12"/>
      <c r="C240" s="13"/>
      <c r="D240" s="10" t="str">
        <f t="shared" si="12"/>
        <v/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12"/>
      <c r="U240" s="6"/>
      <c r="V240" s="11" t="str">
        <f>IF(E240="","",IFERROR(SUMIF('10-Day Compliance'!$A:$A,E240,'10-Day Compliance'!$E:$E),0))</f>
        <v/>
      </c>
      <c r="W240" s="10" t="str">
        <f t="shared" si="13"/>
        <v/>
      </c>
      <c r="X240" s="6"/>
      <c r="Y240" s="6"/>
      <c r="Z240" s="11" t="str">
        <f t="shared" ca="1" si="14"/>
        <v/>
      </c>
      <c r="AA240" s="12"/>
      <c r="AB240" s="12"/>
      <c r="AC240" s="6"/>
      <c r="AD240" s="12"/>
      <c r="AE240" s="12"/>
      <c r="AF240" s="6"/>
      <c r="AG240" s="11" t="str">
        <f t="shared" ca="1" si="15"/>
        <v/>
      </c>
      <c r="AH240" s="6"/>
    </row>
    <row r="241" spans="1:34" ht="18" customHeight="1" x14ac:dyDescent="0.45">
      <c r="A241" s="4"/>
      <c r="B241" s="8"/>
      <c r="C241" s="9"/>
      <c r="D241" s="10" t="str">
        <f t="shared" si="12"/>
        <v/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8"/>
      <c r="U241" s="4"/>
      <c r="V241" s="11" t="str">
        <f>IF(E241="","",IFERROR(SUMIF('10-Day Compliance'!$A:$A,E241,'10-Day Compliance'!$E:$E),0))</f>
        <v/>
      </c>
      <c r="W241" s="10" t="str">
        <f t="shared" si="13"/>
        <v/>
      </c>
      <c r="X241" s="4"/>
      <c r="Y241" s="4"/>
      <c r="Z241" s="11" t="str">
        <f t="shared" ca="1" si="14"/>
        <v/>
      </c>
      <c r="AA241" s="8"/>
      <c r="AB241" s="8"/>
      <c r="AC241" s="4"/>
      <c r="AD241" s="8"/>
      <c r="AE241" s="8"/>
      <c r="AF241" s="4"/>
      <c r="AG241" s="11" t="str">
        <f t="shared" ca="1" si="15"/>
        <v/>
      </c>
      <c r="AH241" s="4"/>
    </row>
    <row r="242" spans="1:34" ht="18" customHeight="1" x14ac:dyDescent="0.45">
      <c r="A242" s="6"/>
      <c r="B242" s="12"/>
      <c r="C242" s="13"/>
      <c r="D242" s="10" t="str">
        <f t="shared" si="12"/>
        <v/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12"/>
      <c r="U242" s="6"/>
      <c r="V242" s="11" t="str">
        <f>IF(E242="","",IFERROR(SUMIF('10-Day Compliance'!$A:$A,E242,'10-Day Compliance'!$E:$E),0))</f>
        <v/>
      </c>
      <c r="W242" s="10" t="str">
        <f t="shared" si="13"/>
        <v/>
      </c>
      <c r="X242" s="6"/>
      <c r="Y242" s="6"/>
      <c r="Z242" s="11" t="str">
        <f t="shared" ca="1" si="14"/>
        <v/>
      </c>
      <c r="AA242" s="12"/>
      <c r="AB242" s="12"/>
      <c r="AC242" s="6"/>
      <c r="AD242" s="12"/>
      <c r="AE242" s="12"/>
      <c r="AF242" s="6"/>
      <c r="AG242" s="11" t="str">
        <f t="shared" ca="1" si="15"/>
        <v/>
      </c>
      <c r="AH242" s="6"/>
    </row>
    <row r="243" spans="1:34" ht="18" customHeight="1" x14ac:dyDescent="0.45">
      <c r="A243" s="4"/>
      <c r="B243" s="8"/>
      <c r="C243" s="9"/>
      <c r="D243" s="10" t="str">
        <f t="shared" si="12"/>
        <v/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8"/>
      <c r="U243" s="4"/>
      <c r="V243" s="11" t="str">
        <f>IF(E243="","",IFERROR(SUMIF('10-Day Compliance'!$A:$A,E243,'10-Day Compliance'!$E:$E),0))</f>
        <v/>
      </c>
      <c r="W243" s="10" t="str">
        <f t="shared" si="13"/>
        <v/>
      </c>
      <c r="X243" s="4"/>
      <c r="Y243" s="4"/>
      <c r="Z243" s="11" t="str">
        <f t="shared" ca="1" si="14"/>
        <v/>
      </c>
      <c r="AA243" s="8"/>
      <c r="AB243" s="8"/>
      <c r="AC243" s="4"/>
      <c r="AD243" s="8"/>
      <c r="AE243" s="8"/>
      <c r="AF243" s="4"/>
      <c r="AG243" s="11" t="str">
        <f t="shared" ca="1" si="15"/>
        <v/>
      </c>
      <c r="AH243" s="4"/>
    </row>
    <row r="244" spans="1:34" ht="18" customHeight="1" x14ac:dyDescent="0.45">
      <c r="A244" s="6"/>
      <c r="B244" s="12"/>
      <c r="C244" s="13"/>
      <c r="D244" s="10" t="str">
        <f t="shared" si="12"/>
        <v/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12"/>
      <c r="U244" s="6"/>
      <c r="V244" s="11" t="str">
        <f>IF(E244="","",IFERROR(SUMIF('10-Day Compliance'!$A:$A,E244,'10-Day Compliance'!$E:$E),0))</f>
        <v/>
      </c>
      <c r="W244" s="10" t="str">
        <f t="shared" si="13"/>
        <v/>
      </c>
      <c r="X244" s="6"/>
      <c r="Y244" s="6"/>
      <c r="Z244" s="11" t="str">
        <f t="shared" ca="1" si="14"/>
        <v/>
      </c>
      <c r="AA244" s="12"/>
      <c r="AB244" s="12"/>
      <c r="AC244" s="6"/>
      <c r="AD244" s="12"/>
      <c r="AE244" s="12"/>
      <c r="AF244" s="6"/>
      <c r="AG244" s="11" t="str">
        <f t="shared" ca="1" si="15"/>
        <v/>
      </c>
      <c r="AH244" s="6"/>
    </row>
    <row r="245" spans="1:34" ht="18" customHeight="1" x14ac:dyDescent="0.45">
      <c r="A245" s="4"/>
      <c r="B245" s="8"/>
      <c r="C245" s="9"/>
      <c r="D245" s="10" t="str">
        <f t="shared" si="12"/>
        <v/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8"/>
      <c r="U245" s="4"/>
      <c r="V245" s="11" t="str">
        <f>IF(E245="","",IFERROR(SUMIF('10-Day Compliance'!$A:$A,E245,'10-Day Compliance'!$E:$E),0))</f>
        <v/>
      </c>
      <c r="W245" s="10" t="str">
        <f t="shared" si="13"/>
        <v/>
      </c>
      <c r="X245" s="4"/>
      <c r="Y245" s="4"/>
      <c r="Z245" s="11" t="str">
        <f t="shared" ca="1" si="14"/>
        <v/>
      </c>
      <c r="AA245" s="8"/>
      <c r="AB245" s="8"/>
      <c r="AC245" s="4"/>
      <c r="AD245" s="8"/>
      <c r="AE245" s="8"/>
      <c r="AF245" s="4"/>
      <c r="AG245" s="11" t="str">
        <f t="shared" ca="1" si="15"/>
        <v/>
      </c>
      <c r="AH245" s="4"/>
    </row>
    <row r="246" spans="1:34" ht="18" customHeight="1" x14ac:dyDescent="0.45">
      <c r="A246" s="6"/>
      <c r="B246" s="12"/>
      <c r="C246" s="13"/>
      <c r="D246" s="10" t="str">
        <f t="shared" si="12"/>
        <v/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12"/>
      <c r="U246" s="6"/>
      <c r="V246" s="11" t="str">
        <f>IF(E246="","",IFERROR(SUMIF('10-Day Compliance'!$A:$A,E246,'10-Day Compliance'!$E:$E),0))</f>
        <v/>
      </c>
      <c r="W246" s="10" t="str">
        <f t="shared" si="13"/>
        <v/>
      </c>
      <c r="X246" s="6"/>
      <c r="Y246" s="6"/>
      <c r="Z246" s="11" t="str">
        <f t="shared" ca="1" si="14"/>
        <v/>
      </c>
      <c r="AA246" s="12"/>
      <c r="AB246" s="12"/>
      <c r="AC246" s="6"/>
      <c r="AD246" s="12"/>
      <c r="AE246" s="12"/>
      <c r="AF246" s="6"/>
      <c r="AG246" s="11" t="str">
        <f t="shared" ca="1" si="15"/>
        <v/>
      </c>
      <c r="AH246" s="6"/>
    </row>
    <row r="247" spans="1:34" ht="18" customHeight="1" x14ac:dyDescent="0.45">
      <c r="A247" s="4"/>
      <c r="B247" s="8"/>
      <c r="C247" s="9"/>
      <c r="D247" s="10" t="str">
        <f t="shared" si="12"/>
        <v/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8"/>
      <c r="U247" s="4"/>
      <c r="V247" s="11" t="str">
        <f>IF(E247="","",IFERROR(SUMIF('10-Day Compliance'!$A:$A,E247,'10-Day Compliance'!$E:$E),0))</f>
        <v/>
      </c>
      <c r="W247" s="10" t="str">
        <f t="shared" si="13"/>
        <v/>
      </c>
      <c r="X247" s="4"/>
      <c r="Y247" s="4"/>
      <c r="Z247" s="11" t="str">
        <f t="shared" ca="1" si="14"/>
        <v/>
      </c>
      <c r="AA247" s="8"/>
      <c r="AB247" s="8"/>
      <c r="AC247" s="4"/>
      <c r="AD247" s="8"/>
      <c r="AE247" s="8"/>
      <c r="AF247" s="4"/>
      <c r="AG247" s="11" t="str">
        <f t="shared" ca="1" si="15"/>
        <v/>
      </c>
      <c r="AH247" s="4"/>
    </row>
    <row r="248" spans="1:34" ht="18" customHeight="1" x14ac:dyDescent="0.45">
      <c r="A248" s="6"/>
      <c r="B248" s="12"/>
      <c r="C248" s="13"/>
      <c r="D248" s="10" t="str">
        <f t="shared" si="12"/>
        <v/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12"/>
      <c r="U248" s="6"/>
      <c r="V248" s="11" t="str">
        <f>IF(E248="","",IFERROR(SUMIF('10-Day Compliance'!$A:$A,E248,'10-Day Compliance'!$E:$E),0))</f>
        <v/>
      </c>
      <c r="W248" s="10" t="str">
        <f t="shared" si="13"/>
        <v/>
      </c>
      <c r="X248" s="6"/>
      <c r="Y248" s="6"/>
      <c r="Z248" s="11" t="str">
        <f t="shared" ca="1" si="14"/>
        <v/>
      </c>
      <c r="AA248" s="12"/>
      <c r="AB248" s="12"/>
      <c r="AC248" s="6"/>
      <c r="AD248" s="12"/>
      <c r="AE248" s="12"/>
      <c r="AF248" s="6"/>
      <c r="AG248" s="11" t="str">
        <f t="shared" ca="1" si="15"/>
        <v/>
      </c>
      <c r="AH248" s="6"/>
    </row>
    <row r="249" spans="1:34" ht="18" customHeight="1" x14ac:dyDescent="0.45">
      <c r="A249" s="4"/>
      <c r="B249" s="8"/>
      <c r="C249" s="9"/>
      <c r="D249" s="10" t="str">
        <f t="shared" si="12"/>
        <v/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8"/>
      <c r="U249" s="4"/>
      <c r="V249" s="11" t="str">
        <f>IF(E249="","",IFERROR(SUMIF('10-Day Compliance'!$A:$A,E249,'10-Day Compliance'!$E:$E),0))</f>
        <v/>
      </c>
      <c r="W249" s="10" t="str">
        <f t="shared" si="13"/>
        <v/>
      </c>
      <c r="X249" s="4"/>
      <c r="Y249" s="4"/>
      <c r="Z249" s="11" t="str">
        <f t="shared" ca="1" si="14"/>
        <v/>
      </c>
      <c r="AA249" s="8"/>
      <c r="AB249" s="8"/>
      <c r="AC249" s="4"/>
      <c r="AD249" s="8"/>
      <c r="AE249" s="8"/>
      <c r="AF249" s="4"/>
      <c r="AG249" s="11" t="str">
        <f t="shared" ca="1" si="15"/>
        <v/>
      </c>
      <c r="AH249" s="4"/>
    </row>
    <row r="250" spans="1:34" ht="18" customHeight="1" x14ac:dyDescent="0.45">
      <c r="A250" s="6"/>
      <c r="B250" s="12"/>
      <c r="C250" s="13"/>
      <c r="D250" s="10" t="str">
        <f t="shared" si="12"/>
        <v/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12"/>
      <c r="U250" s="6"/>
      <c r="V250" s="11" t="str">
        <f>IF(E250="","",IFERROR(SUMIF('10-Day Compliance'!$A:$A,E250,'10-Day Compliance'!$E:$E),0))</f>
        <v/>
      </c>
      <c r="W250" s="10" t="str">
        <f t="shared" si="13"/>
        <v/>
      </c>
      <c r="X250" s="6"/>
      <c r="Y250" s="6"/>
      <c r="Z250" s="11" t="str">
        <f t="shared" ca="1" si="14"/>
        <v/>
      </c>
      <c r="AA250" s="12"/>
      <c r="AB250" s="12"/>
      <c r="AC250" s="6"/>
      <c r="AD250" s="12"/>
      <c r="AE250" s="12"/>
      <c r="AF250" s="6"/>
      <c r="AG250" s="11" t="str">
        <f t="shared" ca="1" si="15"/>
        <v/>
      </c>
      <c r="AH250" s="6"/>
    </row>
    <row r="251" spans="1:34" ht="18" customHeight="1" x14ac:dyDescent="0.45">
      <c r="A251" s="4"/>
      <c r="B251" s="8"/>
      <c r="C251" s="9"/>
      <c r="D251" s="10" t="str">
        <f t="shared" si="12"/>
        <v/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8"/>
      <c r="U251" s="4"/>
      <c r="V251" s="11" t="str">
        <f>IF(E251="","",IFERROR(SUMIF('10-Day Compliance'!$A:$A,E251,'10-Day Compliance'!$E:$E),0))</f>
        <v/>
      </c>
      <c r="W251" s="10" t="str">
        <f t="shared" si="13"/>
        <v/>
      </c>
      <c r="X251" s="4"/>
      <c r="Y251" s="4"/>
      <c r="Z251" s="11" t="str">
        <f t="shared" ca="1" si="14"/>
        <v/>
      </c>
      <c r="AA251" s="8"/>
      <c r="AB251" s="8"/>
      <c r="AC251" s="4"/>
      <c r="AD251" s="8"/>
      <c r="AE251" s="8"/>
      <c r="AF251" s="4"/>
      <c r="AG251" s="11" t="str">
        <f t="shared" ca="1" si="15"/>
        <v/>
      </c>
      <c r="AH251" s="4"/>
    </row>
    <row r="252" spans="1:34" ht="18" customHeight="1" x14ac:dyDescent="0.45">
      <c r="A252" s="6"/>
      <c r="B252" s="12"/>
      <c r="C252" s="13"/>
      <c r="D252" s="10" t="str">
        <f t="shared" si="12"/>
        <v/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12"/>
      <c r="U252" s="6"/>
      <c r="V252" s="11" t="str">
        <f>IF(E252="","",IFERROR(SUMIF('10-Day Compliance'!$A:$A,E252,'10-Day Compliance'!$E:$E),0))</f>
        <v/>
      </c>
      <c r="W252" s="10" t="str">
        <f t="shared" si="13"/>
        <v/>
      </c>
      <c r="X252" s="6"/>
      <c r="Y252" s="6"/>
      <c r="Z252" s="11" t="str">
        <f t="shared" ca="1" si="14"/>
        <v/>
      </c>
      <c r="AA252" s="12"/>
      <c r="AB252" s="12"/>
      <c r="AC252" s="6"/>
      <c r="AD252" s="12"/>
      <c r="AE252" s="12"/>
      <c r="AF252" s="6"/>
      <c r="AG252" s="11" t="str">
        <f t="shared" ca="1" si="15"/>
        <v/>
      </c>
      <c r="AH252" s="6"/>
    </row>
    <row r="253" spans="1:34" ht="18" customHeight="1" x14ac:dyDescent="0.45">
      <c r="A253" s="4"/>
      <c r="B253" s="8"/>
      <c r="C253" s="9"/>
      <c r="D253" s="10" t="str">
        <f t="shared" si="12"/>
        <v/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8"/>
      <c r="U253" s="4"/>
      <c r="V253" s="11" t="str">
        <f>IF(E253="","",IFERROR(SUMIF('10-Day Compliance'!$A:$A,E253,'10-Day Compliance'!$E:$E),0))</f>
        <v/>
      </c>
      <c r="W253" s="10" t="str">
        <f t="shared" si="13"/>
        <v/>
      </c>
      <c r="X253" s="4"/>
      <c r="Y253" s="4"/>
      <c r="Z253" s="11" t="str">
        <f t="shared" ca="1" si="14"/>
        <v/>
      </c>
      <c r="AA253" s="8"/>
      <c r="AB253" s="8"/>
      <c r="AC253" s="4"/>
      <c r="AD253" s="8"/>
      <c r="AE253" s="8"/>
      <c r="AF253" s="4"/>
      <c r="AG253" s="11" t="str">
        <f t="shared" ca="1" si="15"/>
        <v/>
      </c>
      <c r="AH253" s="4"/>
    </row>
    <row r="254" spans="1:34" ht="18" customHeight="1" x14ac:dyDescent="0.45">
      <c r="A254" s="6"/>
      <c r="B254" s="12"/>
      <c r="C254" s="13"/>
      <c r="D254" s="10" t="str">
        <f t="shared" si="12"/>
        <v/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12"/>
      <c r="U254" s="6"/>
      <c r="V254" s="11" t="str">
        <f>IF(E254="","",IFERROR(SUMIF('10-Day Compliance'!$A:$A,E254,'10-Day Compliance'!$E:$E),0))</f>
        <v/>
      </c>
      <c r="W254" s="10" t="str">
        <f t="shared" si="13"/>
        <v/>
      </c>
      <c r="X254" s="6"/>
      <c r="Y254" s="6"/>
      <c r="Z254" s="11" t="str">
        <f t="shared" ca="1" si="14"/>
        <v/>
      </c>
      <c r="AA254" s="12"/>
      <c r="AB254" s="12"/>
      <c r="AC254" s="6"/>
      <c r="AD254" s="12"/>
      <c r="AE254" s="12"/>
      <c r="AF254" s="6"/>
      <c r="AG254" s="11" t="str">
        <f t="shared" ca="1" si="15"/>
        <v/>
      </c>
      <c r="AH254" s="6"/>
    </row>
    <row r="255" spans="1:34" ht="18" customHeight="1" x14ac:dyDescent="0.45">
      <c r="A255" s="4"/>
      <c r="B255" s="8"/>
      <c r="C255" s="9"/>
      <c r="D255" s="10" t="str">
        <f t="shared" si="12"/>
        <v/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8"/>
      <c r="U255" s="4"/>
      <c r="V255" s="11" t="str">
        <f>IF(E255="","",IFERROR(SUMIF('10-Day Compliance'!$A:$A,E255,'10-Day Compliance'!$E:$E),0))</f>
        <v/>
      </c>
      <c r="W255" s="10" t="str">
        <f t="shared" si="13"/>
        <v/>
      </c>
      <c r="X255" s="4"/>
      <c r="Y255" s="4"/>
      <c r="Z255" s="11" t="str">
        <f t="shared" ca="1" si="14"/>
        <v/>
      </c>
      <c r="AA255" s="8"/>
      <c r="AB255" s="8"/>
      <c r="AC255" s="4"/>
      <c r="AD255" s="8"/>
      <c r="AE255" s="8"/>
      <c r="AF255" s="4"/>
      <c r="AG255" s="11" t="str">
        <f t="shared" ca="1" si="15"/>
        <v/>
      </c>
      <c r="AH255" s="4"/>
    </row>
    <row r="256" spans="1:34" ht="18" customHeight="1" x14ac:dyDescent="0.45">
      <c r="A256" s="6"/>
      <c r="B256" s="12"/>
      <c r="C256" s="13"/>
      <c r="D256" s="10" t="str">
        <f t="shared" si="12"/>
        <v/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12"/>
      <c r="U256" s="6"/>
      <c r="V256" s="11" t="str">
        <f>IF(E256="","",IFERROR(SUMIF('10-Day Compliance'!$A:$A,E256,'10-Day Compliance'!$E:$E),0))</f>
        <v/>
      </c>
      <c r="W256" s="10" t="str">
        <f t="shared" si="13"/>
        <v/>
      </c>
      <c r="X256" s="6"/>
      <c r="Y256" s="6"/>
      <c r="Z256" s="11" t="str">
        <f t="shared" ca="1" si="14"/>
        <v/>
      </c>
      <c r="AA256" s="12"/>
      <c r="AB256" s="12"/>
      <c r="AC256" s="6"/>
      <c r="AD256" s="12"/>
      <c r="AE256" s="12"/>
      <c r="AF256" s="6"/>
      <c r="AG256" s="11" t="str">
        <f t="shared" ca="1" si="15"/>
        <v/>
      </c>
      <c r="AH256" s="6"/>
    </row>
    <row r="257" spans="1:34" ht="18" customHeight="1" x14ac:dyDescent="0.45">
      <c r="A257" s="4"/>
      <c r="B257" s="8"/>
      <c r="C257" s="9"/>
      <c r="D257" s="10" t="str">
        <f t="shared" si="12"/>
        <v/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8"/>
      <c r="U257" s="4"/>
      <c r="V257" s="11" t="str">
        <f>IF(E257="","",IFERROR(SUMIF('10-Day Compliance'!$A:$A,E257,'10-Day Compliance'!$E:$E),0))</f>
        <v/>
      </c>
      <c r="W257" s="10" t="str">
        <f t="shared" si="13"/>
        <v/>
      </c>
      <c r="X257" s="4"/>
      <c r="Y257" s="4"/>
      <c r="Z257" s="11" t="str">
        <f t="shared" ca="1" si="14"/>
        <v/>
      </c>
      <c r="AA257" s="8"/>
      <c r="AB257" s="8"/>
      <c r="AC257" s="4"/>
      <c r="AD257" s="8"/>
      <c r="AE257" s="8"/>
      <c r="AF257" s="4"/>
      <c r="AG257" s="11" t="str">
        <f t="shared" ca="1" si="15"/>
        <v/>
      </c>
      <c r="AH257" s="4"/>
    </row>
    <row r="258" spans="1:34" ht="18" customHeight="1" x14ac:dyDescent="0.45">
      <c r="A258" s="6"/>
      <c r="B258" s="12"/>
      <c r="C258" s="13"/>
      <c r="D258" s="10" t="str">
        <f t="shared" si="12"/>
        <v/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12"/>
      <c r="U258" s="6"/>
      <c r="V258" s="11" t="str">
        <f>IF(E258="","",IFERROR(SUMIF('10-Day Compliance'!$A:$A,E258,'10-Day Compliance'!$E:$E),0))</f>
        <v/>
      </c>
      <c r="W258" s="10" t="str">
        <f t="shared" si="13"/>
        <v/>
      </c>
      <c r="X258" s="6"/>
      <c r="Y258" s="6"/>
      <c r="Z258" s="11" t="str">
        <f t="shared" ca="1" si="14"/>
        <v/>
      </c>
      <c r="AA258" s="12"/>
      <c r="AB258" s="12"/>
      <c r="AC258" s="6"/>
      <c r="AD258" s="12"/>
      <c r="AE258" s="12"/>
      <c r="AF258" s="6"/>
      <c r="AG258" s="11" t="str">
        <f t="shared" ca="1" si="15"/>
        <v/>
      </c>
      <c r="AH258" s="6"/>
    </row>
    <row r="259" spans="1:34" ht="18" customHeight="1" x14ac:dyDescent="0.45">
      <c r="A259" s="4"/>
      <c r="B259" s="8"/>
      <c r="C259" s="9"/>
      <c r="D259" s="10" t="str">
        <f t="shared" si="12"/>
        <v/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8"/>
      <c r="U259" s="4"/>
      <c r="V259" s="11" t="str">
        <f>IF(E259="","",IFERROR(SUMIF('10-Day Compliance'!$A:$A,E259,'10-Day Compliance'!$E:$E),0))</f>
        <v/>
      </c>
      <c r="W259" s="10" t="str">
        <f t="shared" si="13"/>
        <v/>
      </c>
      <c r="X259" s="4"/>
      <c r="Y259" s="4"/>
      <c r="Z259" s="11" t="str">
        <f t="shared" ca="1" si="14"/>
        <v/>
      </c>
      <c r="AA259" s="8"/>
      <c r="AB259" s="8"/>
      <c r="AC259" s="4"/>
      <c r="AD259" s="8"/>
      <c r="AE259" s="8"/>
      <c r="AF259" s="4"/>
      <c r="AG259" s="11" t="str">
        <f t="shared" ca="1" si="15"/>
        <v/>
      </c>
      <c r="AH259" s="4"/>
    </row>
    <row r="260" spans="1:34" ht="18" customHeight="1" x14ac:dyDescent="0.45">
      <c r="A260" s="6"/>
      <c r="B260" s="12"/>
      <c r="C260" s="13"/>
      <c r="D260" s="10" t="str">
        <f t="shared" si="12"/>
        <v/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12"/>
      <c r="U260" s="6"/>
      <c r="V260" s="11" t="str">
        <f>IF(E260="","",IFERROR(SUMIF('10-Day Compliance'!$A:$A,E260,'10-Day Compliance'!$E:$E),0))</f>
        <v/>
      </c>
      <c r="W260" s="10" t="str">
        <f t="shared" si="13"/>
        <v/>
      </c>
      <c r="X260" s="6"/>
      <c r="Y260" s="6"/>
      <c r="Z260" s="11" t="str">
        <f t="shared" ca="1" si="14"/>
        <v/>
      </c>
      <c r="AA260" s="12"/>
      <c r="AB260" s="12"/>
      <c r="AC260" s="6"/>
      <c r="AD260" s="12"/>
      <c r="AE260" s="12"/>
      <c r="AF260" s="6"/>
      <c r="AG260" s="11" t="str">
        <f t="shared" ca="1" si="15"/>
        <v/>
      </c>
      <c r="AH260" s="6"/>
    </row>
    <row r="261" spans="1:34" ht="18" customHeight="1" x14ac:dyDescent="0.45">
      <c r="A261" s="4"/>
      <c r="B261" s="8"/>
      <c r="C261" s="9"/>
      <c r="D261" s="10" t="str">
        <f t="shared" ref="D261:D304" si="16">IF(B261="","",TEXT(B261,"DDDD"))</f>
        <v/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8"/>
      <c r="U261" s="4"/>
      <c r="V261" s="11" t="str">
        <f>IF(E261="","",IFERROR(SUMIF('10-Day Compliance'!$A:$A,E261,'10-Day Compliance'!$E:$E),0))</f>
        <v/>
      </c>
      <c r="W261" s="10" t="str">
        <f t="shared" ref="W261:W324" si="17">IF(U261="No","",IF(V261="","",IF(V261&gt;=10,"🔴 EXCEEDED — MDR NOW",IF(V261&gt;=9,"🟠 URGENT — DAY "&amp;V261,IF(V261&gt;=7,"🟡 WARNING — DAY "&amp;V261,"✅ OK — Day "&amp;V261)))))</f>
        <v/>
      </c>
      <c r="X261" s="4"/>
      <c r="Y261" s="4"/>
      <c r="Z261" s="11" t="str">
        <f t="shared" ref="Z261:Z304" ca="1" si="18">IF(OR(B261="",X261="Closed"),"",TODAY()-B261)</f>
        <v/>
      </c>
      <c r="AA261" s="8"/>
      <c r="AB261" s="8"/>
      <c r="AC261" s="4"/>
      <c r="AD261" s="8"/>
      <c r="AE261" s="8"/>
      <c r="AF261" s="4"/>
      <c r="AG261" s="11" t="str">
        <f t="shared" ref="AG261:AG304" ca="1" si="19">IF(B261="","",TODAY()-B261)</f>
        <v/>
      </c>
      <c r="AH261" s="4"/>
    </row>
    <row r="262" spans="1:34" ht="18" customHeight="1" x14ac:dyDescent="0.45">
      <c r="A262" s="6"/>
      <c r="B262" s="12"/>
      <c r="C262" s="13"/>
      <c r="D262" s="10" t="str">
        <f t="shared" si="16"/>
        <v/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12"/>
      <c r="U262" s="6"/>
      <c r="V262" s="11" t="str">
        <f>IF(E262="","",IFERROR(SUMIF('10-Day Compliance'!$A:$A,E262,'10-Day Compliance'!$E:$E),0))</f>
        <v/>
      </c>
      <c r="W262" s="10" t="str">
        <f t="shared" si="17"/>
        <v/>
      </c>
      <c r="X262" s="6"/>
      <c r="Y262" s="6"/>
      <c r="Z262" s="11" t="str">
        <f t="shared" ca="1" si="18"/>
        <v/>
      </c>
      <c r="AA262" s="12"/>
      <c r="AB262" s="12"/>
      <c r="AC262" s="6"/>
      <c r="AD262" s="12"/>
      <c r="AE262" s="12"/>
      <c r="AF262" s="6"/>
      <c r="AG262" s="11" t="str">
        <f t="shared" ca="1" si="19"/>
        <v/>
      </c>
      <c r="AH262" s="6"/>
    </row>
    <row r="263" spans="1:34" ht="18" customHeight="1" x14ac:dyDescent="0.45">
      <c r="A263" s="4"/>
      <c r="B263" s="8"/>
      <c r="C263" s="9"/>
      <c r="D263" s="10" t="str">
        <f t="shared" si="16"/>
        <v/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8"/>
      <c r="U263" s="4"/>
      <c r="V263" s="11" t="str">
        <f>IF(E263="","",IFERROR(SUMIF('10-Day Compliance'!$A:$A,E263,'10-Day Compliance'!$E:$E),0))</f>
        <v/>
      </c>
      <c r="W263" s="10" t="str">
        <f t="shared" si="17"/>
        <v/>
      </c>
      <c r="X263" s="4"/>
      <c r="Y263" s="4"/>
      <c r="Z263" s="11" t="str">
        <f t="shared" ca="1" si="18"/>
        <v/>
      </c>
      <c r="AA263" s="8"/>
      <c r="AB263" s="8"/>
      <c r="AC263" s="4"/>
      <c r="AD263" s="8"/>
      <c r="AE263" s="8"/>
      <c r="AF263" s="4"/>
      <c r="AG263" s="11" t="str">
        <f t="shared" ca="1" si="19"/>
        <v/>
      </c>
      <c r="AH263" s="4"/>
    </row>
    <row r="264" spans="1:34" ht="18" customHeight="1" x14ac:dyDescent="0.45">
      <c r="A264" s="6"/>
      <c r="B264" s="12"/>
      <c r="C264" s="13"/>
      <c r="D264" s="10" t="str">
        <f t="shared" si="16"/>
        <v/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12"/>
      <c r="U264" s="6"/>
      <c r="V264" s="11" t="str">
        <f>IF(E264="","",IFERROR(SUMIF('10-Day Compliance'!$A:$A,E264,'10-Day Compliance'!$E:$E),0))</f>
        <v/>
      </c>
      <c r="W264" s="10" t="str">
        <f t="shared" si="17"/>
        <v/>
      </c>
      <c r="X264" s="6"/>
      <c r="Y264" s="6"/>
      <c r="Z264" s="11" t="str">
        <f t="shared" ca="1" si="18"/>
        <v/>
      </c>
      <c r="AA264" s="12"/>
      <c r="AB264" s="12"/>
      <c r="AC264" s="6"/>
      <c r="AD264" s="12"/>
      <c r="AE264" s="12"/>
      <c r="AF264" s="6"/>
      <c r="AG264" s="11" t="str">
        <f t="shared" ca="1" si="19"/>
        <v/>
      </c>
      <c r="AH264" s="6"/>
    </row>
    <row r="265" spans="1:34" ht="18" customHeight="1" x14ac:dyDescent="0.45">
      <c r="A265" s="4"/>
      <c r="B265" s="8"/>
      <c r="C265" s="9"/>
      <c r="D265" s="10" t="str">
        <f t="shared" si="16"/>
        <v/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8"/>
      <c r="U265" s="4"/>
      <c r="V265" s="11" t="str">
        <f>IF(E265="","",IFERROR(SUMIF('10-Day Compliance'!$A:$A,E265,'10-Day Compliance'!$E:$E),0))</f>
        <v/>
      </c>
      <c r="W265" s="10" t="str">
        <f t="shared" si="17"/>
        <v/>
      </c>
      <c r="X265" s="4"/>
      <c r="Y265" s="4"/>
      <c r="Z265" s="11" t="str">
        <f t="shared" ca="1" si="18"/>
        <v/>
      </c>
      <c r="AA265" s="8"/>
      <c r="AB265" s="8"/>
      <c r="AC265" s="4"/>
      <c r="AD265" s="8"/>
      <c r="AE265" s="8"/>
      <c r="AF265" s="4"/>
      <c r="AG265" s="11" t="str">
        <f t="shared" ca="1" si="19"/>
        <v/>
      </c>
      <c r="AH265" s="4"/>
    </row>
    <row r="266" spans="1:34" ht="18" customHeight="1" x14ac:dyDescent="0.45">
      <c r="A266" s="6"/>
      <c r="B266" s="12"/>
      <c r="C266" s="13"/>
      <c r="D266" s="10" t="str">
        <f t="shared" si="16"/>
        <v/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12"/>
      <c r="U266" s="6"/>
      <c r="V266" s="11" t="str">
        <f>IF(E266="","",IFERROR(SUMIF('10-Day Compliance'!$A:$A,E266,'10-Day Compliance'!$E:$E),0))</f>
        <v/>
      </c>
      <c r="W266" s="10" t="str">
        <f t="shared" si="17"/>
        <v/>
      </c>
      <c r="X266" s="6"/>
      <c r="Y266" s="6"/>
      <c r="Z266" s="11" t="str">
        <f t="shared" ca="1" si="18"/>
        <v/>
      </c>
      <c r="AA266" s="12"/>
      <c r="AB266" s="12"/>
      <c r="AC266" s="6"/>
      <c r="AD266" s="12"/>
      <c r="AE266" s="12"/>
      <c r="AF266" s="6"/>
      <c r="AG266" s="11" t="str">
        <f t="shared" ca="1" si="19"/>
        <v/>
      </c>
      <c r="AH266" s="6"/>
    </row>
    <row r="267" spans="1:34" ht="18" customHeight="1" x14ac:dyDescent="0.45">
      <c r="A267" s="4"/>
      <c r="B267" s="8"/>
      <c r="C267" s="9"/>
      <c r="D267" s="10" t="str">
        <f t="shared" si="16"/>
        <v/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8"/>
      <c r="U267" s="4"/>
      <c r="V267" s="11" t="str">
        <f>IF(E267="","",IFERROR(SUMIF('10-Day Compliance'!$A:$A,E267,'10-Day Compliance'!$E:$E),0))</f>
        <v/>
      </c>
      <c r="W267" s="10" t="str">
        <f t="shared" si="17"/>
        <v/>
      </c>
      <c r="X267" s="4"/>
      <c r="Y267" s="4"/>
      <c r="Z267" s="11" t="str">
        <f t="shared" ca="1" si="18"/>
        <v/>
      </c>
      <c r="AA267" s="8"/>
      <c r="AB267" s="8"/>
      <c r="AC267" s="4"/>
      <c r="AD267" s="8"/>
      <c r="AE267" s="8"/>
      <c r="AF267" s="4"/>
      <c r="AG267" s="11" t="str">
        <f t="shared" ca="1" si="19"/>
        <v/>
      </c>
      <c r="AH267" s="4"/>
    </row>
    <row r="268" spans="1:34" ht="18" customHeight="1" x14ac:dyDescent="0.45">
      <c r="A268" s="6"/>
      <c r="B268" s="12"/>
      <c r="C268" s="13"/>
      <c r="D268" s="10" t="str">
        <f t="shared" si="16"/>
        <v/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12"/>
      <c r="U268" s="6"/>
      <c r="V268" s="11" t="str">
        <f>IF(E268="","",IFERROR(SUMIF('10-Day Compliance'!$A:$A,E268,'10-Day Compliance'!$E:$E),0))</f>
        <v/>
      </c>
      <c r="W268" s="10" t="str">
        <f t="shared" si="17"/>
        <v/>
      </c>
      <c r="X268" s="6"/>
      <c r="Y268" s="6"/>
      <c r="Z268" s="11" t="str">
        <f t="shared" ca="1" si="18"/>
        <v/>
      </c>
      <c r="AA268" s="12"/>
      <c r="AB268" s="12"/>
      <c r="AC268" s="6"/>
      <c r="AD268" s="12"/>
      <c r="AE268" s="12"/>
      <c r="AF268" s="6"/>
      <c r="AG268" s="11" t="str">
        <f t="shared" ca="1" si="19"/>
        <v/>
      </c>
      <c r="AH268" s="6"/>
    </row>
    <row r="269" spans="1:34" ht="18" customHeight="1" x14ac:dyDescent="0.45">
      <c r="A269" s="4"/>
      <c r="B269" s="8"/>
      <c r="C269" s="9"/>
      <c r="D269" s="10" t="str">
        <f t="shared" si="16"/>
        <v/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8"/>
      <c r="U269" s="4"/>
      <c r="V269" s="11" t="str">
        <f>IF(E269="","",IFERROR(SUMIF('10-Day Compliance'!$A:$A,E269,'10-Day Compliance'!$E:$E),0))</f>
        <v/>
      </c>
      <c r="W269" s="10" t="str">
        <f t="shared" si="17"/>
        <v/>
      </c>
      <c r="X269" s="4"/>
      <c r="Y269" s="4"/>
      <c r="Z269" s="11" t="str">
        <f t="shared" ca="1" si="18"/>
        <v/>
      </c>
      <c r="AA269" s="8"/>
      <c r="AB269" s="8"/>
      <c r="AC269" s="4"/>
      <c r="AD269" s="8"/>
      <c r="AE269" s="8"/>
      <c r="AF269" s="4"/>
      <c r="AG269" s="11" t="str">
        <f t="shared" ca="1" si="19"/>
        <v/>
      </c>
      <c r="AH269" s="4"/>
    </row>
    <row r="270" spans="1:34" ht="18" customHeight="1" x14ac:dyDescent="0.45">
      <c r="A270" s="6"/>
      <c r="B270" s="12"/>
      <c r="C270" s="13"/>
      <c r="D270" s="10" t="str">
        <f t="shared" si="16"/>
        <v/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12"/>
      <c r="U270" s="6"/>
      <c r="V270" s="11" t="str">
        <f>IF(E270="","",IFERROR(SUMIF('10-Day Compliance'!$A:$A,E270,'10-Day Compliance'!$E:$E),0))</f>
        <v/>
      </c>
      <c r="W270" s="10" t="str">
        <f t="shared" si="17"/>
        <v/>
      </c>
      <c r="X270" s="6"/>
      <c r="Y270" s="6"/>
      <c r="Z270" s="11" t="str">
        <f t="shared" ca="1" si="18"/>
        <v/>
      </c>
      <c r="AA270" s="12"/>
      <c r="AB270" s="12"/>
      <c r="AC270" s="6"/>
      <c r="AD270" s="12"/>
      <c r="AE270" s="12"/>
      <c r="AF270" s="6"/>
      <c r="AG270" s="11" t="str">
        <f t="shared" ca="1" si="19"/>
        <v/>
      </c>
      <c r="AH270" s="6"/>
    </row>
    <row r="271" spans="1:34" ht="18" customHeight="1" x14ac:dyDescent="0.45">
      <c r="A271" s="4"/>
      <c r="B271" s="8"/>
      <c r="C271" s="9"/>
      <c r="D271" s="10" t="str">
        <f t="shared" si="16"/>
        <v/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8"/>
      <c r="U271" s="4"/>
      <c r="V271" s="11" t="str">
        <f>IF(E271="","",IFERROR(SUMIF('10-Day Compliance'!$A:$A,E271,'10-Day Compliance'!$E:$E),0))</f>
        <v/>
      </c>
      <c r="W271" s="10" t="str">
        <f t="shared" si="17"/>
        <v/>
      </c>
      <c r="X271" s="4"/>
      <c r="Y271" s="4"/>
      <c r="Z271" s="11" t="str">
        <f t="shared" ca="1" si="18"/>
        <v/>
      </c>
      <c r="AA271" s="8"/>
      <c r="AB271" s="8"/>
      <c r="AC271" s="4"/>
      <c r="AD271" s="8"/>
      <c r="AE271" s="8"/>
      <c r="AF271" s="4"/>
      <c r="AG271" s="11" t="str">
        <f t="shared" ca="1" si="19"/>
        <v/>
      </c>
      <c r="AH271" s="4"/>
    </row>
    <row r="272" spans="1:34" ht="18" customHeight="1" x14ac:dyDescent="0.45">
      <c r="A272" s="6"/>
      <c r="B272" s="12"/>
      <c r="C272" s="13"/>
      <c r="D272" s="10" t="str">
        <f t="shared" si="16"/>
        <v/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12"/>
      <c r="U272" s="6"/>
      <c r="V272" s="11" t="str">
        <f>IF(E272="","",IFERROR(SUMIF('10-Day Compliance'!$A:$A,E272,'10-Day Compliance'!$E:$E),0))</f>
        <v/>
      </c>
      <c r="W272" s="10" t="str">
        <f t="shared" si="17"/>
        <v/>
      </c>
      <c r="X272" s="6"/>
      <c r="Y272" s="6"/>
      <c r="Z272" s="11" t="str">
        <f t="shared" ca="1" si="18"/>
        <v/>
      </c>
      <c r="AA272" s="12"/>
      <c r="AB272" s="12"/>
      <c r="AC272" s="6"/>
      <c r="AD272" s="12"/>
      <c r="AE272" s="12"/>
      <c r="AF272" s="6"/>
      <c r="AG272" s="11" t="str">
        <f t="shared" ca="1" si="19"/>
        <v/>
      </c>
      <c r="AH272" s="6"/>
    </row>
    <row r="273" spans="1:34" ht="18" customHeight="1" x14ac:dyDescent="0.45">
      <c r="A273" s="4"/>
      <c r="B273" s="8"/>
      <c r="C273" s="9"/>
      <c r="D273" s="10" t="str">
        <f t="shared" si="16"/>
        <v/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8"/>
      <c r="U273" s="4"/>
      <c r="V273" s="11" t="str">
        <f>IF(E273="","",IFERROR(SUMIF('10-Day Compliance'!$A:$A,E273,'10-Day Compliance'!$E:$E),0))</f>
        <v/>
      </c>
      <c r="W273" s="10" t="str">
        <f t="shared" si="17"/>
        <v/>
      </c>
      <c r="X273" s="4"/>
      <c r="Y273" s="4"/>
      <c r="Z273" s="11" t="str">
        <f t="shared" ca="1" si="18"/>
        <v/>
      </c>
      <c r="AA273" s="8"/>
      <c r="AB273" s="8"/>
      <c r="AC273" s="4"/>
      <c r="AD273" s="8"/>
      <c r="AE273" s="8"/>
      <c r="AF273" s="4"/>
      <c r="AG273" s="11" t="str">
        <f t="shared" ca="1" si="19"/>
        <v/>
      </c>
      <c r="AH273" s="4"/>
    </row>
    <row r="274" spans="1:34" ht="18" customHeight="1" x14ac:dyDescent="0.45">
      <c r="A274" s="6"/>
      <c r="B274" s="12"/>
      <c r="C274" s="13"/>
      <c r="D274" s="10" t="str">
        <f t="shared" si="16"/>
        <v/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12"/>
      <c r="U274" s="6"/>
      <c r="V274" s="11" t="str">
        <f>IF(E274="","",IFERROR(SUMIF('10-Day Compliance'!$A:$A,E274,'10-Day Compliance'!$E:$E),0))</f>
        <v/>
      </c>
      <c r="W274" s="10" t="str">
        <f t="shared" si="17"/>
        <v/>
      </c>
      <c r="X274" s="6"/>
      <c r="Y274" s="6"/>
      <c r="Z274" s="11" t="str">
        <f t="shared" ca="1" si="18"/>
        <v/>
      </c>
      <c r="AA274" s="12"/>
      <c r="AB274" s="12"/>
      <c r="AC274" s="6"/>
      <c r="AD274" s="12"/>
      <c r="AE274" s="12"/>
      <c r="AF274" s="6"/>
      <c r="AG274" s="11" t="str">
        <f t="shared" ca="1" si="19"/>
        <v/>
      </c>
      <c r="AH274" s="6"/>
    </row>
    <row r="275" spans="1:34" ht="18" customHeight="1" x14ac:dyDescent="0.45">
      <c r="A275" s="4"/>
      <c r="B275" s="8"/>
      <c r="C275" s="9"/>
      <c r="D275" s="10" t="str">
        <f t="shared" si="16"/>
        <v/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8"/>
      <c r="U275" s="4"/>
      <c r="V275" s="11" t="str">
        <f>IF(E275="","",IFERROR(SUMIF('10-Day Compliance'!$A:$A,E275,'10-Day Compliance'!$E:$E),0))</f>
        <v/>
      </c>
      <c r="W275" s="10" t="str">
        <f t="shared" si="17"/>
        <v/>
      </c>
      <c r="X275" s="4"/>
      <c r="Y275" s="4"/>
      <c r="Z275" s="11" t="str">
        <f t="shared" ca="1" si="18"/>
        <v/>
      </c>
      <c r="AA275" s="8"/>
      <c r="AB275" s="8"/>
      <c r="AC275" s="4"/>
      <c r="AD275" s="8"/>
      <c r="AE275" s="8"/>
      <c r="AF275" s="4"/>
      <c r="AG275" s="11" t="str">
        <f t="shared" ca="1" si="19"/>
        <v/>
      </c>
      <c r="AH275" s="4"/>
    </row>
    <row r="276" spans="1:34" ht="18" customHeight="1" x14ac:dyDescent="0.45">
      <c r="A276" s="6"/>
      <c r="B276" s="12"/>
      <c r="C276" s="13"/>
      <c r="D276" s="10" t="str">
        <f t="shared" si="16"/>
        <v/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12"/>
      <c r="U276" s="6"/>
      <c r="V276" s="11" t="str">
        <f>IF(E276="","",IFERROR(SUMIF('10-Day Compliance'!$A:$A,E276,'10-Day Compliance'!$E:$E),0))</f>
        <v/>
      </c>
      <c r="W276" s="10" t="str">
        <f t="shared" si="17"/>
        <v/>
      </c>
      <c r="X276" s="6"/>
      <c r="Y276" s="6"/>
      <c r="Z276" s="11" t="str">
        <f t="shared" ca="1" si="18"/>
        <v/>
      </c>
      <c r="AA276" s="12"/>
      <c r="AB276" s="12"/>
      <c r="AC276" s="6"/>
      <c r="AD276" s="12"/>
      <c r="AE276" s="12"/>
      <c r="AF276" s="6"/>
      <c r="AG276" s="11" t="str">
        <f t="shared" ca="1" si="19"/>
        <v/>
      </c>
      <c r="AH276" s="6"/>
    </row>
    <row r="277" spans="1:34" ht="18" customHeight="1" x14ac:dyDescent="0.45">
      <c r="A277" s="4"/>
      <c r="B277" s="8"/>
      <c r="C277" s="9"/>
      <c r="D277" s="10" t="str">
        <f t="shared" si="16"/>
        <v/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8"/>
      <c r="U277" s="4"/>
      <c r="V277" s="11" t="str">
        <f>IF(E277="","",IFERROR(SUMIF('10-Day Compliance'!$A:$A,E277,'10-Day Compliance'!$E:$E),0))</f>
        <v/>
      </c>
      <c r="W277" s="10" t="str">
        <f t="shared" si="17"/>
        <v/>
      </c>
      <c r="X277" s="4"/>
      <c r="Y277" s="4"/>
      <c r="Z277" s="11" t="str">
        <f t="shared" ca="1" si="18"/>
        <v/>
      </c>
      <c r="AA277" s="8"/>
      <c r="AB277" s="8"/>
      <c r="AC277" s="4"/>
      <c r="AD277" s="8"/>
      <c r="AE277" s="8"/>
      <c r="AF277" s="4"/>
      <c r="AG277" s="11" t="str">
        <f t="shared" ca="1" si="19"/>
        <v/>
      </c>
      <c r="AH277" s="4"/>
    </row>
    <row r="278" spans="1:34" ht="18" customHeight="1" x14ac:dyDescent="0.45">
      <c r="A278" s="6"/>
      <c r="B278" s="12"/>
      <c r="C278" s="13"/>
      <c r="D278" s="10" t="str">
        <f t="shared" si="16"/>
        <v/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12"/>
      <c r="U278" s="6"/>
      <c r="V278" s="11" t="str">
        <f>IF(E278="","",IFERROR(SUMIF('10-Day Compliance'!$A:$A,E278,'10-Day Compliance'!$E:$E),0))</f>
        <v/>
      </c>
      <c r="W278" s="10" t="str">
        <f t="shared" si="17"/>
        <v/>
      </c>
      <c r="X278" s="6"/>
      <c r="Y278" s="6"/>
      <c r="Z278" s="11" t="str">
        <f t="shared" ca="1" si="18"/>
        <v/>
      </c>
      <c r="AA278" s="12"/>
      <c r="AB278" s="12"/>
      <c r="AC278" s="6"/>
      <c r="AD278" s="12"/>
      <c r="AE278" s="12"/>
      <c r="AF278" s="6"/>
      <c r="AG278" s="11" t="str">
        <f t="shared" ca="1" si="19"/>
        <v/>
      </c>
      <c r="AH278" s="6"/>
    </row>
    <row r="279" spans="1:34" ht="18" customHeight="1" x14ac:dyDescent="0.45">
      <c r="A279" s="4"/>
      <c r="B279" s="8"/>
      <c r="C279" s="9"/>
      <c r="D279" s="10" t="str">
        <f t="shared" si="16"/>
        <v/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8"/>
      <c r="U279" s="4"/>
      <c r="V279" s="11" t="str">
        <f>IF(E279="","",IFERROR(SUMIF('10-Day Compliance'!$A:$A,E279,'10-Day Compliance'!$E:$E),0))</f>
        <v/>
      </c>
      <c r="W279" s="10" t="str">
        <f t="shared" si="17"/>
        <v/>
      </c>
      <c r="X279" s="4"/>
      <c r="Y279" s="4"/>
      <c r="Z279" s="11" t="str">
        <f t="shared" ca="1" si="18"/>
        <v/>
      </c>
      <c r="AA279" s="8"/>
      <c r="AB279" s="8"/>
      <c r="AC279" s="4"/>
      <c r="AD279" s="8"/>
      <c r="AE279" s="8"/>
      <c r="AF279" s="4"/>
      <c r="AG279" s="11" t="str">
        <f t="shared" ca="1" si="19"/>
        <v/>
      </c>
      <c r="AH279" s="4"/>
    </row>
    <row r="280" spans="1:34" ht="18" customHeight="1" x14ac:dyDescent="0.45">
      <c r="A280" s="6"/>
      <c r="B280" s="12"/>
      <c r="C280" s="13"/>
      <c r="D280" s="10" t="str">
        <f t="shared" si="16"/>
        <v/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12"/>
      <c r="U280" s="6"/>
      <c r="V280" s="11" t="str">
        <f>IF(E280="","",IFERROR(SUMIF('10-Day Compliance'!$A:$A,E280,'10-Day Compliance'!$E:$E),0))</f>
        <v/>
      </c>
      <c r="W280" s="10" t="str">
        <f t="shared" si="17"/>
        <v/>
      </c>
      <c r="X280" s="6"/>
      <c r="Y280" s="6"/>
      <c r="Z280" s="11" t="str">
        <f t="shared" ca="1" si="18"/>
        <v/>
      </c>
      <c r="AA280" s="12"/>
      <c r="AB280" s="12"/>
      <c r="AC280" s="6"/>
      <c r="AD280" s="12"/>
      <c r="AE280" s="12"/>
      <c r="AF280" s="6"/>
      <c r="AG280" s="11" t="str">
        <f t="shared" ca="1" si="19"/>
        <v/>
      </c>
      <c r="AH280" s="6"/>
    </row>
    <row r="281" spans="1:34" ht="18" customHeight="1" x14ac:dyDescent="0.45">
      <c r="A281" s="4"/>
      <c r="B281" s="8"/>
      <c r="C281" s="9"/>
      <c r="D281" s="10" t="str">
        <f t="shared" si="16"/>
        <v/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8"/>
      <c r="U281" s="4"/>
      <c r="V281" s="11" t="str">
        <f>IF(E281="","",IFERROR(SUMIF('10-Day Compliance'!$A:$A,E281,'10-Day Compliance'!$E:$E),0))</f>
        <v/>
      </c>
      <c r="W281" s="10" t="str">
        <f t="shared" si="17"/>
        <v/>
      </c>
      <c r="X281" s="4"/>
      <c r="Y281" s="4"/>
      <c r="Z281" s="11" t="str">
        <f t="shared" ca="1" si="18"/>
        <v/>
      </c>
      <c r="AA281" s="8"/>
      <c r="AB281" s="8"/>
      <c r="AC281" s="4"/>
      <c r="AD281" s="8"/>
      <c r="AE281" s="8"/>
      <c r="AF281" s="4"/>
      <c r="AG281" s="11" t="str">
        <f t="shared" ca="1" si="19"/>
        <v/>
      </c>
      <c r="AH281" s="4"/>
    </row>
    <row r="282" spans="1:34" ht="18" customHeight="1" x14ac:dyDescent="0.45">
      <c r="A282" s="6"/>
      <c r="B282" s="12"/>
      <c r="C282" s="13"/>
      <c r="D282" s="10" t="str">
        <f t="shared" si="16"/>
        <v/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12"/>
      <c r="U282" s="6"/>
      <c r="V282" s="11" t="str">
        <f>IF(E282="","",IFERROR(SUMIF('10-Day Compliance'!$A:$A,E282,'10-Day Compliance'!$E:$E),0))</f>
        <v/>
      </c>
      <c r="W282" s="10" t="str">
        <f t="shared" si="17"/>
        <v/>
      </c>
      <c r="X282" s="6"/>
      <c r="Y282" s="6"/>
      <c r="Z282" s="11" t="str">
        <f t="shared" ca="1" si="18"/>
        <v/>
      </c>
      <c r="AA282" s="12"/>
      <c r="AB282" s="12"/>
      <c r="AC282" s="6"/>
      <c r="AD282" s="12"/>
      <c r="AE282" s="12"/>
      <c r="AF282" s="6"/>
      <c r="AG282" s="11" t="str">
        <f t="shared" ca="1" si="19"/>
        <v/>
      </c>
      <c r="AH282" s="6"/>
    </row>
    <row r="283" spans="1:34" ht="18" customHeight="1" x14ac:dyDescent="0.45">
      <c r="A283" s="4"/>
      <c r="B283" s="8"/>
      <c r="C283" s="9"/>
      <c r="D283" s="10" t="str">
        <f t="shared" si="16"/>
        <v/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8"/>
      <c r="U283" s="4"/>
      <c r="V283" s="11" t="str">
        <f>IF(E283="","",IFERROR(SUMIF('10-Day Compliance'!$A:$A,E283,'10-Day Compliance'!$E:$E),0))</f>
        <v/>
      </c>
      <c r="W283" s="10" t="str">
        <f t="shared" si="17"/>
        <v/>
      </c>
      <c r="X283" s="4"/>
      <c r="Y283" s="4"/>
      <c r="Z283" s="11" t="str">
        <f t="shared" ca="1" si="18"/>
        <v/>
      </c>
      <c r="AA283" s="8"/>
      <c r="AB283" s="8"/>
      <c r="AC283" s="4"/>
      <c r="AD283" s="8"/>
      <c r="AE283" s="8"/>
      <c r="AF283" s="4"/>
      <c r="AG283" s="11" t="str">
        <f t="shared" ca="1" si="19"/>
        <v/>
      </c>
      <c r="AH283" s="4"/>
    </row>
    <row r="284" spans="1:34" ht="18" customHeight="1" x14ac:dyDescent="0.45">
      <c r="A284" s="6"/>
      <c r="B284" s="12"/>
      <c r="C284" s="13"/>
      <c r="D284" s="10" t="str">
        <f t="shared" si="16"/>
        <v/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12"/>
      <c r="U284" s="6"/>
      <c r="V284" s="11" t="str">
        <f>IF(E284="","",IFERROR(SUMIF('10-Day Compliance'!$A:$A,E284,'10-Day Compliance'!$E:$E),0))</f>
        <v/>
      </c>
      <c r="W284" s="10" t="str">
        <f t="shared" si="17"/>
        <v/>
      </c>
      <c r="X284" s="6"/>
      <c r="Y284" s="6"/>
      <c r="Z284" s="11" t="str">
        <f t="shared" ca="1" si="18"/>
        <v/>
      </c>
      <c r="AA284" s="12"/>
      <c r="AB284" s="12"/>
      <c r="AC284" s="6"/>
      <c r="AD284" s="12"/>
      <c r="AE284" s="12"/>
      <c r="AF284" s="6"/>
      <c r="AG284" s="11" t="str">
        <f t="shared" ca="1" si="19"/>
        <v/>
      </c>
      <c r="AH284" s="6"/>
    </row>
    <row r="285" spans="1:34" ht="18" customHeight="1" x14ac:dyDescent="0.45">
      <c r="A285" s="4"/>
      <c r="B285" s="8"/>
      <c r="C285" s="9"/>
      <c r="D285" s="10" t="str">
        <f t="shared" si="16"/>
        <v/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8"/>
      <c r="U285" s="4"/>
      <c r="V285" s="11" t="str">
        <f>IF(E285="","",IFERROR(SUMIF('10-Day Compliance'!$A:$A,E285,'10-Day Compliance'!$E:$E),0))</f>
        <v/>
      </c>
      <c r="W285" s="10" t="str">
        <f t="shared" si="17"/>
        <v/>
      </c>
      <c r="X285" s="4"/>
      <c r="Y285" s="4"/>
      <c r="Z285" s="11" t="str">
        <f t="shared" ca="1" si="18"/>
        <v/>
      </c>
      <c r="AA285" s="8"/>
      <c r="AB285" s="8"/>
      <c r="AC285" s="4"/>
      <c r="AD285" s="8"/>
      <c r="AE285" s="8"/>
      <c r="AF285" s="4"/>
      <c r="AG285" s="11" t="str">
        <f t="shared" ca="1" si="19"/>
        <v/>
      </c>
      <c r="AH285" s="4"/>
    </row>
    <row r="286" spans="1:34" ht="18" customHeight="1" x14ac:dyDescent="0.45">
      <c r="A286" s="6"/>
      <c r="B286" s="12"/>
      <c r="C286" s="13"/>
      <c r="D286" s="10" t="str">
        <f t="shared" si="16"/>
        <v/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12"/>
      <c r="U286" s="6"/>
      <c r="V286" s="11" t="str">
        <f>IF(E286="","",IFERROR(SUMIF('10-Day Compliance'!$A:$A,E286,'10-Day Compliance'!$E:$E),0))</f>
        <v/>
      </c>
      <c r="W286" s="10" t="str">
        <f t="shared" si="17"/>
        <v/>
      </c>
      <c r="X286" s="6"/>
      <c r="Y286" s="6"/>
      <c r="Z286" s="11" t="str">
        <f t="shared" ca="1" si="18"/>
        <v/>
      </c>
      <c r="AA286" s="12"/>
      <c r="AB286" s="12"/>
      <c r="AC286" s="6"/>
      <c r="AD286" s="12"/>
      <c r="AE286" s="12"/>
      <c r="AF286" s="6"/>
      <c r="AG286" s="11" t="str">
        <f t="shared" ca="1" si="19"/>
        <v/>
      </c>
      <c r="AH286" s="6"/>
    </row>
    <row r="287" spans="1:34" ht="18" customHeight="1" x14ac:dyDescent="0.45">
      <c r="A287" s="4"/>
      <c r="B287" s="8"/>
      <c r="C287" s="9"/>
      <c r="D287" s="10" t="str">
        <f t="shared" si="16"/>
        <v/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8"/>
      <c r="U287" s="4"/>
      <c r="V287" s="11" t="str">
        <f>IF(E287="","",IFERROR(SUMIF('10-Day Compliance'!$A:$A,E287,'10-Day Compliance'!$E:$E),0))</f>
        <v/>
      </c>
      <c r="W287" s="10" t="str">
        <f t="shared" si="17"/>
        <v/>
      </c>
      <c r="X287" s="4"/>
      <c r="Y287" s="4"/>
      <c r="Z287" s="11" t="str">
        <f t="shared" ca="1" si="18"/>
        <v/>
      </c>
      <c r="AA287" s="8"/>
      <c r="AB287" s="8"/>
      <c r="AC287" s="4"/>
      <c r="AD287" s="8"/>
      <c r="AE287" s="8"/>
      <c r="AF287" s="4"/>
      <c r="AG287" s="11" t="str">
        <f t="shared" ca="1" si="19"/>
        <v/>
      </c>
      <c r="AH287" s="4"/>
    </row>
    <row r="288" spans="1:34" ht="18" customHeight="1" x14ac:dyDescent="0.45">
      <c r="A288" s="6"/>
      <c r="B288" s="12"/>
      <c r="C288" s="13"/>
      <c r="D288" s="10" t="str">
        <f t="shared" si="16"/>
        <v/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12"/>
      <c r="U288" s="6"/>
      <c r="V288" s="11" t="str">
        <f>IF(E288="","",IFERROR(SUMIF('10-Day Compliance'!$A:$A,E288,'10-Day Compliance'!$E:$E),0))</f>
        <v/>
      </c>
      <c r="W288" s="10" t="str">
        <f t="shared" si="17"/>
        <v/>
      </c>
      <c r="X288" s="6"/>
      <c r="Y288" s="6"/>
      <c r="Z288" s="11" t="str">
        <f t="shared" ca="1" si="18"/>
        <v/>
      </c>
      <c r="AA288" s="12"/>
      <c r="AB288" s="12"/>
      <c r="AC288" s="6"/>
      <c r="AD288" s="12"/>
      <c r="AE288" s="12"/>
      <c r="AF288" s="6"/>
      <c r="AG288" s="11" t="str">
        <f t="shared" ca="1" si="19"/>
        <v/>
      </c>
      <c r="AH288" s="6"/>
    </row>
    <row r="289" spans="1:34" ht="18" customHeight="1" x14ac:dyDescent="0.45">
      <c r="A289" s="4"/>
      <c r="B289" s="8"/>
      <c r="C289" s="9"/>
      <c r="D289" s="10" t="str">
        <f t="shared" si="16"/>
        <v/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8"/>
      <c r="U289" s="4"/>
      <c r="V289" s="11" t="str">
        <f>IF(E289="","",IFERROR(SUMIF('10-Day Compliance'!$A:$A,E289,'10-Day Compliance'!$E:$E),0))</f>
        <v/>
      </c>
      <c r="W289" s="10" t="str">
        <f t="shared" si="17"/>
        <v/>
      </c>
      <c r="X289" s="4"/>
      <c r="Y289" s="4"/>
      <c r="Z289" s="11" t="str">
        <f t="shared" ca="1" si="18"/>
        <v/>
      </c>
      <c r="AA289" s="8"/>
      <c r="AB289" s="8"/>
      <c r="AC289" s="4"/>
      <c r="AD289" s="8"/>
      <c r="AE289" s="8"/>
      <c r="AF289" s="4"/>
      <c r="AG289" s="11" t="str">
        <f t="shared" ca="1" si="19"/>
        <v/>
      </c>
      <c r="AH289" s="4"/>
    </row>
    <row r="290" spans="1:34" ht="18" customHeight="1" x14ac:dyDescent="0.45">
      <c r="A290" s="6"/>
      <c r="B290" s="12"/>
      <c r="C290" s="13"/>
      <c r="D290" s="10" t="str">
        <f t="shared" si="16"/>
        <v/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12"/>
      <c r="U290" s="6"/>
      <c r="V290" s="11" t="str">
        <f>IF(E290="","",IFERROR(SUMIF('10-Day Compliance'!$A:$A,E290,'10-Day Compliance'!$E:$E),0))</f>
        <v/>
      </c>
      <c r="W290" s="10" t="str">
        <f t="shared" si="17"/>
        <v/>
      </c>
      <c r="X290" s="6"/>
      <c r="Y290" s="6"/>
      <c r="Z290" s="11" t="str">
        <f t="shared" ca="1" si="18"/>
        <v/>
      </c>
      <c r="AA290" s="12"/>
      <c r="AB290" s="12"/>
      <c r="AC290" s="6"/>
      <c r="AD290" s="12"/>
      <c r="AE290" s="12"/>
      <c r="AF290" s="6"/>
      <c r="AG290" s="11" t="str">
        <f t="shared" ca="1" si="19"/>
        <v/>
      </c>
      <c r="AH290" s="6"/>
    </row>
    <row r="291" spans="1:34" ht="18" customHeight="1" x14ac:dyDescent="0.45">
      <c r="A291" s="4"/>
      <c r="B291" s="8"/>
      <c r="C291" s="9"/>
      <c r="D291" s="10" t="str">
        <f t="shared" si="16"/>
        <v/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8"/>
      <c r="U291" s="4"/>
      <c r="V291" s="11" t="str">
        <f>IF(E291="","",IFERROR(SUMIF('10-Day Compliance'!$A:$A,E291,'10-Day Compliance'!$E:$E),0))</f>
        <v/>
      </c>
      <c r="W291" s="10" t="str">
        <f t="shared" si="17"/>
        <v/>
      </c>
      <c r="X291" s="4"/>
      <c r="Y291" s="4"/>
      <c r="Z291" s="11" t="str">
        <f t="shared" ca="1" si="18"/>
        <v/>
      </c>
      <c r="AA291" s="8"/>
      <c r="AB291" s="8"/>
      <c r="AC291" s="4"/>
      <c r="AD291" s="8"/>
      <c r="AE291" s="8"/>
      <c r="AF291" s="4"/>
      <c r="AG291" s="11" t="str">
        <f t="shared" ca="1" si="19"/>
        <v/>
      </c>
      <c r="AH291" s="4"/>
    </row>
    <row r="292" spans="1:34" ht="18" customHeight="1" x14ac:dyDescent="0.45">
      <c r="A292" s="6"/>
      <c r="B292" s="12"/>
      <c r="C292" s="13"/>
      <c r="D292" s="10" t="str">
        <f t="shared" si="16"/>
        <v/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12"/>
      <c r="U292" s="6"/>
      <c r="V292" s="11" t="str">
        <f>IF(E292="","",IFERROR(SUMIF('10-Day Compliance'!$A:$A,E292,'10-Day Compliance'!$E:$E),0))</f>
        <v/>
      </c>
      <c r="W292" s="10" t="str">
        <f t="shared" si="17"/>
        <v/>
      </c>
      <c r="X292" s="6"/>
      <c r="Y292" s="6"/>
      <c r="Z292" s="11" t="str">
        <f t="shared" ca="1" si="18"/>
        <v/>
      </c>
      <c r="AA292" s="12"/>
      <c r="AB292" s="12"/>
      <c r="AC292" s="6"/>
      <c r="AD292" s="12"/>
      <c r="AE292" s="12"/>
      <c r="AF292" s="6"/>
      <c r="AG292" s="11" t="str">
        <f t="shared" ca="1" si="19"/>
        <v/>
      </c>
      <c r="AH292" s="6"/>
    </row>
    <row r="293" spans="1:34" ht="18" customHeight="1" x14ac:dyDescent="0.45">
      <c r="A293" s="4"/>
      <c r="B293" s="8"/>
      <c r="C293" s="9"/>
      <c r="D293" s="10" t="str">
        <f t="shared" si="16"/>
        <v/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8"/>
      <c r="U293" s="4"/>
      <c r="V293" s="11" t="str">
        <f>IF(E293="","",IFERROR(SUMIF('10-Day Compliance'!$A:$A,E293,'10-Day Compliance'!$E:$E),0))</f>
        <v/>
      </c>
      <c r="W293" s="10" t="str">
        <f t="shared" si="17"/>
        <v/>
      </c>
      <c r="X293" s="4"/>
      <c r="Y293" s="4"/>
      <c r="Z293" s="11" t="str">
        <f t="shared" ca="1" si="18"/>
        <v/>
      </c>
      <c r="AA293" s="8"/>
      <c r="AB293" s="8"/>
      <c r="AC293" s="4"/>
      <c r="AD293" s="8"/>
      <c r="AE293" s="8"/>
      <c r="AF293" s="4"/>
      <c r="AG293" s="11" t="str">
        <f t="shared" ca="1" si="19"/>
        <v/>
      </c>
      <c r="AH293" s="4"/>
    </row>
    <row r="294" spans="1:34" ht="18" customHeight="1" x14ac:dyDescent="0.45">
      <c r="A294" s="6"/>
      <c r="B294" s="12"/>
      <c r="C294" s="13"/>
      <c r="D294" s="10" t="str">
        <f t="shared" si="16"/>
        <v/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12"/>
      <c r="U294" s="6"/>
      <c r="V294" s="11" t="str">
        <f>IF(E294="","",IFERROR(SUMIF('10-Day Compliance'!$A:$A,E294,'10-Day Compliance'!$E:$E),0))</f>
        <v/>
      </c>
      <c r="W294" s="10" t="str">
        <f t="shared" si="17"/>
        <v/>
      </c>
      <c r="X294" s="6"/>
      <c r="Y294" s="6"/>
      <c r="Z294" s="11" t="str">
        <f t="shared" ca="1" si="18"/>
        <v/>
      </c>
      <c r="AA294" s="12"/>
      <c r="AB294" s="12"/>
      <c r="AC294" s="6"/>
      <c r="AD294" s="12"/>
      <c r="AE294" s="12"/>
      <c r="AF294" s="6"/>
      <c r="AG294" s="11" t="str">
        <f t="shared" ca="1" si="19"/>
        <v/>
      </c>
      <c r="AH294" s="6"/>
    </row>
    <row r="295" spans="1:34" ht="18" customHeight="1" x14ac:dyDescent="0.45">
      <c r="A295" s="4"/>
      <c r="B295" s="8"/>
      <c r="C295" s="9"/>
      <c r="D295" s="10" t="str">
        <f t="shared" si="16"/>
        <v/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8"/>
      <c r="U295" s="4"/>
      <c r="V295" s="11" t="str">
        <f>IF(E295="","",IFERROR(SUMIF('10-Day Compliance'!$A:$A,E295,'10-Day Compliance'!$E:$E),0))</f>
        <v/>
      </c>
      <c r="W295" s="10" t="str">
        <f t="shared" si="17"/>
        <v/>
      </c>
      <c r="X295" s="4"/>
      <c r="Y295" s="4"/>
      <c r="Z295" s="11" t="str">
        <f t="shared" ca="1" si="18"/>
        <v/>
      </c>
      <c r="AA295" s="8"/>
      <c r="AB295" s="8"/>
      <c r="AC295" s="4"/>
      <c r="AD295" s="8"/>
      <c r="AE295" s="8"/>
      <c r="AF295" s="4"/>
      <c r="AG295" s="11" t="str">
        <f t="shared" ca="1" si="19"/>
        <v/>
      </c>
      <c r="AH295" s="4"/>
    </row>
    <row r="296" spans="1:34" ht="18" customHeight="1" x14ac:dyDescent="0.45">
      <c r="A296" s="6"/>
      <c r="B296" s="12"/>
      <c r="C296" s="13"/>
      <c r="D296" s="10" t="str">
        <f t="shared" si="16"/>
        <v/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12"/>
      <c r="U296" s="6"/>
      <c r="V296" s="11" t="str">
        <f>IF(E296="","",IFERROR(SUMIF('10-Day Compliance'!$A:$A,E296,'10-Day Compliance'!$E:$E),0))</f>
        <v/>
      </c>
      <c r="W296" s="10" t="str">
        <f t="shared" si="17"/>
        <v/>
      </c>
      <c r="X296" s="6"/>
      <c r="Y296" s="6"/>
      <c r="Z296" s="11" t="str">
        <f t="shared" ca="1" si="18"/>
        <v/>
      </c>
      <c r="AA296" s="12"/>
      <c r="AB296" s="12"/>
      <c r="AC296" s="6"/>
      <c r="AD296" s="12"/>
      <c r="AE296" s="12"/>
      <c r="AF296" s="6"/>
      <c r="AG296" s="11" t="str">
        <f t="shared" ca="1" si="19"/>
        <v/>
      </c>
      <c r="AH296" s="6"/>
    </row>
    <row r="297" spans="1:34" ht="18" customHeight="1" x14ac:dyDescent="0.45">
      <c r="A297" s="4"/>
      <c r="B297" s="8"/>
      <c r="C297" s="9"/>
      <c r="D297" s="10" t="str">
        <f t="shared" si="16"/>
        <v/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8"/>
      <c r="U297" s="4"/>
      <c r="V297" s="11" t="str">
        <f>IF(E297="","",IFERROR(SUMIF('10-Day Compliance'!$A:$A,E297,'10-Day Compliance'!$E:$E),0))</f>
        <v/>
      </c>
      <c r="W297" s="10" t="str">
        <f t="shared" si="17"/>
        <v/>
      </c>
      <c r="X297" s="4"/>
      <c r="Y297" s="4"/>
      <c r="Z297" s="11" t="str">
        <f t="shared" ca="1" si="18"/>
        <v/>
      </c>
      <c r="AA297" s="8"/>
      <c r="AB297" s="8"/>
      <c r="AC297" s="4"/>
      <c r="AD297" s="8"/>
      <c r="AE297" s="8"/>
      <c r="AF297" s="4"/>
      <c r="AG297" s="11" t="str">
        <f t="shared" ca="1" si="19"/>
        <v/>
      </c>
      <c r="AH297" s="4"/>
    </row>
    <row r="298" spans="1:34" ht="18" customHeight="1" x14ac:dyDescent="0.45">
      <c r="A298" s="6"/>
      <c r="B298" s="12"/>
      <c r="C298" s="13"/>
      <c r="D298" s="10" t="str">
        <f t="shared" si="16"/>
        <v/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12"/>
      <c r="U298" s="6"/>
      <c r="V298" s="11" t="str">
        <f>IF(E298="","",IFERROR(SUMIF('10-Day Compliance'!$A:$A,E298,'10-Day Compliance'!$E:$E),0))</f>
        <v/>
      </c>
      <c r="W298" s="10" t="str">
        <f t="shared" si="17"/>
        <v/>
      </c>
      <c r="X298" s="6"/>
      <c r="Y298" s="6"/>
      <c r="Z298" s="11" t="str">
        <f t="shared" ca="1" si="18"/>
        <v/>
      </c>
      <c r="AA298" s="12"/>
      <c r="AB298" s="12"/>
      <c r="AC298" s="6"/>
      <c r="AD298" s="12"/>
      <c r="AE298" s="12"/>
      <c r="AF298" s="6"/>
      <c r="AG298" s="11" t="str">
        <f t="shared" ca="1" si="19"/>
        <v/>
      </c>
      <c r="AH298" s="6"/>
    </row>
    <row r="299" spans="1:34" ht="18" customHeight="1" x14ac:dyDescent="0.45">
      <c r="A299" s="4"/>
      <c r="B299" s="8"/>
      <c r="C299" s="9"/>
      <c r="D299" s="10" t="str">
        <f t="shared" si="16"/>
        <v/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8"/>
      <c r="U299" s="4"/>
      <c r="V299" s="11" t="str">
        <f>IF(E299="","",IFERROR(SUMIF('10-Day Compliance'!$A:$A,E299,'10-Day Compliance'!$E:$E),0))</f>
        <v/>
      </c>
      <c r="W299" s="10" t="str">
        <f t="shared" si="17"/>
        <v/>
      </c>
      <c r="X299" s="4"/>
      <c r="Y299" s="4"/>
      <c r="Z299" s="11" t="str">
        <f t="shared" ca="1" si="18"/>
        <v/>
      </c>
      <c r="AA299" s="8"/>
      <c r="AB299" s="8"/>
      <c r="AC299" s="4"/>
      <c r="AD299" s="8"/>
      <c r="AE299" s="8"/>
      <c r="AF299" s="4"/>
      <c r="AG299" s="11" t="str">
        <f t="shared" ca="1" si="19"/>
        <v/>
      </c>
      <c r="AH299" s="4"/>
    </row>
    <row r="300" spans="1:34" ht="18" customHeight="1" x14ac:dyDescent="0.45">
      <c r="A300" s="6"/>
      <c r="B300" s="12"/>
      <c r="C300" s="13"/>
      <c r="D300" s="10" t="str">
        <f t="shared" si="16"/>
        <v/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12"/>
      <c r="U300" s="6"/>
      <c r="V300" s="11" t="str">
        <f>IF(E300="","",IFERROR(SUMIF('10-Day Compliance'!$A:$A,E300,'10-Day Compliance'!$E:$E),0))</f>
        <v/>
      </c>
      <c r="W300" s="10" t="str">
        <f t="shared" si="17"/>
        <v/>
      </c>
      <c r="X300" s="6"/>
      <c r="Y300" s="6"/>
      <c r="Z300" s="11" t="str">
        <f t="shared" ca="1" si="18"/>
        <v/>
      </c>
      <c r="AA300" s="12"/>
      <c r="AB300" s="12"/>
      <c r="AC300" s="6"/>
      <c r="AD300" s="12"/>
      <c r="AE300" s="12"/>
      <c r="AF300" s="6"/>
      <c r="AG300" s="11" t="str">
        <f t="shared" ca="1" si="19"/>
        <v/>
      </c>
      <c r="AH300" s="6"/>
    </row>
    <row r="301" spans="1:34" ht="18" customHeight="1" x14ac:dyDescent="0.45">
      <c r="A301" s="4"/>
      <c r="B301" s="8"/>
      <c r="C301" s="9"/>
      <c r="D301" s="10" t="str">
        <f t="shared" si="16"/>
        <v/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8"/>
      <c r="U301" s="4"/>
      <c r="V301" s="11" t="str">
        <f>IF(E301="","",IFERROR(SUMIF('10-Day Compliance'!$A:$A,E301,'10-Day Compliance'!$E:$E),0))</f>
        <v/>
      </c>
      <c r="W301" s="10" t="str">
        <f t="shared" si="17"/>
        <v/>
      </c>
      <c r="X301" s="4"/>
      <c r="Y301" s="4"/>
      <c r="Z301" s="11" t="str">
        <f t="shared" ca="1" si="18"/>
        <v/>
      </c>
      <c r="AA301" s="8"/>
      <c r="AB301" s="8"/>
      <c r="AC301" s="4"/>
      <c r="AD301" s="8"/>
      <c r="AE301" s="8"/>
      <c r="AF301" s="4"/>
      <c r="AG301" s="11" t="str">
        <f t="shared" ca="1" si="19"/>
        <v/>
      </c>
      <c r="AH301" s="4"/>
    </row>
    <row r="302" spans="1:34" ht="18" customHeight="1" x14ac:dyDescent="0.45">
      <c r="A302" s="6"/>
      <c r="B302" s="12"/>
      <c r="C302" s="13"/>
      <c r="D302" s="10" t="str">
        <f t="shared" si="16"/>
        <v/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12"/>
      <c r="U302" s="6"/>
      <c r="V302" s="11" t="str">
        <f>IF(E302="","",IFERROR(SUMIF('10-Day Compliance'!$A:$A,E302,'10-Day Compliance'!$E:$E),0))</f>
        <v/>
      </c>
      <c r="W302" s="10" t="str">
        <f t="shared" si="17"/>
        <v/>
      </c>
      <c r="X302" s="6"/>
      <c r="Y302" s="6"/>
      <c r="Z302" s="11" t="str">
        <f t="shared" ca="1" si="18"/>
        <v/>
      </c>
      <c r="AA302" s="12"/>
      <c r="AB302" s="12"/>
      <c r="AC302" s="6"/>
      <c r="AD302" s="12"/>
      <c r="AE302" s="12"/>
      <c r="AF302" s="6"/>
      <c r="AG302" s="11" t="str">
        <f t="shared" ca="1" si="19"/>
        <v/>
      </c>
      <c r="AH302" s="6"/>
    </row>
    <row r="303" spans="1:34" ht="18" customHeight="1" x14ac:dyDescent="0.45">
      <c r="A303" s="4"/>
      <c r="B303" s="8"/>
      <c r="C303" s="9"/>
      <c r="D303" s="10" t="str">
        <f t="shared" si="16"/>
        <v/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8"/>
      <c r="U303" s="4"/>
      <c r="V303" s="11" t="str">
        <f>IF(E303="","",IFERROR(SUMIF('10-Day Compliance'!$A:$A,E303,'10-Day Compliance'!$E:$E),0))</f>
        <v/>
      </c>
      <c r="W303" s="10" t="str">
        <f t="shared" si="17"/>
        <v/>
      </c>
      <c r="X303" s="4"/>
      <c r="Y303" s="4"/>
      <c r="Z303" s="11" t="str">
        <f t="shared" ca="1" si="18"/>
        <v/>
      </c>
      <c r="AA303" s="8"/>
      <c r="AB303" s="8"/>
      <c r="AC303" s="4"/>
      <c r="AD303" s="8"/>
      <c r="AE303" s="8"/>
      <c r="AF303" s="4"/>
      <c r="AG303" s="11" t="str">
        <f t="shared" ca="1" si="19"/>
        <v/>
      </c>
      <c r="AH303" s="4"/>
    </row>
    <row r="304" spans="1:34" ht="18" customHeight="1" x14ac:dyDescent="0.45">
      <c r="A304" s="6"/>
      <c r="B304" s="12"/>
      <c r="C304" s="13"/>
      <c r="D304" s="10" t="str">
        <f t="shared" si="16"/>
        <v/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12"/>
      <c r="U304" s="6"/>
      <c r="V304" s="11" t="str">
        <f>IF(E304="","",IFERROR(SUMIF('10-Day Compliance'!$A:$A,E304,'10-Day Compliance'!$E:$E),0))</f>
        <v/>
      </c>
      <c r="W304" s="10" t="str">
        <f t="shared" si="17"/>
        <v/>
      </c>
      <c r="X304" s="6"/>
      <c r="Y304" s="6"/>
      <c r="Z304" s="11" t="str">
        <f t="shared" ca="1" si="18"/>
        <v/>
      </c>
      <c r="AA304" s="12"/>
      <c r="AB304" s="12"/>
      <c r="AC304" s="6"/>
      <c r="AD304" s="12"/>
      <c r="AE304" s="12"/>
      <c r="AF304" s="6"/>
      <c r="AG304" s="11" t="str">
        <f t="shared" ca="1" si="19"/>
        <v/>
      </c>
      <c r="AH304" s="6"/>
    </row>
    <row r="305" spans="1:34" ht="19.5" customHeight="1" x14ac:dyDescent="0.45">
      <c r="A305" s="87" t="s">
        <v>72</v>
      </c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</row>
  </sheetData>
  <mergeCells count="4">
    <mergeCell ref="A3:AH3"/>
    <mergeCell ref="A2:AH2"/>
    <mergeCell ref="A1:AH1"/>
    <mergeCell ref="A305:AH305"/>
  </mergeCells>
  <conditionalFormatting sqref="A5:AH304">
    <cfRule type="expression" dxfId="41" priority="2">
      <formula>$W5="🔴 EXCEEDED — MDR NOW"</formula>
    </cfRule>
    <cfRule type="expression" dxfId="40" priority="3">
      <formula>ISNUMBER(SEARCH("🟠",$W5))</formula>
    </cfRule>
    <cfRule type="expression" dxfId="39" priority="4">
      <formula>ISNUMBER(SEARCH("🟡",$W5))</formula>
    </cfRule>
    <cfRule type="expression" dxfId="38" priority="5">
      <formula>$X5="Open"</formula>
    </cfRule>
    <cfRule type="expression" dxfId="37" priority="6">
      <formula>$X5="Closed"</formula>
    </cfRule>
    <cfRule type="expression" dxfId="36" priority="7">
      <formula>$X5="Finding Reached"</formula>
    </cfRule>
    <cfRule type="expression" dxfId="35" priority="8">
      <formula>AND($Z5="",TODAY()-$B5&gt;5,$X5&lt;&gt;"Closed")</formula>
    </cfRule>
  </conditionalFormatting>
  <conditionalFormatting sqref="W5:W304">
    <cfRule type="expression" dxfId="34" priority="9">
      <formula>ISNUMBER(SEARCH("EXCEEDED",$W5))</formula>
    </cfRule>
    <cfRule type="expression" dxfId="33" priority="10">
      <formula>ISNUMBER(SEARCH("URGENT",$W5))</formula>
    </cfRule>
    <cfRule type="expression" dxfId="32" priority="11">
      <formula>ISNUMBER(SEARCH("WARNING",$W5))</formula>
    </cfRule>
    <cfRule type="expression" dxfId="31" priority="12">
      <formula>ISNUMBER(SEARCH("✅",$W5))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100-000000000000}">
          <x14:formula1>
            <xm:f>Lists!$A$2:$A$19</xm:f>
          </x14:formula1>
          <xm:sqref>J5:J304</xm:sqref>
        </x14:dataValidation>
        <x14:dataValidation type="list" allowBlank="1" xr:uid="{00000000-0002-0000-0100-000001000000}">
          <x14:formula1>
            <xm:f>Lists!$B$2:$B$15</xm:f>
          </x14:formula1>
          <xm:sqref>L5:L304</xm:sqref>
        </x14:dataValidation>
        <x14:dataValidation type="list" allowBlank="1" xr:uid="{00000000-0002-0000-0100-000002000000}">
          <x14:formula1>
            <xm:f>Lists!$C$2:$C$13</xm:f>
          </x14:formula1>
          <xm:sqref>M5:M304</xm:sqref>
        </x14:dataValidation>
        <x14:dataValidation type="list" allowBlank="1" xr:uid="{00000000-0002-0000-0100-000003000000}">
          <x14:formula1>
            <xm:f>Lists!$F$2:$F$3</xm:f>
          </x14:formula1>
          <xm:sqref>N5:N304 AA5:AA304 AF5:AF304 P5:S304</xm:sqref>
        </x14:dataValidation>
        <x14:dataValidation type="list" allowBlank="1" xr:uid="{00000000-0002-0000-0100-000005000000}">
          <x14:formula1>
            <xm:f>Lists!$I$2:$I$6</xm:f>
          </x14:formula1>
          <xm:sqref>U5:U304</xm:sqref>
        </x14:dataValidation>
        <x14:dataValidation type="list" allowBlank="1" xr:uid="{00000000-0002-0000-0100-000006000000}">
          <x14:formula1>
            <xm:f>Lists!$D$2:$D$7</xm:f>
          </x14:formula1>
          <xm:sqref>X5:X304</xm:sqref>
        </x14:dataValidation>
        <x14:dataValidation type="list" allowBlank="1" xr:uid="{00000000-0002-0000-0100-000008000000}">
          <x14:formula1>
            <xm:f>Lists!$E$2:$E$17</xm:f>
          </x14:formula1>
          <xm:sqref>AC5:AC304</xm:sqref>
        </x14:dataValidation>
        <x14:dataValidation type="list" allowBlank="1" xr:uid="{00000000-0002-0000-0100-000009000000}">
          <x14:formula1>
            <xm:f>Lists!$J$2:$J$9</xm:f>
          </x14:formula1>
          <xm:sqref>Y5:Y304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A620"/>
  </sheetPr>
  <dimension ref="A1:E4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25" x14ac:dyDescent="0.45"/>
  <cols>
    <col min="1" max="1" width="3" customWidth="1"/>
    <col min="2" max="2" width="40" customWidth="1"/>
    <col min="3" max="4" width="20" customWidth="1"/>
    <col min="5" max="5" width="3" customWidth="1"/>
  </cols>
  <sheetData>
    <row r="1" spans="1:5" ht="60" customHeight="1" x14ac:dyDescent="0.45">
      <c r="A1" s="92" t="s">
        <v>73</v>
      </c>
      <c r="B1" s="76"/>
      <c r="C1" s="76"/>
      <c r="D1" s="76"/>
      <c r="E1" s="76"/>
    </row>
    <row r="2" spans="1:5" ht="25.5" customHeight="1" x14ac:dyDescent="0.45">
      <c r="A2" s="14"/>
      <c r="B2" s="93" t="str">
        <f ca="1">"As of: "&amp;TEXT(TODAY(),"DDDD, MMMM D, YYYY")&amp;"   ·   Administrator: (enter name on Cover)"</f>
        <v>As of: Tuesday, July 14, 2026   ·   Administrator: (enter name on Cover)</v>
      </c>
      <c r="C2" s="76"/>
      <c r="D2" s="76"/>
      <c r="E2" s="14"/>
    </row>
    <row r="3" spans="1:5" ht="31.5" customHeight="1" x14ac:dyDescent="0.45">
      <c r="A3" s="15"/>
      <c r="B3" s="89" t="s">
        <v>74</v>
      </c>
      <c r="C3" s="76"/>
      <c r="D3" s="76"/>
      <c r="E3" s="15"/>
    </row>
    <row r="4" spans="1:5" ht="33.75" customHeight="1" x14ac:dyDescent="0.45">
      <c r="A4" s="16"/>
      <c r="B4" s="17" t="s">
        <v>75</v>
      </c>
      <c r="C4" s="18">
        <f>COUNTIF('10-Day Compliance'!AA5:AA154,"*EXCEEDED*")</f>
        <v>0</v>
      </c>
      <c r="D4" s="19"/>
      <c r="E4" s="16"/>
    </row>
    <row r="5" spans="1:5" ht="33.75" customHeight="1" x14ac:dyDescent="0.45">
      <c r="A5" s="20"/>
      <c r="B5" s="21" t="s">
        <v>76</v>
      </c>
      <c r="C5" s="22">
        <f>COUNTIF('10-Day Compliance'!AA5:AA154,"*URGENT*")</f>
        <v>0</v>
      </c>
      <c r="D5" s="23"/>
      <c r="E5" s="20"/>
    </row>
    <row r="6" spans="1:5" ht="33.75" customHeight="1" x14ac:dyDescent="0.45">
      <c r="A6" s="16"/>
      <c r="B6" s="17" t="s">
        <v>77</v>
      </c>
      <c r="C6" s="18">
        <f>COUNTIF('Evidence Tracker'!S5:S304,"Yes")</f>
        <v>0</v>
      </c>
      <c r="D6" s="19"/>
      <c r="E6" s="16"/>
    </row>
    <row r="7" spans="1:5" ht="33.75" customHeight="1" x14ac:dyDescent="0.45">
      <c r="A7" s="20"/>
      <c r="B7" s="21" t="s">
        <v>78</v>
      </c>
      <c r="C7" s="24">
        <f ca="1">COUNTIFS('Outcome &amp; Letters'!N5:N154,"Yes",'Outcome &amp; Letters'!Q5:Q154,"&gt;="&amp;TODAY(),'Outcome &amp; Letters'!Q5:Q154,"&lt;="&amp;(TODAY()+3))</f>
        <v>0</v>
      </c>
      <c r="D7" s="23"/>
      <c r="E7" s="20"/>
    </row>
    <row r="8" spans="1:5" ht="33.75" customHeight="1" x14ac:dyDescent="0.45">
      <c r="A8" s="16"/>
      <c r="B8" s="17" t="s">
        <v>79</v>
      </c>
      <c r="C8" s="25">
        <f>COUNTIF('Investigation Tracker'!AD6:AD205,"*INCOMPLETE*")</f>
        <v>0</v>
      </c>
      <c r="D8" s="19"/>
      <c r="E8" s="16"/>
    </row>
    <row r="9" spans="1:5" ht="9.75" customHeight="1" x14ac:dyDescent="0.45"/>
    <row r="10" spans="1:5" ht="31.5" customHeight="1" x14ac:dyDescent="0.45">
      <c r="A10" s="26"/>
      <c r="B10" s="88" t="s">
        <v>80</v>
      </c>
      <c r="C10" s="76"/>
      <c r="D10" s="76"/>
      <c r="E10" s="26"/>
    </row>
    <row r="11" spans="1:5" ht="33.75" customHeight="1" x14ac:dyDescent="0.45">
      <c r="A11" s="20"/>
      <c r="B11" s="21" t="s">
        <v>81</v>
      </c>
      <c r="C11" s="24">
        <f>COUNTIF('Incident Intake'!X5:X304,"Open")</f>
        <v>0</v>
      </c>
      <c r="D11" s="23"/>
      <c r="E11" s="20"/>
    </row>
    <row r="12" spans="1:5" ht="33.75" customHeight="1" x14ac:dyDescent="0.45">
      <c r="A12" s="16"/>
      <c r="B12" s="17" t="s">
        <v>82</v>
      </c>
      <c r="C12" s="25">
        <f>COUNTIF('Incident Intake'!X5:X304,"In Progress")</f>
        <v>0</v>
      </c>
      <c r="D12" s="19"/>
      <c r="E12" s="16"/>
    </row>
    <row r="13" spans="1:5" ht="33.75" customHeight="1" x14ac:dyDescent="0.45">
      <c r="A13" s="20"/>
      <c r="B13" s="21" t="s">
        <v>83</v>
      </c>
      <c r="C13" s="27">
        <f>COUNTIF('Incident Intake'!X5:X304,"Finding Reached")</f>
        <v>0</v>
      </c>
      <c r="D13" s="23"/>
      <c r="E13" s="20"/>
    </row>
    <row r="14" spans="1:5" ht="33.75" customHeight="1" x14ac:dyDescent="0.45">
      <c r="A14" s="16"/>
      <c r="B14" s="17" t="s">
        <v>66</v>
      </c>
      <c r="C14" s="28">
        <f>COUNTIF('Incident Intake'!X5:X304,"Consequence Assigned")</f>
        <v>0</v>
      </c>
      <c r="D14" s="19"/>
      <c r="E14" s="16"/>
    </row>
    <row r="15" spans="1:5" ht="33.75" customHeight="1" x14ac:dyDescent="0.45">
      <c r="A15" s="20"/>
      <c r="B15" s="21" t="s">
        <v>84</v>
      </c>
      <c r="C15" s="29">
        <f>COUNTIF('Incident Intake'!X5:X304,"Closed")</f>
        <v>0</v>
      </c>
      <c r="D15" s="23"/>
      <c r="E15" s="20"/>
    </row>
    <row r="16" spans="1:5" ht="33.75" customHeight="1" x14ac:dyDescent="0.45">
      <c r="A16" s="16"/>
      <c r="B16" s="17" t="s">
        <v>85</v>
      </c>
      <c r="C16" s="30">
        <f>COUNTIF('Incident Intake'!X5:X304,"On Hold — Legal")</f>
        <v>0</v>
      </c>
      <c r="D16" s="19"/>
      <c r="E16" s="16"/>
    </row>
    <row r="17" spans="1:5" ht="33.75" customHeight="1" x14ac:dyDescent="0.45">
      <c r="A17" s="20"/>
      <c r="B17" s="21" t="s">
        <v>86</v>
      </c>
      <c r="C17" s="22">
        <f>COUNTIFS('Incident Intake'!X5:X304,"Open",'Incident Intake'!Z5:Z304,"&gt;="&amp;5)</f>
        <v>0</v>
      </c>
      <c r="D17" s="23"/>
      <c r="E17" s="20"/>
    </row>
    <row r="18" spans="1:5" ht="9.75" customHeight="1" x14ac:dyDescent="0.45"/>
    <row r="19" spans="1:5" ht="31.5" customHeight="1" x14ac:dyDescent="0.45">
      <c r="A19" s="31"/>
      <c r="B19" s="90" t="s">
        <v>87</v>
      </c>
      <c r="C19" s="76"/>
      <c r="D19" s="76"/>
      <c r="E19" s="31"/>
    </row>
    <row r="20" spans="1:5" ht="33.75" customHeight="1" x14ac:dyDescent="0.45">
      <c r="A20" s="16"/>
      <c r="B20" s="17" t="s">
        <v>88</v>
      </c>
      <c r="C20" s="32">
        <f>COUNTA('Incident Intake'!A5:A304)</f>
        <v>0</v>
      </c>
      <c r="D20" s="19"/>
      <c r="E20" s="16"/>
    </row>
    <row r="21" spans="1:5" ht="33.75" customHeight="1" x14ac:dyDescent="0.45">
      <c r="A21" s="20"/>
      <c r="B21" s="21" t="s">
        <v>89</v>
      </c>
      <c r="C21" s="33">
        <f>COUNTIF('Incident Intake'!AC5:AC304,"ISS*")</f>
        <v>0</v>
      </c>
      <c r="D21" s="23"/>
      <c r="E21" s="20"/>
    </row>
    <row r="22" spans="1:5" ht="33.75" customHeight="1" x14ac:dyDescent="0.45">
      <c r="A22" s="16"/>
      <c r="B22" s="17" t="s">
        <v>90</v>
      </c>
      <c r="C22" s="28">
        <f>COUNTIF('Incident Intake'!AC5:AC304,"OSS*")</f>
        <v>0</v>
      </c>
      <c r="D22" s="19"/>
      <c r="E22" s="16"/>
    </row>
    <row r="23" spans="1:5" ht="33.75" customHeight="1" x14ac:dyDescent="0.45">
      <c r="A23" s="20"/>
      <c r="B23" s="21" t="s">
        <v>91</v>
      </c>
      <c r="C23" s="22">
        <f>COUNTIF('Incident Intake'!AC5:AC304,"DAEP*")</f>
        <v>0</v>
      </c>
      <c r="D23" s="23"/>
      <c r="E23" s="20"/>
    </row>
    <row r="24" spans="1:5" ht="33.75" customHeight="1" x14ac:dyDescent="0.45">
      <c r="A24" s="16"/>
      <c r="B24" s="17" t="s">
        <v>92</v>
      </c>
      <c r="C24" s="18">
        <f>COUNTIF('Incident Intake'!AC5:AC304,"Expulsion*")</f>
        <v>0</v>
      </c>
      <c r="D24" s="19"/>
      <c r="E24" s="16"/>
    </row>
    <row r="25" spans="1:5" ht="33.75" customHeight="1" x14ac:dyDescent="0.45">
      <c r="A25" s="20"/>
      <c r="B25" s="21" t="s">
        <v>93</v>
      </c>
      <c r="C25" s="24">
        <f>COUNTIF('Incident Intake'!S5:S304,"Yes")</f>
        <v>0</v>
      </c>
      <c r="D25" s="23"/>
      <c r="E25" s="20"/>
    </row>
    <row r="26" spans="1:5" ht="33.75" customHeight="1" x14ac:dyDescent="0.45">
      <c r="A26" s="16"/>
      <c r="B26" s="17" t="s">
        <v>94</v>
      </c>
      <c r="C26" s="34">
        <f>COUNTA('Parent Contact Log'!A5:A254)</f>
        <v>0</v>
      </c>
      <c r="D26" s="19"/>
      <c r="E26" s="16"/>
    </row>
    <row r="27" spans="1:5" ht="33.75" customHeight="1" x14ac:dyDescent="0.45">
      <c r="A27" s="20"/>
      <c r="B27" s="21" t="s">
        <v>95</v>
      </c>
      <c r="C27" s="35">
        <f>COUNTA('Evidence Tracker'!A5:A304)</f>
        <v>0</v>
      </c>
      <c r="D27" s="23"/>
      <c r="E27" s="20"/>
    </row>
    <row r="28" spans="1:5" ht="9.75" customHeight="1" x14ac:dyDescent="0.45"/>
    <row r="29" spans="1:5" ht="31.5" customHeight="1" x14ac:dyDescent="0.45">
      <c r="A29" s="15"/>
      <c r="B29" s="89" t="s">
        <v>96</v>
      </c>
      <c r="C29" s="76"/>
      <c r="D29" s="76"/>
      <c r="E29" s="15"/>
    </row>
    <row r="30" spans="1:5" ht="33.75" customHeight="1" x14ac:dyDescent="0.45">
      <c r="A30" s="16"/>
      <c r="B30" s="17" t="s">
        <v>97</v>
      </c>
      <c r="C30" s="36">
        <f>COUNTIF('10-Day Compliance'!AA5:AA154,"*WARNING*")</f>
        <v>0</v>
      </c>
      <c r="D30" s="19"/>
      <c r="E30" s="16"/>
    </row>
    <row r="31" spans="1:5" ht="33.75" customHeight="1" x14ac:dyDescent="0.45">
      <c r="A31" s="20"/>
      <c r="B31" s="21" t="s">
        <v>98</v>
      </c>
      <c r="C31" s="22">
        <f>COUNTIF('10-Day Compliance'!AA5:AA154,"*URGENT*")</f>
        <v>0</v>
      </c>
      <c r="D31" s="23"/>
      <c r="E31" s="20"/>
    </row>
    <row r="32" spans="1:5" ht="33.75" customHeight="1" x14ac:dyDescent="0.45">
      <c r="A32" s="16"/>
      <c r="B32" s="17" t="s">
        <v>99</v>
      </c>
      <c r="C32" s="18">
        <f>COUNTIF('10-Day Compliance'!AA5:AA154,"*EXCEEDED*")</f>
        <v>0</v>
      </c>
      <c r="D32" s="19"/>
      <c r="E32" s="16"/>
    </row>
    <row r="33" spans="1:5" ht="33.75" customHeight="1" x14ac:dyDescent="0.45">
      <c r="A33" s="20"/>
      <c r="B33" s="21" t="s">
        <v>100</v>
      </c>
      <c r="C33" s="22">
        <f>COUNTIFS('10-Day Compliance'!V5:V154,"Yes",'10-Day Compliance'!W5:W154,"")</f>
        <v>0</v>
      </c>
      <c r="D33" s="23"/>
      <c r="E33" s="20"/>
    </row>
    <row r="34" spans="1:5" ht="9.75" customHeight="1" x14ac:dyDescent="0.45"/>
    <row r="35" spans="1:5" ht="31.5" customHeight="1" x14ac:dyDescent="0.45">
      <c r="A35" s="37"/>
      <c r="B35" s="91" t="s">
        <v>101</v>
      </c>
      <c r="C35" s="76"/>
      <c r="D35" s="76"/>
      <c r="E35" s="37"/>
    </row>
    <row r="36" spans="1:5" ht="33.75" customHeight="1" x14ac:dyDescent="0.45">
      <c r="A36" s="16"/>
      <c r="B36" s="17" t="s">
        <v>102</v>
      </c>
      <c r="C36" s="25">
        <f>COUNTIF('Outcome &amp; Letters'!P5:P154,"Filed*")</f>
        <v>0</v>
      </c>
      <c r="D36" s="19"/>
      <c r="E36" s="16"/>
    </row>
    <row r="37" spans="1:5" ht="33.75" customHeight="1" x14ac:dyDescent="0.45">
      <c r="A37" s="20"/>
      <c r="B37" s="21" t="s">
        <v>103</v>
      </c>
      <c r="C37" s="29">
        <f>COUNTIF('Outcome &amp; Letters'!T5:T154,"UPHELD*")</f>
        <v>0</v>
      </c>
      <c r="D37" s="23"/>
      <c r="E37" s="20"/>
    </row>
    <row r="38" spans="1:5" ht="33.75" customHeight="1" x14ac:dyDescent="0.45">
      <c r="A38" s="16"/>
      <c r="B38" s="17" t="s">
        <v>104</v>
      </c>
      <c r="C38" s="18">
        <f>COUNTIF('Outcome &amp; Letters'!T5:T154,"OVERTURNED")</f>
        <v>0</v>
      </c>
      <c r="D38" s="19"/>
      <c r="E38" s="16"/>
    </row>
    <row r="39" spans="1:5" ht="33.75" customHeight="1" x14ac:dyDescent="0.45">
      <c r="A39" s="20"/>
      <c r="B39" s="21" t="s">
        <v>105</v>
      </c>
      <c r="C39" s="22">
        <f>COUNTIFS('Outcome &amp; Letters'!A5:A154,"&lt;&gt;""",'Outcome &amp; Letters'!J5:J154,"No")</f>
        <v>0</v>
      </c>
      <c r="D39" s="23"/>
      <c r="E39" s="20"/>
    </row>
    <row r="40" spans="1:5" ht="9.75" customHeight="1" x14ac:dyDescent="0.45"/>
    <row r="41" spans="1:5" ht="36" customHeight="1" x14ac:dyDescent="0.45">
      <c r="A41" s="82" t="s">
        <v>106</v>
      </c>
      <c r="B41" s="76"/>
      <c r="C41" s="76"/>
      <c r="D41" s="76"/>
      <c r="E41" s="76"/>
    </row>
  </sheetData>
  <mergeCells count="8">
    <mergeCell ref="A1:E1"/>
    <mergeCell ref="B29:D29"/>
    <mergeCell ref="B2:D2"/>
    <mergeCell ref="B10:D10"/>
    <mergeCell ref="B3:D3"/>
    <mergeCell ref="B19:D19"/>
    <mergeCell ref="B35:D35"/>
    <mergeCell ref="A41:E4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B2D7F"/>
  </sheetPr>
  <dimension ref="A1:AM206"/>
  <sheetViews>
    <sheetView zoomScaleNormal="100" workbookViewId="0">
      <pane ySplit="5" topLeftCell="A6" activePane="bottomLeft" state="frozen"/>
      <selection pane="bottomLeft"/>
    </sheetView>
  </sheetViews>
  <sheetFormatPr defaultColWidth="8.6640625" defaultRowHeight="14.25" x14ac:dyDescent="0.45"/>
  <cols>
    <col min="1" max="1" width="14" customWidth="1"/>
    <col min="2" max="2" width="13" customWidth="1"/>
    <col min="3" max="3" width="12" customWidth="1"/>
    <col min="4" max="4" width="22" customWidth="1"/>
    <col min="5" max="5" width="28" customWidth="1"/>
    <col min="6" max="6" width="16" customWidth="1"/>
    <col min="7" max="7" width="13" customWidth="1"/>
    <col min="8" max="8" width="20" customWidth="1"/>
    <col min="9" max="10" width="18" customWidth="1"/>
    <col min="11" max="11" width="15" customWidth="1"/>
    <col min="12" max="12" width="16" customWidth="1"/>
    <col min="13" max="13" width="15" customWidth="1"/>
    <col min="14" max="14" width="16" customWidth="1"/>
    <col min="15" max="15" width="36" customWidth="1"/>
    <col min="16" max="16" width="13" customWidth="1"/>
    <col min="17" max="17" width="18" customWidth="1"/>
    <col min="18" max="18" width="28" customWidth="1"/>
    <col min="19" max="19" width="13" customWidth="1"/>
    <col min="20" max="20" width="18" customWidth="1"/>
    <col min="21" max="21" width="15" customWidth="1"/>
    <col min="22" max="22" width="16" customWidth="1"/>
    <col min="23" max="23" width="18" customWidth="1"/>
    <col min="24" max="24" width="22" customWidth="1"/>
    <col min="25" max="26" width="16" customWidth="1"/>
    <col min="27" max="27" width="14" customWidth="1"/>
    <col min="28" max="28" width="24" customWidth="1"/>
    <col min="29" max="29" width="12" customWidth="1"/>
    <col min="30" max="30" width="30" customWidth="1"/>
    <col min="31" max="31" width="8" customWidth="1"/>
    <col min="32" max="32" width="18" customWidth="1"/>
    <col min="33" max="33" width="15" customWidth="1"/>
    <col min="34" max="34" width="14" customWidth="1"/>
    <col min="35" max="35" width="12" customWidth="1"/>
    <col min="36" max="36" width="14" customWidth="1"/>
    <col min="37" max="37" width="16" customWidth="1"/>
    <col min="38" max="38" width="18" customWidth="1"/>
    <col min="39" max="39" width="28" customWidth="1"/>
  </cols>
  <sheetData>
    <row r="1" spans="1:39" ht="43.5" customHeight="1" x14ac:dyDescent="0.45">
      <c r="A1" s="86" t="s">
        <v>107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</row>
    <row r="2" spans="1:39" ht="21.75" customHeight="1" x14ac:dyDescent="0.45">
      <c r="A2" s="85" t="s">
        <v>108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 ht="18" customHeight="1" x14ac:dyDescent="0.45">
      <c r="A3" s="100" t="s">
        <v>109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 ht="21.75" customHeight="1" x14ac:dyDescent="0.45">
      <c r="A4" s="97" t="s">
        <v>110</v>
      </c>
      <c r="B4" s="95"/>
      <c r="C4" s="95"/>
      <c r="D4" s="95"/>
      <c r="E4" s="96"/>
      <c r="F4" s="98" t="s">
        <v>111</v>
      </c>
      <c r="G4" s="95"/>
      <c r="H4" s="96"/>
      <c r="I4" s="94" t="s">
        <v>112</v>
      </c>
      <c r="J4" s="95"/>
      <c r="K4" s="95"/>
      <c r="L4" s="95"/>
      <c r="M4" s="96"/>
      <c r="N4" s="102" t="s">
        <v>113</v>
      </c>
      <c r="O4" s="95"/>
      <c r="P4" s="96"/>
      <c r="Q4" s="103" t="s">
        <v>114</v>
      </c>
      <c r="R4" s="95"/>
      <c r="S4" s="95"/>
      <c r="T4" s="95"/>
      <c r="U4" s="96"/>
      <c r="V4" s="97" t="s">
        <v>115</v>
      </c>
      <c r="W4" s="95"/>
      <c r="X4" s="95"/>
      <c r="Y4" s="95"/>
      <c r="Z4" s="95"/>
      <c r="AA4" s="96"/>
      <c r="AB4" s="101" t="s">
        <v>116</v>
      </c>
      <c r="AC4" s="95"/>
      <c r="AD4" s="96"/>
      <c r="AE4" s="99" t="s">
        <v>117</v>
      </c>
      <c r="AF4" s="95"/>
      <c r="AG4" s="95"/>
      <c r="AH4" s="96"/>
      <c r="AI4" s="98" t="s">
        <v>118</v>
      </c>
      <c r="AJ4" s="95"/>
      <c r="AK4" s="95"/>
      <c r="AL4" s="95"/>
      <c r="AM4" s="96"/>
    </row>
    <row r="5" spans="1:39" ht="36" customHeight="1" x14ac:dyDescent="0.45">
      <c r="A5" s="7" t="s">
        <v>38</v>
      </c>
      <c r="B5" s="7" t="s">
        <v>119</v>
      </c>
      <c r="C5" s="7" t="s">
        <v>120</v>
      </c>
      <c r="D5" s="7" t="s">
        <v>121</v>
      </c>
      <c r="E5" s="7" t="s">
        <v>122</v>
      </c>
      <c r="F5" s="7" t="s">
        <v>123</v>
      </c>
      <c r="G5" s="7" t="s">
        <v>124</v>
      </c>
      <c r="H5" s="7" t="s">
        <v>125</v>
      </c>
      <c r="I5" s="7" t="s">
        <v>126</v>
      </c>
      <c r="J5" s="7" t="s">
        <v>127</v>
      </c>
      <c r="K5" s="7" t="s">
        <v>128</v>
      </c>
      <c r="L5" s="7" t="s">
        <v>129</v>
      </c>
      <c r="M5" s="7" t="s">
        <v>130</v>
      </c>
      <c r="N5" s="7" t="s">
        <v>131</v>
      </c>
      <c r="O5" s="7" t="s">
        <v>132</v>
      </c>
      <c r="P5" s="7" t="s">
        <v>133</v>
      </c>
      <c r="Q5" s="7" t="s">
        <v>134</v>
      </c>
      <c r="R5" s="7" t="s">
        <v>135</v>
      </c>
      <c r="S5" s="7" t="s">
        <v>136</v>
      </c>
      <c r="T5" s="7" t="s">
        <v>137</v>
      </c>
      <c r="U5" s="7" t="s">
        <v>138</v>
      </c>
      <c r="V5" s="7" t="s">
        <v>139</v>
      </c>
      <c r="W5" s="7" t="s">
        <v>140</v>
      </c>
      <c r="X5" s="7" t="s">
        <v>141</v>
      </c>
      <c r="Y5" s="7" t="s">
        <v>142</v>
      </c>
      <c r="Z5" s="7" t="s">
        <v>143</v>
      </c>
      <c r="AA5" s="7" t="s">
        <v>144</v>
      </c>
      <c r="AB5" s="7" t="s">
        <v>145</v>
      </c>
      <c r="AC5" s="7" t="s">
        <v>146</v>
      </c>
      <c r="AD5" s="7" t="s">
        <v>147</v>
      </c>
      <c r="AE5" s="7" t="s">
        <v>148</v>
      </c>
      <c r="AF5" s="7" t="s">
        <v>149</v>
      </c>
      <c r="AG5" s="7" t="s">
        <v>150</v>
      </c>
      <c r="AH5" s="7" t="s">
        <v>151</v>
      </c>
      <c r="AI5" s="7" t="s">
        <v>69</v>
      </c>
      <c r="AJ5" s="7" t="s">
        <v>152</v>
      </c>
      <c r="AK5" s="7" t="s">
        <v>153</v>
      </c>
      <c r="AL5" s="7" t="s">
        <v>154</v>
      </c>
      <c r="AM5" s="7" t="s">
        <v>71</v>
      </c>
    </row>
    <row r="6" spans="1:39" ht="18" customHeight="1" x14ac:dyDescent="0.45">
      <c r="A6" s="6"/>
      <c r="B6" s="39" t="str">
        <f>IFERROR(VLOOKUP(A6,'Incident Intake'!$A:$B,2,FALSE()),"")</f>
        <v/>
      </c>
      <c r="C6" s="10" t="str">
        <f>IFERROR(VLOOKUP(A6,'Incident Intake'!$A:$E,5,FALSE()),"")</f>
        <v/>
      </c>
      <c r="D6" s="10" t="str">
        <f>IFERROR(VLOOKUP(A6,'Incident Intake'!$A:$G,7,FALSE())&amp;" "&amp;VLOOKUP(A6,'Incident Intake'!$A:$F,6,FALSE()),"")</f>
        <v/>
      </c>
      <c r="E6" s="10" t="str">
        <f>IFERROR(VLOOKUP(A6,'Incident Intake'!$A:$J,10,FALSE()),"")</f>
        <v/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10" t="str">
        <f t="shared" ref="AB6:AB37" si="0">IF(A6="","",IF(AB6="Yes","Closed",IF(T6="Yes","Consequence Assigned",IF(O6="Yes","Finding Reached",IF(F6="Yes","In Progress","Open")))))</f>
        <v/>
      </c>
      <c r="AC6" s="11" t="str">
        <f t="shared" ref="AC6:AC37" ca="1" si="1">IF(OR(A6="",AB6="Yes"),"",IF(B6="","",TODAY()-B6))</f>
        <v/>
      </c>
      <c r="AD6" s="10" t="str">
        <f t="shared" ref="AD6:AD37" si="2">IF(A6="","",IF(AND(V6="Yes",X6="Yes",Y6="Yes",Z6="Yes",AA6="Yes"),"✅ ALL CHECKS COMPLETE — OK TO CLOSE","⚠ "&amp;(5-COUNTIF(V6:Z6,"Yes"))&amp;" CHECK(S) INCOMPLETE"))</f>
        <v/>
      </c>
      <c r="AE6" s="6"/>
      <c r="AF6" s="6"/>
      <c r="AG6" s="6"/>
      <c r="AH6" s="6"/>
      <c r="AI6" s="6"/>
      <c r="AJ6" s="6"/>
      <c r="AK6" s="39" t="str">
        <f t="shared" ref="AK6:AK37" si="3">IF(AI6="Yes",IF(AJ6="","",AJ6+21),"")</f>
        <v/>
      </c>
      <c r="AL6" s="6"/>
      <c r="AM6" s="6"/>
    </row>
    <row r="7" spans="1:39" ht="18" customHeight="1" x14ac:dyDescent="0.45">
      <c r="A7" s="4"/>
      <c r="B7" s="39" t="str">
        <f>IFERROR(VLOOKUP(A7,'Incident Intake'!$A:$B,2,FALSE()),"")</f>
        <v/>
      </c>
      <c r="C7" s="10" t="str">
        <f>IFERROR(VLOOKUP(A7,'Incident Intake'!$A:$E,5,FALSE()),"")</f>
        <v/>
      </c>
      <c r="D7" s="10" t="str">
        <f>IFERROR(VLOOKUP(A7,'Incident Intake'!$A:$G,7,FALSE())&amp;" "&amp;VLOOKUP(A7,'Incident Intake'!$A:$F,6,FALSE()),"")</f>
        <v/>
      </c>
      <c r="E7" s="10" t="str">
        <f>IFERROR(VLOOKUP(A7,'Incident Intake'!$A:$J,10,FALSE()),"")</f>
        <v/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10" t="str">
        <f t="shared" si="0"/>
        <v/>
      </c>
      <c r="AC7" s="11" t="str">
        <f t="shared" ca="1" si="1"/>
        <v/>
      </c>
      <c r="AD7" s="10" t="str">
        <f t="shared" si="2"/>
        <v/>
      </c>
      <c r="AE7" s="4"/>
      <c r="AF7" s="4"/>
      <c r="AG7" s="4"/>
      <c r="AH7" s="4"/>
      <c r="AI7" s="4"/>
      <c r="AJ7" s="4"/>
      <c r="AK7" s="39" t="str">
        <f t="shared" si="3"/>
        <v/>
      </c>
      <c r="AL7" s="4"/>
      <c r="AM7" s="4"/>
    </row>
    <row r="8" spans="1:39" ht="18" customHeight="1" x14ac:dyDescent="0.45">
      <c r="A8" s="6"/>
      <c r="B8" s="39" t="str">
        <f>IFERROR(VLOOKUP(A8,'Incident Intake'!$A:$B,2,FALSE()),"")</f>
        <v/>
      </c>
      <c r="C8" s="10" t="str">
        <f>IFERROR(VLOOKUP(A8,'Incident Intake'!$A:$E,5,FALSE()),"")</f>
        <v/>
      </c>
      <c r="D8" s="10" t="str">
        <f>IFERROR(VLOOKUP(A8,'Incident Intake'!$A:$G,7,FALSE())&amp;" "&amp;VLOOKUP(A8,'Incident Intake'!$A:$F,6,FALSE()),"")</f>
        <v/>
      </c>
      <c r="E8" s="10" t="str">
        <f>IFERROR(VLOOKUP(A8,'Incident Intake'!$A:$J,10,FALSE()),"")</f>
        <v/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10" t="str">
        <f t="shared" si="0"/>
        <v/>
      </c>
      <c r="AC8" s="11" t="str">
        <f t="shared" ca="1" si="1"/>
        <v/>
      </c>
      <c r="AD8" s="10" t="str">
        <f t="shared" si="2"/>
        <v/>
      </c>
      <c r="AE8" s="6"/>
      <c r="AF8" s="6"/>
      <c r="AG8" s="6"/>
      <c r="AH8" s="6"/>
      <c r="AI8" s="6"/>
      <c r="AJ8" s="6"/>
      <c r="AK8" s="39" t="str">
        <f t="shared" si="3"/>
        <v/>
      </c>
      <c r="AL8" s="6"/>
      <c r="AM8" s="6"/>
    </row>
    <row r="9" spans="1:39" ht="18" customHeight="1" x14ac:dyDescent="0.45">
      <c r="A9" s="4"/>
      <c r="B9" s="39" t="str">
        <f>IFERROR(VLOOKUP(A9,'Incident Intake'!$A:$B,2,FALSE()),"")</f>
        <v/>
      </c>
      <c r="C9" s="10" t="str">
        <f>IFERROR(VLOOKUP(A9,'Incident Intake'!$A:$E,5,FALSE()),"")</f>
        <v/>
      </c>
      <c r="D9" s="10" t="str">
        <f>IFERROR(VLOOKUP(A9,'Incident Intake'!$A:$G,7,FALSE())&amp;" "&amp;VLOOKUP(A9,'Incident Intake'!$A:$F,6,FALSE()),"")</f>
        <v/>
      </c>
      <c r="E9" s="10" t="str">
        <f>IFERROR(VLOOKUP(A9,'Incident Intake'!$A:$J,10,FALSE()),"")</f>
        <v/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10" t="str">
        <f t="shared" si="0"/>
        <v/>
      </c>
      <c r="AC9" s="11" t="str">
        <f t="shared" ca="1" si="1"/>
        <v/>
      </c>
      <c r="AD9" s="10" t="str">
        <f t="shared" si="2"/>
        <v/>
      </c>
      <c r="AE9" s="4"/>
      <c r="AF9" s="4"/>
      <c r="AG9" s="4"/>
      <c r="AH9" s="4"/>
      <c r="AI9" s="4"/>
      <c r="AJ9" s="4"/>
      <c r="AK9" s="39" t="str">
        <f t="shared" si="3"/>
        <v/>
      </c>
      <c r="AL9" s="4"/>
      <c r="AM9" s="4"/>
    </row>
    <row r="10" spans="1:39" ht="18" customHeight="1" x14ac:dyDescent="0.45">
      <c r="A10" s="6"/>
      <c r="B10" s="39" t="str">
        <f>IFERROR(VLOOKUP(A10,'Incident Intake'!$A:$B,2,FALSE()),"")</f>
        <v/>
      </c>
      <c r="C10" s="10" t="str">
        <f>IFERROR(VLOOKUP(A10,'Incident Intake'!$A:$E,5,FALSE()),"")</f>
        <v/>
      </c>
      <c r="D10" s="10" t="str">
        <f>IFERROR(VLOOKUP(A10,'Incident Intake'!$A:$G,7,FALSE())&amp;" "&amp;VLOOKUP(A10,'Incident Intake'!$A:$F,6,FALSE()),"")</f>
        <v/>
      </c>
      <c r="E10" s="10" t="str">
        <f>IFERROR(VLOOKUP(A10,'Incident Intake'!$A:$J,10,FALSE()),"")</f>
        <v/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0" t="str">
        <f t="shared" si="0"/>
        <v/>
      </c>
      <c r="AC10" s="11" t="str">
        <f t="shared" ca="1" si="1"/>
        <v/>
      </c>
      <c r="AD10" s="10" t="str">
        <f t="shared" si="2"/>
        <v/>
      </c>
      <c r="AE10" s="6"/>
      <c r="AF10" s="6"/>
      <c r="AG10" s="6"/>
      <c r="AH10" s="6"/>
      <c r="AI10" s="6"/>
      <c r="AJ10" s="6"/>
      <c r="AK10" s="39" t="str">
        <f t="shared" si="3"/>
        <v/>
      </c>
      <c r="AL10" s="6"/>
      <c r="AM10" s="6"/>
    </row>
    <row r="11" spans="1:39" ht="18" customHeight="1" x14ac:dyDescent="0.45">
      <c r="A11" s="4"/>
      <c r="B11" s="39" t="str">
        <f>IFERROR(VLOOKUP(A11,'Incident Intake'!$A:$B,2,FALSE()),"")</f>
        <v/>
      </c>
      <c r="C11" s="10" t="str">
        <f>IFERROR(VLOOKUP(A11,'Incident Intake'!$A:$E,5,FALSE()),"")</f>
        <v/>
      </c>
      <c r="D11" s="10" t="str">
        <f>IFERROR(VLOOKUP(A11,'Incident Intake'!$A:$G,7,FALSE())&amp;" "&amp;VLOOKUP(A11,'Incident Intake'!$A:$F,6,FALSE()),"")</f>
        <v/>
      </c>
      <c r="E11" s="10" t="str">
        <f>IFERROR(VLOOKUP(A11,'Incident Intake'!$A:$J,10,FALSE()),"")</f>
        <v/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10" t="str">
        <f t="shared" si="0"/>
        <v/>
      </c>
      <c r="AC11" s="11" t="str">
        <f t="shared" ca="1" si="1"/>
        <v/>
      </c>
      <c r="AD11" s="10" t="str">
        <f t="shared" si="2"/>
        <v/>
      </c>
      <c r="AE11" s="4"/>
      <c r="AF11" s="4"/>
      <c r="AG11" s="4"/>
      <c r="AH11" s="4"/>
      <c r="AI11" s="4"/>
      <c r="AJ11" s="4"/>
      <c r="AK11" s="39" t="str">
        <f t="shared" si="3"/>
        <v/>
      </c>
      <c r="AL11" s="4"/>
      <c r="AM11" s="4"/>
    </row>
    <row r="12" spans="1:39" ht="18" customHeight="1" x14ac:dyDescent="0.45">
      <c r="A12" s="6"/>
      <c r="B12" s="39" t="str">
        <f>IFERROR(VLOOKUP(A12,'Incident Intake'!$A:$B,2,FALSE()),"")</f>
        <v/>
      </c>
      <c r="C12" s="10" t="str">
        <f>IFERROR(VLOOKUP(A12,'Incident Intake'!$A:$E,5,FALSE()),"")</f>
        <v/>
      </c>
      <c r="D12" s="10" t="str">
        <f>IFERROR(VLOOKUP(A12,'Incident Intake'!$A:$G,7,FALSE())&amp;" "&amp;VLOOKUP(A12,'Incident Intake'!$A:$F,6,FALSE()),"")</f>
        <v/>
      </c>
      <c r="E12" s="10" t="str">
        <f>IFERROR(VLOOKUP(A12,'Incident Intake'!$A:$J,10,FALSE()),"")</f>
        <v/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10" t="str">
        <f t="shared" si="0"/>
        <v/>
      </c>
      <c r="AC12" s="11" t="str">
        <f t="shared" ca="1" si="1"/>
        <v/>
      </c>
      <c r="AD12" s="10" t="str">
        <f t="shared" si="2"/>
        <v/>
      </c>
      <c r="AE12" s="6"/>
      <c r="AF12" s="6"/>
      <c r="AG12" s="6"/>
      <c r="AH12" s="6"/>
      <c r="AI12" s="6"/>
      <c r="AJ12" s="6"/>
      <c r="AK12" s="39" t="str">
        <f t="shared" si="3"/>
        <v/>
      </c>
      <c r="AL12" s="6"/>
      <c r="AM12" s="6"/>
    </row>
    <row r="13" spans="1:39" ht="18" customHeight="1" x14ac:dyDescent="0.45">
      <c r="A13" s="4"/>
      <c r="B13" s="39" t="str">
        <f>IFERROR(VLOOKUP(A13,'Incident Intake'!$A:$B,2,FALSE()),"")</f>
        <v/>
      </c>
      <c r="C13" s="10" t="str">
        <f>IFERROR(VLOOKUP(A13,'Incident Intake'!$A:$E,5,FALSE()),"")</f>
        <v/>
      </c>
      <c r="D13" s="10" t="str">
        <f>IFERROR(VLOOKUP(A13,'Incident Intake'!$A:$G,7,FALSE())&amp;" "&amp;VLOOKUP(A13,'Incident Intake'!$A:$F,6,FALSE()),"")</f>
        <v/>
      </c>
      <c r="E13" s="10" t="str">
        <f>IFERROR(VLOOKUP(A13,'Incident Intake'!$A:$J,10,FALSE()),"")</f>
        <v/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10" t="str">
        <f t="shared" si="0"/>
        <v/>
      </c>
      <c r="AC13" s="11" t="str">
        <f t="shared" ca="1" si="1"/>
        <v/>
      </c>
      <c r="AD13" s="10" t="str">
        <f t="shared" si="2"/>
        <v/>
      </c>
      <c r="AE13" s="4"/>
      <c r="AF13" s="4"/>
      <c r="AG13" s="4"/>
      <c r="AH13" s="4"/>
      <c r="AI13" s="4"/>
      <c r="AJ13" s="4"/>
      <c r="AK13" s="39" t="str">
        <f t="shared" si="3"/>
        <v/>
      </c>
      <c r="AL13" s="4"/>
      <c r="AM13" s="4"/>
    </row>
    <row r="14" spans="1:39" ht="18" customHeight="1" x14ac:dyDescent="0.45">
      <c r="A14" s="6"/>
      <c r="B14" s="39" t="str">
        <f>IFERROR(VLOOKUP(A14,'Incident Intake'!$A:$B,2,FALSE()),"")</f>
        <v/>
      </c>
      <c r="C14" s="10" t="str">
        <f>IFERROR(VLOOKUP(A14,'Incident Intake'!$A:$E,5,FALSE()),"")</f>
        <v/>
      </c>
      <c r="D14" s="10" t="str">
        <f>IFERROR(VLOOKUP(A14,'Incident Intake'!$A:$G,7,FALSE())&amp;" "&amp;VLOOKUP(A14,'Incident Intake'!$A:$F,6,FALSE()),"")</f>
        <v/>
      </c>
      <c r="E14" s="10" t="str">
        <f>IFERROR(VLOOKUP(A14,'Incident Intake'!$A:$J,10,FALSE()),"")</f>
        <v/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10" t="str">
        <f t="shared" si="0"/>
        <v/>
      </c>
      <c r="AC14" s="11" t="str">
        <f t="shared" ca="1" si="1"/>
        <v/>
      </c>
      <c r="AD14" s="10" t="str">
        <f t="shared" si="2"/>
        <v/>
      </c>
      <c r="AE14" s="6"/>
      <c r="AF14" s="6"/>
      <c r="AG14" s="6"/>
      <c r="AH14" s="6"/>
      <c r="AI14" s="6"/>
      <c r="AJ14" s="6"/>
      <c r="AK14" s="39" t="str">
        <f t="shared" si="3"/>
        <v/>
      </c>
      <c r="AL14" s="6"/>
      <c r="AM14" s="6"/>
    </row>
    <row r="15" spans="1:39" ht="18" customHeight="1" x14ac:dyDescent="0.45">
      <c r="A15" s="4"/>
      <c r="B15" s="39" t="str">
        <f>IFERROR(VLOOKUP(A15,'Incident Intake'!$A:$B,2,FALSE()),"")</f>
        <v/>
      </c>
      <c r="C15" s="10" t="str">
        <f>IFERROR(VLOOKUP(A15,'Incident Intake'!$A:$E,5,FALSE()),"")</f>
        <v/>
      </c>
      <c r="D15" s="10" t="str">
        <f>IFERROR(VLOOKUP(A15,'Incident Intake'!$A:$G,7,FALSE())&amp;" "&amp;VLOOKUP(A15,'Incident Intake'!$A:$F,6,FALSE()),"")</f>
        <v/>
      </c>
      <c r="E15" s="10" t="str">
        <f>IFERROR(VLOOKUP(A15,'Incident Intake'!$A:$J,10,FALSE()),"")</f>
        <v/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10" t="str">
        <f t="shared" si="0"/>
        <v/>
      </c>
      <c r="AC15" s="11" t="str">
        <f t="shared" ca="1" si="1"/>
        <v/>
      </c>
      <c r="AD15" s="10" t="str">
        <f t="shared" si="2"/>
        <v/>
      </c>
      <c r="AE15" s="4"/>
      <c r="AF15" s="4"/>
      <c r="AG15" s="4"/>
      <c r="AH15" s="4"/>
      <c r="AI15" s="4"/>
      <c r="AJ15" s="4"/>
      <c r="AK15" s="39" t="str">
        <f t="shared" si="3"/>
        <v/>
      </c>
      <c r="AL15" s="4"/>
      <c r="AM15" s="4"/>
    </row>
    <row r="16" spans="1:39" ht="18" customHeight="1" x14ac:dyDescent="0.45">
      <c r="A16" s="6"/>
      <c r="B16" s="39" t="str">
        <f>IFERROR(VLOOKUP(A16,'Incident Intake'!$A:$B,2,FALSE()),"")</f>
        <v/>
      </c>
      <c r="C16" s="10" t="str">
        <f>IFERROR(VLOOKUP(A16,'Incident Intake'!$A:$E,5,FALSE()),"")</f>
        <v/>
      </c>
      <c r="D16" s="10" t="str">
        <f>IFERROR(VLOOKUP(A16,'Incident Intake'!$A:$G,7,FALSE())&amp;" "&amp;VLOOKUP(A16,'Incident Intake'!$A:$F,6,FALSE()),"")</f>
        <v/>
      </c>
      <c r="E16" s="10" t="str">
        <f>IFERROR(VLOOKUP(A16,'Incident Intake'!$A:$J,10,FALSE()),"")</f>
        <v/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0" t="str">
        <f t="shared" si="0"/>
        <v/>
      </c>
      <c r="AC16" s="11" t="str">
        <f t="shared" ca="1" si="1"/>
        <v/>
      </c>
      <c r="AD16" s="10" t="str">
        <f t="shared" si="2"/>
        <v/>
      </c>
      <c r="AE16" s="6"/>
      <c r="AF16" s="6"/>
      <c r="AG16" s="6"/>
      <c r="AH16" s="6"/>
      <c r="AI16" s="6"/>
      <c r="AJ16" s="6"/>
      <c r="AK16" s="39" t="str">
        <f t="shared" si="3"/>
        <v/>
      </c>
      <c r="AL16" s="6"/>
      <c r="AM16" s="6"/>
    </row>
    <row r="17" spans="1:39" ht="18" customHeight="1" x14ac:dyDescent="0.45">
      <c r="A17" s="4"/>
      <c r="B17" s="39" t="str">
        <f>IFERROR(VLOOKUP(A17,'Incident Intake'!$A:$B,2,FALSE()),"")</f>
        <v/>
      </c>
      <c r="C17" s="10" t="str">
        <f>IFERROR(VLOOKUP(A17,'Incident Intake'!$A:$E,5,FALSE()),"")</f>
        <v/>
      </c>
      <c r="D17" s="10" t="str">
        <f>IFERROR(VLOOKUP(A17,'Incident Intake'!$A:$G,7,FALSE())&amp;" "&amp;VLOOKUP(A17,'Incident Intake'!$A:$F,6,FALSE()),"")</f>
        <v/>
      </c>
      <c r="E17" s="10" t="str">
        <f>IFERROR(VLOOKUP(A17,'Incident Intake'!$A:$J,10,FALSE()),"")</f>
        <v/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10" t="str">
        <f t="shared" si="0"/>
        <v/>
      </c>
      <c r="AC17" s="11" t="str">
        <f t="shared" ca="1" si="1"/>
        <v/>
      </c>
      <c r="AD17" s="10" t="str">
        <f t="shared" si="2"/>
        <v/>
      </c>
      <c r="AE17" s="4"/>
      <c r="AF17" s="4"/>
      <c r="AG17" s="4"/>
      <c r="AH17" s="4"/>
      <c r="AI17" s="4"/>
      <c r="AJ17" s="4"/>
      <c r="AK17" s="39" t="str">
        <f t="shared" si="3"/>
        <v/>
      </c>
      <c r="AL17" s="4"/>
      <c r="AM17" s="4"/>
    </row>
    <row r="18" spans="1:39" ht="18" customHeight="1" x14ac:dyDescent="0.45">
      <c r="A18" s="6"/>
      <c r="B18" s="39" t="str">
        <f>IFERROR(VLOOKUP(A18,'Incident Intake'!$A:$B,2,FALSE()),"")</f>
        <v/>
      </c>
      <c r="C18" s="10" t="str">
        <f>IFERROR(VLOOKUP(A18,'Incident Intake'!$A:$E,5,FALSE()),"")</f>
        <v/>
      </c>
      <c r="D18" s="10" t="str">
        <f>IFERROR(VLOOKUP(A18,'Incident Intake'!$A:$G,7,FALSE())&amp;" "&amp;VLOOKUP(A18,'Incident Intake'!$A:$F,6,FALSE()),"")</f>
        <v/>
      </c>
      <c r="E18" s="10" t="str">
        <f>IFERROR(VLOOKUP(A18,'Incident Intake'!$A:$J,10,FALSE()),"")</f>
        <v/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10" t="str">
        <f t="shared" si="0"/>
        <v/>
      </c>
      <c r="AC18" s="11" t="str">
        <f t="shared" ca="1" si="1"/>
        <v/>
      </c>
      <c r="AD18" s="10" t="str">
        <f t="shared" si="2"/>
        <v/>
      </c>
      <c r="AE18" s="6"/>
      <c r="AF18" s="6"/>
      <c r="AG18" s="6"/>
      <c r="AH18" s="6"/>
      <c r="AI18" s="6"/>
      <c r="AJ18" s="6"/>
      <c r="AK18" s="39" t="str">
        <f t="shared" si="3"/>
        <v/>
      </c>
      <c r="AL18" s="6"/>
      <c r="AM18" s="6"/>
    </row>
    <row r="19" spans="1:39" ht="18" customHeight="1" x14ac:dyDescent="0.45">
      <c r="A19" s="4"/>
      <c r="B19" s="39" t="str">
        <f>IFERROR(VLOOKUP(A19,'Incident Intake'!$A:$B,2,FALSE()),"")</f>
        <v/>
      </c>
      <c r="C19" s="10" t="str">
        <f>IFERROR(VLOOKUP(A19,'Incident Intake'!$A:$E,5,FALSE()),"")</f>
        <v/>
      </c>
      <c r="D19" s="10" t="str">
        <f>IFERROR(VLOOKUP(A19,'Incident Intake'!$A:$G,7,FALSE())&amp;" "&amp;VLOOKUP(A19,'Incident Intake'!$A:$F,6,FALSE()),"")</f>
        <v/>
      </c>
      <c r="E19" s="10" t="str">
        <f>IFERROR(VLOOKUP(A19,'Incident Intake'!$A:$J,10,FALSE()),"")</f>
        <v/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10" t="str">
        <f t="shared" si="0"/>
        <v/>
      </c>
      <c r="AC19" s="11" t="str">
        <f t="shared" ca="1" si="1"/>
        <v/>
      </c>
      <c r="AD19" s="10" t="str">
        <f t="shared" si="2"/>
        <v/>
      </c>
      <c r="AE19" s="4"/>
      <c r="AF19" s="4"/>
      <c r="AG19" s="4"/>
      <c r="AH19" s="4"/>
      <c r="AI19" s="4"/>
      <c r="AJ19" s="4"/>
      <c r="AK19" s="39" t="str">
        <f t="shared" si="3"/>
        <v/>
      </c>
      <c r="AL19" s="4"/>
      <c r="AM19" s="4"/>
    </row>
    <row r="20" spans="1:39" ht="18" customHeight="1" x14ac:dyDescent="0.45">
      <c r="A20" s="6"/>
      <c r="B20" s="39" t="str">
        <f>IFERROR(VLOOKUP(A20,'Incident Intake'!$A:$B,2,FALSE()),"")</f>
        <v/>
      </c>
      <c r="C20" s="10" t="str">
        <f>IFERROR(VLOOKUP(A20,'Incident Intake'!$A:$E,5,FALSE()),"")</f>
        <v/>
      </c>
      <c r="D20" s="10" t="str">
        <f>IFERROR(VLOOKUP(A20,'Incident Intake'!$A:$G,7,FALSE())&amp;" "&amp;VLOOKUP(A20,'Incident Intake'!$A:$F,6,FALSE()),"")</f>
        <v/>
      </c>
      <c r="E20" s="10" t="str">
        <f>IFERROR(VLOOKUP(A20,'Incident Intake'!$A:$J,10,FALSE()),"")</f>
        <v/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0" t="str">
        <f t="shared" si="0"/>
        <v/>
      </c>
      <c r="AC20" s="11" t="str">
        <f t="shared" ca="1" si="1"/>
        <v/>
      </c>
      <c r="AD20" s="10" t="str">
        <f t="shared" si="2"/>
        <v/>
      </c>
      <c r="AE20" s="6"/>
      <c r="AF20" s="6"/>
      <c r="AG20" s="6"/>
      <c r="AH20" s="6"/>
      <c r="AI20" s="6"/>
      <c r="AJ20" s="6"/>
      <c r="AK20" s="39" t="str">
        <f t="shared" si="3"/>
        <v/>
      </c>
      <c r="AL20" s="6"/>
      <c r="AM20" s="6"/>
    </row>
    <row r="21" spans="1:39" ht="18" customHeight="1" x14ac:dyDescent="0.45">
      <c r="A21" s="4"/>
      <c r="B21" s="39" t="str">
        <f>IFERROR(VLOOKUP(A21,'Incident Intake'!$A:$B,2,FALSE()),"")</f>
        <v/>
      </c>
      <c r="C21" s="10" t="str">
        <f>IFERROR(VLOOKUP(A21,'Incident Intake'!$A:$E,5,FALSE()),"")</f>
        <v/>
      </c>
      <c r="D21" s="10" t="str">
        <f>IFERROR(VLOOKUP(A21,'Incident Intake'!$A:$G,7,FALSE())&amp;" "&amp;VLOOKUP(A21,'Incident Intake'!$A:$F,6,FALSE()),"")</f>
        <v/>
      </c>
      <c r="E21" s="10" t="str">
        <f>IFERROR(VLOOKUP(A21,'Incident Intake'!$A:$J,10,FALSE()),"")</f>
        <v/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10" t="str">
        <f t="shared" si="0"/>
        <v/>
      </c>
      <c r="AC21" s="11" t="str">
        <f t="shared" ca="1" si="1"/>
        <v/>
      </c>
      <c r="AD21" s="10" t="str">
        <f t="shared" si="2"/>
        <v/>
      </c>
      <c r="AE21" s="4"/>
      <c r="AF21" s="4"/>
      <c r="AG21" s="4"/>
      <c r="AH21" s="4"/>
      <c r="AI21" s="4"/>
      <c r="AJ21" s="4"/>
      <c r="AK21" s="39" t="str">
        <f t="shared" si="3"/>
        <v/>
      </c>
      <c r="AL21" s="4"/>
      <c r="AM21" s="4"/>
    </row>
    <row r="22" spans="1:39" ht="18" customHeight="1" x14ac:dyDescent="0.45">
      <c r="A22" s="6"/>
      <c r="B22" s="39" t="str">
        <f>IFERROR(VLOOKUP(A22,'Incident Intake'!$A:$B,2,FALSE()),"")</f>
        <v/>
      </c>
      <c r="C22" s="10" t="str">
        <f>IFERROR(VLOOKUP(A22,'Incident Intake'!$A:$E,5,FALSE()),"")</f>
        <v/>
      </c>
      <c r="D22" s="10" t="str">
        <f>IFERROR(VLOOKUP(A22,'Incident Intake'!$A:$G,7,FALSE())&amp;" "&amp;VLOOKUP(A22,'Incident Intake'!$A:$F,6,FALSE()),"")</f>
        <v/>
      </c>
      <c r="E22" s="10" t="str">
        <f>IFERROR(VLOOKUP(A22,'Incident Intake'!$A:$J,10,FALSE()),"")</f>
        <v/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0" t="str">
        <f t="shared" si="0"/>
        <v/>
      </c>
      <c r="AC22" s="11" t="str">
        <f t="shared" ca="1" si="1"/>
        <v/>
      </c>
      <c r="AD22" s="10" t="str">
        <f t="shared" si="2"/>
        <v/>
      </c>
      <c r="AE22" s="6"/>
      <c r="AF22" s="6"/>
      <c r="AG22" s="6"/>
      <c r="AH22" s="6"/>
      <c r="AI22" s="6"/>
      <c r="AJ22" s="6"/>
      <c r="AK22" s="39" t="str">
        <f t="shared" si="3"/>
        <v/>
      </c>
      <c r="AL22" s="6"/>
      <c r="AM22" s="6"/>
    </row>
    <row r="23" spans="1:39" ht="18" customHeight="1" x14ac:dyDescent="0.45">
      <c r="A23" s="4"/>
      <c r="B23" s="39" t="str">
        <f>IFERROR(VLOOKUP(A23,'Incident Intake'!$A:$B,2,FALSE()),"")</f>
        <v/>
      </c>
      <c r="C23" s="10" t="str">
        <f>IFERROR(VLOOKUP(A23,'Incident Intake'!$A:$E,5,FALSE()),"")</f>
        <v/>
      </c>
      <c r="D23" s="10" t="str">
        <f>IFERROR(VLOOKUP(A23,'Incident Intake'!$A:$G,7,FALSE())&amp;" "&amp;VLOOKUP(A23,'Incident Intake'!$A:$F,6,FALSE()),"")</f>
        <v/>
      </c>
      <c r="E23" s="10" t="str">
        <f>IFERROR(VLOOKUP(A23,'Incident Intake'!$A:$J,10,FALSE()),"")</f>
        <v/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10" t="str">
        <f t="shared" si="0"/>
        <v/>
      </c>
      <c r="AC23" s="11" t="str">
        <f t="shared" ca="1" si="1"/>
        <v/>
      </c>
      <c r="AD23" s="10" t="str">
        <f t="shared" si="2"/>
        <v/>
      </c>
      <c r="AE23" s="4"/>
      <c r="AF23" s="4"/>
      <c r="AG23" s="4"/>
      <c r="AH23" s="4"/>
      <c r="AI23" s="4"/>
      <c r="AJ23" s="4"/>
      <c r="AK23" s="39" t="str">
        <f t="shared" si="3"/>
        <v/>
      </c>
      <c r="AL23" s="4"/>
      <c r="AM23" s="4"/>
    </row>
    <row r="24" spans="1:39" ht="18" customHeight="1" x14ac:dyDescent="0.45">
      <c r="A24" s="6"/>
      <c r="B24" s="39" t="str">
        <f>IFERROR(VLOOKUP(A24,'Incident Intake'!$A:$B,2,FALSE()),"")</f>
        <v/>
      </c>
      <c r="C24" s="10" t="str">
        <f>IFERROR(VLOOKUP(A24,'Incident Intake'!$A:$E,5,FALSE()),"")</f>
        <v/>
      </c>
      <c r="D24" s="10" t="str">
        <f>IFERROR(VLOOKUP(A24,'Incident Intake'!$A:$G,7,FALSE())&amp;" "&amp;VLOOKUP(A24,'Incident Intake'!$A:$F,6,FALSE()),"")</f>
        <v/>
      </c>
      <c r="E24" s="10" t="str">
        <f>IFERROR(VLOOKUP(A24,'Incident Intake'!$A:$J,10,FALSE()),"")</f>
        <v/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10" t="str">
        <f t="shared" si="0"/>
        <v/>
      </c>
      <c r="AC24" s="11" t="str">
        <f t="shared" ca="1" si="1"/>
        <v/>
      </c>
      <c r="AD24" s="10" t="str">
        <f t="shared" si="2"/>
        <v/>
      </c>
      <c r="AE24" s="6"/>
      <c r="AF24" s="6"/>
      <c r="AG24" s="6"/>
      <c r="AH24" s="6"/>
      <c r="AI24" s="6"/>
      <c r="AJ24" s="6"/>
      <c r="AK24" s="39" t="str">
        <f t="shared" si="3"/>
        <v/>
      </c>
      <c r="AL24" s="6"/>
      <c r="AM24" s="6"/>
    </row>
    <row r="25" spans="1:39" ht="18" customHeight="1" x14ac:dyDescent="0.45">
      <c r="A25" s="4"/>
      <c r="B25" s="39" t="str">
        <f>IFERROR(VLOOKUP(A25,'Incident Intake'!$A:$B,2,FALSE()),"")</f>
        <v/>
      </c>
      <c r="C25" s="10" t="str">
        <f>IFERROR(VLOOKUP(A25,'Incident Intake'!$A:$E,5,FALSE()),"")</f>
        <v/>
      </c>
      <c r="D25" s="10" t="str">
        <f>IFERROR(VLOOKUP(A25,'Incident Intake'!$A:$G,7,FALSE())&amp;" "&amp;VLOOKUP(A25,'Incident Intake'!$A:$F,6,FALSE()),"")</f>
        <v/>
      </c>
      <c r="E25" s="10" t="str">
        <f>IFERROR(VLOOKUP(A25,'Incident Intake'!$A:$J,10,FALSE()),"")</f>
        <v/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10" t="str">
        <f t="shared" si="0"/>
        <v/>
      </c>
      <c r="AC25" s="11" t="str">
        <f t="shared" ca="1" si="1"/>
        <v/>
      </c>
      <c r="AD25" s="10" t="str">
        <f t="shared" si="2"/>
        <v/>
      </c>
      <c r="AE25" s="4"/>
      <c r="AF25" s="4"/>
      <c r="AG25" s="4"/>
      <c r="AH25" s="4"/>
      <c r="AI25" s="4"/>
      <c r="AJ25" s="4"/>
      <c r="AK25" s="39" t="str">
        <f t="shared" si="3"/>
        <v/>
      </c>
      <c r="AL25" s="4"/>
      <c r="AM25" s="4"/>
    </row>
    <row r="26" spans="1:39" ht="18" customHeight="1" x14ac:dyDescent="0.45">
      <c r="A26" s="6"/>
      <c r="B26" s="39" t="str">
        <f>IFERROR(VLOOKUP(A26,'Incident Intake'!$A:$B,2,FALSE()),"")</f>
        <v/>
      </c>
      <c r="C26" s="10" t="str">
        <f>IFERROR(VLOOKUP(A26,'Incident Intake'!$A:$E,5,FALSE()),"")</f>
        <v/>
      </c>
      <c r="D26" s="10" t="str">
        <f>IFERROR(VLOOKUP(A26,'Incident Intake'!$A:$G,7,FALSE())&amp;" "&amp;VLOOKUP(A26,'Incident Intake'!$A:$F,6,FALSE()),"")</f>
        <v/>
      </c>
      <c r="E26" s="10" t="str">
        <f>IFERROR(VLOOKUP(A26,'Incident Intake'!$A:$J,10,FALSE()),"")</f>
        <v/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0" t="str">
        <f t="shared" si="0"/>
        <v/>
      </c>
      <c r="AC26" s="11" t="str">
        <f t="shared" ca="1" si="1"/>
        <v/>
      </c>
      <c r="AD26" s="10" t="str">
        <f t="shared" si="2"/>
        <v/>
      </c>
      <c r="AE26" s="6"/>
      <c r="AF26" s="6"/>
      <c r="AG26" s="6"/>
      <c r="AH26" s="6"/>
      <c r="AI26" s="6"/>
      <c r="AJ26" s="6"/>
      <c r="AK26" s="39" t="str">
        <f t="shared" si="3"/>
        <v/>
      </c>
      <c r="AL26" s="6"/>
      <c r="AM26" s="6"/>
    </row>
    <row r="27" spans="1:39" ht="18" customHeight="1" x14ac:dyDescent="0.45">
      <c r="A27" s="4"/>
      <c r="B27" s="39" t="str">
        <f>IFERROR(VLOOKUP(A27,'Incident Intake'!$A:$B,2,FALSE()),"")</f>
        <v/>
      </c>
      <c r="C27" s="10" t="str">
        <f>IFERROR(VLOOKUP(A27,'Incident Intake'!$A:$E,5,FALSE()),"")</f>
        <v/>
      </c>
      <c r="D27" s="10" t="str">
        <f>IFERROR(VLOOKUP(A27,'Incident Intake'!$A:$G,7,FALSE())&amp;" "&amp;VLOOKUP(A27,'Incident Intake'!$A:$F,6,FALSE()),"")</f>
        <v/>
      </c>
      <c r="E27" s="10" t="str">
        <f>IFERROR(VLOOKUP(A27,'Incident Intake'!$A:$J,10,FALSE()),"")</f>
        <v/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10" t="str">
        <f t="shared" si="0"/>
        <v/>
      </c>
      <c r="AC27" s="11" t="str">
        <f t="shared" ca="1" si="1"/>
        <v/>
      </c>
      <c r="AD27" s="10" t="str">
        <f t="shared" si="2"/>
        <v/>
      </c>
      <c r="AE27" s="4"/>
      <c r="AF27" s="4"/>
      <c r="AG27" s="4"/>
      <c r="AH27" s="4"/>
      <c r="AI27" s="4"/>
      <c r="AJ27" s="4"/>
      <c r="AK27" s="39" t="str">
        <f t="shared" si="3"/>
        <v/>
      </c>
      <c r="AL27" s="4"/>
      <c r="AM27" s="4"/>
    </row>
    <row r="28" spans="1:39" ht="18" customHeight="1" x14ac:dyDescent="0.45">
      <c r="A28" s="6"/>
      <c r="B28" s="39" t="str">
        <f>IFERROR(VLOOKUP(A28,'Incident Intake'!$A:$B,2,FALSE()),"")</f>
        <v/>
      </c>
      <c r="C28" s="10" t="str">
        <f>IFERROR(VLOOKUP(A28,'Incident Intake'!$A:$E,5,FALSE()),"")</f>
        <v/>
      </c>
      <c r="D28" s="10" t="str">
        <f>IFERROR(VLOOKUP(A28,'Incident Intake'!$A:$G,7,FALSE())&amp;" "&amp;VLOOKUP(A28,'Incident Intake'!$A:$F,6,FALSE()),"")</f>
        <v/>
      </c>
      <c r="E28" s="10" t="str">
        <f>IFERROR(VLOOKUP(A28,'Incident Intake'!$A:$J,10,FALSE()),"")</f>
        <v/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10" t="str">
        <f t="shared" si="0"/>
        <v/>
      </c>
      <c r="AC28" s="11" t="str">
        <f t="shared" ca="1" si="1"/>
        <v/>
      </c>
      <c r="AD28" s="10" t="str">
        <f t="shared" si="2"/>
        <v/>
      </c>
      <c r="AE28" s="6"/>
      <c r="AF28" s="6"/>
      <c r="AG28" s="6"/>
      <c r="AH28" s="6"/>
      <c r="AI28" s="6"/>
      <c r="AJ28" s="6"/>
      <c r="AK28" s="39" t="str">
        <f t="shared" si="3"/>
        <v/>
      </c>
      <c r="AL28" s="6"/>
      <c r="AM28" s="6"/>
    </row>
    <row r="29" spans="1:39" ht="18" customHeight="1" x14ac:dyDescent="0.45">
      <c r="A29" s="4"/>
      <c r="B29" s="39" t="str">
        <f>IFERROR(VLOOKUP(A29,'Incident Intake'!$A:$B,2,FALSE()),"")</f>
        <v/>
      </c>
      <c r="C29" s="10" t="str">
        <f>IFERROR(VLOOKUP(A29,'Incident Intake'!$A:$E,5,FALSE()),"")</f>
        <v/>
      </c>
      <c r="D29" s="10" t="str">
        <f>IFERROR(VLOOKUP(A29,'Incident Intake'!$A:$G,7,FALSE())&amp;" "&amp;VLOOKUP(A29,'Incident Intake'!$A:$F,6,FALSE()),"")</f>
        <v/>
      </c>
      <c r="E29" s="10" t="str">
        <f>IFERROR(VLOOKUP(A29,'Incident Intake'!$A:$J,10,FALSE()),"")</f>
        <v/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10" t="str">
        <f t="shared" si="0"/>
        <v/>
      </c>
      <c r="AC29" s="11" t="str">
        <f t="shared" ca="1" si="1"/>
        <v/>
      </c>
      <c r="AD29" s="10" t="str">
        <f t="shared" si="2"/>
        <v/>
      </c>
      <c r="AE29" s="4"/>
      <c r="AF29" s="4"/>
      <c r="AG29" s="4"/>
      <c r="AH29" s="4"/>
      <c r="AI29" s="4"/>
      <c r="AJ29" s="4"/>
      <c r="AK29" s="39" t="str">
        <f t="shared" si="3"/>
        <v/>
      </c>
      <c r="AL29" s="4"/>
      <c r="AM29" s="4"/>
    </row>
    <row r="30" spans="1:39" ht="18" customHeight="1" x14ac:dyDescent="0.45">
      <c r="A30" s="6"/>
      <c r="B30" s="39" t="str">
        <f>IFERROR(VLOOKUP(A30,'Incident Intake'!$A:$B,2,FALSE()),"")</f>
        <v/>
      </c>
      <c r="C30" s="10" t="str">
        <f>IFERROR(VLOOKUP(A30,'Incident Intake'!$A:$E,5,FALSE()),"")</f>
        <v/>
      </c>
      <c r="D30" s="10" t="str">
        <f>IFERROR(VLOOKUP(A30,'Incident Intake'!$A:$G,7,FALSE())&amp;" "&amp;VLOOKUP(A30,'Incident Intake'!$A:$F,6,FALSE()),"")</f>
        <v/>
      </c>
      <c r="E30" s="10" t="str">
        <f>IFERROR(VLOOKUP(A30,'Incident Intake'!$A:$J,10,FALSE()),"")</f>
        <v/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10" t="str">
        <f t="shared" si="0"/>
        <v/>
      </c>
      <c r="AC30" s="11" t="str">
        <f t="shared" ca="1" si="1"/>
        <v/>
      </c>
      <c r="AD30" s="10" t="str">
        <f t="shared" si="2"/>
        <v/>
      </c>
      <c r="AE30" s="6"/>
      <c r="AF30" s="6"/>
      <c r="AG30" s="6"/>
      <c r="AH30" s="6"/>
      <c r="AI30" s="6"/>
      <c r="AJ30" s="6"/>
      <c r="AK30" s="39" t="str">
        <f t="shared" si="3"/>
        <v/>
      </c>
      <c r="AL30" s="6"/>
      <c r="AM30" s="6"/>
    </row>
    <row r="31" spans="1:39" ht="18" customHeight="1" x14ac:dyDescent="0.45">
      <c r="A31" s="4"/>
      <c r="B31" s="39" t="str">
        <f>IFERROR(VLOOKUP(A31,'Incident Intake'!$A:$B,2,FALSE()),"")</f>
        <v/>
      </c>
      <c r="C31" s="10" t="str">
        <f>IFERROR(VLOOKUP(A31,'Incident Intake'!$A:$E,5,FALSE()),"")</f>
        <v/>
      </c>
      <c r="D31" s="10" t="str">
        <f>IFERROR(VLOOKUP(A31,'Incident Intake'!$A:$G,7,FALSE())&amp;" "&amp;VLOOKUP(A31,'Incident Intake'!$A:$F,6,FALSE()),"")</f>
        <v/>
      </c>
      <c r="E31" s="10" t="str">
        <f>IFERROR(VLOOKUP(A31,'Incident Intake'!$A:$J,10,FALSE()),"")</f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0" t="str">
        <f t="shared" si="0"/>
        <v/>
      </c>
      <c r="AC31" s="11" t="str">
        <f t="shared" ca="1" si="1"/>
        <v/>
      </c>
      <c r="AD31" s="10" t="str">
        <f t="shared" si="2"/>
        <v/>
      </c>
      <c r="AE31" s="4"/>
      <c r="AF31" s="4"/>
      <c r="AG31" s="4"/>
      <c r="AH31" s="4"/>
      <c r="AI31" s="4"/>
      <c r="AJ31" s="4"/>
      <c r="AK31" s="39" t="str">
        <f t="shared" si="3"/>
        <v/>
      </c>
      <c r="AL31" s="4"/>
      <c r="AM31" s="4"/>
    </row>
    <row r="32" spans="1:39" ht="18" customHeight="1" x14ac:dyDescent="0.45">
      <c r="A32" s="6"/>
      <c r="B32" s="39" t="str">
        <f>IFERROR(VLOOKUP(A32,'Incident Intake'!$A:$B,2,FALSE()),"")</f>
        <v/>
      </c>
      <c r="C32" s="10" t="str">
        <f>IFERROR(VLOOKUP(A32,'Incident Intake'!$A:$E,5,FALSE()),"")</f>
        <v/>
      </c>
      <c r="D32" s="10" t="str">
        <f>IFERROR(VLOOKUP(A32,'Incident Intake'!$A:$G,7,FALSE())&amp;" "&amp;VLOOKUP(A32,'Incident Intake'!$A:$F,6,FALSE()),"")</f>
        <v/>
      </c>
      <c r="E32" s="10" t="str">
        <f>IFERROR(VLOOKUP(A32,'Incident Intake'!$A:$J,10,FALSE()),"")</f>
        <v/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10" t="str">
        <f t="shared" si="0"/>
        <v/>
      </c>
      <c r="AC32" s="11" t="str">
        <f t="shared" ca="1" si="1"/>
        <v/>
      </c>
      <c r="AD32" s="10" t="str">
        <f t="shared" si="2"/>
        <v/>
      </c>
      <c r="AE32" s="6"/>
      <c r="AF32" s="6"/>
      <c r="AG32" s="6"/>
      <c r="AH32" s="6"/>
      <c r="AI32" s="6"/>
      <c r="AJ32" s="6"/>
      <c r="AK32" s="39" t="str">
        <f t="shared" si="3"/>
        <v/>
      </c>
      <c r="AL32" s="6"/>
      <c r="AM32" s="6"/>
    </row>
    <row r="33" spans="1:39" ht="18" customHeight="1" x14ac:dyDescent="0.45">
      <c r="A33" s="4"/>
      <c r="B33" s="39" t="str">
        <f>IFERROR(VLOOKUP(A33,'Incident Intake'!$A:$B,2,FALSE()),"")</f>
        <v/>
      </c>
      <c r="C33" s="10" t="str">
        <f>IFERROR(VLOOKUP(A33,'Incident Intake'!$A:$E,5,FALSE()),"")</f>
        <v/>
      </c>
      <c r="D33" s="10" t="str">
        <f>IFERROR(VLOOKUP(A33,'Incident Intake'!$A:$G,7,FALSE())&amp;" "&amp;VLOOKUP(A33,'Incident Intake'!$A:$F,6,FALSE()),"")</f>
        <v/>
      </c>
      <c r="E33" s="10" t="str">
        <f>IFERROR(VLOOKUP(A33,'Incident Intake'!$A:$J,10,FALSE()),"")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10" t="str">
        <f t="shared" si="0"/>
        <v/>
      </c>
      <c r="AC33" s="11" t="str">
        <f t="shared" ca="1" si="1"/>
        <v/>
      </c>
      <c r="AD33" s="10" t="str">
        <f t="shared" si="2"/>
        <v/>
      </c>
      <c r="AE33" s="4"/>
      <c r="AF33" s="4"/>
      <c r="AG33" s="4"/>
      <c r="AH33" s="4"/>
      <c r="AI33" s="4"/>
      <c r="AJ33" s="4"/>
      <c r="AK33" s="39" t="str">
        <f t="shared" si="3"/>
        <v/>
      </c>
      <c r="AL33" s="4"/>
      <c r="AM33" s="4"/>
    </row>
    <row r="34" spans="1:39" ht="18" customHeight="1" x14ac:dyDescent="0.45">
      <c r="A34" s="6"/>
      <c r="B34" s="39" t="str">
        <f>IFERROR(VLOOKUP(A34,'Incident Intake'!$A:$B,2,FALSE()),"")</f>
        <v/>
      </c>
      <c r="C34" s="10" t="str">
        <f>IFERROR(VLOOKUP(A34,'Incident Intake'!$A:$E,5,FALSE()),"")</f>
        <v/>
      </c>
      <c r="D34" s="10" t="str">
        <f>IFERROR(VLOOKUP(A34,'Incident Intake'!$A:$G,7,FALSE())&amp;" "&amp;VLOOKUP(A34,'Incident Intake'!$A:$F,6,FALSE()),"")</f>
        <v/>
      </c>
      <c r="E34" s="10" t="str">
        <f>IFERROR(VLOOKUP(A34,'Incident Intake'!$A:$J,10,FALSE()),"")</f>
        <v/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10" t="str">
        <f t="shared" si="0"/>
        <v/>
      </c>
      <c r="AC34" s="11" t="str">
        <f t="shared" ca="1" si="1"/>
        <v/>
      </c>
      <c r="AD34" s="10" t="str">
        <f t="shared" si="2"/>
        <v/>
      </c>
      <c r="AE34" s="6"/>
      <c r="AF34" s="6"/>
      <c r="AG34" s="6"/>
      <c r="AH34" s="6"/>
      <c r="AI34" s="6"/>
      <c r="AJ34" s="6"/>
      <c r="AK34" s="39" t="str">
        <f t="shared" si="3"/>
        <v/>
      </c>
      <c r="AL34" s="6"/>
      <c r="AM34" s="6"/>
    </row>
    <row r="35" spans="1:39" ht="18" customHeight="1" x14ac:dyDescent="0.45">
      <c r="A35" s="4"/>
      <c r="B35" s="39" t="str">
        <f>IFERROR(VLOOKUP(A35,'Incident Intake'!$A:$B,2,FALSE()),"")</f>
        <v/>
      </c>
      <c r="C35" s="10" t="str">
        <f>IFERROR(VLOOKUP(A35,'Incident Intake'!$A:$E,5,FALSE()),"")</f>
        <v/>
      </c>
      <c r="D35" s="10" t="str">
        <f>IFERROR(VLOOKUP(A35,'Incident Intake'!$A:$G,7,FALSE())&amp;" "&amp;VLOOKUP(A35,'Incident Intake'!$A:$F,6,FALSE()),"")</f>
        <v/>
      </c>
      <c r="E35" s="10" t="str">
        <f>IFERROR(VLOOKUP(A35,'Incident Intake'!$A:$J,10,FALSE()),"")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10" t="str">
        <f t="shared" si="0"/>
        <v/>
      </c>
      <c r="AC35" s="11" t="str">
        <f t="shared" ca="1" si="1"/>
        <v/>
      </c>
      <c r="AD35" s="10" t="str">
        <f t="shared" si="2"/>
        <v/>
      </c>
      <c r="AE35" s="4"/>
      <c r="AF35" s="4"/>
      <c r="AG35" s="4"/>
      <c r="AH35" s="4"/>
      <c r="AI35" s="4"/>
      <c r="AJ35" s="4"/>
      <c r="AK35" s="39" t="str">
        <f t="shared" si="3"/>
        <v/>
      </c>
      <c r="AL35" s="4"/>
      <c r="AM35" s="4"/>
    </row>
    <row r="36" spans="1:39" ht="18" customHeight="1" x14ac:dyDescent="0.45">
      <c r="A36" s="6"/>
      <c r="B36" s="39" t="str">
        <f>IFERROR(VLOOKUP(A36,'Incident Intake'!$A:$B,2,FALSE()),"")</f>
        <v/>
      </c>
      <c r="C36" s="10" t="str">
        <f>IFERROR(VLOOKUP(A36,'Incident Intake'!$A:$E,5,FALSE()),"")</f>
        <v/>
      </c>
      <c r="D36" s="10" t="str">
        <f>IFERROR(VLOOKUP(A36,'Incident Intake'!$A:$G,7,FALSE())&amp;" "&amp;VLOOKUP(A36,'Incident Intake'!$A:$F,6,FALSE()),"")</f>
        <v/>
      </c>
      <c r="E36" s="10" t="str">
        <f>IFERROR(VLOOKUP(A36,'Incident Intake'!$A:$J,10,FALSE()),"")</f>
        <v/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10" t="str">
        <f t="shared" si="0"/>
        <v/>
      </c>
      <c r="AC36" s="11" t="str">
        <f t="shared" ca="1" si="1"/>
        <v/>
      </c>
      <c r="AD36" s="10" t="str">
        <f t="shared" si="2"/>
        <v/>
      </c>
      <c r="AE36" s="6"/>
      <c r="AF36" s="6"/>
      <c r="AG36" s="6"/>
      <c r="AH36" s="6"/>
      <c r="AI36" s="6"/>
      <c r="AJ36" s="6"/>
      <c r="AK36" s="39" t="str">
        <f t="shared" si="3"/>
        <v/>
      </c>
      <c r="AL36" s="6"/>
      <c r="AM36" s="6"/>
    </row>
    <row r="37" spans="1:39" ht="18" customHeight="1" x14ac:dyDescent="0.45">
      <c r="A37" s="4"/>
      <c r="B37" s="39" t="str">
        <f>IFERROR(VLOOKUP(A37,'Incident Intake'!$A:$B,2,FALSE()),"")</f>
        <v/>
      </c>
      <c r="C37" s="10" t="str">
        <f>IFERROR(VLOOKUP(A37,'Incident Intake'!$A:$E,5,FALSE()),"")</f>
        <v/>
      </c>
      <c r="D37" s="10" t="str">
        <f>IFERROR(VLOOKUP(A37,'Incident Intake'!$A:$G,7,FALSE())&amp;" "&amp;VLOOKUP(A37,'Incident Intake'!$A:$F,6,FALSE()),"")</f>
        <v/>
      </c>
      <c r="E37" s="10" t="str">
        <f>IFERROR(VLOOKUP(A37,'Incident Intake'!$A:$J,10,FALSE()),"")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10" t="str">
        <f t="shared" si="0"/>
        <v/>
      </c>
      <c r="AC37" s="11" t="str">
        <f t="shared" ca="1" si="1"/>
        <v/>
      </c>
      <c r="AD37" s="10" t="str">
        <f t="shared" si="2"/>
        <v/>
      </c>
      <c r="AE37" s="4"/>
      <c r="AF37" s="4"/>
      <c r="AG37" s="4"/>
      <c r="AH37" s="4"/>
      <c r="AI37" s="4"/>
      <c r="AJ37" s="4"/>
      <c r="AK37" s="39" t="str">
        <f t="shared" si="3"/>
        <v/>
      </c>
      <c r="AL37" s="4"/>
      <c r="AM37" s="4"/>
    </row>
    <row r="38" spans="1:39" ht="18" customHeight="1" x14ac:dyDescent="0.45">
      <c r="A38" s="6"/>
      <c r="B38" s="39" t="str">
        <f>IFERROR(VLOOKUP(A38,'Incident Intake'!$A:$B,2,FALSE()),"")</f>
        <v/>
      </c>
      <c r="C38" s="10" t="str">
        <f>IFERROR(VLOOKUP(A38,'Incident Intake'!$A:$E,5,FALSE()),"")</f>
        <v/>
      </c>
      <c r="D38" s="10" t="str">
        <f>IFERROR(VLOOKUP(A38,'Incident Intake'!$A:$G,7,FALSE())&amp;" "&amp;VLOOKUP(A38,'Incident Intake'!$A:$F,6,FALSE()),"")</f>
        <v/>
      </c>
      <c r="E38" s="10" t="str">
        <f>IFERROR(VLOOKUP(A38,'Incident Intake'!$A:$J,10,FALSE()),"")</f>
        <v/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10" t="str">
        <f t="shared" ref="AB38:AB69" si="4">IF(A38="","",IF(AB38="Yes","Closed",IF(T38="Yes","Consequence Assigned",IF(O38="Yes","Finding Reached",IF(F38="Yes","In Progress","Open")))))</f>
        <v/>
      </c>
      <c r="AC38" s="11" t="str">
        <f t="shared" ref="AC38:AC69" ca="1" si="5">IF(OR(A38="",AB38="Yes"),"",IF(B38="","",TODAY()-B38))</f>
        <v/>
      </c>
      <c r="AD38" s="10" t="str">
        <f t="shared" ref="AD38:AD69" si="6">IF(A38="","",IF(AND(V38="Yes",X38="Yes",Y38="Yes",Z38="Yes",AA38="Yes"),"✅ ALL CHECKS COMPLETE — OK TO CLOSE","⚠ "&amp;(5-COUNTIF(V38:Z38,"Yes"))&amp;" CHECK(S) INCOMPLETE"))</f>
        <v/>
      </c>
      <c r="AE38" s="6"/>
      <c r="AF38" s="6"/>
      <c r="AG38" s="6"/>
      <c r="AH38" s="6"/>
      <c r="AI38" s="6"/>
      <c r="AJ38" s="6"/>
      <c r="AK38" s="39" t="str">
        <f t="shared" ref="AK38:AK69" si="7">IF(AI38="Yes",IF(AJ38="","",AJ38+21),"")</f>
        <v/>
      </c>
      <c r="AL38" s="6"/>
      <c r="AM38" s="6"/>
    </row>
    <row r="39" spans="1:39" ht="18" customHeight="1" x14ac:dyDescent="0.45">
      <c r="A39" s="4"/>
      <c r="B39" s="39" t="str">
        <f>IFERROR(VLOOKUP(A39,'Incident Intake'!$A:$B,2,FALSE()),"")</f>
        <v/>
      </c>
      <c r="C39" s="10" t="str">
        <f>IFERROR(VLOOKUP(A39,'Incident Intake'!$A:$E,5,FALSE()),"")</f>
        <v/>
      </c>
      <c r="D39" s="10" t="str">
        <f>IFERROR(VLOOKUP(A39,'Incident Intake'!$A:$G,7,FALSE())&amp;" "&amp;VLOOKUP(A39,'Incident Intake'!$A:$F,6,FALSE()),"")</f>
        <v/>
      </c>
      <c r="E39" s="10" t="str">
        <f>IFERROR(VLOOKUP(A39,'Incident Intake'!$A:$J,10,FALSE()),"")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10" t="str">
        <f t="shared" si="4"/>
        <v/>
      </c>
      <c r="AC39" s="11" t="str">
        <f t="shared" ca="1" si="5"/>
        <v/>
      </c>
      <c r="AD39" s="10" t="str">
        <f t="shared" si="6"/>
        <v/>
      </c>
      <c r="AE39" s="4"/>
      <c r="AF39" s="4"/>
      <c r="AG39" s="4"/>
      <c r="AH39" s="4"/>
      <c r="AI39" s="4"/>
      <c r="AJ39" s="4"/>
      <c r="AK39" s="39" t="str">
        <f t="shared" si="7"/>
        <v/>
      </c>
      <c r="AL39" s="4"/>
      <c r="AM39" s="4"/>
    </row>
    <row r="40" spans="1:39" ht="18" customHeight="1" x14ac:dyDescent="0.45">
      <c r="A40" s="6"/>
      <c r="B40" s="39" t="str">
        <f>IFERROR(VLOOKUP(A40,'Incident Intake'!$A:$B,2,FALSE()),"")</f>
        <v/>
      </c>
      <c r="C40" s="10" t="str">
        <f>IFERROR(VLOOKUP(A40,'Incident Intake'!$A:$E,5,FALSE()),"")</f>
        <v/>
      </c>
      <c r="D40" s="10" t="str">
        <f>IFERROR(VLOOKUP(A40,'Incident Intake'!$A:$G,7,FALSE())&amp;" "&amp;VLOOKUP(A40,'Incident Intake'!$A:$F,6,FALSE()),"")</f>
        <v/>
      </c>
      <c r="E40" s="10" t="str">
        <f>IFERROR(VLOOKUP(A40,'Incident Intake'!$A:$J,10,FALSE()),"")</f>
        <v/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10" t="str">
        <f t="shared" si="4"/>
        <v/>
      </c>
      <c r="AC40" s="11" t="str">
        <f t="shared" ca="1" si="5"/>
        <v/>
      </c>
      <c r="AD40" s="10" t="str">
        <f t="shared" si="6"/>
        <v/>
      </c>
      <c r="AE40" s="6"/>
      <c r="AF40" s="6"/>
      <c r="AG40" s="6"/>
      <c r="AH40" s="6"/>
      <c r="AI40" s="6"/>
      <c r="AJ40" s="6"/>
      <c r="AK40" s="39" t="str">
        <f t="shared" si="7"/>
        <v/>
      </c>
      <c r="AL40" s="6"/>
      <c r="AM40" s="6"/>
    </row>
    <row r="41" spans="1:39" ht="18" customHeight="1" x14ac:dyDescent="0.45">
      <c r="A41" s="4"/>
      <c r="B41" s="39" t="str">
        <f>IFERROR(VLOOKUP(A41,'Incident Intake'!$A:$B,2,FALSE()),"")</f>
        <v/>
      </c>
      <c r="C41" s="10" t="str">
        <f>IFERROR(VLOOKUP(A41,'Incident Intake'!$A:$E,5,FALSE()),"")</f>
        <v/>
      </c>
      <c r="D41" s="10" t="str">
        <f>IFERROR(VLOOKUP(A41,'Incident Intake'!$A:$G,7,FALSE())&amp;" "&amp;VLOOKUP(A41,'Incident Intake'!$A:$F,6,FALSE()),"")</f>
        <v/>
      </c>
      <c r="E41" s="10" t="str">
        <f>IFERROR(VLOOKUP(A41,'Incident Intake'!$A:$J,10,FALSE()),"")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10" t="str">
        <f t="shared" si="4"/>
        <v/>
      </c>
      <c r="AC41" s="11" t="str">
        <f t="shared" ca="1" si="5"/>
        <v/>
      </c>
      <c r="AD41" s="10" t="str">
        <f t="shared" si="6"/>
        <v/>
      </c>
      <c r="AE41" s="4"/>
      <c r="AF41" s="4"/>
      <c r="AG41" s="4"/>
      <c r="AH41" s="4"/>
      <c r="AI41" s="4"/>
      <c r="AJ41" s="4"/>
      <c r="AK41" s="39" t="str">
        <f t="shared" si="7"/>
        <v/>
      </c>
      <c r="AL41" s="4"/>
      <c r="AM41" s="4"/>
    </row>
    <row r="42" spans="1:39" ht="18" customHeight="1" x14ac:dyDescent="0.45">
      <c r="A42" s="6"/>
      <c r="B42" s="39" t="str">
        <f>IFERROR(VLOOKUP(A42,'Incident Intake'!$A:$B,2,FALSE()),"")</f>
        <v/>
      </c>
      <c r="C42" s="10" t="str">
        <f>IFERROR(VLOOKUP(A42,'Incident Intake'!$A:$E,5,FALSE()),"")</f>
        <v/>
      </c>
      <c r="D42" s="10" t="str">
        <f>IFERROR(VLOOKUP(A42,'Incident Intake'!$A:$G,7,FALSE())&amp;" "&amp;VLOOKUP(A42,'Incident Intake'!$A:$F,6,FALSE()),"")</f>
        <v/>
      </c>
      <c r="E42" s="10" t="str">
        <f>IFERROR(VLOOKUP(A42,'Incident Intake'!$A:$J,10,FALSE()),"")</f>
        <v/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10" t="str">
        <f t="shared" si="4"/>
        <v/>
      </c>
      <c r="AC42" s="11" t="str">
        <f t="shared" ca="1" si="5"/>
        <v/>
      </c>
      <c r="AD42" s="10" t="str">
        <f t="shared" si="6"/>
        <v/>
      </c>
      <c r="AE42" s="6"/>
      <c r="AF42" s="6"/>
      <c r="AG42" s="6"/>
      <c r="AH42" s="6"/>
      <c r="AI42" s="6"/>
      <c r="AJ42" s="6"/>
      <c r="AK42" s="39" t="str">
        <f t="shared" si="7"/>
        <v/>
      </c>
      <c r="AL42" s="6"/>
      <c r="AM42" s="6"/>
    </row>
    <row r="43" spans="1:39" ht="18" customHeight="1" x14ac:dyDescent="0.45">
      <c r="A43" s="4"/>
      <c r="B43" s="39" t="str">
        <f>IFERROR(VLOOKUP(A43,'Incident Intake'!$A:$B,2,FALSE()),"")</f>
        <v/>
      </c>
      <c r="C43" s="10" t="str">
        <f>IFERROR(VLOOKUP(A43,'Incident Intake'!$A:$E,5,FALSE()),"")</f>
        <v/>
      </c>
      <c r="D43" s="10" t="str">
        <f>IFERROR(VLOOKUP(A43,'Incident Intake'!$A:$G,7,FALSE())&amp;" "&amp;VLOOKUP(A43,'Incident Intake'!$A:$F,6,FALSE()),"")</f>
        <v/>
      </c>
      <c r="E43" s="10" t="str">
        <f>IFERROR(VLOOKUP(A43,'Incident Intake'!$A:$J,10,FALSE()),"")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10" t="str">
        <f t="shared" si="4"/>
        <v/>
      </c>
      <c r="AC43" s="11" t="str">
        <f t="shared" ca="1" si="5"/>
        <v/>
      </c>
      <c r="AD43" s="10" t="str">
        <f t="shared" si="6"/>
        <v/>
      </c>
      <c r="AE43" s="4"/>
      <c r="AF43" s="4"/>
      <c r="AG43" s="4"/>
      <c r="AH43" s="4"/>
      <c r="AI43" s="4"/>
      <c r="AJ43" s="4"/>
      <c r="AK43" s="39" t="str">
        <f t="shared" si="7"/>
        <v/>
      </c>
      <c r="AL43" s="4"/>
      <c r="AM43" s="4"/>
    </row>
    <row r="44" spans="1:39" ht="18" customHeight="1" x14ac:dyDescent="0.45">
      <c r="A44" s="6"/>
      <c r="B44" s="39" t="str">
        <f>IFERROR(VLOOKUP(A44,'Incident Intake'!$A:$B,2,FALSE()),"")</f>
        <v/>
      </c>
      <c r="C44" s="10" t="str">
        <f>IFERROR(VLOOKUP(A44,'Incident Intake'!$A:$E,5,FALSE()),"")</f>
        <v/>
      </c>
      <c r="D44" s="10" t="str">
        <f>IFERROR(VLOOKUP(A44,'Incident Intake'!$A:$G,7,FALSE())&amp;" "&amp;VLOOKUP(A44,'Incident Intake'!$A:$F,6,FALSE()),"")</f>
        <v/>
      </c>
      <c r="E44" s="10" t="str">
        <f>IFERROR(VLOOKUP(A44,'Incident Intake'!$A:$J,10,FALSE()),"")</f>
        <v/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10" t="str">
        <f t="shared" si="4"/>
        <v/>
      </c>
      <c r="AC44" s="11" t="str">
        <f t="shared" ca="1" si="5"/>
        <v/>
      </c>
      <c r="AD44" s="10" t="str">
        <f t="shared" si="6"/>
        <v/>
      </c>
      <c r="AE44" s="6"/>
      <c r="AF44" s="6"/>
      <c r="AG44" s="6"/>
      <c r="AH44" s="6"/>
      <c r="AI44" s="6"/>
      <c r="AJ44" s="6"/>
      <c r="AK44" s="39" t="str">
        <f t="shared" si="7"/>
        <v/>
      </c>
      <c r="AL44" s="6"/>
      <c r="AM44" s="6"/>
    </row>
    <row r="45" spans="1:39" ht="18" customHeight="1" x14ac:dyDescent="0.45">
      <c r="A45" s="4"/>
      <c r="B45" s="39" t="str">
        <f>IFERROR(VLOOKUP(A45,'Incident Intake'!$A:$B,2,FALSE()),"")</f>
        <v/>
      </c>
      <c r="C45" s="10" t="str">
        <f>IFERROR(VLOOKUP(A45,'Incident Intake'!$A:$E,5,FALSE()),"")</f>
        <v/>
      </c>
      <c r="D45" s="10" t="str">
        <f>IFERROR(VLOOKUP(A45,'Incident Intake'!$A:$G,7,FALSE())&amp;" "&amp;VLOOKUP(A45,'Incident Intake'!$A:$F,6,FALSE()),"")</f>
        <v/>
      </c>
      <c r="E45" s="10" t="str">
        <f>IFERROR(VLOOKUP(A45,'Incident Intake'!$A:$J,10,FALSE()),"")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10" t="str">
        <f t="shared" si="4"/>
        <v/>
      </c>
      <c r="AC45" s="11" t="str">
        <f t="shared" ca="1" si="5"/>
        <v/>
      </c>
      <c r="AD45" s="10" t="str">
        <f t="shared" si="6"/>
        <v/>
      </c>
      <c r="AE45" s="4"/>
      <c r="AF45" s="4"/>
      <c r="AG45" s="4"/>
      <c r="AH45" s="4"/>
      <c r="AI45" s="4"/>
      <c r="AJ45" s="4"/>
      <c r="AK45" s="39" t="str">
        <f t="shared" si="7"/>
        <v/>
      </c>
      <c r="AL45" s="4"/>
      <c r="AM45" s="4"/>
    </row>
    <row r="46" spans="1:39" ht="18" customHeight="1" x14ac:dyDescent="0.45">
      <c r="A46" s="6"/>
      <c r="B46" s="39" t="str">
        <f>IFERROR(VLOOKUP(A46,'Incident Intake'!$A:$B,2,FALSE()),"")</f>
        <v/>
      </c>
      <c r="C46" s="10" t="str">
        <f>IFERROR(VLOOKUP(A46,'Incident Intake'!$A:$E,5,FALSE()),"")</f>
        <v/>
      </c>
      <c r="D46" s="10" t="str">
        <f>IFERROR(VLOOKUP(A46,'Incident Intake'!$A:$G,7,FALSE())&amp;" "&amp;VLOOKUP(A46,'Incident Intake'!$A:$F,6,FALSE()),"")</f>
        <v/>
      </c>
      <c r="E46" s="10" t="str">
        <f>IFERROR(VLOOKUP(A46,'Incident Intake'!$A:$J,10,FALSE()),"")</f>
        <v/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10" t="str">
        <f t="shared" si="4"/>
        <v/>
      </c>
      <c r="AC46" s="11" t="str">
        <f t="shared" ca="1" si="5"/>
        <v/>
      </c>
      <c r="AD46" s="10" t="str">
        <f t="shared" si="6"/>
        <v/>
      </c>
      <c r="AE46" s="6"/>
      <c r="AF46" s="6"/>
      <c r="AG46" s="6"/>
      <c r="AH46" s="6"/>
      <c r="AI46" s="6"/>
      <c r="AJ46" s="6"/>
      <c r="AK46" s="39" t="str">
        <f t="shared" si="7"/>
        <v/>
      </c>
      <c r="AL46" s="6"/>
      <c r="AM46" s="6"/>
    </row>
    <row r="47" spans="1:39" ht="18" customHeight="1" x14ac:dyDescent="0.45">
      <c r="A47" s="4"/>
      <c r="B47" s="39" t="str">
        <f>IFERROR(VLOOKUP(A47,'Incident Intake'!$A:$B,2,FALSE()),"")</f>
        <v/>
      </c>
      <c r="C47" s="10" t="str">
        <f>IFERROR(VLOOKUP(A47,'Incident Intake'!$A:$E,5,FALSE()),"")</f>
        <v/>
      </c>
      <c r="D47" s="10" t="str">
        <f>IFERROR(VLOOKUP(A47,'Incident Intake'!$A:$G,7,FALSE())&amp;" "&amp;VLOOKUP(A47,'Incident Intake'!$A:$F,6,FALSE()),"")</f>
        <v/>
      </c>
      <c r="E47" s="10" t="str">
        <f>IFERROR(VLOOKUP(A47,'Incident Intake'!$A:$J,10,FALSE()),"")</f>
        <v/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10" t="str">
        <f t="shared" si="4"/>
        <v/>
      </c>
      <c r="AC47" s="11" t="str">
        <f t="shared" ca="1" si="5"/>
        <v/>
      </c>
      <c r="AD47" s="10" t="str">
        <f t="shared" si="6"/>
        <v/>
      </c>
      <c r="AE47" s="4"/>
      <c r="AF47" s="4"/>
      <c r="AG47" s="4"/>
      <c r="AH47" s="4"/>
      <c r="AI47" s="4"/>
      <c r="AJ47" s="4"/>
      <c r="AK47" s="39" t="str">
        <f t="shared" si="7"/>
        <v/>
      </c>
      <c r="AL47" s="4"/>
      <c r="AM47" s="4"/>
    </row>
    <row r="48" spans="1:39" ht="18" customHeight="1" x14ac:dyDescent="0.45">
      <c r="A48" s="6"/>
      <c r="B48" s="39" t="str">
        <f>IFERROR(VLOOKUP(A48,'Incident Intake'!$A:$B,2,FALSE()),"")</f>
        <v/>
      </c>
      <c r="C48" s="10" t="str">
        <f>IFERROR(VLOOKUP(A48,'Incident Intake'!$A:$E,5,FALSE()),"")</f>
        <v/>
      </c>
      <c r="D48" s="10" t="str">
        <f>IFERROR(VLOOKUP(A48,'Incident Intake'!$A:$G,7,FALSE())&amp;" "&amp;VLOOKUP(A48,'Incident Intake'!$A:$F,6,FALSE()),"")</f>
        <v/>
      </c>
      <c r="E48" s="10" t="str">
        <f>IFERROR(VLOOKUP(A48,'Incident Intake'!$A:$J,10,FALSE()),"")</f>
        <v/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10" t="str">
        <f t="shared" si="4"/>
        <v/>
      </c>
      <c r="AC48" s="11" t="str">
        <f t="shared" ca="1" si="5"/>
        <v/>
      </c>
      <c r="AD48" s="10" t="str">
        <f t="shared" si="6"/>
        <v/>
      </c>
      <c r="AE48" s="6"/>
      <c r="AF48" s="6"/>
      <c r="AG48" s="6"/>
      <c r="AH48" s="6"/>
      <c r="AI48" s="6"/>
      <c r="AJ48" s="6"/>
      <c r="AK48" s="39" t="str">
        <f t="shared" si="7"/>
        <v/>
      </c>
      <c r="AL48" s="6"/>
      <c r="AM48" s="6"/>
    </row>
    <row r="49" spans="1:39" ht="18" customHeight="1" x14ac:dyDescent="0.45">
      <c r="A49" s="4"/>
      <c r="B49" s="39" t="str">
        <f>IFERROR(VLOOKUP(A49,'Incident Intake'!$A:$B,2,FALSE()),"")</f>
        <v/>
      </c>
      <c r="C49" s="10" t="str">
        <f>IFERROR(VLOOKUP(A49,'Incident Intake'!$A:$E,5,FALSE()),"")</f>
        <v/>
      </c>
      <c r="D49" s="10" t="str">
        <f>IFERROR(VLOOKUP(A49,'Incident Intake'!$A:$G,7,FALSE())&amp;" "&amp;VLOOKUP(A49,'Incident Intake'!$A:$F,6,FALSE()),"")</f>
        <v/>
      </c>
      <c r="E49" s="10" t="str">
        <f>IFERROR(VLOOKUP(A49,'Incident Intake'!$A:$J,10,FALSE()),"")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10" t="str">
        <f t="shared" si="4"/>
        <v/>
      </c>
      <c r="AC49" s="11" t="str">
        <f t="shared" ca="1" si="5"/>
        <v/>
      </c>
      <c r="AD49" s="10" t="str">
        <f t="shared" si="6"/>
        <v/>
      </c>
      <c r="AE49" s="4"/>
      <c r="AF49" s="4"/>
      <c r="AG49" s="4"/>
      <c r="AH49" s="4"/>
      <c r="AI49" s="4"/>
      <c r="AJ49" s="4"/>
      <c r="AK49" s="39" t="str">
        <f t="shared" si="7"/>
        <v/>
      </c>
      <c r="AL49" s="4"/>
      <c r="AM49" s="4"/>
    </row>
    <row r="50" spans="1:39" ht="18" customHeight="1" x14ac:dyDescent="0.45">
      <c r="A50" s="6"/>
      <c r="B50" s="39" t="str">
        <f>IFERROR(VLOOKUP(A50,'Incident Intake'!$A:$B,2,FALSE()),"")</f>
        <v/>
      </c>
      <c r="C50" s="10" t="str">
        <f>IFERROR(VLOOKUP(A50,'Incident Intake'!$A:$E,5,FALSE()),"")</f>
        <v/>
      </c>
      <c r="D50" s="10" t="str">
        <f>IFERROR(VLOOKUP(A50,'Incident Intake'!$A:$G,7,FALSE())&amp;" "&amp;VLOOKUP(A50,'Incident Intake'!$A:$F,6,FALSE()),"")</f>
        <v/>
      </c>
      <c r="E50" s="10" t="str">
        <f>IFERROR(VLOOKUP(A50,'Incident Intake'!$A:$J,10,FALSE()),"")</f>
        <v/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10" t="str">
        <f t="shared" si="4"/>
        <v/>
      </c>
      <c r="AC50" s="11" t="str">
        <f t="shared" ca="1" si="5"/>
        <v/>
      </c>
      <c r="AD50" s="10" t="str">
        <f t="shared" si="6"/>
        <v/>
      </c>
      <c r="AE50" s="6"/>
      <c r="AF50" s="6"/>
      <c r="AG50" s="6"/>
      <c r="AH50" s="6"/>
      <c r="AI50" s="6"/>
      <c r="AJ50" s="6"/>
      <c r="AK50" s="39" t="str">
        <f t="shared" si="7"/>
        <v/>
      </c>
      <c r="AL50" s="6"/>
      <c r="AM50" s="6"/>
    </row>
    <row r="51" spans="1:39" ht="18" customHeight="1" x14ac:dyDescent="0.45">
      <c r="A51" s="4"/>
      <c r="B51" s="39" t="str">
        <f>IFERROR(VLOOKUP(A51,'Incident Intake'!$A:$B,2,FALSE()),"")</f>
        <v/>
      </c>
      <c r="C51" s="10" t="str">
        <f>IFERROR(VLOOKUP(A51,'Incident Intake'!$A:$E,5,FALSE()),"")</f>
        <v/>
      </c>
      <c r="D51" s="10" t="str">
        <f>IFERROR(VLOOKUP(A51,'Incident Intake'!$A:$G,7,FALSE())&amp;" "&amp;VLOOKUP(A51,'Incident Intake'!$A:$F,6,FALSE()),"")</f>
        <v/>
      </c>
      <c r="E51" s="10" t="str">
        <f>IFERROR(VLOOKUP(A51,'Incident Intake'!$A:$J,10,FALSE()),"")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10" t="str">
        <f t="shared" si="4"/>
        <v/>
      </c>
      <c r="AC51" s="11" t="str">
        <f t="shared" ca="1" si="5"/>
        <v/>
      </c>
      <c r="AD51" s="10" t="str">
        <f t="shared" si="6"/>
        <v/>
      </c>
      <c r="AE51" s="4"/>
      <c r="AF51" s="4"/>
      <c r="AG51" s="4"/>
      <c r="AH51" s="4"/>
      <c r="AI51" s="4"/>
      <c r="AJ51" s="4"/>
      <c r="AK51" s="39" t="str">
        <f t="shared" si="7"/>
        <v/>
      </c>
      <c r="AL51" s="4"/>
      <c r="AM51" s="4"/>
    </row>
    <row r="52" spans="1:39" ht="18" customHeight="1" x14ac:dyDescent="0.45">
      <c r="A52" s="6"/>
      <c r="B52" s="39" t="str">
        <f>IFERROR(VLOOKUP(A52,'Incident Intake'!$A:$B,2,FALSE()),"")</f>
        <v/>
      </c>
      <c r="C52" s="10" t="str">
        <f>IFERROR(VLOOKUP(A52,'Incident Intake'!$A:$E,5,FALSE()),"")</f>
        <v/>
      </c>
      <c r="D52" s="10" t="str">
        <f>IFERROR(VLOOKUP(A52,'Incident Intake'!$A:$G,7,FALSE())&amp;" "&amp;VLOOKUP(A52,'Incident Intake'!$A:$F,6,FALSE()),"")</f>
        <v/>
      </c>
      <c r="E52" s="10" t="str">
        <f>IFERROR(VLOOKUP(A52,'Incident Intake'!$A:$J,10,FALSE()),"")</f>
        <v/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10" t="str">
        <f t="shared" si="4"/>
        <v/>
      </c>
      <c r="AC52" s="11" t="str">
        <f t="shared" ca="1" si="5"/>
        <v/>
      </c>
      <c r="AD52" s="10" t="str">
        <f t="shared" si="6"/>
        <v/>
      </c>
      <c r="AE52" s="6"/>
      <c r="AF52" s="6"/>
      <c r="AG52" s="6"/>
      <c r="AH52" s="6"/>
      <c r="AI52" s="6"/>
      <c r="AJ52" s="6"/>
      <c r="AK52" s="39" t="str">
        <f t="shared" si="7"/>
        <v/>
      </c>
      <c r="AL52" s="6"/>
      <c r="AM52" s="6"/>
    </row>
    <row r="53" spans="1:39" ht="18" customHeight="1" x14ac:dyDescent="0.45">
      <c r="A53" s="4"/>
      <c r="B53" s="39" t="str">
        <f>IFERROR(VLOOKUP(A53,'Incident Intake'!$A:$B,2,FALSE()),"")</f>
        <v/>
      </c>
      <c r="C53" s="10" t="str">
        <f>IFERROR(VLOOKUP(A53,'Incident Intake'!$A:$E,5,FALSE()),"")</f>
        <v/>
      </c>
      <c r="D53" s="10" t="str">
        <f>IFERROR(VLOOKUP(A53,'Incident Intake'!$A:$G,7,FALSE())&amp;" "&amp;VLOOKUP(A53,'Incident Intake'!$A:$F,6,FALSE()),"")</f>
        <v/>
      </c>
      <c r="E53" s="10" t="str">
        <f>IFERROR(VLOOKUP(A53,'Incident Intake'!$A:$J,10,FALSE()),"")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10" t="str">
        <f t="shared" si="4"/>
        <v/>
      </c>
      <c r="AC53" s="11" t="str">
        <f t="shared" ca="1" si="5"/>
        <v/>
      </c>
      <c r="AD53" s="10" t="str">
        <f t="shared" si="6"/>
        <v/>
      </c>
      <c r="AE53" s="4"/>
      <c r="AF53" s="4"/>
      <c r="AG53" s="4"/>
      <c r="AH53" s="4"/>
      <c r="AI53" s="4"/>
      <c r="AJ53" s="4"/>
      <c r="AK53" s="39" t="str">
        <f t="shared" si="7"/>
        <v/>
      </c>
      <c r="AL53" s="4"/>
      <c r="AM53" s="4"/>
    </row>
    <row r="54" spans="1:39" ht="18" customHeight="1" x14ac:dyDescent="0.45">
      <c r="A54" s="6"/>
      <c r="B54" s="39" t="str">
        <f>IFERROR(VLOOKUP(A54,'Incident Intake'!$A:$B,2,FALSE()),"")</f>
        <v/>
      </c>
      <c r="C54" s="10" t="str">
        <f>IFERROR(VLOOKUP(A54,'Incident Intake'!$A:$E,5,FALSE()),"")</f>
        <v/>
      </c>
      <c r="D54" s="10" t="str">
        <f>IFERROR(VLOOKUP(A54,'Incident Intake'!$A:$G,7,FALSE())&amp;" "&amp;VLOOKUP(A54,'Incident Intake'!$A:$F,6,FALSE()),"")</f>
        <v/>
      </c>
      <c r="E54" s="10" t="str">
        <f>IFERROR(VLOOKUP(A54,'Incident Intake'!$A:$J,10,FALSE()),"")</f>
        <v/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10" t="str">
        <f t="shared" si="4"/>
        <v/>
      </c>
      <c r="AC54" s="11" t="str">
        <f t="shared" ca="1" si="5"/>
        <v/>
      </c>
      <c r="AD54" s="10" t="str">
        <f t="shared" si="6"/>
        <v/>
      </c>
      <c r="AE54" s="6"/>
      <c r="AF54" s="6"/>
      <c r="AG54" s="6"/>
      <c r="AH54" s="6"/>
      <c r="AI54" s="6"/>
      <c r="AJ54" s="6"/>
      <c r="AK54" s="39" t="str">
        <f t="shared" si="7"/>
        <v/>
      </c>
      <c r="AL54" s="6"/>
      <c r="AM54" s="6"/>
    </row>
    <row r="55" spans="1:39" ht="18" customHeight="1" x14ac:dyDescent="0.45">
      <c r="A55" s="4"/>
      <c r="B55" s="39" t="str">
        <f>IFERROR(VLOOKUP(A55,'Incident Intake'!$A:$B,2,FALSE()),"")</f>
        <v/>
      </c>
      <c r="C55" s="10" t="str">
        <f>IFERROR(VLOOKUP(A55,'Incident Intake'!$A:$E,5,FALSE()),"")</f>
        <v/>
      </c>
      <c r="D55" s="10" t="str">
        <f>IFERROR(VLOOKUP(A55,'Incident Intake'!$A:$G,7,FALSE())&amp;" "&amp;VLOOKUP(A55,'Incident Intake'!$A:$F,6,FALSE()),"")</f>
        <v/>
      </c>
      <c r="E55" s="10" t="str">
        <f>IFERROR(VLOOKUP(A55,'Incident Intake'!$A:$J,10,FALSE()),"")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10" t="str">
        <f t="shared" si="4"/>
        <v/>
      </c>
      <c r="AC55" s="11" t="str">
        <f t="shared" ca="1" si="5"/>
        <v/>
      </c>
      <c r="AD55" s="10" t="str">
        <f t="shared" si="6"/>
        <v/>
      </c>
      <c r="AE55" s="4"/>
      <c r="AF55" s="4"/>
      <c r="AG55" s="4"/>
      <c r="AH55" s="4"/>
      <c r="AI55" s="4"/>
      <c r="AJ55" s="4"/>
      <c r="AK55" s="39" t="str">
        <f t="shared" si="7"/>
        <v/>
      </c>
      <c r="AL55" s="4"/>
      <c r="AM55" s="4"/>
    </row>
    <row r="56" spans="1:39" ht="18" customHeight="1" x14ac:dyDescent="0.45">
      <c r="A56" s="6"/>
      <c r="B56" s="39" t="str">
        <f>IFERROR(VLOOKUP(A56,'Incident Intake'!$A:$B,2,FALSE()),"")</f>
        <v/>
      </c>
      <c r="C56" s="10" t="str">
        <f>IFERROR(VLOOKUP(A56,'Incident Intake'!$A:$E,5,FALSE()),"")</f>
        <v/>
      </c>
      <c r="D56" s="10" t="str">
        <f>IFERROR(VLOOKUP(A56,'Incident Intake'!$A:$G,7,FALSE())&amp;" "&amp;VLOOKUP(A56,'Incident Intake'!$A:$F,6,FALSE()),"")</f>
        <v/>
      </c>
      <c r="E56" s="10" t="str">
        <f>IFERROR(VLOOKUP(A56,'Incident Intake'!$A:$J,10,FALSE()),"")</f>
        <v/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10" t="str">
        <f t="shared" si="4"/>
        <v/>
      </c>
      <c r="AC56" s="11" t="str">
        <f t="shared" ca="1" si="5"/>
        <v/>
      </c>
      <c r="AD56" s="10" t="str">
        <f t="shared" si="6"/>
        <v/>
      </c>
      <c r="AE56" s="6"/>
      <c r="AF56" s="6"/>
      <c r="AG56" s="6"/>
      <c r="AH56" s="6"/>
      <c r="AI56" s="6"/>
      <c r="AJ56" s="6"/>
      <c r="AK56" s="39" t="str">
        <f t="shared" si="7"/>
        <v/>
      </c>
      <c r="AL56" s="6"/>
      <c r="AM56" s="6"/>
    </row>
    <row r="57" spans="1:39" ht="18" customHeight="1" x14ac:dyDescent="0.45">
      <c r="A57" s="4"/>
      <c r="B57" s="39" t="str">
        <f>IFERROR(VLOOKUP(A57,'Incident Intake'!$A:$B,2,FALSE()),"")</f>
        <v/>
      </c>
      <c r="C57" s="10" t="str">
        <f>IFERROR(VLOOKUP(A57,'Incident Intake'!$A:$E,5,FALSE()),"")</f>
        <v/>
      </c>
      <c r="D57" s="10" t="str">
        <f>IFERROR(VLOOKUP(A57,'Incident Intake'!$A:$G,7,FALSE())&amp;" "&amp;VLOOKUP(A57,'Incident Intake'!$A:$F,6,FALSE()),"")</f>
        <v/>
      </c>
      <c r="E57" s="10" t="str">
        <f>IFERROR(VLOOKUP(A57,'Incident Intake'!$A:$J,10,FALSE()),"")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10" t="str">
        <f t="shared" si="4"/>
        <v/>
      </c>
      <c r="AC57" s="11" t="str">
        <f t="shared" ca="1" si="5"/>
        <v/>
      </c>
      <c r="AD57" s="10" t="str">
        <f t="shared" si="6"/>
        <v/>
      </c>
      <c r="AE57" s="4"/>
      <c r="AF57" s="4"/>
      <c r="AG57" s="4"/>
      <c r="AH57" s="4"/>
      <c r="AI57" s="4"/>
      <c r="AJ57" s="4"/>
      <c r="AK57" s="39" t="str">
        <f t="shared" si="7"/>
        <v/>
      </c>
      <c r="AL57" s="4"/>
      <c r="AM57" s="4"/>
    </row>
    <row r="58" spans="1:39" ht="18" customHeight="1" x14ac:dyDescent="0.45">
      <c r="A58" s="6"/>
      <c r="B58" s="39" t="str">
        <f>IFERROR(VLOOKUP(A58,'Incident Intake'!$A:$B,2,FALSE()),"")</f>
        <v/>
      </c>
      <c r="C58" s="10" t="str">
        <f>IFERROR(VLOOKUP(A58,'Incident Intake'!$A:$E,5,FALSE()),"")</f>
        <v/>
      </c>
      <c r="D58" s="10" t="str">
        <f>IFERROR(VLOOKUP(A58,'Incident Intake'!$A:$G,7,FALSE())&amp;" "&amp;VLOOKUP(A58,'Incident Intake'!$A:$F,6,FALSE()),"")</f>
        <v/>
      </c>
      <c r="E58" s="10" t="str">
        <f>IFERROR(VLOOKUP(A58,'Incident Intake'!$A:$J,10,FALSE()),"")</f>
        <v/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10" t="str">
        <f t="shared" si="4"/>
        <v/>
      </c>
      <c r="AC58" s="11" t="str">
        <f t="shared" ca="1" si="5"/>
        <v/>
      </c>
      <c r="AD58" s="10" t="str">
        <f t="shared" si="6"/>
        <v/>
      </c>
      <c r="AE58" s="6"/>
      <c r="AF58" s="6"/>
      <c r="AG58" s="6"/>
      <c r="AH58" s="6"/>
      <c r="AI58" s="6"/>
      <c r="AJ58" s="6"/>
      <c r="AK58" s="39" t="str">
        <f t="shared" si="7"/>
        <v/>
      </c>
      <c r="AL58" s="6"/>
      <c r="AM58" s="6"/>
    </row>
    <row r="59" spans="1:39" ht="18" customHeight="1" x14ac:dyDescent="0.45">
      <c r="A59" s="4"/>
      <c r="B59" s="39" t="str">
        <f>IFERROR(VLOOKUP(A59,'Incident Intake'!$A:$B,2,FALSE()),"")</f>
        <v/>
      </c>
      <c r="C59" s="10" t="str">
        <f>IFERROR(VLOOKUP(A59,'Incident Intake'!$A:$E,5,FALSE()),"")</f>
        <v/>
      </c>
      <c r="D59" s="10" t="str">
        <f>IFERROR(VLOOKUP(A59,'Incident Intake'!$A:$G,7,FALSE())&amp;" "&amp;VLOOKUP(A59,'Incident Intake'!$A:$F,6,FALSE()),"")</f>
        <v/>
      </c>
      <c r="E59" s="10" t="str">
        <f>IFERROR(VLOOKUP(A59,'Incident Intake'!$A:$J,10,FALSE()),"")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10" t="str">
        <f t="shared" si="4"/>
        <v/>
      </c>
      <c r="AC59" s="11" t="str">
        <f t="shared" ca="1" si="5"/>
        <v/>
      </c>
      <c r="AD59" s="10" t="str">
        <f t="shared" si="6"/>
        <v/>
      </c>
      <c r="AE59" s="4"/>
      <c r="AF59" s="4"/>
      <c r="AG59" s="4"/>
      <c r="AH59" s="4"/>
      <c r="AI59" s="4"/>
      <c r="AJ59" s="4"/>
      <c r="AK59" s="39" t="str">
        <f t="shared" si="7"/>
        <v/>
      </c>
      <c r="AL59" s="4"/>
      <c r="AM59" s="4"/>
    </row>
    <row r="60" spans="1:39" ht="18" customHeight="1" x14ac:dyDescent="0.45">
      <c r="A60" s="6"/>
      <c r="B60" s="39" t="str">
        <f>IFERROR(VLOOKUP(A60,'Incident Intake'!$A:$B,2,FALSE()),"")</f>
        <v/>
      </c>
      <c r="C60" s="10" t="str">
        <f>IFERROR(VLOOKUP(A60,'Incident Intake'!$A:$E,5,FALSE()),"")</f>
        <v/>
      </c>
      <c r="D60" s="10" t="str">
        <f>IFERROR(VLOOKUP(A60,'Incident Intake'!$A:$G,7,FALSE())&amp;" "&amp;VLOOKUP(A60,'Incident Intake'!$A:$F,6,FALSE()),"")</f>
        <v/>
      </c>
      <c r="E60" s="10" t="str">
        <f>IFERROR(VLOOKUP(A60,'Incident Intake'!$A:$J,10,FALSE()),"")</f>
        <v/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10" t="str">
        <f t="shared" si="4"/>
        <v/>
      </c>
      <c r="AC60" s="11" t="str">
        <f t="shared" ca="1" si="5"/>
        <v/>
      </c>
      <c r="AD60" s="10" t="str">
        <f t="shared" si="6"/>
        <v/>
      </c>
      <c r="AE60" s="6"/>
      <c r="AF60" s="6"/>
      <c r="AG60" s="6"/>
      <c r="AH60" s="6"/>
      <c r="AI60" s="6"/>
      <c r="AJ60" s="6"/>
      <c r="AK60" s="39" t="str">
        <f t="shared" si="7"/>
        <v/>
      </c>
      <c r="AL60" s="6"/>
      <c r="AM60" s="6"/>
    </row>
    <row r="61" spans="1:39" ht="18" customHeight="1" x14ac:dyDescent="0.45">
      <c r="A61" s="4"/>
      <c r="B61" s="39" t="str">
        <f>IFERROR(VLOOKUP(A61,'Incident Intake'!$A:$B,2,FALSE()),"")</f>
        <v/>
      </c>
      <c r="C61" s="10" t="str">
        <f>IFERROR(VLOOKUP(A61,'Incident Intake'!$A:$E,5,FALSE()),"")</f>
        <v/>
      </c>
      <c r="D61" s="10" t="str">
        <f>IFERROR(VLOOKUP(A61,'Incident Intake'!$A:$G,7,FALSE())&amp;" "&amp;VLOOKUP(A61,'Incident Intake'!$A:$F,6,FALSE()),"")</f>
        <v/>
      </c>
      <c r="E61" s="10" t="str">
        <f>IFERROR(VLOOKUP(A61,'Incident Intake'!$A:$J,10,FALSE()),"")</f>
        <v/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10" t="str">
        <f t="shared" si="4"/>
        <v/>
      </c>
      <c r="AC61" s="11" t="str">
        <f t="shared" ca="1" si="5"/>
        <v/>
      </c>
      <c r="AD61" s="10" t="str">
        <f t="shared" si="6"/>
        <v/>
      </c>
      <c r="AE61" s="4"/>
      <c r="AF61" s="4"/>
      <c r="AG61" s="4"/>
      <c r="AH61" s="4"/>
      <c r="AI61" s="4"/>
      <c r="AJ61" s="4"/>
      <c r="AK61" s="39" t="str">
        <f t="shared" si="7"/>
        <v/>
      </c>
      <c r="AL61" s="4"/>
      <c r="AM61" s="4"/>
    </row>
    <row r="62" spans="1:39" ht="18" customHeight="1" x14ac:dyDescent="0.45">
      <c r="A62" s="6"/>
      <c r="B62" s="39" t="str">
        <f>IFERROR(VLOOKUP(A62,'Incident Intake'!$A:$B,2,FALSE()),"")</f>
        <v/>
      </c>
      <c r="C62" s="10" t="str">
        <f>IFERROR(VLOOKUP(A62,'Incident Intake'!$A:$E,5,FALSE()),"")</f>
        <v/>
      </c>
      <c r="D62" s="10" t="str">
        <f>IFERROR(VLOOKUP(A62,'Incident Intake'!$A:$G,7,FALSE())&amp;" "&amp;VLOOKUP(A62,'Incident Intake'!$A:$F,6,FALSE()),"")</f>
        <v/>
      </c>
      <c r="E62" s="10" t="str">
        <f>IFERROR(VLOOKUP(A62,'Incident Intake'!$A:$J,10,FALSE()),"")</f>
        <v/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10" t="str">
        <f t="shared" si="4"/>
        <v/>
      </c>
      <c r="AC62" s="11" t="str">
        <f t="shared" ca="1" si="5"/>
        <v/>
      </c>
      <c r="AD62" s="10" t="str">
        <f t="shared" si="6"/>
        <v/>
      </c>
      <c r="AE62" s="6"/>
      <c r="AF62" s="6"/>
      <c r="AG62" s="6"/>
      <c r="AH62" s="6"/>
      <c r="AI62" s="6"/>
      <c r="AJ62" s="6"/>
      <c r="AK62" s="39" t="str">
        <f t="shared" si="7"/>
        <v/>
      </c>
      <c r="AL62" s="6"/>
      <c r="AM62" s="6"/>
    </row>
    <row r="63" spans="1:39" ht="18" customHeight="1" x14ac:dyDescent="0.45">
      <c r="A63" s="4"/>
      <c r="B63" s="39" t="str">
        <f>IFERROR(VLOOKUP(A63,'Incident Intake'!$A:$B,2,FALSE()),"")</f>
        <v/>
      </c>
      <c r="C63" s="10" t="str">
        <f>IFERROR(VLOOKUP(A63,'Incident Intake'!$A:$E,5,FALSE()),"")</f>
        <v/>
      </c>
      <c r="D63" s="10" t="str">
        <f>IFERROR(VLOOKUP(A63,'Incident Intake'!$A:$G,7,FALSE())&amp;" "&amp;VLOOKUP(A63,'Incident Intake'!$A:$F,6,FALSE()),"")</f>
        <v/>
      </c>
      <c r="E63" s="10" t="str">
        <f>IFERROR(VLOOKUP(A63,'Incident Intake'!$A:$J,10,FALSE()),"")</f>
        <v/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10" t="str">
        <f t="shared" si="4"/>
        <v/>
      </c>
      <c r="AC63" s="11" t="str">
        <f t="shared" ca="1" si="5"/>
        <v/>
      </c>
      <c r="AD63" s="10" t="str">
        <f t="shared" si="6"/>
        <v/>
      </c>
      <c r="AE63" s="4"/>
      <c r="AF63" s="4"/>
      <c r="AG63" s="4"/>
      <c r="AH63" s="4"/>
      <c r="AI63" s="4"/>
      <c r="AJ63" s="4"/>
      <c r="AK63" s="39" t="str">
        <f t="shared" si="7"/>
        <v/>
      </c>
      <c r="AL63" s="4"/>
      <c r="AM63" s="4"/>
    </row>
    <row r="64" spans="1:39" ht="18" customHeight="1" x14ac:dyDescent="0.45">
      <c r="A64" s="6"/>
      <c r="B64" s="39" t="str">
        <f>IFERROR(VLOOKUP(A64,'Incident Intake'!$A:$B,2,FALSE()),"")</f>
        <v/>
      </c>
      <c r="C64" s="10" t="str">
        <f>IFERROR(VLOOKUP(A64,'Incident Intake'!$A:$E,5,FALSE()),"")</f>
        <v/>
      </c>
      <c r="D64" s="10" t="str">
        <f>IFERROR(VLOOKUP(A64,'Incident Intake'!$A:$G,7,FALSE())&amp;" "&amp;VLOOKUP(A64,'Incident Intake'!$A:$F,6,FALSE()),"")</f>
        <v/>
      </c>
      <c r="E64" s="10" t="str">
        <f>IFERROR(VLOOKUP(A64,'Incident Intake'!$A:$J,10,FALSE()),"")</f>
        <v/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10" t="str">
        <f t="shared" si="4"/>
        <v/>
      </c>
      <c r="AC64" s="11" t="str">
        <f t="shared" ca="1" si="5"/>
        <v/>
      </c>
      <c r="AD64" s="10" t="str">
        <f t="shared" si="6"/>
        <v/>
      </c>
      <c r="AE64" s="6"/>
      <c r="AF64" s="6"/>
      <c r="AG64" s="6"/>
      <c r="AH64" s="6"/>
      <c r="AI64" s="6"/>
      <c r="AJ64" s="6"/>
      <c r="AK64" s="39" t="str">
        <f t="shared" si="7"/>
        <v/>
      </c>
      <c r="AL64" s="6"/>
      <c r="AM64" s="6"/>
    </row>
    <row r="65" spans="1:39" ht="18" customHeight="1" x14ac:dyDescent="0.45">
      <c r="A65" s="4"/>
      <c r="B65" s="39" t="str">
        <f>IFERROR(VLOOKUP(A65,'Incident Intake'!$A:$B,2,FALSE()),"")</f>
        <v/>
      </c>
      <c r="C65" s="10" t="str">
        <f>IFERROR(VLOOKUP(A65,'Incident Intake'!$A:$E,5,FALSE()),"")</f>
        <v/>
      </c>
      <c r="D65" s="10" t="str">
        <f>IFERROR(VLOOKUP(A65,'Incident Intake'!$A:$G,7,FALSE())&amp;" "&amp;VLOOKUP(A65,'Incident Intake'!$A:$F,6,FALSE()),"")</f>
        <v/>
      </c>
      <c r="E65" s="10" t="str">
        <f>IFERROR(VLOOKUP(A65,'Incident Intake'!$A:$J,10,FALSE()),"")</f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10" t="str">
        <f t="shared" si="4"/>
        <v/>
      </c>
      <c r="AC65" s="11" t="str">
        <f t="shared" ca="1" si="5"/>
        <v/>
      </c>
      <c r="AD65" s="10" t="str">
        <f t="shared" si="6"/>
        <v/>
      </c>
      <c r="AE65" s="4"/>
      <c r="AF65" s="4"/>
      <c r="AG65" s="4"/>
      <c r="AH65" s="4"/>
      <c r="AI65" s="4"/>
      <c r="AJ65" s="4"/>
      <c r="AK65" s="39" t="str">
        <f t="shared" si="7"/>
        <v/>
      </c>
      <c r="AL65" s="4"/>
      <c r="AM65" s="4"/>
    </row>
    <row r="66" spans="1:39" ht="18" customHeight="1" x14ac:dyDescent="0.45">
      <c r="A66" s="6"/>
      <c r="B66" s="39" t="str">
        <f>IFERROR(VLOOKUP(A66,'Incident Intake'!$A:$B,2,FALSE()),"")</f>
        <v/>
      </c>
      <c r="C66" s="10" t="str">
        <f>IFERROR(VLOOKUP(A66,'Incident Intake'!$A:$E,5,FALSE()),"")</f>
        <v/>
      </c>
      <c r="D66" s="10" t="str">
        <f>IFERROR(VLOOKUP(A66,'Incident Intake'!$A:$G,7,FALSE())&amp;" "&amp;VLOOKUP(A66,'Incident Intake'!$A:$F,6,FALSE()),"")</f>
        <v/>
      </c>
      <c r="E66" s="10" t="str">
        <f>IFERROR(VLOOKUP(A66,'Incident Intake'!$A:$J,10,FALSE()),"")</f>
        <v/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10" t="str">
        <f t="shared" si="4"/>
        <v/>
      </c>
      <c r="AC66" s="11" t="str">
        <f t="shared" ca="1" si="5"/>
        <v/>
      </c>
      <c r="AD66" s="10" t="str">
        <f t="shared" si="6"/>
        <v/>
      </c>
      <c r="AE66" s="6"/>
      <c r="AF66" s="6"/>
      <c r="AG66" s="6"/>
      <c r="AH66" s="6"/>
      <c r="AI66" s="6"/>
      <c r="AJ66" s="6"/>
      <c r="AK66" s="39" t="str">
        <f t="shared" si="7"/>
        <v/>
      </c>
      <c r="AL66" s="6"/>
      <c r="AM66" s="6"/>
    </row>
    <row r="67" spans="1:39" ht="18" customHeight="1" x14ac:dyDescent="0.45">
      <c r="A67" s="4"/>
      <c r="B67" s="39" t="str">
        <f>IFERROR(VLOOKUP(A67,'Incident Intake'!$A:$B,2,FALSE()),"")</f>
        <v/>
      </c>
      <c r="C67" s="10" t="str">
        <f>IFERROR(VLOOKUP(A67,'Incident Intake'!$A:$E,5,FALSE()),"")</f>
        <v/>
      </c>
      <c r="D67" s="10" t="str">
        <f>IFERROR(VLOOKUP(A67,'Incident Intake'!$A:$G,7,FALSE())&amp;" "&amp;VLOOKUP(A67,'Incident Intake'!$A:$F,6,FALSE()),"")</f>
        <v/>
      </c>
      <c r="E67" s="10" t="str">
        <f>IFERROR(VLOOKUP(A67,'Incident Intake'!$A:$J,10,FALSE()),"")</f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10" t="str">
        <f t="shared" si="4"/>
        <v/>
      </c>
      <c r="AC67" s="11" t="str">
        <f t="shared" ca="1" si="5"/>
        <v/>
      </c>
      <c r="AD67" s="10" t="str">
        <f t="shared" si="6"/>
        <v/>
      </c>
      <c r="AE67" s="4"/>
      <c r="AF67" s="4"/>
      <c r="AG67" s="4"/>
      <c r="AH67" s="4"/>
      <c r="AI67" s="4"/>
      <c r="AJ67" s="4"/>
      <c r="AK67" s="39" t="str">
        <f t="shared" si="7"/>
        <v/>
      </c>
      <c r="AL67" s="4"/>
      <c r="AM67" s="4"/>
    </row>
    <row r="68" spans="1:39" ht="18" customHeight="1" x14ac:dyDescent="0.45">
      <c r="A68" s="6"/>
      <c r="B68" s="39" t="str">
        <f>IFERROR(VLOOKUP(A68,'Incident Intake'!$A:$B,2,FALSE()),"")</f>
        <v/>
      </c>
      <c r="C68" s="10" t="str">
        <f>IFERROR(VLOOKUP(A68,'Incident Intake'!$A:$E,5,FALSE()),"")</f>
        <v/>
      </c>
      <c r="D68" s="10" t="str">
        <f>IFERROR(VLOOKUP(A68,'Incident Intake'!$A:$G,7,FALSE())&amp;" "&amp;VLOOKUP(A68,'Incident Intake'!$A:$F,6,FALSE()),"")</f>
        <v/>
      </c>
      <c r="E68" s="10" t="str">
        <f>IFERROR(VLOOKUP(A68,'Incident Intake'!$A:$J,10,FALSE()),"")</f>
        <v/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10" t="str">
        <f t="shared" si="4"/>
        <v/>
      </c>
      <c r="AC68" s="11" t="str">
        <f t="shared" ca="1" si="5"/>
        <v/>
      </c>
      <c r="AD68" s="10" t="str">
        <f t="shared" si="6"/>
        <v/>
      </c>
      <c r="AE68" s="6"/>
      <c r="AF68" s="6"/>
      <c r="AG68" s="6"/>
      <c r="AH68" s="6"/>
      <c r="AI68" s="6"/>
      <c r="AJ68" s="6"/>
      <c r="AK68" s="39" t="str">
        <f t="shared" si="7"/>
        <v/>
      </c>
      <c r="AL68" s="6"/>
      <c r="AM68" s="6"/>
    </row>
    <row r="69" spans="1:39" ht="18" customHeight="1" x14ac:dyDescent="0.45">
      <c r="A69" s="4"/>
      <c r="B69" s="39" t="str">
        <f>IFERROR(VLOOKUP(A69,'Incident Intake'!$A:$B,2,FALSE()),"")</f>
        <v/>
      </c>
      <c r="C69" s="10" t="str">
        <f>IFERROR(VLOOKUP(A69,'Incident Intake'!$A:$E,5,FALSE()),"")</f>
        <v/>
      </c>
      <c r="D69" s="10" t="str">
        <f>IFERROR(VLOOKUP(A69,'Incident Intake'!$A:$G,7,FALSE())&amp;" "&amp;VLOOKUP(A69,'Incident Intake'!$A:$F,6,FALSE()),"")</f>
        <v/>
      </c>
      <c r="E69" s="10" t="str">
        <f>IFERROR(VLOOKUP(A69,'Incident Intake'!$A:$J,10,FALSE()),"")</f>
        <v/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10" t="str">
        <f t="shared" si="4"/>
        <v/>
      </c>
      <c r="AC69" s="11" t="str">
        <f t="shared" ca="1" si="5"/>
        <v/>
      </c>
      <c r="AD69" s="10" t="str">
        <f t="shared" si="6"/>
        <v/>
      </c>
      <c r="AE69" s="4"/>
      <c r="AF69" s="4"/>
      <c r="AG69" s="4"/>
      <c r="AH69" s="4"/>
      <c r="AI69" s="4"/>
      <c r="AJ69" s="4"/>
      <c r="AK69" s="39" t="str">
        <f t="shared" si="7"/>
        <v/>
      </c>
      <c r="AL69" s="4"/>
      <c r="AM69" s="4"/>
    </row>
    <row r="70" spans="1:39" ht="18" customHeight="1" x14ac:dyDescent="0.45">
      <c r="A70" s="6"/>
      <c r="B70" s="39" t="str">
        <f>IFERROR(VLOOKUP(A70,'Incident Intake'!$A:$B,2,FALSE()),"")</f>
        <v/>
      </c>
      <c r="C70" s="10" t="str">
        <f>IFERROR(VLOOKUP(A70,'Incident Intake'!$A:$E,5,FALSE()),"")</f>
        <v/>
      </c>
      <c r="D70" s="10" t="str">
        <f>IFERROR(VLOOKUP(A70,'Incident Intake'!$A:$G,7,FALSE())&amp;" "&amp;VLOOKUP(A70,'Incident Intake'!$A:$F,6,FALSE()),"")</f>
        <v/>
      </c>
      <c r="E70" s="10" t="str">
        <f>IFERROR(VLOOKUP(A70,'Incident Intake'!$A:$J,10,FALSE()),"")</f>
        <v/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10" t="str">
        <f t="shared" ref="AB70:AB101" si="8">IF(A70="","",IF(AB70="Yes","Closed",IF(T70="Yes","Consequence Assigned",IF(O70="Yes","Finding Reached",IF(F70="Yes","In Progress","Open")))))</f>
        <v/>
      </c>
      <c r="AC70" s="11" t="str">
        <f t="shared" ref="AC70:AC101" ca="1" si="9">IF(OR(A70="",AB70="Yes"),"",IF(B70="","",TODAY()-B70))</f>
        <v/>
      </c>
      <c r="AD70" s="10" t="str">
        <f t="shared" ref="AD70:AD101" si="10">IF(A70="","",IF(AND(V70="Yes",X70="Yes",Y70="Yes",Z70="Yes",AA70="Yes"),"✅ ALL CHECKS COMPLETE — OK TO CLOSE","⚠ "&amp;(5-COUNTIF(V70:Z70,"Yes"))&amp;" CHECK(S) INCOMPLETE"))</f>
        <v/>
      </c>
      <c r="AE70" s="6"/>
      <c r="AF70" s="6"/>
      <c r="AG70" s="6"/>
      <c r="AH70" s="6"/>
      <c r="AI70" s="6"/>
      <c r="AJ70" s="6"/>
      <c r="AK70" s="39" t="str">
        <f t="shared" ref="AK70:AK101" si="11">IF(AI70="Yes",IF(AJ70="","",AJ70+21),"")</f>
        <v/>
      </c>
      <c r="AL70" s="6"/>
      <c r="AM70" s="6"/>
    </row>
    <row r="71" spans="1:39" ht="18" customHeight="1" x14ac:dyDescent="0.45">
      <c r="A71" s="4"/>
      <c r="B71" s="39" t="str">
        <f>IFERROR(VLOOKUP(A71,'Incident Intake'!$A:$B,2,FALSE()),"")</f>
        <v/>
      </c>
      <c r="C71" s="10" t="str">
        <f>IFERROR(VLOOKUP(A71,'Incident Intake'!$A:$E,5,FALSE()),"")</f>
        <v/>
      </c>
      <c r="D71" s="10" t="str">
        <f>IFERROR(VLOOKUP(A71,'Incident Intake'!$A:$G,7,FALSE())&amp;" "&amp;VLOOKUP(A71,'Incident Intake'!$A:$F,6,FALSE()),"")</f>
        <v/>
      </c>
      <c r="E71" s="10" t="str">
        <f>IFERROR(VLOOKUP(A71,'Incident Intake'!$A:$J,10,FALSE()),"")</f>
        <v/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10" t="str">
        <f t="shared" si="8"/>
        <v/>
      </c>
      <c r="AC71" s="11" t="str">
        <f t="shared" ca="1" si="9"/>
        <v/>
      </c>
      <c r="AD71" s="10" t="str">
        <f t="shared" si="10"/>
        <v/>
      </c>
      <c r="AE71" s="4"/>
      <c r="AF71" s="4"/>
      <c r="AG71" s="4"/>
      <c r="AH71" s="4"/>
      <c r="AI71" s="4"/>
      <c r="AJ71" s="4"/>
      <c r="AK71" s="39" t="str">
        <f t="shared" si="11"/>
        <v/>
      </c>
      <c r="AL71" s="4"/>
      <c r="AM71" s="4"/>
    </row>
    <row r="72" spans="1:39" ht="18" customHeight="1" x14ac:dyDescent="0.45">
      <c r="A72" s="6"/>
      <c r="B72" s="39" t="str">
        <f>IFERROR(VLOOKUP(A72,'Incident Intake'!$A:$B,2,FALSE()),"")</f>
        <v/>
      </c>
      <c r="C72" s="10" t="str">
        <f>IFERROR(VLOOKUP(A72,'Incident Intake'!$A:$E,5,FALSE()),"")</f>
        <v/>
      </c>
      <c r="D72" s="10" t="str">
        <f>IFERROR(VLOOKUP(A72,'Incident Intake'!$A:$G,7,FALSE())&amp;" "&amp;VLOOKUP(A72,'Incident Intake'!$A:$F,6,FALSE()),"")</f>
        <v/>
      </c>
      <c r="E72" s="10" t="str">
        <f>IFERROR(VLOOKUP(A72,'Incident Intake'!$A:$J,10,FALSE()),"")</f>
        <v/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10" t="str">
        <f t="shared" si="8"/>
        <v/>
      </c>
      <c r="AC72" s="11" t="str">
        <f t="shared" ca="1" si="9"/>
        <v/>
      </c>
      <c r="AD72" s="10" t="str">
        <f t="shared" si="10"/>
        <v/>
      </c>
      <c r="AE72" s="6"/>
      <c r="AF72" s="6"/>
      <c r="AG72" s="6"/>
      <c r="AH72" s="6"/>
      <c r="AI72" s="6"/>
      <c r="AJ72" s="6"/>
      <c r="AK72" s="39" t="str">
        <f t="shared" si="11"/>
        <v/>
      </c>
      <c r="AL72" s="6"/>
      <c r="AM72" s="6"/>
    </row>
    <row r="73" spans="1:39" ht="18" customHeight="1" x14ac:dyDescent="0.45">
      <c r="A73" s="4"/>
      <c r="B73" s="39" t="str">
        <f>IFERROR(VLOOKUP(A73,'Incident Intake'!$A:$B,2,FALSE()),"")</f>
        <v/>
      </c>
      <c r="C73" s="10" t="str">
        <f>IFERROR(VLOOKUP(A73,'Incident Intake'!$A:$E,5,FALSE()),"")</f>
        <v/>
      </c>
      <c r="D73" s="10" t="str">
        <f>IFERROR(VLOOKUP(A73,'Incident Intake'!$A:$G,7,FALSE())&amp;" "&amp;VLOOKUP(A73,'Incident Intake'!$A:$F,6,FALSE()),"")</f>
        <v/>
      </c>
      <c r="E73" s="10" t="str">
        <f>IFERROR(VLOOKUP(A73,'Incident Intake'!$A:$J,10,FALSE()),"")</f>
        <v/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10" t="str">
        <f t="shared" si="8"/>
        <v/>
      </c>
      <c r="AC73" s="11" t="str">
        <f t="shared" ca="1" si="9"/>
        <v/>
      </c>
      <c r="AD73" s="10" t="str">
        <f t="shared" si="10"/>
        <v/>
      </c>
      <c r="AE73" s="4"/>
      <c r="AF73" s="4"/>
      <c r="AG73" s="4"/>
      <c r="AH73" s="4"/>
      <c r="AI73" s="4"/>
      <c r="AJ73" s="4"/>
      <c r="AK73" s="39" t="str">
        <f t="shared" si="11"/>
        <v/>
      </c>
      <c r="AL73" s="4"/>
      <c r="AM73" s="4"/>
    </row>
    <row r="74" spans="1:39" ht="18" customHeight="1" x14ac:dyDescent="0.45">
      <c r="A74" s="6"/>
      <c r="B74" s="39" t="str">
        <f>IFERROR(VLOOKUP(A74,'Incident Intake'!$A:$B,2,FALSE()),"")</f>
        <v/>
      </c>
      <c r="C74" s="10" t="str">
        <f>IFERROR(VLOOKUP(A74,'Incident Intake'!$A:$E,5,FALSE()),"")</f>
        <v/>
      </c>
      <c r="D74" s="10" t="str">
        <f>IFERROR(VLOOKUP(A74,'Incident Intake'!$A:$G,7,FALSE())&amp;" "&amp;VLOOKUP(A74,'Incident Intake'!$A:$F,6,FALSE()),"")</f>
        <v/>
      </c>
      <c r="E74" s="10" t="str">
        <f>IFERROR(VLOOKUP(A74,'Incident Intake'!$A:$J,10,FALSE()),"")</f>
        <v/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10" t="str">
        <f t="shared" si="8"/>
        <v/>
      </c>
      <c r="AC74" s="11" t="str">
        <f t="shared" ca="1" si="9"/>
        <v/>
      </c>
      <c r="AD74" s="10" t="str">
        <f t="shared" si="10"/>
        <v/>
      </c>
      <c r="AE74" s="6"/>
      <c r="AF74" s="6"/>
      <c r="AG74" s="6"/>
      <c r="AH74" s="6"/>
      <c r="AI74" s="6"/>
      <c r="AJ74" s="6"/>
      <c r="AK74" s="39" t="str">
        <f t="shared" si="11"/>
        <v/>
      </c>
      <c r="AL74" s="6"/>
      <c r="AM74" s="6"/>
    </row>
    <row r="75" spans="1:39" ht="18" customHeight="1" x14ac:dyDescent="0.45">
      <c r="A75" s="4"/>
      <c r="B75" s="39" t="str">
        <f>IFERROR(VLOOKUP(A75,'Incident Intake'!$A:$B,2,FALSE()),"")</f>
        <v/>
      </c>
      <c r="C75" s="10" t="str">
        <f>IFERROR(VLOOKUP(A75,'Incident Intake'!$A:$E,5,FALSE()),"")</f>
        <v/>
      </c>
      <c r="D75" s="10" t="str">
        <f>IFERROR(VLOOKUP(A75,'Incident Intake'!$A:$G,7,FALSE())&amp;" "&amp;VLOOKUP(A75,'Incident Intake'!$A:$F,6,FALSE()),"")</f>
        <v/>
      </c>
      <c r="E75" s="10" t="str">
        <f>IFERROR(VLOOKUP(A75,'Incident Intake'!$A:$J,10,FALSE()),"")</f>
        <v/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10" t="str">
        <f t="shared" si="8"/>
        <v/>
      </c>
      <c r="AC75" s="11" t="str">
        <f t="shared" ca="1" si="9"/>
        <v/>
      </c>
      <c r="AD75" s="10" t="str">
        <f t="shared" si="10"/>
        <v/>
      </c>
      <c r="AE75" s="4"/>
      <c r="AF75" s="4"/>
      <c r="AG75" s="4"/>
      <c r="AH75" s="4"/>
      <c r="AI75" s="4"/>
      <c r="AJ75" s="4"/>
      <c r="AK75" s="39" t="str">
        <f t="shared" si="11"/>
        <v/>
      </c>
      <c r="AL75" s="4"/>
      <c r="AM75" s="4"/>
    </row>
    <row r="76" spans="1:39" ht="18" customHeight="1" x14ac:dyDescent="0.45">
      <c r="A76" s="6"/>
      <c r="B76" s="39" t="str">
        <f>IFERROR(VLOOKUP(A76,'Incident Intake'!$A:$B,2,FALSE()),"")</f>
        <v/>
      </c>
      <c r="C76" s="10" t="str">
        <f>IFERROR(VLOOKUP(A76,'Incident Intake'!$A:$E,5,FALSE()),"")</f>
        <v/>
      </c>
      <c r="D76" s="10" t="str">
        <f>IFERROR(VLOOKUP(A76,'Incident Intake'!$A:$G,7,FALSE())&amp;" "&amp;VLOOKUP(A76,'Incident Intake'!$A:$F,6,FALSE()),"")</f>
        <v/>
      </c>
      <c r="E76" s="10" t="str">
        <f>IFERROR(VLOOKUP(A76,'Incident Intake'!$A:$J,10,FALSE()),"")</f>
        <v/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10" t="str">
        <f t="shared" si="8"/>
        <v/>
      </c>
      <c r="AC76" s="11" t="str">
        <f t="shared" ca="1" si="9"/>
        <v/>
      </c>
      <c r="AD76" s="10" t="str">
        <f t="shared" si="10"/>
        <v/>
      </c>
      <c r="AE76" s="6"/>
      <c r="AF76" s="6"/>
      <c r="AG76" s="6"/>
      <c r="AH76" s="6"/>
      <c r="AI76" s="6"/>
      <c r="AJ76" s="6"/>
      <c r="AK76" s="39" t="str">
        <f t="shared" si="11"/>
        <v/>
      </c>
      <c r="AL76" s="6"/>
      <c r="AM76" s="6"/>
    </row>
    <row r="77" spans="1:39" ht="18" customHeight="1" x14ac:dyDescent="0.45">
      <c r="A77" s="4"/>
      <c r="B77" s="39" t="str">
        <f>IFERROR(VLOOKUP(A77,'Incident Intake'!$A:$B,2,FALSE()),"")</f>
        <v/>
      </c>
      <c r="C77" s="10" t="str">
        <f>IFERROR(VLOOKUP(A77,'Incident Intake'!$A:$E,5,FALSE()),"")</f>
        <v/>
      </c>
      <c r="D77" s="10" t="str">
        <f>IFERROR(VLOOKUP(A77,'Incident Intake'!$A:$G,7,FALSE())&amp;" "&amp;VLOOKUP(A77,'Incident Intake'!$A:$F,6,FALSE()),"")</f>
        <v/>
      </c>
      <c r="E77" s="10" t="str">
        <f>IFERROR(VLOOKUP(A77,'Incident Intake'!$A:$J,10,FALSE()),"")</f>
        <v/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10" t="str">
        <f t="shared" si="8"/>
        <v/>
      </c>
      <c r="AC77" s="11" t="str">
        <f t="shared" ca="1" si="9"/>
        <v/>
      </c>
      <c r="AD77" s="10" t="str">
        <f t="shared" si="10"/>
        <v/>
      </c>
      <c r="AE77" s="4"/>
      <c r="AF77" s="4"/>
      <c r="AG77" s="4"/>
      <c r="AH77" s="4"/>
      <c r="AI77" s="4"/>
      <c r="AJ77" s="4"/>
      <c r="AK77" s="39" t="str">
        <f t="shared" si="11"/>
        <v/>
      </c>
      <c r="AL77" s="4"/>
      <c r="AM77" s="4"/>
    </row>
    <row r="78" spans="1:39" ht="18" customHeight="1" x14ac:dyDescent="0.45">
      <c r="A78" s="6"/>
      <c r="B78" s="39" t="str">
        <f>IFERROR(VLOOKUP(A78,'Incident Intake'!$A:$B,2,FALSE()),"")</f>
        <v/>
      </c>
      <c r="C78" s="10" t="str">
        <f>IFERROR(VLOOKUP(A78,'Incident Intake'!$A:$E,5,FALSE()),"")</f>
        <v/>
      </c>
      <c r="D78" s="10" t="str">
        <f>IFERROR(VLOOKUP(A78,'Incident Intake'!$A:$G,7,FALSE())&amp;" "&amp;VLOOKUP(A78,'Incident Intake'!$A:$F,6,FALSE()),"")</f>
        <v/>
      </c>
      <c r="E78" s="10" t="str">
        <f>IFERROR(VLOOKUP(A78,'Incident Intake'!$A:$J,10,FALSE()),"")</f>
        <v/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10" t="str">
        <f t="shared" si="8"/>
        <v/>
      </c>
      <c r="AC78" s="11" t="str">
        <f t="shared" ca="1" si="9"/>
        <v/>
      </c>
      <c r="AD78" s="10" t="str">
        <f t="shared" si="10"/>
        <v/>
      </c>
      <c r="AE78" s="6"/>
      <c r="AF78" s="6"/>
      <c r="AG78" s="6"/>
      <c r="AH78" s="6"/>
      <c r="AI78" s="6"/>
      <c r="AJ78" s="6"/>
      <c r="AK78" s="39" t="str">
        <f t="shared" si="11"/>
        <v/>
      </c>
      <c r="AL78" s="6"/>
      <c r="AM78" s="6"/>
    </row>
    <row r="79" spans="1:39" ht="18" customHeight="1" x14ac:dyDescent="0.45">
      <c r="A79" s="4"/>
      <c r="B79" s="39" t="str">
        <f>IFERROR(VLOOKUP(A79,'Incident Intake'!$A:$B,2,FALSE()),"")</f>
        <v/>
      </c>
      <c r="C79" s="10" t="str">
        <f>IFERROR(VLOOKUP(A79,'Incident Intake'!$A:$E,5,FALSE()),"")</f>
        <v/>
      </c>
      <c r="D79" s="10" t="str">
        <f>IFERROR(VLOOKUP(A79,'Incident Intake'!$A:$G,7,FALSE())&amp;" "&amp;VLOOKUP(A79,'Incident Intake'!$A:$F,6,FALSE()),"")</f>
        <v/>
      </c>
      <c r="E79" s="10" t="str">
        <f>IFERROR(VLOOKUP(A79,'Incident Intake'!$A:$J,10,FALSE()),"")</f>
        <v/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10" t="str">
        <f t="shared" si="8"/>
        <v/>
      </c>
      <c r="AC79" s="11" t="str">
        <f t="shared" ca="1" si="9"/>
        <v/>
      </c>
      <c r="AD79" s="10" t="str">
        <f t="shared" si="10"/>
        <v/>
      </c>
      <c r="AE79" s="4"/>
      <c r="AF79" s="4"/>
      <c r="AG79" s="4"/>
      <c r="AH79" s="4"/>
      <c r="AI79" s="4"/>
      <c r="AJ79" s="4"/>
      <c r="AK79" s="39" t="str">
        <f t="shared" si="11"/>
        <v/>
      </c>
      <c r="AL79" s="4"/>
      <c r="AM79" s="4"/>
    </row>
    <row r="80" spans="1:39" ht="18" customHeight="1" x14ac:dyDescent="0.45">
      <c r="A80" s="6"/>
      <c r="B80" s="39" t="str">
        <f>IFERROR(VLOOKUP(A80,'Incident Intake'!$A:$B,2,FALSE()),"")</f>
        <v/>
      </c>
      <c r="C80" s="10" t="str">
        <f>IFERROR(VLOOKUP(A80,'Incident Intake'!$A:$E,5,FALSE()),"")</f>
        <v/>
      </c>
      <c r="D80" s="10" t="str">
        <f>IFERROR(VLOOKUP(A80,'Incident Intake'!$A:$G,7,FALSE())&amp;" "&amp;VLOOKUP(A80,'Incident Intake'!$A:$F,6,FALSE()),"")</f>
        <v/>
      </c>
      <c r="E80" s="10" t="str">
        <f>IFERROR(VLOOKUP(A80,'Incident Intake'!$A:$J,10,FALSE()),"")</f>
        <v/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10" t="str">
        <f t="shared" si="8"/>
        <v/>
      </c>
      <c r="AC80" s="11" t="str">
        <f t="shared" ca="1" si="9"/>
        <v/>
      </c>
      <c r="AD80" s="10" t="str">
        <f t="shared" si="10"/>
        <v/>
      </c>
      <c r="AE80" s="6"/>
      <c r="AF80" s="6"/>
      <c r="AG80" s="6"/>
      <c r="AH80" s="6"/>
      <c r="AI80" s="6"/>
      <c r="AJ80" s="6"/>
      <c r="AK80" s="39" t="str">
        <f t="shared" si="11"/>
        <v/>
      </c>
      <c r="AL80" s="6"/>
      <c r="AM80" s="6"/>
    </row>
    <row r="81" spans="1:39" ht="18" customHeight="1" x14ac:dyDescent="0.45">
      <c r="A81" s="4"/>
      <c r="B81" s="39" t="str">
        <f>IFERROR(VLOOKUP(A81,'Incident Intake'!$A:$B,2,FALSE()),"")</f>
        <v/>
      </c>
      <c r="C81" s="10" t="str">
        <f>IFERROR(VLOOKUP(A81,'Incident Intake'!$A:$E,5,FALSE()),"")</f>
        <v/>
      </c>
      <c r="D81" s="10" t="str">
        <f>IFERROR(VLOOKUP(A81,'Incident Intake'!$A:$G,7,FALSE())&amp;" "&amp;VLOOKUP(A81,'Incident Intake'!$A:$F,6,FALSE()),"")</f>
        <v/>
      </c>
      <c r="E81" s="10" t="str">
        <f>IFERROR(VLOOKUP(A81,'Incident Intake'!$A:$J,10,FALSE()),"")</f>
        <v/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10" t="str">
        <f t="shared" si="8"/>
        <v/>
      </c>
      <c r="AC81" s="11" t="str">
        <f t="shared" ca="1" si="9"/>
        <v/>
      </c>
      <c r="AD81" s="10" t="str">
        <f t="shared" si="10"/>
        <v/>
      </c>
      <c r="AE81" s="4"/>
      <c r="AF81" s="4"/>
      <c r="AG81" s="4"/>
      <c r="AH81" s="4"/>
      <c r="AI81" s="4"/>
      <c r="AJ81" s="4"/>
      <c r="AK81" s="39" t="str">
        <f t="shared" si="11"/>
        <v/>
      </c>
      <c r="AL81" s="4"/>
      <c r="AM81" s="4"/>
    </row>
    <row r="82" spans="1:39" ht="18" customHeight="1" x14ac:dyDescent="0.45">
      <c r="A82" s="6"/>
      <c r="B82" s="39" t="str">
        <f>IFERROR(VLOOKUP(A82,'Incident Intake'!$A:$B,2,FALSE()),"")</f>
        <v/>
      </c>
      <c r="C82" s="10" t="str">
        <f>IFERROR(VLOOKUP(A82,'Incident Intake'!$A:$E,5,FALSE()),"")</f>
        <v/>
      </c>
      <c r="D82" s="10" t="str">
        <f>IFERROR(VLOOKUP(A82,'Incident Intake'!$A:$G,7,FALSE())&amp;" "&amp;VLOOKUP(A82,'Incident Intake'!$A:$F,6,FALSE()),"")</f>
        <v/>
      </c>
      <c r="E82" s="10" t="str">
        <f>IFERROR(VLOOKUP(A82,'Incident Intake'!$A:$J,10,FALSE()),"")</f>
        <v/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10" t="str">
        <f t="shared" si="8"/>
        <v/>
      </c>
      <c r="AC82" s="11" t="str">
        <f t="shared" ca="1" si="9"/>
        <v/>
      </c>
      <c r="AD82" s="10" t="str">
        <f t="shared" si="10"/>
        <v/>
      </c>
      <c r="AE82" s="6"/>
      <c r="AF82" s="6"/>
      <c r="AG82" s="6"/>
      <c r="AH82" s="6"/>
      <c r="AI82" s="6"/>
      <c r="AJ82" s="6"/>
      <c r="AK82" s="39" t="str">
        <f t="shared" si="11"/>
        <v/>
      </c>
      <c r="AL82" s="6"/>
      <c r="AM82" s="6"/>
    </row>
    <row r="83" spans="1:39" ht="18" customHeight="1" x14ac:dyDescent="0.45">
      <c r="A83" s="4"/>
      <c r="B83" s="39" t="str">
        <f>IFERROR(VLOOKUP(A83,'Incident Intake'!$A:$B,2,FALSE()),"")</f>
        <v/>
      </c>
      <c r="C83" s="10" t="str">
        <f>IFERROR(VLOOKUP(A83,'Incident Intake'!$A:$E,5,FALSE()),"")</f>
        <v/>
      </c>
      <c r="D83" s="10" t="str">
        <f>IFERROR(VLOOKUP(A83,'Incident Intake'!$A:$G,7,FALSE())&amp;" "&amp;VLOOKUP(A83,'Incident Intake'!$A:$F,6,FALSE()),"")</f>
        <v/>
      </c>
      <c r="E83" s="10" t="str">
        <f>IFERROR(VLOOKUP(A83,'Incident Intake'!$A:$J,10,FALSE()),"")</f>
        <v/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10" t="str">
        <f t="shared" si="8"/>
        <v/>
      </c>
      <c r="AC83" s="11" t="str">
        <f t="shared" ca="1" si="9"/>
        <v/>
      </c>
      <c r="AD83" s="10" t="str">
        <f t="shared" si="10"/>
        <v/>
      </c>
      <c r="AE83" s="4"/>
      <c r="AF83" s="4"/>
      <c r="AG83" s="4"/>
      <c r="AH83" s="4"/>
      <c r="AI83" s="4"/>
      <c r="AJ83" s="4"/>
      <c r="AK83" s="39" t="str">
        <f t="shared" si="11"/>
        <v/>
      </c>
      <c r="AL83" s="4"/>
      <c r="AM83" s="4"/>
    </row>
    <row r="84" spans="1:39" ht="18" customHeight="1" x14ac:dyDescent="0.45">
      <c r="A84" s="6"/>
      <c r="B84" s="39" t="str">
        <f>IFERROR(VLOOKUP(A84,'Incident Intake'!$A:$B,2,FALSE()),"")</f>
        <v/>
      </c>
      <c r="C84" s="10" t="str">
        <f>IFERROR(VLOOKUP(A84,'Incident Intake'!$A:$E,5,FALSE()),"")</f>
        <v/>
      </c>
      <c r="D84" s="10" t="str">
        <f>IFERROR(VLOOKUP(A84,'Incident Intake'!$A:$G,7,FALSE())&amp;" "&amp;VLOOKUP(A84,'Incident Intake'!$A:$F,6,FALSE()),"")</f>
        <v/>
      </c>
      <c r="E84" s="10" t="str">
        <f>IFERROR(VLOOKUP(A84,'Incident Intake'!$A:$J,10,FALSE()),"")</f>
        <v/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10" t="str">
        <f t="shared" si="8"/>
        <v/>
      </c>
      <c r="AC84" s="11" t="str">
        <f t="shared" ca="1" si="9"/>
        <v/>
      </c>
      <c r="AD84" s="10" t="str">
        <f t="shared" si="10"/>
        <v/>
      </c>
      <c r="AE84" s="6"/>
      <c r="AF84" s="6"/>
      <c r="AG84" s="6"/>
      <c r="AH84" s="6"/>
      <c r="AI84" s="6"/>
      <c r="AJ84" s="6"/>
      <c r="AK84" s="39" t="str">
        <f t="shared" si="11"/>
        <v/>
      </c>
      <c r="AL84" s="6"/>
      <c r="AM84" s="6"/>
    </row>
    <row r="85" spans="1:39" ht="18" customHeight="1" x14ac:dyDescent="0.45">
      <c r="A85" s="4"/>
      <c r="B85" s="39" t="str">
        <f>IFERROR(VLOOKUP(A85,'Incident Intake'!$A:$B,2,FALSE()),"")</f>
        <v/>
      </c>
      <c r="C85" s="10" t="str">
        <f>IFERROR(VLOOKUP(A85,'Incident Intake'!$A:$E,5,FALSE()),"")</f>
        <v/>
      </c>
      <c r="D85" s="10" t="str">
        <f>IFERROR(VLOOKUP(A85,'Incident Intake'!$A:$G,7,FALSE())&amp;" "&amp;VLOOKUP(A85,'Incident Intake'!$A:$F,6,FALSE()),"")</f>
        <v/>
      </c>
      <c r="E85" s="10" t="str">
        <f>IFERROR(VLOOKUP(A85,'Incident Intake'!$A:$J,10,FALSE()),"")</f>
        <v/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10" t="str">
        <f t="shared" si="8"/>
        <v/>
      </c>
      <c r="AC85" s="11" t="str">
        <f t="shared" ca="1" si="9"/>
        <v/>
      </c>
      <c r="AD85" s="10" t="str">
        <f t="shared" si="10"/>
        <v/>
      </c>
      <c r="AE85" s="4"/>
      <c r="AF85" s="4"/>
      <c r="AG85" s="4"/>
      <c r="AH85" s="4"/>
      <c r="AI85" s="4"/>
      <c r="AJ85" s="4"/>
      <c r="AK85" s="39" t="str">
        <f t="shared" si="11"/>
        <v/>
      </c>
      <c r="AL85" s="4"/>
      <c r="AM85" s="4"/>
    </row>
    <row r="86" spans="1:39" ht="18" customHeight="1" x14ac:dyDescent="0.45">
      <c r="A86" s="6"/>
      <c r="B86" s="39" t="str">
        <f>IFERROR(VLOOKUP(A86,'Incident Intake'!$A:$B,2,FALSE()),"")</f>
        <v/>
      </c>
      <c r="C86" s="10" t="str">
        <f>IFERROR(VLOOKUP(A86,'Incident Intake'!$A:$E,5,FALSE()),"")</f>
        <v/>
      </c>
      <c r="D86" s="10" t="str">
        <f>IFERROR(VLOOKUP(A86,'Incident Intake'!$A:$G,7,FALSE())&amp;" "&amp;VLOOKUP(A86,'Incident Intake'!$A:$F,6,FALSE()),"")</f>
        <v/>
      </c>
      <c r="E86" s="10" t="str">
        <f>IFERROR(VLOOKUP(A86,'Incident Intake'!$A:$J,10,FALSE()),"")</f>
        <v/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10" t="str">
        <f t="shared" si="8"/>
        <v/>
      </c>
      <c r="AC86" s="11" t="str">
        <f t="shared" ca="1" si="9"/>
        <v/>
      </c>
      <c r="AD86" s="10" t="str">
        <f t="shared" si="10"/>
        <v/>
      </c>
      <c r="AE86" s="6"/>
      <c r="AF86" s="6"/>
      <c r="AG86" s="6"/>
      <c r="AH86" s="6"/>
      <c r="AI86" s="6"/>
      <c r="AJ86" s="6"/>
      <c r="AK86" s="39" t="str">
        <f t="shared" si="11"/>
        <v/>
      </c>
      <c r="AL86" s="6"/>
      <c r="AM86" s="6"/>
    </row>
    <row r="87" spans="1:39" ht="18" customHeight="1" x14ac:dyDescent="0.45">
      <c r="A87" s="4"/>
      <c r="B87" s="39" t="str">
        <f>IFERROR(VLOOKUP(A87,'Incident Intake'!$A:$B,2,FALSE()),"")</f>
        <v/>
      </c>
      <c r="C87" s="10" t="str">
        <f>IFERROR(VLOOKUP(A87,'Incident Intake'!$A:$E,5,FALSE()),"")</f>
        <v/>
      </c>
      <c r="D87" s="10" t="str">
        <f>IFERROR(VLOOKUP(A87,'Incident Intake'!$A:$G,7,FALSE())&amp;" "&amp;VLOOKUP(A87,'Incident Intake'!$A:$F,6,FALSE()),"")</f>
        <v/>
      </c>
      <c r="E87" s="10" t="str">
        <f>IFERROR(VLOOKUP(A87,'Incident Intake'!$A:$J,10,FALSE()),"")</f>
        <v/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10" t="str">
        <f t="shared" si="8"/>
        <v/>
      </c>
      <c r="AC87" s="11" t="str">
        <f t="shared" ca="1" si="9"/>
        <v/>
      </c>
      <c r="AD87" s="10" t="str">
        <f t="shared" si="10"/>
        <v/>
      </c>
      <c r="AE87" s="4"/>
      <c r="AF87" s="4"/>
      <c r="AG87" s="4"/>
      <c r="AH87" s="4"/>
      <c r="AI87" s="4"/>
      <c r="AJ87" s="4"/>
      <c r="AK87" s="39" t="str">
        <f t="shared" si="11"/>
        <v/>
      </c>
      <c r="AL87" s="4"/>
      <c r="AM87" s="4"/>
    </row>
    <row r="88" spans="1:39" ht="18" customHeight="1" x14ac:dyDescent="0.45">
      <c r="A88" s="6"/>
      <c r="B88" s="39" t="str">
        <f>IFERROR(VLOOKUP(A88,'Incident Intake'!$A:$B,2,FALSE()),"")</f>
        <v/>
      </c>
      <c r="C88" s="10" t="str">
        <f>IFERROR(VLOOKUP(A88,'Incident Intake'!$A:$E,5,FALSE()),"")</f>
        <v/>
      </c>
      <c r="D88" s="10" t="str">
        <f>IFERROR(VLOOKUP(A88,'Incident Intake'!$A:$G,7,FALSE())&amp;" "&amp;VLOOKUP(A88,'Incident Intake'!$A:$F,6,FALSE()),"")</f>
        <v/>
      </c>
      <c r="E88" s="10" t="str">
        <f>IFERROR(VLOOKUP(A88,'Incident Intake'!$A:$J,10,FALSE()),"")</f>
        <v/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10" t="str">
        <f t="shared" si="8"/>
        <v/>
      </c>
      <c r="AC88" s="11" t="str">
        <f t="shared" ca="1" si="9"/>
        <v/>
      </c>
      <c r="AD88" s="10" t="str">
        <f t="shared" si="10"/>
        <v/>
      </c>
      <c r="AE88" s="6"/>
      <c r="AF88" s="6"/>
      <c r="AG88" s="6"/>
      <c r="AH88" s="6"/>
      <c r="AI88" s="6"/>
      <c r="AJ88" s="6"/>
      <c r="AK88" s="39" t="str">
        <f t="shared" si="11"/>
        <v/>
      </c>
      <c r="AL88" s="6"/>
      <c r="AM88" s="6"/>
    </row>
    <row r="89" spans="1:39" ht="18" customHeight="1" x14ac:dyDescent="0.45">
      <c r="A89" s="4"/>
      <c r="B89" s="39" t="str">
        <f>IFERROR(VLOOKUP(A89,'Incident Intake'!$A:$B,2,FALSE()),"")</f>
        <v/>
      </c>
      <c r="C89" s="10" t="str">
        <f>IFERROR(VLOOKUP(A89,'Incident Intake'!$A:$E,5,FALSE()),"")</f>
        <v/>
      </c>
      <c r="D89" s="10" t="str">
        <f>IFERROR(VLOOKUP(A89,'Incident Intake'!$A:$G,7,FALSE())&amp;" "&amp;VLOOKUP(A89,'Incident Intake'!$A:$F,6,FALSE()),"")</f>
        <v/>
      </c>
      <c r="E89" s="10" t="str">
        <f>IFERROR(VLOOKUP(A89,'Incident Intake'!$A:$J,10,FALSE()),"")</f>
        <v/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10" t="str">
        <f t="shared" si="8"/>
        <v/>
      </c>
      <c r="AC89" s="11" t="str">
        <f t="shared" ca="1" si="9"/>
        <v/>
      </c>
      <c r="AD89" s="10" t="str">
        <f t="shared" si="10"/>
        <v/>
      </c>
      <c r="AE89" s="4"/>
      <c r="AF89" s="4"/>
      <c r="AG89" s="4"/>
      <c r="AH89" s="4"/>
      <c r="AI89" s="4"/>
      <c r="AJ89" s="4"/>
      <c r="AK89" s="39" t="str">
        <f t="shared" si="11"/>
        <v/>
      </c>
      <c r="AL89" s="4"/>
      <c r="AM89" s="4"/>
    </row>
    <row r="90" spans="1:39" ht="18" customHeight="1" x14ac:dyDescent="0.45">
      <c r="A90" s="6"/>
      <c r="B90" s="39" t="str">
        <f>IFERROR(VLOOKUP(A90,'Incident Intake'!$A:$B,2,FALSE()),"")</f>
        <v/>
      </c>
      <c r="C90" s="10" t="str">
        <f>IFERROR(VLOOKUP(A90,'Incident Intake'!$A:$E,5,FALSE()),"")</f>
        <v/>
      </c>
      <c r="D90" s="10" t="str">
        <f>IFERROR(VLOOKUP(A90,'Incident Intake'!$A:$G,7,FALSE())&amp;" "&amp;VLOOKUP(A90,'Incident Intake'!$A:$F,6,FALSE()),"")</f>
        <v/>
      </c>
      <c r="E90" s="10" t="str">
        <f>IFERROR(VLOOKUP(A90,'Incident Intake'!$A:$J,10,FALSE()),"")</f>
        <v/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10" t="str">
        <f t="shared" si="8"/>
        <v/>
      </c>
      <c r="AC90" s="11" t="str">
        <f t="shared" ca="1" si="9"/>
        <v/>
      </c>
      <c r="AD90" s="10" t="str">
        <f t="shared" si="10"/>
        <v/>
      </c>
      <c r="AE90" s="6"/>
      <c r="AF90" s="6"/>
      <c r="AG90" s="6"/>
      <c r="AH90" s="6"/>
      <c r="AI90" s="6"/>
      <c r="AJ90" s="6"/>
      <c r="AK90" s="39" t="str">
        <f t="shared" si="11"/>
        <v/>
      </c>
      <c r="AL90" s="6"/>
      <c r="AM90" s="6"/>
    </row>
    <row r="91" spans="1:39" ht="18" customHeight="1" x14ac:dyDescent="0.45">
      <c r="A91" s="4"/>
      <c r="B91" s="39" t="str">
        <f>IFERROR(VLOOKUP(A91,'Incident Intake'!$A:$B,2,FALSE()),"")</f>
        <v/>
      </c>
      <c r="C91" s="10" t="str">
        <f>IFERROR(VLOOKUP(A91,'Incident Intake'!$A:$E,5,FALSE()),"")</f>
        <v/>
      </c>
      <c r="D91" s="10" t="str">
        <f>IFERROR(VLOOKUP(A91,'Incident Intake'!$A:$G,7,FALSE())&amp;" "&amp;VLOOKUP(A91,'Incident Intake'!$A:$F,6,FALSE()),"")</f>
        <v/>
      </c>
      <c r="E91" s="10" t="str">
        <f>IFERROR(VLOOKUP(A91,'Incident Intake'!$A:$J,10,FALSE()),"")</f>
        <v/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10" t="str">
        <f t="shared" si="8"/>
        <v/>
      </c>
      <c r="AC91" s="11" t="str">
        <f t="shared" ca="1" si="9"/>
        <v/>
      </c>
      <c r="AD91" s="10" t="str">
        <f t="shared" si="10"/>
        <v/>
      </c>
      <c r="AE91" s="4"/>
      <c r="AF91" s="4"/>
      <c r="AG91" s="4"/>
      <c r="AH91" s="4"/>
      <c r="AI91" s="4"/>
      <c r="AJ91" s="4"/>
      <c r="AK91" s="39" t="str">
        <f t="shared" si="11"/>
        <v/>
      </c>
      <c r="AL91" s="4"/>
      <c r="AM91" s="4"/>
    </row>
    <row r="92" spans="1:39" ht="18" customHeight="1" x14ac:dyDescent="0.45">
      <c r="A92" s="6"/>
      <c r="B92" s="39" t="str">
        <f>IFERROR(VLOOKUP(A92,'Incident Intake'!$A:$B,2,FALSE()),"")</f>
        <v/>
      </c>
      <c r="C92" s="10" t="str">
        <f>IFERROR(VLOOKUP(A92,'Incident Intake'!$A:$E,5,FALSE()),"")</f>
        <v/>
      </c>
      <c r="D92" s="10" t="str">
        <f>IFERROR(VLOOKUP(A92,'Incident Intake'!$A:$G,7,FALSE())&amp;" "&amp;VLOOKUP(A92,'Incident Intake'!$A:$F,6,FALSE()),"")</f>
        <v/>
      </c>
      <c r="E92" s="10" t="str">
        <f>IFERROR(VLOOKUP(A92,'Incident Intake'!$A:$J,10,FALSE()),"")</f>
        <v/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10" t="str">
        <f t="shared" si="8"/>
        <v/>
      </c>
      <c r="AC92" s="11" t="str">
        <f t="shared" ca="1" si="9"/>
        <v/>
      </c>
      <c r="AD92" s="10" t="str">
        <f t="shared" si="10"/>
        <v/>
      </c>
      <c r="AE92" s="6"/>
      <c r="AF92" s="6"/>
      <c r="AG92" s="6"/>
      <c r="AH92" s="6"/>
      <c r="AI92" s="6"/>
      <c r="AJ92" s="6"/>
      <c r="AK92" s="39" t="str">
        <f t="shared" si="11"/>
        <v/>
      </c>
      <c r="AL92" s="6"/>
      <c r="AM92" s="6"/>
    </row>
    <row r="93" spans="1:39" ht="18" customHeight="1" x14ac:dyDescent="0.45">
      <c r="A93" s="4"/>
      <c r="B93" s="39" t="str">
        <f>IFERROR(VLOOKUP(A93,'Incident Intake'!$A:$B,2,FALSE()),"")</f>
        <v/>
      </c>
      <c r="C93" s="10" t="str">
        <f>IFERROR(VLOOKUP(A93,'Incident Intake'!$A:$E,5,FALSE()),"")</f>
        <v/>
      </c>
      <c r="D93" s="10" t="str">
        <f>IFERROR(VLOOKUP(A93,'Incident Intake'!$A:$G,7,FALSE())&amp;" "&amp;VLOOKUP(A93,'Incident Intake'!$A:$F,6,FALSE()),"")</f>
        <v/>
      </c>
      <c r="E93" s="10" t="str">
        <f>IFERROR(VLOOKUP(A93,'Incident Intake'!$A:$J,10,FALSE()),"")</f>
        <v/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10" t="str">
        <f t="shared" si="8"/>
        <v/>
      </c>
      <c r="AC93" s="11" t="str">
        <f t="shared" ca="1" si="9"/>
        <v/>
      </c>
      <c r="AD93" s="10" t="str">
        <f t="shared" si="10"/>
        <v/>
      </c>
      <c r="AE93" s="4"/>
      <c r="AF93" s="4"/>
      <c r="AG93" s="4"/>
      <c r="AH93" s="4"/>
      <c r="AI93" s="4"/>
      <c r="AJ93" s="4"/>
      <c r="AK93" s="39" t="str">
        <f t="shared" si="11"/>
        <v/>
      </c>
      <c r="AL93" s="4"/>
      <c r="AM93" s="4"/>
    </row>
    <row r="94" spans="1:39" ht="18" customHeight="1" x14ac:dyDescent="0.45">
      <c r="A94" s="6"/>
      <c r="B94" s="39" t="str">
        <f>IFERROR(VLOOKUP(A94,'Incident Intake'!$A:$B,2,FALSE()),"")</f>
        <v/>
      </c>
      <c r="C94" s="10" t="str">
        <f>IFERROR(VLOOKUP(A94,'Incident Intake'!$A:$E,5,FALSE()),"")</f>
        <v/>
      </c>
      <c r="D94" s="10" t="str">
        <f>IFERROR(VLOOKUP(A94,'Incident Intake'!$A:$G,7,FALSE())&amp;" "&amp;VLOOKUP(A94,'Incident Intake'!$A:$F,6,FALSE()),"")</f>
        <v/>
      </c>
      <c r="E94" s="10" t="str">
        <f>IFERROR(VLOOKUP(A94,'Incident Intake'!$A:$J,10,FALSE()),"")</f>
        <v/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10" t="str">
        <f t="shared" si="8"/>
        <v/>
      </c>
      <c r="AC94" s="11" t="str">
        <f t="shared" ca="1" si="9"/>
        <v/>
      </c>
      <c r="AD94" s="10" t="str">
        <f t="shared" si="10"/>
        <v/>
      </c>
      <c r="AE94" s="6"/>
      <c r="AF94" s="6"/>
      <c r="AG94" s="6"/>
      <c r="AH94" s="6"/>
      <c r="AI94" s="6"/>
      <c r="AJ94" s="6"/>
      <c r="AK94" s="39" t="str">
        <f t="shared" si="11"/>
        <v/>
      </c>
      <c r="AL94" s="6"/>
      <c r="AM94" s="6"/>
    </row>
    <row r="95" spans="1:39" ht="18" customHeight="1" x14ac:dyDescent="0.45">
      <c r="A95" s="4"/>
      <c r="B95" s="39" t="str">
        <f>IFERROR(VLOOKUP(A95,'Incident Intake'!$A:$B,2,FALSE()),"")</f>
        <v/>
      </c>
      <c r="C95" s="10" t="str">
        <f>IFERROR(VLOOKUP(A95,'Incident Intake'!$A:$E,5,FALSE()),"")</f>
        <v/>
      </c>
      <c r="D95" s="10" t="str">
        <f>IFERROR(VLOOKUP(A95,'Incident Intake'!$A:$G,7,FALSE())&amp;" "&amp;VLOOKUP(A95,'Incident Intake'!$A:$F,6,FALSE()),"")</f>
        <v/>
      </c>
      <c r="E95" s="10" t="str">
        <f>IFERROR(VLOOKUP(A95,'Incident Intake'!$A:$J,10,FALSE()),"")</f>
        <v/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10" t="str">
        <f t="shared" si="8"/>
        <v/>
      </c>
      <c r="AC95" s="11" t="str">
        <f t="shared" ca="1" si="9"/>
        <v/>
      </c>
      <c r="AD95" s="10" t="str">
        <f t="shared" si="10"/>
        <v/>
      </c>
      <c r="AE95" s="4"/>
      <c r="AF95" s="4"/>
      <c r="AG95" s="4"/>
      <c r="AH95" s="4"/>
      <c r="AI95" s="4"/>
      <c r="AJ95" s="4"/>
      <c r="AK95" s="39" t="str">
        <f t="shared" si="11"/>
        <v/>
      </c>
      <c r="AL95" s="4"/>
      <c r="AM95" s="4"/>
    </row>
    <row r="96" spans="1:39" ht="18" customHeight="1" x14ac:dyDescent="0.45">
      <c r="A96" s="6"/>
      <c r="B96" s="39" t="str">
        <f>IFERROR(VLOOKUP(A96,'Incident Intake'!$A:$B,2,FALSE()),"")</f>
        <v/>
      </c>
      <c r="C96" s="10" t="str">
        <f>IFERROR(VLOOKUP(A96,'Incident Intake'!$A:$E,5,FALSE()),"")</f>
        <v/>
      </c>
      <c r="D96" s="10" t="str">
        <f>IFERROR(VLOOKUP(A96,'Incident Intake'!$A:$G,7,FALSE())&amp;" "&amp;VLOOKUP(A96,'Incident Intake'!$A:$F,6,FALSE()),"")</f>
        <v/>
      </c>
      <c r="E96" s="10" t="str">
        <f>IFERROR(VLOOKUP(A96,'Incident Intake'!$A:$J,10,FALSE()),"")</f>
        <v/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10" t="str">
        <f t="shared" si="8"/>
        <v/>
      </c>
      <c r="AC96" s="11" t="str">
        <f t="shared" ca="1" si="9"/>
        <v/>
      </c>
      <c r="AD96" s="10" t="str">
        <f t="shared" si="10"/>
        <v/>
      </c>
      <c r="AE96" s="6"/>
      <c r="AF96" s="6"/>
      <c r="AG96" s="6"/>
      <c r="AH96" s="6"/>
      <c r="AI96" s="6"/>
      <c r="AJ96" s="6"/>
      <c r="AK96" s="39" t="str">
        <f t="shared" si="11"/>
        <v/>
      </c>
      <c r="AL96" s="6"/>
      <c r="AM96" s="6"/>
    </row>
    <row r="97" spans="1:39" ht="18" customHeight="1" x14ac:dyDescent="0.45">
      <c r="A97" s="4"/>
      <c r="B97" s="39" t="str">
        <f>IFERROR(VLOOKUP(A97,'Incident Intake'!$A:$B,2,FALSE()),"")</f>
        <v/>
      </c>
      <c r="C97" s="10" t="str">
        <f>IFERROR(VLOOKUP(A97,'Incident Intake'!$A:$E,5,FALSE()),"")</f>
        <v/>
      </c>
      <c r="D97" s="10" t="str">
        <f>IFERROR(VLOOKUP(A97,'Incident Intake'!$A:$G,7,FALSE())&amp;" "&amp;VLOOKUP(A97,'Incident Intake'!$A:$F,6,FALSE()),"")</f>
        <v/>
      </c>
      <c r="E97" s="10" t="str">
        <f>IFERROR(VLOOKUP(A97,'Incident Intake'!$A:$J,10,FALSE()),"")</f>
        <v/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10" t="str">
        <f t="shared" si="8"/>
        <v/>
      </c>
      <c r="AC97" s="11" t="str">
        <f t="shared" ca="1" si="9"/>
        <v/>
      </c>
      <c r="AD97" s="10" t="str">
        <f t="shared" si="10"/>
        <v/>
      </c>
      <c r="AE97" s="4"/>
      <c r="AF97" s="4"/>
      <c r="AG97" s="4"/>
      <c r="AH97" s="4"/>
      <c r="AI97" s="4"/>
      <c r="AJ97" s="4"/>
      <c r="AK97" s="39" t="str">
        <f t="shared" si="11"/>
        <v/>
      </c>
      <c r="AL97" s="4"/>
      <c r="AM97" s="4"/>
    </row>
    <row r="98" spans="1:39" ht="18" customHeight="1" x14ac:dyDescent="0.45">
      <c r="A98" s="6"/>
      <c r="B98" s="39" t="str">
        <f>IFERROR(VLOOKUP(A98,'Incident Intake'!$A:$B,2,FALSE()),"")</f>
        <v/>
      </c>
      <c r="C98" s="10" t="str">
        <f>IFERROR(VLOOKUP(A98,'Incident Intake'!$A:$E,5,FALSE()),"")</f>
        <v/>
      </c>
      <c r="D98" s="10" t="str">
        <f>IFERROR(VLOOKUP(A98,'Incident Intake'!$A:$G,7,FALSE())&amp;" "&amp;VLOOKUP(A98,'Incident Intake'!$A:$F,6,FALSE()),"")</f>
        <v/>
      </c>
      <c r="E98" s="10" t="str">
        <f>IFERROR(VLOOKUP(A98,'Incident Intake'!$A:$J,10,FALSE()),"")</f>
        <v/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10" t="str">
        <f t="shared" si="8"/>
        <v/>
      </c>
      <c r="AC98" s="11" t="str">
        <f t="shared" ca="1" si="9"/>
        <v/>
      </c>
      <c r="AD98" s="10" t="str">
        <f t="shared" si="10"/>
        <v/>
      </c>
      <c r="AE98" s="6"/>
      <c r="AF98" s="6"/>
      <c r="AG98" s="6"/>
      <c r="AH98" s="6"/>
      <c r="AI98" s="6"/>
      <c r="AJ98" s="6"/>
      <c r="AK98" s="39" t="str">
        <f t="shared" si="11"/>
        <v/>
      </c>
      <c r="AL98" s="6"/>
      <c r="AM98" s="6"/>
    </row>
    <row r="99" spans="1:39" ht="18" customHeight="1" x14ac:dyDescent="0.45">
      <c r="A99" s="4"/>
      <c r="B99" s="39" t="str">
        <f>IFERROR(VLOOKUP(A99,'Incident Intake'!$A:$B,2,FALSE()),"")</f>
        <v/>
      </c>
      <c r="C99" s="10" t="str">
        <f>IFERROR(VLOOKUP(A99,'Incident Intake'!$A:$E,5,FALSE()),"")</f>
        <v/>
      </c>
      <c r="D99" s="10" t="str">
        <f>IFERROR(VLOOKUP(A99,'Incident Intake'!$A:$G,7,FALSE())&amp;" "&amp;VLOOKUP(A99,'Incident Intake'!$A:$F,6,FALSE()),"")</f>
        <v/>
      </c>
      <c r="E99" s="10" t="str">
        <f>IFERROR(VLOOKUP(A99,'Incident Intake'!$A:$J,10,FALSE()),"")</f>
        <v/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10" t="str">
        <f t="shared" si="8"/>
        <v/>
      </c>
      <c r="AC99" s="11" t="str">
        <f t="shared" ca="1" si="9"/>
        <v/>
      </c>
      <c r="AD99" s="10" t="str">
        <f t="shared" si="10"/>
        <v/>
      </c>
      <c r="AE99" s="4"/>
      <c r="AF99" s="4"/>
      <c r="AG99" s="4"/>
      <c r="AH99" s="4"/>
      <c r="AI99" s="4"/>
      <c r="AJ99" s="4"/>
      <c r="AK99" s="39" t="str">
        <f t="shared" si="11"/>
        <v/>
      </c>
      <c r="AL99" s="4"/>
      <c r="AM99" s="4"/>
    </row>
    <row r="100" spans="1:39" ht="18" customHeight="1" x14ac:dyDescent="0.45">
      <c r="A100" s="6"/>
      <c r="B100" s="39" t="str">
        <f>IFERROR(VLOOKUP(A100,'Incident Intake'!$A:$B,2,FALSE()),"")</f>
        <v/>
      </c>
      <c r="C100" s="10" t="str">
        <f>IFERROR(VLOOKUP(A100,'Incident Intake'!$A:$E,5,FALSE()),"")</f>
        <v/>
      </c>
      <c r="D100" s="10" t="str">
        <f>IFERROR(VLOOKUP(A100,'Incident Intake'!$A:$G,7,FALSE())&amp;" "&amp;VLOOKUP(A100,'Incident Intake'!$A:$F,6,FALSE()),"")</f>
        <v/>
      </c>
      <c r="E100" s="10" t="str">
        <f>IFERROR(VLOOKUP(A100,'Incident Intake'!$A:$J,10,FALSE()),"")</f>
        <v/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10" t="str">
        <f t="shared" si="8"/>
        <v/>
      </c>
      <c r="AC100" s="11" t="str">
        <f t="shared" ca="1" si="9"/>
        <v/>
      </c>
      <c r="AD100" s="10" t="str">
        <f t="shared" si="10"/>
        <v/>
      </c>
      <c r="AE100" s="6"/>
      <c r="AF100" s="6"/>
      <c r="AG100" s="6"/>
      <c r="AH100" s="6"/>
      <c r="AI100" s="6"/>
      <c r="AJ100" s="6"/>
      <c r="AK100" s="39" t="str">
        <f t="shared" si="11"/>
        <v/>
      </c>
      <c r="AL100" s="6"/>
      <c r="AM100" s="6"/>
    </row>
    <row r="101" spans="1:39" ht="18" customHeight="1" x14ac:dyDescent="0.45">
      <c r="A101" s="4"/>
      <c r="B101" s="39" t="str">
        <f>IFERROR(VLOOKUP(A101,'Incident Intake'!$A:$B,2,FALSE()),"")</f>
        <v/>
      </c>
      <c r="C101" s="10" t="str">
        <f>IFERROR(VLOOKUP(A101,'Incident Intake'!$A:$E,5,FALSE()),"")</f>
        <v/>
      </c>
      <c r="D101" s="10" t="str">
        <f>IFERROR(VLOOKUP(A101,'Incident Intake'!$A:$G,7,FALSE())&amp;" "&amp;VLOOKUP(A101,'Incident Intake'!$A:$F,6,FALSE()),"")</f>
        <v/>
      </c>
      <c r="E101" s="10" t="str">
        <f>IFERROR(VLOOKUP(A101,'Incident Intake'!$A:$J,10,FALSE()),"")</f>
        <v/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10" t="str">
        <f t="shared" si="8"/>
        <v/>
      </c>
      <c r="AC101" s="11" t="str">
        <f t="shared" ca="1" si="9"/>
        <v/>
      </c>
      <c r="AD101" s="10" t="str">
        <f t="shared" si="10"/>
        <v/>
      </c>
      <c r="AE101" s="4"/>
      <c r="AF101" s="4"/>
      <c r="AG101" s="4"/>
      <c r="AH101" s="4"/>
      <c r="AI101" s="4"/>
      <c r="AJ101" s="4"/>
      <c r="AK101" s="39" t="str">
        <f t="shared" si="11"/>
        <v/>
      </c>
      <c r="AL101" s="4"/>
      <c r="AM101" s="4"/>
    </row>
    <row r="102" spans="1:39" ht="18" customHeight="1" x14ac:dyDescent="0.45">
      <c r="A102" s="6"/>
      <c r="B102" s="39" t="str">
        <f>IFERROR(VLOOKUP(A102,'Incident Intake'!$A:$B,2,FALSE()),"")</f>
        <v/>
      </c>
      <c r="C102" s="10" t="str">
        <f>IFERROR(VLOOKUP(A102,'Incident Intake'!$A:$E,5,FALSE()),"")</f>
        <v/>
      </c>
      <c r="D102" s="10" t="str">
        <f>IFERROR(VLOOKUP(A102,'Incident Intake'!$A:$G,7,FALSE())&amp;" "&amp;VLOOKUP(A102,'Incident Intake'!$A:$F,6,FALSE()),"")</f>
        <v/>
      </c>
      <c r="E102" s="10" t="str">
        <f>IFERROR(VLOOKUP(A102,'Incident Intake'!$A:$J,10,FALSE()),"")</f>
        <v/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10" t="str">
        <f t="shared" ref="AB102:AB133" si="12">IF(A102="","",IF(AB102="Yes","Closed",IF(T102="Yes","Consequence Assigned",IF(O102="Yes","Finding Reached",IF(F102="Yes","In Progress","Open")))))</f>
        <v/>
      </c>
      <c r="AC102" s="11" t="str">
        <f t="shared" ref="AC102:AC133" ca="1" si="13">IF(OR(A102="",AB102="Yes"),"",IF(B102="","",TODAY()-B102))</f>
        <v/>
      </c>
      <c r="AD102" s="10" t="str">
        <f t="shared" ref="AD102:AD133" si="14">IF(A102="","",IF(AND(V102="Yes",X102="Yes",Y102="Yes",Z102="Yes",AA102="Yes"),"✅ ALL CHECKS COMPLETE — OK TO CLOSE","⚠ "&amp;(5-COUNTIF(V102:Z102,"Yes"))&amp;" CHECK(S) INCOMPLETE"))</f>
        <v/>
      </c>
      <c r="AE102" s="6"/>
      <c r="AF102" s="6"/>
      <c r="AG102" s="6"/>
      <c r="AH102" s="6"/>
      <c r="AI102" s="6"/>
      <c r="AJ102" s="6"/>
      <c r="AK102" s="39" t="str">
        <f t="shared" ref="AK102:AK133" si="15">IF(AI102="Yes",IF(AJ102="","",AJ102+21),"")</f>
        <v/>
      </c>
      <c r="AL102" s="6"/>
      <c r="AM102" s="6"/>
    </row>
    <row r="103" spans="1:39" ht="18" customHeight="1" x14ac:dyDescent="0.45">
      <c r="A103" s="4"/>
      <c r="B103" s="39" t="str">
        <f>IFERROR(VLOOKUP(A103,'Incident Intake'!$A:$B,2,FALSE()),"")</f>
        <v/>
      </c>
      <c r="C103" s="10" t="str">
        <f>IFERROR(VLOOKUP(A103,'Incident Intake'!$A:$E,5,FALSE()),"")</f>
        <v/>
      </c>
      <c r="D103" s="10" t="str">
        <f>IFERROR(VLOOKUP(A103,'Incident Intake'!$A:$G,7,FALSE())&amp;" "&amp;VLOOKUP(A103,'Incident Intake'!$A:$F,6,FALSE()),"")</f>
        <v/>
      </c>
      <c r="E103" s="10" t="str">
        <f>IFERROR(VLOOKUP(A103,'Incident Intake'!$A:$J,10,FALSE()),"")</f>
        <v/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10" t="str">
        <f t="shared" si="12"/>
        <v/>
      </c>
      <c r="AC103" s="11" t="str">
        <f t="shared" ca="1" si="13"/>
        <v/>
      </c>
      <c r="AD103" s="10" t="str">
        <f t="shared" si="14"/>
        <v/>
      </c>
      <c r="AE103" s="4"/>
      <c r="AF103" s="4"/>
      <c r="AG103" s="4"/>
      <c r="AH103" s="4"/>
      <c r="AI103" s="4"/>
      <c r="AJ103" s="4"/>
      <c r="AK103" s="39" t="str">
        <f t="shared" si="15"/>
        <v/>
      </c>
      <c r="AL103" s="4"/>
      <c r="AM103" s="4"/>
    </row>
    <row r="104" spans="1:39" ht="18" customHeight="1" x14ac:dyDescent="0.45">
      <c r="A104" s="6"/>
      <c r="B104" s="39" t="str">
        <f>IFERROR(VLOOKUP(A104,'Incident Intake'!$A:$B,2,FALSE()),"")</f>
        <v/>
      </c>
      <c r="C104" s="10" t="str">
        <f>IFERROR(VLOOKUP(A104,'Incident Intake'!$A:$E,5,FALSE()),"")</f>
        <v/>
      </c>
      <c r="D104" s="10" t="str">
        <f>IFERROR(VLOOKUP(A104,'Incident Intake'!$A:$G,7,FALSE())&amp;" "&amp;VLOOKUP(A104,'Incident Intake'!$A:$F,6,FALSE()),"")</f>
        <v/>
      </c>
      <c r="E104" s="10" t="str">
        <f>IFERROR(VLOOKUP(A104,'Incident Intake'!$A:$J,10,FALSE()),"")</f>
        <v/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10" t="str">
        <f t="shared" si="12"/>
        <v/>
      </c>
      <c r="AC104" s="11" t="str">
        <f t="shared" ca="1" si="13"/>
        <v/>
      </c>
      <c r="AD104" s="10" t="str">
        <f t="shared" si="14"/>
        <v/>
      </c>
      <c r="AE104" s="6"/>
      <c r="AF104" s="6"/>
      <c r="AG104" s="6"/>
      <c r="AH104" s="6"/>
      <c r="AI104" s="6"/>
      <c r="AJ104" s="6"/>
      <c r="AK104" s="39" t="str">
        <f t="shared" si="15"/>
        <v/>
      </c>
      <c r="AL104" s="6"/>
      <c r="AM104" s="6"/>
    </row>
    <row r="105" spans="1:39" ht="18" customHeight="1" x14ac:dyDescent="0.45">
      <c r="A105" s="4"/>
      <c r="B105" s="39" t="str">
        <f>IFERROR(VLOOKUP(A105,'Incident Intake'!$A:$B,2,FALSE()),"")</f>
        <v/>
      </c>
      <c r="C105" s="10" t="str">
        <f>IFERROR(VLOOKUP(A105,'Incident Intake'!$A:$E,5,FALSE()),"")</f>
        <v/>
      </c>
      <c r="D105" s="10" t="str">
        <f>IFERROR(VLOOKUP(A105,'Incident Intake'!$A:$G,7,FALSE())&amp;" "&amp;VLOOKUP(A105,'Incident Intake'!$A:$F,6,FALSE()),"")</f>
        <v/>
      </c>
      <c r="E105" s="10" t="str">
        <f>IFERROR(VLOOKUP(A105,'Incident Intake'!$A:$J,10,FALSE()),"")</f>
        <v/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10" t="str">
        <f t="shared" si="12"/>
        <v/>
      </c>
      <c r="AC105" s="11" t="str">
        <f t="shared" ca="1" si="13"/>
        <v/>
      </c>
      <c r="AD105" s="10" t="str">
        <f t="shared" si="14"/>
        <v/>
      </c>
      <c r="AE105" s="4"/>
      <c r="AF105" s="4"/>
      <c r="AG105" s="4"/>
      <c r="AH105" s="4"/>
      <c r="AI105" s="4"/>
      <c r="AJ105" s="4"/>
      <c r="AK105" s="39" t="str">
        <f t="shared" si="15"/>
        <v/>
      </c>
      <c r="AL105" s="4"/>
      <c r="AM105" s="4"/>
    </row>
    <row r="106" spans="1:39" ht="18" customHeight="1" x14ac:dyDescent="0.45">
      <c r="A106" s="6"/>
      <c r="B106" s="39" t="str">
        <f>IFERROR(VLOOKUP(A106,'Incident Intake'!$A:$B,2,FALSE()),"")</f>
        <v/>
      </c>
      <c r="C106" s="10" t="str">
        <f>IFERROR(VLOOKUP(A106,'Incident Intake'!$A:$E,5,FALSE()),"")</f>
        <v/>
      </c>
      <c r="D106" s="10" t="str">
        <f>IFERROR(VLOOKUP(A106,'Incident Intake'!$A:$G,7,FALSE())&amp;" "&amp;VLOOKUP(A106,'Incident Intake'!$A:$F,6,FALSE()),"")</f>
        <v/>
      </c>
      <c r="E106" s="10" t="str">
        <f>IFERROR(VLOOKUP(A106,'Incident Intake'!$A:$J,10,FALSE()),"")</f>
        <v/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10" t="str">
        <f t="shared" si="12"/>
        <v/>
      </c>
      <c r="AC106" s="11" t="str">
        <f t="shared" ca="1" si="13"/>
        <v/>
      </c>
      <c r="AD106" s="10" t="str">
        <f t="shared" si="14"/>
        <v/>
      </c>
      <c r="AE106" s="6"/>
      <c r="AF106" s="6"/>
      <c r="AG106" s="6"/>
      <c r="AH106" s="6"/>
      <c r="AI106" s="6"/>
      <c r="AJ106" s="6"/>
      <c r="AK106" s="39" t="str">
        <f t="shared" si="15"/>
        <v/>
      </c>
      <c r="AL106" s="6"/>
      <c r="AM106" s="6"/>
    </row>
    <row r="107" spans="1:39" ht="18" customHeight="1" x14ac:dyDescent="0.45">
      <c r="A107" s="4"/>
      <c r="B107" s="39" t="str">
        <f>IFERROR(VLOOKUP(A107,'Incident Intake'!$A:$B,2,FALSE()),"")</f>
        <v/>
      </c>
      <c r="C107" s="10" t="str">
        <f>IFERROR(VLOOKUP(A107,'Incident Intake'!$A:$E,5,FALSE()),"")</f>
        <v/>
      </c>
      <c r="D107" s="10" t="str">
        <f>IFERROR(VLOOKUP(A107,'Incident Intake'!$A:$G,7,FALSE())&amp;" "&amp;VLOOKUP(A107,'Incident Intake'!$A:$F,6,FALSE()),"")</f>
        <v/>
      </c>
      <c r="E107" s="10" t="str">
        <f>IFERROR(VLOOKUP(A107,'Incident Intake'!$A:$J,10,FALSE()),"")</f>
        <v/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10" t="str">
        <f t="shared" si="12"/>
        <v/>
      </c>
      <c r="AC107" s="11" t="str">
        <f t="shared" ca="1" si="13"/>
        <v/>
      </c>
      <c r="AD107" s="10" t="str">
        <f t="shared" si="14"/>
        <v/>
      </c>
      <c r="AE107" s="4"/>
      <c r="AF107" s="4"/>
      <c r="AG107" s="4"/>
      <c r="AH107" s="4"/>
      <c r="AI107" s="4"/>
      <c r="AJ107" s="4"/>
      <c r="AK107" s="39" t="str">
        <f t="shared" si="15"/>
        <v/>
      </c>
      <c r="AL107" s="4"/>
      <c r="AM107" s="4"/>
    </row>
    <row r="108" spans="1:39" ht="18" customHeight="1" x14ac:dyDescent="0.45">
      <c r="A108" s="6"/>
      <c r="B108" s="39" t="str">
        <f>IFERROR(VLOOKUP(A108,'Incident Intake'!$A:$B,2,FALSE()),"")</f>
        <v/>
      </c>
      <c r="C108" s="10" t="str">
        <f>IFERROR(VLOOKUP(A108,'Incident Intake'!$A:$E,5,FALSE()),"")</f>
        <v/>
      </c>
      <c r="D108" s="10" t="str">
        <f>IFERROR(VLOOKUP(A108,'Incident Intake'!$A:$G,7,FALSE())&amp;" "&amp;VLOOKUP(A108,'Incident Intake'!$A:$F,6,FALSE()),"")</f>
        <v/>
      </c>
      <c r="E108" s="10" t="str">
        <f>IFERROR(VLOOKUP(A108,'Incident Intake'!$A:$J,10,FALSE()),"")</f>
        <v/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10" t="str">
        <f t="shared" si="12"/>
        <v/>
      </c>
      <c r="AC108" s="11" t="str">
        <f t="shared" ca="1" si="13"/>
        <v/>
      </c>
      <c r="AD108" s="10" t="str">
        <f t="shared" si="14"/>
        <v/>
      </c>
      <c r="AE108" s="6"/>
      <c r="AF108" s="6"/>
      <c r="AG108" s="6"/>
      <c r="AH108" s="6"/>
      <c r="AI108" s="6"/>
      <c r="AJ108" s="6"/>
      <c r="AK108" s="39" t="str">
        <f t="shared" si="15"/>
        <v/>
      </c>
      <c r="AL108" s="6"/>
      <c r="AM108" s="6"/>
    </row>
    <row r="109" spans="1:39" ht="18" customHeight="1" x14ac:dyDescent="0.45">
      <c r="A109" s="4"/>
      <c r="B109" s="39" t="str">
        <f>IFERROR(VLOOKUP(A109,'Incident Intake'!$A:$B,2,FALSE()),"")</f>
        <v/>
      </c>
      <c r="C109" s="10" t="str">
        <f>IFERROR(VLOOKUP(A109,'Incident Intake'!$A:$E,5,FALSE()),"")</f>
        <v/>
      </c>
      <c r="D109" s="10" t="str">
        <f>IFERROR(VLOOKUP(A109,'Incident Intake'!$A:$G,7,FALSE())&amp;" "&amp;VLOOKUP(A109,'Incident Intake'!$A:$F,6,FALSE()),"")</f>
        <v/>
      </c>
      <c r="E109" s="10" t="str">
        <f>IFERROR(VLOOKUP(A109,'Incident Intake'!$A:$J,10,FALSE()),"")</f>
        <v/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10" t="str">
        <f t="shared" si="12"/>
        <v/>
      </c>
      <c r="AC109" s="11" t="str">
        <f t="shared" ca="1" si="13"/>
        <v/>
      </c>
      <c r="AD109" s="10" t="str">
        <f t="shared" si="14"/>
        <v/>
      </c>
      <c r="AE109" s="4"/>
      <c r="AF109" s="4"/>
      <c r="AG109" s="4"/>
      <c r="AH109" s="4"/>
      <c r="AI109" s="4"/>
      <c r="AJ109" s="4"/>
      <c r="AK109" s="39" t="str">
        <f t="shared" si="15"/>
        <v/>
      </c>
      <c r="AL109" s="4"/>
      <c r="AM109" s="4"/>
    </row>
    <row r="110" spans="1:39" ht="18" customHeight="1" x14ac:dyDescent="0.45">
      <c r="A110" s="6"/>
      <c r="B110" s="39" t="str">
        <f>IFERROR(VLOOKUP(A110,'Incident Intake'!$A:$B,2,FALSE()),"")</f>
        <v/>
      </c>
      <c r="C110" s="10" t="str">
        <f>IFERROR(VLOOKUP(A110,'Incident Intake'!$A:$E,5,FALSE()),"")</f>
        <v/>
      </c>
      <c r="D110" s="10" t="str">
        <f>IFERROR(VLOOKUP(A110,'Incident Intake'!$A:$G,7,FALSE())&amp;" "&amp;VLOOKUP(A110,'Incident Intake'!$A:$F,6,FALSE()),"")</f>
        <v/>
      </c>
      <c r="E110" s="10" t="str">
        <f>IFERROR(VLOOKUP(A110,'Incident Intake'!$A:$J,10,FALSE()),"")</f>
        <v/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10" t="str">
        <f t="shared" si="12"/>
        <v/>
      </c>
      <c r="AC110" s="11" t="str">
        <f t="shared" ca="1" si="13"/>
        <v/>
      </c>
      <c r="AD110" s="10" t="str">
        <f t="shared" si="14"/>
        <v/>
      </c>
      <c r="AE110" s="6"/>
      <c r="AF110" s="6"/>
      <c r="AG110" s="6"/>
      <c r="AH110" s="6"/>
      <c r="AI110" s="6"/>
      <c r="AJ110" s="6"/>
      <c r="AK110" s="39" t="str">
        <f t="shared" si="15"/>
        <v/>
      </c>
      <c r="AL110" s="6"/>
      <c r="AM110" s="6"/>
    </row>
    <row r="111" spans="1:39" ht="18" customHeight="1" x14ac:dyDescent="0.45">
      <c r="A111" s="4"/>
      <c r="B111" s="39" t="str">
        <f>IFERROR(VLOOKUP(A111,'Incident Intake'!$A:$B,2,FALSE()),"")</f>
        <v/>
      </c>
      <c r="C111" s="10" t="str">
        <f>IFERROR(VLOOKUP(A111,'Incident Intake'!$A:$E,5,FALSE()),"")</f>
        <v/>
      </c>
      <c r="D111" s="10" t="str">
        <f>IFERROR(VLOOKUP(A111,'Incident Intake'!$A:$G,7,FALSE())&amp;" "&amp;VLOOKUP(A111,'Incident Intake'!$A:$F,6,FALSE()),"")</f>
        <v/>
      </c>
      <c r="E111" s="10" t="str">
        <f>IFERROR(VLOOKUP(A111,'Incident Intake'!$A:$J,10,FALSE()),"")</f>
        <v/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10" t="str">
        <f t="shared" si="12"/>
        <v/>
      </c>
      <c r="AC111" s="11" t="str">
        <f t="shared" ca="1" si="13"/>
        <v/>
      </c>
      <c r="AD111" s="10" t="str">
        <f t="shared" si="14"/>
        <v/>
      </c>
      <c r="AE111" s="4"/>
      <c r="AF111" s="4"/>
      <c r="AG111" s="4"/>
      <c r="AH111" s="4"/>
      <c r="AI111" s="4"/>
      <c r="AJ111" s="4"/>
      <c r="AK111" s="39" t="str">
        <f t="shared" si="15"/>
        <v/>
      </c>
      <c r="AL111" s="4"/>
      <c r="AM111" s="4"/>
    </row>
    <row r="112" spans="1:39" ht="18" customHeight="1" x14ac:dyDescent="0.45">
      <c r="A112" s="6"/>
      <c r="B112" s="39" t="str">
        <f>IFERROR(VLOOKUP(A112,'Incident Intake'!$A:$B,2,FALSE()),"")</f>
        <v/>
      </c>
      <c r="C112" s="10" t="str">
        <f>IFERROR(VLOOKUP(A112,'Incident Intake'!$A:$E,5,FALSE()),"")</f>
        <v/>
      </c>
      <c r="D112" s="10" t="str">
        <f>IFERROR(VLOOKUP(A112,'Incident Intake'!$A:$G,7,FALSE())&amp;" "&amp;VLOOKUP(A112,'Incident Intake'!$A:$F,6,FALSE()),"")</f>
        <v/>
      </c>
      <c r="E112" s="10" t="str">
        <f>IFERROR(VLOOKUP(A112,'Incident Intake'!$A:$J,10,FALSE()),"")</f>
        <v/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10" t="str">
        <f t="shared" si="12"/>
        <v/>
      </c>
      <c r="AC112" s="11" t="str">
        <f t="shared" ca="1" si="13"/>
        <v/>
      </c>
      <c r="AD112" s="10" t="str">
        <f t="shared" si="14"/>
        <v/>
      </c>
      <c r="AE112" s="6"/>
      <c r="AF112" s="6"/>
      <c r="AG112" s="6"/>
      <c r="AH112" s="6"/>
      <c r="AI112" s="6"/>
      <c r="AJ112" s="6"/>
      <c r="AK112" s="39" t="str">
        <f t="shared" si="15"/>
        <v/>
      </c>
      <c r="AL112" s="6"/>
      <c r="AM112" s="6"/>
    </row>
    <row r="113" spans="1:39" ht="18" customHeight="1" x14ac:dyDescent="0.45">
      <c r="A113" s="4"/>
      <c r="B113" s="39" t="str">
        <f>IFERROR(VLOOKUP(A113,'Incident Intake'!$A:$B,2,FALSE()),"")</f>
        <v/>
      </c>
      <c r="C113" s="10" t="str">
        <f>IFERROR(VLOOKUP(A113,'Incident Intake'!$A:$E,5,FALSE()),"")</f>
        <v/>
      </c>
      <c r="D113" s="10" t="str">
        <f>IFERROR(VLOOKUP(A113,'Incident Intake'!$A:$G,7,FALSE())&amp;" "&amp;VLOOKUP(A113,'Incident Intake'!$A:$F,6,FALSE()),"")</f>
        <v/>
      </c>
      <c r="E113" s="10" t="str">
        <f>IFERROR(VLOOKUP(A113,'Incident Intake'!$A:$J,10,FALSE()),"")</f>
        <v/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10" t="str">
        <f t="shared" si="12"/>
        <v/>
      </c>
      <c r="AC113" s="11" t="str">
        <f t="shared" ca="1" si="13"/>
        <v/>
      </c>
      <c r="AD113" s="10" t="str">
        <f t="shared" si="14"/>
        <v/>
      </c>
      <c r="AE113" s="4"/>
      <c r="AF113" s="4"/>
      <c r="AG113" s="4"/>
      <c r="AH113" s="4"/>
      <c r="AI113" s="4"/>
      <c r="AJ113" s="4"/>
      <c r="AK113" s="39" t="str">
        <f t="shared" si="15"/>
        <v/>
      </c>
      <c r="AL113" s="4"/>
      <c r="AM113" s="4"/>
    </row>
    <row r="114" spans="1:39" ht="18" customHeight="1" x14ac:dyDescent="0.45">
      <c r="A114" s="6"/>
      <c r="B114" s="39" t="str">
        <f>IFERROR(VLOOKUP(A114,'Incident Intake'!$A:$B,2,FALSE()),"")</f>
        <v/>
      </c>
      <c r="C114" s="10" t="str">
        <f>IFERROR(VLOOKUP(A114,'Incident Intake'!$A:$E,5,FALSE()),"")</f>
        <v/>
      </c>
      <c r="D114" s="10" t="str">
        <f>IFERROR(VLOOKUP(A114,'Incident Intake'!$A:$G,7,FALSE())&amp;" "&amp;VLOOKUP(A114,'Incident Intake'!$A:$F,6,FALSE()),"")</f>
        <v/>
      </c>
      <c r="E114" s="10" t="str">
        <f>IFERROR(VLOOKUP(A114,'Incident Intake'!$A:$J,10,FALSE()),"")</f>
        <v/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10" t="str">
        <f t="shared" si="12"/>
        <v/>
      </c>
      <c r="AC114" s="11" t="str">
        <f t="shared" ca="1" si="13"/>
        <v/>
      </c>
      <c r="AD114" s="10" t="str">
        <f t="shared" si="14"/>
        <v/>
      </c>
      <c r="AE114" s="6"/>
      <c r="AF114" s="6"/>
      <c r="AG114" s="6"/>
      <c r="AH114" s="6"/>
      <c r="AI114" s="6"/>
      <c r="AJ114" s="6"/>
      <c r="AK114" s="39" t="str">
        <f t="shared" si="15"/>
        <v/>
      </c>
      <c r="AL114" s="6"/>
      <c r="AM114" s="6"/>
    </row>
    <row r="115" spans="1:39" ht="18" customHeight="1" x14ac:dyDescent="0.45">
      <c r="A115" s="4"/>
      <c r="B115" s="39" t="str">
        <f>IFERROR(VLOOKUP(A115,'Incident Intake'!$A:$B,2,FALSE()),"")</f>
        <v/>
      </c>
      <c r="C115" s="10" t="str">
        <f>IFERROR(VLOOKUP(A115,'Incident Intake'!$A:$E,5,FALSE()),"")</f>
        <v/>
      </c>
      <c r="D115" s="10" t="str">
        <f>IFERROR(VLOOKUP(A115,'Incident Intake'!$A:$G,7,FALSE())&amp;" "&amp;VLOOKUP(A115,'Incident Intake'!$A:$F,6,FALSE()),"")</f>
        <v/>
      </c>
      <c r="E115" s="10" t="str">
        <f>IFERROR(VLOOKUP(A115,'Incident Intake'!$A:$J,10,FALSE()),"")</f>
        <v/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10" t="str">
        <f t="shared" si="12"/>
        <v/>
      </c>
      <c r="AC115" s="11" t="str">
        <f t="shared" ca="1" si="13"/>
        <v/>
      </c>
      <c r="AD115" s="10" t="str">
        <f t="shared" si="14"/>
        <v/>
      </c>
      <c r="AE115" s="4"/>
      <c r="AF115" s="4"/>
      <c r="AG115" s="4"/>
      <c r="AH115" s="4"/>
      <c r="AI115" s="4"/>
      <c r="AJ115" s="4"/>
      <c r="AK115" s="39" t="str">
        <f t="shared" si="15"/>
        <v/>
      </c>
      <c r="AL115" s="4"/>
      <c r="AM115" s="4"/>
    </row>
    <row r="116" spans="1:39" ht="18" customHeight="1" x14ac:dyDescent="0.45">
      <c r="A116" s="6"/>
      <c r="B116" s="39" t="str">
        <f>IFERROR(VLOOKUP(A116,'Incident Intake'!$A:$B,2,FALSE()),"")</f>
        <v/>
      </c>
      <c r="C116" s="10" t="str">
        <f>IFERROR(VLOOKUP(A116,'Incident Intake'!$A:$E,5,FALSE()),"")</f>
        <v/>
      </c>
      <c r="D116" s="10" t="str">
        <f>IFERROR(VLOOKUP(A116,'Incident Intake'!$A:$G,7,FALSE())&amp;" "&amp;VLOOKUP(A116,'Incident Intake'!$A:$F,6,FALSE()),"")</f>
        <v/>
      </c>
      <c r="E116" s="10" t="str">
        <f>IFERROR(VLOOKUP(A116,'Incident Intake'!$A:$J,10,FALSE()),"")</f>
        <v/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10" t="str">
        <f t="shared" si="12"/>
        <v/>
      </c>
      <c r="AC116" s="11" t="str">
        <f t="shared" ca="1" si="13"/>
        <v/>
      </c>
      <c r="AD116" s="10" t="str">
        <f t="shared" si="14"/>
        <v/>
      </c>
      <c r="AE116" s="6"/>
      <c r="AF116" s="6"/>
      <c r="AG116" s="6"/>
      <c r="AH116" s="6"/>
      <c r="AI116" s="6"/>
      <c r="AJ116" s="6"/>
      <c r="AK116" s="39" t="str">
        <f t="shared" si="15"/>
        <v/>
      </c>
      <c r="AL116" s="6"/>
      <c r="AM116" s="6"/>
    </row>
    <row r="117" spans="1:39" ht="18" customHeight="1" x14ac:dyDescent="0.45">
      <c r="A117" s="4"/>
      <c r="B117" s="39" t="str">
        <f>IFERROR(VLOOKUP(A117,'Incident Intake'!$A:$B,2,FALSE()),"")</f>
        <v/>
      </c>
      <c r="C117" s="10" t="str">
        <f>IFERROR(VLOOKUP(A117,'Incident Intake'!$A:$E,5,FALSE()),"")</f>
        <v/>
      </c>
      <c r="D117" s="10" t="str">
        <f>IFERROR(VLOOKUP(A117,'Incident Intake'!$A:$G,7,FALSE())&amp;" "&amp;VLOOKUP(A117,'Incident Intake'!$A:$F,6,FALSE()),"")</f>
        <v/>
      </c>
      <c r="E117" s="10" t="str">
        <f>IFERROR(VLOOKUP(A117,'Incident Intake'!$A:$J,10,FALSE()),"")</f>
        <v/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0" t="str">
        <f t="shared" si="12"/>
        <v/>
      </c>
      <c r="AC117" s="11" t="str">
        <f t="shared" ca="1" si="13"/>
        <v/>
      </c>
      <c r="AD117" s="10" t="str">
        <f t="shared" si="14"/>
        <v/>
      </c>
      <c r="AE117" s="4"/>
      <c r="AF117" s="4"/>
      <c r="AG117" s="4"/>
      <c r="AH117" s="4"/>
      <c r="AI117" s="4"/>
      <c r="AJ117" s="4"/>
      <c r="AK117" s="39" t="str">
        <f t="shared" si="15"/>
        <v/>
      </c>
      <c r="AL117" s="4"/>
      <c r="AM117" s="4"/>
    </row>
    <row r="118" spans="1:39" ht="18" customHeight="1" x14ac:dyDescent="0.45">
      <c r="A118" s="6"/>
      <c r="B118" s="39" t="str">
        <f>IFERROR(VLOOKUP(A118,'Incident Intake'!$A:$B,2,FALSE()),"")</f>
        <v/>
      </c>
      <c r="C118" s="10" t="str">
        <f>IFERROR(VLOOKUP(A118,'Incident Intake'!$A:$E,5,FALSE()),"")</f>
        <v/>
      </c>
      <c r="D118" s="10" t="str">
        <f>IFERROR(VLOOKUP(A118,'Incident Intake'!$A:$G,7,FALSE())&amp;" "&amp;VLOOKUP(A118,'Incident Intake'!$A:$F,6,FALSE()),"")</f>
        <v/>
      </c>
      <c r="E118" s="10" t="str">
        <f>IFERROR(VLOOKUP(A118,'Incident Intake'!$A:$J,10,FALSE()),"")</f>
        <v/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10" t="str">
        <f t="shared" si="12"/>
        <v/>
      </c>
      <c r="AC118" s="11" t="str">
        <f t="shared" ca="1" si="13"/>
        <v/>
      </c>
      <c r="AD118" s="10" t="str">
        <f t="shared" si="14"/>
        <v/>
      </c>
      <c r="AE118" s="6"/>
      <c r="AF118" s="6"/>
      <c r="AG118" s="6"/>
      <c r="AH118" s="6"/>
      <c r="AI118" s="6"/>
      <c r="AJ118" s="6"/>
      <c r="AK118" s="39" t="str">
        <f t="shared" si="15"/>
        <v/>
      </c>
      <c r="AL118" s="6"/>
      <c r="AM118" s="6"/>
    </row>
    <row r="119" spans="1:39" ht="18" customHeight="1" x14ac:dyDescent="0.45">
      <c r="A119" s="4"/>
      <c r="B119" s="39" t="str">
        <f>IFERROR(VLOOKUP(A119,'Incident Intake'!$A:$B,2,FALSE()),"")</f>
        <v/>
      </c>
      <c r="C119" s="10" t="str">
        <f>IFERROR(VLOOKUP(A119,'Incident Intake'!$A:$E,5,FALSE()),"")</f>
        <v/>
      </c>
      <c r="D119" s="10" t="str">
        <f>IFERROR(VLOOKUP(A119,'Incident Intake'!$A:$G,7,FALSE())&amp;" "&amp;VLOOKUP(A119,'Incident Intake'!$A:$F,6,FALSE()),"")</f>
        <v/>
      </c>
      <c r="E119" s="10" t="str">
        <f>IFERROR(VLOOKUP(A119,'Incident Intake'!$A:$J,10,FALSE()),"")</f>
        <v/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10" t="str">
        <f t="shared" si="12"/>
        <v/>
      </c>
      <c r="AC119" s="11" t="str">
        <f t="shared" ca="1" si="13"/>
        <v/>
      </c>
      <c r="AD119" s="10" t="str">
        <f t="shared" si="14"/>
        <v/>
      </c>
      <c r="AE119" s="4"/>
      <c r="AF119" s="4"/>
      <c r="AG119" s="4"/>
      <c r="AH119" s="4"/>
      <c r="AI119" s="4"/>
      <c r="AJ119" s="4"/>
      <c r="AK119" s="39" t="str">
        <f t="shared" si="15"/>
        <v/>
      </c>
      <c r="AL119" s="4"/>
      <c r="AM119" s="4"/>
    </row>
    <row r="120" spans="1:39" ht="18" customHeight="1" x14ac:dyDescent="0.45">
      <c r="A120" s="6"/>
      <c r="B120" s="39" t="str">
        <f>IFERROR(VLOOKUP(A120,'Incident Intake'!$A:$B,2,FALSE()),"")</f>
        <v/>
      </c>
      <c r="C120" s="10" t="str">
        <f>IFERROR(VLOOKUP(A120,'Incident Intake'!$A:$E,5,FALSE()),"")</f>
        <v/>
      </c>
      <c r="D120" s="10" t="str">
        <f>IFERROR(VLOOKUP(A120,'Incident Intake'!$A:$G,7,FALSE())&amp;" "&amp;VLOOKUP(A120,'Incident Intake'!$A:$F,6,FALSE()),"")</f>
        <v/>
      </c>
      <c r="E120" s="10" t="str">
        <f>IFERROR(VLOOKUP(A120,'Incident Intake'!$A:$J,10,FALSE()),"")</f>
        <v/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10" t="str">
        <f t="shared" si="12"/>
        <v/>
      </c>
      <c r="AC120" s="11" t="str">
        <f t="shared" ca="1" si="13"/>
        <v/>
      </c>
      <c r="AD120" s="10" t="str">
        <f t="shared" si="14"/>
        <v/>
      </c>
      <c r="AE120" s="6"/>
      <c r="AF120" s="6"/>
      <c r="AG120" s="6"/>
      <c r="AH120" s="6"/>
      <c r="AI120" s="6"/>
      <c r="AJ120" s="6"/>
      <c r="AK120" s="39" t="str">
        <f t="shared" si="15"/>
        <v/>
      </c>
      <c r="AL120" s="6"/>
      <c r="AM120" s="6"/>
    </row>
    <row r="121" spans="1:39" ht="18" customHeight="1" x14ac:dyDescent="0.45">
      <c r="A121" s="4"/>
      <c r="B121" s="39" t="str">
        <f>IFERROR(VLOOKUP(A121,'Incident Intake'!$A:$B,2,FALSE()),"")</f>
        <v/>
      </c>
      <c r="C121" s="10" t="str">
        <f>IFERROR(VLOOKUP(A121,'Incident Intake'!$A:$E,5,FALSE()),"")</f>
        <v/>
      </c>
      <c r="D121" s="10" t="str">
        <f>IFERROR(VLOOKUP(A121,'Incident Intake'!$A:$G,7,FALSE())&amp;" "&amp;VLOOKUP(A121,'Incident Intake'!$A:$F,6,FALSE()),"")</f>
        <v/>
      </c>
      <c r="E121" s="10" t="str">
        <f>IFERROR(VLOOKUP(A121,'Incident Intake'!$A:$J,10,FALSE()),"")</f>
        <v/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10" t="str">
        <f t="shared" si="12"/>
        <v/>
      </c>
      <c r="AC121" s="11" t="str">
        <f t="shared" ca="1" si="13"/>
        <v/>
      </c>
      <c r="AD121" s="10" t="str">
        <f t="shared" si="14"/>
        <v/>
      </c>
      <c r="AE121" s="4"/>
      <c r="AF121" s="4"/>
      <c r="AG121" s="4"/>
      <c r="AH121" s="4"/>
      <c r="AI121" s="4"/>
      <c r="AJ121" s="4"/>
      <c r="AK121" s="39" t="str">
        <f t="shared" si="15"/>
        <v/>
      </c>
      <c r="AL121" s="4"/>
      <c r="AM121" s="4"/>
    </row>
    <row r="122" spans="1:39" ht="18" customHeight="1" x14ac:dyDescent="0.45">
      <c r="A122" s="6"/>
      <c r="B122" s="39" t="str">
        <f>IFERROR(VLOOKUP(A122,'Incident Intake'!$A:$B,2,FALSE()),"")</f>
        <v/>
      </c>
      <c r="C122" s="10" t="str">
        <f>IFERROR(VLOOKUP(A122,'Incident Intake'!$A:$E,5,FALSE()),"")</f>
        <v/>
      </c>
      <c r="D122" s="10" t="str">
        <f>IFERROR(VLOOKUP(A122,'Incident Intake'!$A:$G,7,FALSE())&amp;" "&amp;VLOOKUP(A122,'Incident Intake'!$A:$F,6,FALSE()),"")</f>
        <v/>
      </c>
      <c r="E122" s="10" t="str">
        <f>IFERROR(VLOOKUP(A122,'Incident Intake'!$A:$J,10,FALSE()),"")</f>
        <v/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10" t="str">
        <f t="shared" si="12"/>
        <v/>
      </c>
      <c r="AC122" s="11" t="str">
        <f t="shared" ca="1" si="13"/>
        <v/>
      </c>
      <c r="AD122" s="10" t="str">
        <f t="shared" si="14"/>
        <v/>
      </c>
      <c r="AE122" s="6"/>
      <c r="AF122" s="6"/>
      <c r="AG122" s="6"/>
      <c r="AH122" s="6"/>
      <c r="AI122" s="6"/>
      <c r="AJ122" s="6"/>
      <c r="AK122" s="39" t="str">
        <f t="shared" si="15"/>
        <v/>
      </c>
      <c r="AL122" s="6"/>
      <c r="AM122" s="6"/>
    </row>
    <row r="123" spans="1:39" ht="18" customHeight="1" x14ac:dyDescent="0.45">
      <c r="A123" s="4"/>
      <c r="B123" s="39" t="str">
        <f>IFERROR(VLOOKUP(A123,'Incident Intake'!$A:$B,2,FALSE()),"")</f>
        <v/>
      </c>
      <c r="C123" s="10" t="str">
        <f>IFERROR(VLOOKUP(A123,'Incident Intake'!$A:$E,5,FALSE()),"")</f>
        <v/>
      </c>
      <c r="D123" s="10" t="str">
        <f>IFERROR(VLOOKUP(A123,'Incident Intake'!$A:$G,7,FALSE())&amp;" "&amp;VLOOKUP(A123,'Incident Intake'!$A:$F,6,FALSE()),"")</f>
        <v/>
      </c>
      <c r="E123" s="10" t="str">
        <f>IFERROR(VLOOKUP(A123,'Incident Intake'!$A:$J,10,FALSE()),"")</f>
        <v/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10" t="str">
        <f t="shared" si="12"/>
        <v/>
      </c>
      <c r="AC123" s="11" t="str">
        <f t="shared" ca="1" si="13"/>
        <v/>
      </c>
      <c r="AD123" s="10" t="str">
        <f t="shared" si="14"/>
        <v/>
      </c>
      <c r="AE123" s="4"/>
      <c r="AF123" s="4"/>
      <c r="AG123" s="4"/>
      <c r="AH123" s="4"/>
      <c r="AI123" s="4"/>
      <c r="AJ123" s="4"/>
      <c r="AK123" s="39" t="str">
        <f t="shared" si="15"/>
        <v/>
      </c>
      <c r="AL123" s="4"/>
      <c r="AM123" s="4"/>
    </row>
    <row r="124" spans="1:39" ht="18" customHeight="1" x14ac:dyDescent="0.45">
      <c r="A124" s="6"/>
      <c r="B124" s="39" t="str">
        <f>IFERROR(VLOOKUP(A124,'Incident Intake'!$A:$B,2,FALSE()),"")</f>
        <v/>
      </c>
      <c r="C124" s="10" t="str">
        <f>IFERROR(VLOOKUP(A124,'Incident Intake'!$A:$E,5,FALSE()),"")</f>
        <v/>
      </c>
      <c r="D124" s="10" t="str">
        <f>IFERROR(VLOOKUP(A124,'Incident Intake'!$A:$G,7,FALSE())&amp;" "&amp;VLOOKUP(A124,'Incident Intake'!$A:$F,6,FALSE()),"")</f>
        <v/>
      </c>
      <c r="E124" s="10" t="str">
        <f>IFERROR(VLOOKUP(A124,'Incident Intake'!$A:$J,10,FALSE()),"")</f>
        <v/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10" t="str">
        <f t="shared" si="12"/>
        <v/>
      </c>
      <c r="AC124" s="11" t="str">
        <f t="shared" ca="1" si="13"/>
        <v/>
      </c>
      <c r="AD124" s="10" t="str">
        <f t="shared" si="14"/>
        <v/>
      </c>
      <c r="AE124" s="6"/>
      <c r="AF124" s="6"/>
      <c r="AG124" s="6"/>
      <c r="AH124" s="6"/>
      <c r="AI124" s="6"/>
      <c r="AJ124" s="6"/>
      <c r="AK124" s="39" t="str">
        <f t="shared" si="15"/>
        <v/>
      </c>
      <c r="AL124" s="6"/>
      <c r="AM124" s="6"/>
    </row>
    <row r="125" spans="1:39" ht="18" customHeight="1" x14ac:dyDescent="0.45">
      <c r="A125" s="4"/>
      <c r="B125" s="39" t="str">
        <f>IFERROR(VLOOKUP(A125,'Incident Intake'!$A:$B,2,FALSE()),"")</f>
        <v/>
      </c>
      <c r="C125" s="10" t="str">
        <f>IFERROR(VLOOKUP(A125,'Incident Intake'!$A:$E,5,FALSE()),"")</f>
        <v/>
      </c>
      <c r="D125" s="10" t="str">
        <f>IFERROR(VLOOKUP(A125,'Incident Intake'!$A:$G,7,FALSE())&amp;" "&amp;VLOOKUP(A125,'Incident Intake'!$A:$F,6,FALSE()),"")</f>
        <v/>
      </c>
      <c r="E125" s="10" t="str">
        <f>IFERROR(VLOOKUP(A125,'Incident Intake'!$A:$J,10,FALSE()),"")</f>
        <v/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10" t="str">
        <f t="shared" si="12"/>
        <v/>
      </c>
      <c r="AC125" s="11" t="str">
        <f t="shared" ca="1" si="13"/>
        <v/>
      </c>
      <c r="AD125" s="10" t="str">
        <f t="shared" si="14"/>
        <v/>
      </c>
      <c r="AE125" s="4"/>
      <c r="AF125" s="4"/>
      <c r="AG125" s="4"/>
      <c r="AH125" s="4"/>
      <c r="AI125" s="4"/>
      <c r="AJ125" s="4"/>
      <c r="AK125" s="39" t="str">
        <f t="shared" si="15"/>
        <v/>
      </c>
      <c r="AL125" s="4"/>
      <c r="AM125" s="4"/>
    </row>
    <row r="126" spans="1:39" ht="18" customHeight="1" x14ac:dyDescent="0.45">
      <c r="A126" s="6"/>
      <c r="B126" s="39" t="str">
        <f>IFERROR(VLOOKUP(A126,'Incident Intake'!$A:$B,2,FALSE()),"")</f>
        <v/>
      </c>
      <c r="C126" s="10" t="str">
        <f>IFERROR(VLOOKUP(A126,'Incident Intake'!$A:$E,5,FALSE()),"")</f>
        <v/>
      </c>
      <c r="D126" s="10" t="str">
        <f>IFERROR(VLOOKUP(A126,'Incident Intake'!$A:$G,7,FALSE())&amp;" "&amp;VLOOKUP(A126,'Incident Intake'!$A:$F,6,FALSE()),"")</f>
        <v/>
      </c>
      <c r="E126" s="10" t="str">
        <f>IFERROR(VLOOKUP(A126,'Incident Intake'!$A:$J,10,FALSE()),"")</f>
        <v/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10" t="str">
        <f t="shared" si="12"/>
        <v/>
      </c>
      <c r="AC126" s="11" t="str">
        <f t="shared" ca="1" si="13"/>
        <v/>
      </c>
      <c r="AD126" s="10" t="str">
        <f t="shared" si="14"/>
        <v/>
      </c>
      <c r="AE126" s="6"/>
      <c r="AF126" s="6"/>
      <c r="AG126" s="6"/>
      <c r="AH126" s="6"/>
      <c r="AI126" s="6"/>
      <c r="AJ126" s="6"/>
      <c r="AK126" s="39" t="str">
        <f t="shared" si="15"/>
        <v/>
      </c>
      <c r="AL126" s="6"/>
      <c r="AM126" s="6"/>
    </row>
    <row r="127" spans="1:39" ht="18" customHeight="1" x14ac:dyDescent="0.45">
      <c r="A127" s="4"/>
      <c r="B127" s="39" t="str">
        <f>IFERROR(VLOOKUP(A127,'Incident Intake'!$A:$B,2,FALSE()),"")</f>
        <v/>
      </c>
      <c r="C127" s="10" t="str">
        <f>IFERROR(VLOOKUP(A127,'Incident Intake'!$A:$E,5,FALSE()),"")</f>
        <v/>
      </c>
      <c r="D127" s="10" t="str">
        <f>IFERROR(VLOOKUP(A127,'Incident Intake'!$A:$G,7,FALSE())&amp;" "&amp;VLOOKUP(A127,'Incident Intake'!$A:$F,6,FALSE()),"")</f>
        <v/>
      </c>
      <c r="E127" s="10" t="str">
        <f>IFERROR(VLOOKUP(A127,'Incident Intake'!$A:$J,10,FALSE()),"")</f>
        <v/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10" t="str">
        <f t="shared" si="12"/>
        <v/>
      </c>
      <c r="AC127" s="11" t="str">
        <f t="shared" ca="1" si="13"/>
        <v/>
      </c>
      <c r="AD127" s="10" t="str">
        <f t="shared" si="14"/>
        <v/>
      </c>
      <c r="AE127" s="4"/>
      <c r="AF127" s="4"/>
      <c r="AG127" s="4"/>
      <c r="AH127" s="4"/>
      <c r="AI127" s="4"/>
      <c r="AJ127" s="4"/>
      <c r="AK127" s="39" t="str">
        <f t="shared" si="15"/>
        <v/>
      </c>
      <c r="AL127" s="4"/>
      <c r="AM127" s="4"/>
    </row>
    <row r="128" spans="1:39" ht="18" customHeight="1" x14ac:dyDescent="0.45">
      <c r="A128" s="6"/>
      <c r="B128" s="39" t="str">
        <f>IFERROR(VLOOKUP(A128,'Incident Intake'!$A:$B,2,FALSE()),"")</f>
        <v/>
      </c>
      <c r="C128" s="10" t="str">
        <f>IFERROR(VLOOKUP(A128,'Incident Intake'!$A:$E,5,FALSE()),"")</f>
        <v/>
      </c>
      <c r="D128" s="10" t="str">
        <f>IFERROR(VLOOKUP(A128,'Incident Intake'!$A:$G,7,FALSE())&amp;" "&amp;VLOOKUP(A128,'Incident Intake'!$A:$F,6,FALSE()),"")</f>
        <v/>
      </c>
      <c r="E128" s="10" t="str">
        <f>IFERROR(VLOOKUP(A128,'Incident Intake'!$A:$J,10,FALSE()),"")</f>
        <v/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10" t="str">
        <f t="shared" si="12"/>
        <v/>
      </c>
      <c r="AC128" s="11" t="str">
        <f t="shared" ca="1" si="13"/>
        <v/>
      </c>
      <c r="AD128" s="10" t="str">
        <f t="shared" si="14"/>
        <v/>
      </c>
      <c r="AE128" s="6"/>
      <c r="AF128" s="6"/>
      <c r="AG128" s="6"/>
      <c r="AH128" s="6"/>
      <c r="AI128" s="6"/>
      <c r="AJ128" s="6"/>
      <c r="AK128" s="39" t="str">
        <f t="shared" si="15"/>
        <v/>
      </c>
      <c r="AL128" s="6"/>
      <c r="AM128" s="6"/>
    </row>
    <row r="129" spans="1:39" ht="18" customHeight="1" x14ac:dyDescent="0.45">
      <c r="A129" s="4"/>
      <c r="B129" s="39" t="str">
        <f>IFERROR(VLOOKUP(A129,'Incident Intake'!$A:$B,2,FALSE()),"")</f>
        <v/>
      </c>
      <c r="C129" s="10" t="str">
        <f>IFERROR(VLOOKUP(A129,'Incident Intake'!$A:$E,5,FALSE()),"")</f>
        <v/>
      </c>
      <c r="D129" s="10" t="str">
        <f>IFERROR(VLOOKUP(A129,'Incident Intake'!$A:$G,7,FALSE())&amp;" "&amp;VLOOKUP(A129,'Incident Intake'!$A:$F,6,FALSE()),"")</f>
        <v/>
      </c>
      <c r="E129" s="10" t="str">
        <f>IFERROR(VLOOKUP(A129,'Incident Intake'!$A:$J,10,FALSE()),"")</f>
        <v/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0" t="str">
        <f t="shared" si="12"/>
        <v/>
      </c>
      <c r="AC129" s="11" t="str">
        <f t="shared" ca="1" si="13"/>
        <v/>
      </c>
      <c r="AD129" s="10" t="str">
        <f t="shared" si="14"/>
        <v/>
      </c>
      <c r="AE129" s="4"/>
      <c r="AF129" s="4"/>
      <c r="AG129" s="4"/>
      <c r="AH129" s="4"/>
      <c r="AI129" s="4"/>
      <c r="AJ129" s="4"/>
      <c r="AK129" s="39" t="str">
        <f t="shared" si="15"/>
        <v/>
      </c>
      <c r="AL129" s="4"/>
      <c r="AM129" s="4"/>
    </row>
    <row r="130" spans="1:39" ht="18" customHeight="1" x14ac:dyDescent="0.45">
      <c r="A130" s="6"/>
      <c r="B130" s="39" t="str">
        <f>IFERROR(VLOOKUP(A130,'Incident Intake'!$A:$B,2,FALSE()),"")</f>
        <v/>
      </c>
      <c r="C130" s="10" t="str">
        <f>IFERROR(VLOOKUP(A130,'Incident Intake'!$A:$E,5,FALSE()),"")</f>
        <v/>
      </c>
      <c r="D130" s="10" t="str">
        <f>IFERROR(VLOOKUP(A130,'Incident Intake'!$A:$G,7,FALSE())&amp;" "&amp;VLOOKUP(A130,'Incident Intake'!$A:$F,6,FALSE()),"")</f>
        <v/>
      </c>
      <c r="E130" s="10" t="str">
        <f>IFERROR(VLOOKUP(A130,'Incident Intake'!$A:$J,10,FALSE()),"")</f>
        <v/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10" t="str">
        <f t="shared" si="12"/>
        <v/>
      </c>
      <c r="AC130" s="11" t="str">
        <f t="shared" ca="1" si="13"/>
        <v/>
      </c>
      <c r="AD130" s="10" t="str">
        <f t="shared" si="14"/>
        <v/>
      </c>
      <c r="AE130" s="6"/>
      <c r="AF130" s="6"/>
      <c r="AG130" s="6"/>
      <c r="AH130" s="6"/>
      <c r="AI130" s="6"/>
      <c r="AJ130" s="6"/>
      <c r="AK130" s="39" t="str">
        <f t="shared" si="15"/>
        <v/>
      </c>
      <c r="AL130" s="6"/>
      <c r="AM130" s="6"/>
    </row>
    <row r="131" spans="1:39" ht="18" customHeight="1" x14ac:dyDescent="0.45">
      <c r="A131" s="4"/>
      <c r="B131" s="39" t="str">
        <f>IFERROR(VLOOKUP(A131,'Incident Intake'!$A:$B,2,FALSE()),"")</f>
        <v/>
      </c>
      <c r="C131" s="10" t="str">
        <f>IFERROR(VLOOKUP(A131,'Incident Intake'!$A:$E,5,FALSE()),"")</f>
        <v/>
      </c>
      <c r="D131" s="10" t="str">
        <f>IFERROR(VLOOKUP(A131,'Incident Intake'!$A:$G,7,FALSE())&amp;" "&amp;VLOOKUP(A131,'Incident Intake'!$A:$F,6,FALSE()),"")</f>
        <v/>
      </c>
      <c r="E131" s="10" t="str">
        <f>IFERROR(VLOOKUP(A131,'Incident Intake'!$A:$J,10,FALSE()),"")</f>
        <v/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10" t="str">
        <f t="shared" si="12"/>
        <v/>
      </c>
      <c r="AC131" s="11" t="str">
        <f t="shared" ca="1" si="13"/>
        <v/>
      </c>
      <c r="AD131" s="10" t="str">
        <f t="shared" si="14"/>
        <v/>
      </c>
      <c r="AE131" s="4"/>
      <c r="AF131" s="4"/>
      <c r="AG131" s="4"/>
      <c r="AH131" s="4"/>
      <c r="AI131" s="4"/>
      <c r="AJ131" s="4"/>
      <c r="AK131" s="39" t="str">
        <f t="shared" si="15"/>
        <v/>
      </c>
      <c r="AL131" s="4"/>
      <c r="AM131" s="4"/>
    </row>
    <row r="132" spans="1:39" ht="18" customHeight="1" x14ac:dyDescent="0.45">
      <c r="A132" s="6"/>
      <c r="B132" s="39" t="str">
        <f>IFERROR(VLOOKUP(A132,'Incident Intake'!$A:$B,2,FALSE()),"")</f>
        <v/>
      </c>
      <c r="C132" s="10" t="str">
        <f>IFERROR(VLOOKUP(A132,'Incident Intake'!$A:$E,5,FALSE()),"")</f>
        <v/>
      </c>
      <c r="D132" s="10" t="str">
        <f>IFERROR(VLOOKUP(A132,'Incident Intake'!$A:$G,7,FALSE())&amp;" "&amp;VLOOKUP(A132,'Incident Intake'!$A:$F,6,FALSE()),"")</f>
        <v/>
      </c>
      <c r="E132" s="10" t="str">
        <f>IFERROR(VLOOKUP(A132,'Incident Intake'!$A:$J,10,FALSE()),"")</f>
        <v/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10" t="str">
        <f t="shared" si="12"/>
        <v/>
      </c>
      <c r="AC132" s="11" t="str">
        <f t="shared" ca="1" si="13"/>
        <v/>
      </c>
      <c r="AD132" s="10" t="str">
        <f t="shared" si="14"/>
        <v/>
      </c>
      <c r="AE132" s="6"/>
      <c r="AF132" s="6"/>
      <c r="AG132" s="6"/>
      <c r="AH132" s="6"/>
      <c r="AI132" s="6"/>
      <c r="AJ132" s="6"/>
      <c r="AK132" s="39" t="str">
        <f t="shared" si="15"/>
        <v/>
      </c>
      <c r="AL132" s="6"/>
      <c r="AM132" s="6"/>
    </row>
    <row r="133" spans="1:39" ht="18" customHeight="1" x14ac:dyDescent="0.45">
      <c r="A133" s="4"/>
      <c r="B133" s="39" t="str">
        <f>IFERROR(VLOOKUP(A133,'Incident Intake'!$A:$B,2,FALSE()),"")</f>
        <v/>
      </c>
      <c r="C133" s="10" t="str">
        <f>IFERROR(VLOOKUP(A133,'Incident Intake'!$A:$E,5,FALSE()),"")</f>
        <v/>
      </c>
      <c r="D133" s="10" t="str">
        <f>IFERROR(VLOOKUP(A133,'Incident Intake'!$A:$G,7,FALSE())&amp;" "&amp;VLOOKUP(A133,'Incident Intake'!$A:$F,6,FALSE()),"")</f>
        <v/>
      </c>
      <c r="E133" s="10" t="str">
        <f>IFERROR(VLOOKUP(A133,'Incident Intake'!$A:$J,10,FALSE()),"")</f>
        <v/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10" t="str">
        <f t="shared" si="12"/>
        <v/>
      </c>
      <c r="AC133" s="11" t="str">
        <f t="shared" ca="1" si="13"/>
        <v/>
      </c>
      <c r="AD133" s="10" t="str">
        <f t="shared" si="14"/>
        <v/>
      </c>
      <c r="AE133" s="4"/>
      <c r="AF133" s="4"/>
      <c r="AG133" s="4"/>
      <c r="AH133" s="4"/>
      <c r="AI133" s="4"/>
      <c r="AJ133" s="4"/>
      <c r="AK133" s="39" t="str">
        <f t="shared" si="15"/>
        <v/>
      </c>
      <c r="AL133" s="4"/>
      <c r="AM133" s="4"/>
    </row>
    <row r="134" spans="1:39" ht="18" customHeight="1" x14ac:dyDescent="0.45">
      <c r="A134" s="6"/>
      <c r="B134" s="39" t="str">
        <f>IFERROR(VLOOKUP(A134,'Incident Intake'!$A:$B,2,FALSE()),"")</f>
        <v/>
      </c>
      <c r="C134" s="10" t="str">
        <f>IFERROR(VLOOKUP(A134,'Incident Intake'!$A:$E,5,FALSE()),"")</f>
        <v/>
      </c>
      <c r="D134" s="10" t="str">
        <f>IFERROR(VLOOKUP(A134,'Incident Intake'!$A:$G,7,FALSE())&amp;" "&amp;VLOOKUP(A134,'Incident Intake'!$A:$F,6,FALSE()),"")</f>
        <v/>
      </c>
      <c r="E134" s="10" t="str">
        <f>IFERROR(VLOOKUP(A134,'Incident Intake'!$A:$J,10,FALSE()),"")</f>
        <v/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10" t="str">
        <f t="shared" ref="AB134:AB165" si="16">IF(A134="","",IF(AB134="Yes","Closed",IF(T134="Yes","Consequence Assigned",IF(O134="Yes","Finding Reached",IF(F134="Yes","In Progress","Open")))))</f>
        <v/>
      </c>
      <c r="AC134" s="11" t="str">
        <f t="shared" ref="AC134:AC165" ca="1" si="17">IF(OR(A134="",AB134="Yes"),"",IF(B134="","",TODAY()-B134))</f>
        <v/>
      </c>
      <c r="AD134" s="10" t="str">
        <f t="shared" ref="AD134:AD165" si="18">IF(A134="","",IF(AND(V134="Yes",X134="Yes",Y134="Yes",Z134="Yes",AA134="Yes"),"✅ ALL CHECKS COMPLETE — OK TO CLOSE","⚠ "&amp;(5-COUNTIF(V134:Z134,"Yes"))&amp;" CHECK(S) INCOMPLETE"))</f>
        <v/>
      </c>
      <c r="AE134" s="6"/>
      <c r="AF134" s="6"/>
      <c r="AG134" s="6"/>
      <c r="AH134" s="6"/>
      <c r="AI134" s="6"/>
      <c r="AJ134" s="6"/>
      <c r="AK134" s="39" t="str">
        <f t="shared" ref="AK134:AK165" si="19">IF(AI134="Yes",IF(AJ134="","",AJ134+21),"")</f>
        <v/>
      </c>
      <c r="AL134" s="6"/>
      <c r="AM134" s="6"/>
    </row>
    <row r="135" spans="1:39" ht="18" customHeight="1" x14ac:dyDescent="0.45">
      <c r="A135" s="4"/>
      <c r="B135" s="39" t="str">
        <f>IFERROR(VLOOKUP(A135,'Incident Intake'!$A:$B,2,FALSE()),"")</f>
        <v/>
      </c>
      <c r="C135" s="10" t="str">
        <f>IFERROR(VLOOKUP(A135,'Incident Intake'!$A:$E,5,FALSE()),"")</f>
        <v/>
      </c>
      <c r="D135" s="10" t="str">
        <f>IFERROR(VLOOKUP(A135,'Incident Intake'!$A:$G,7,FALSE())&amp;" "&amp;VLOOKUP(A135,'Incident Intake'!$A:$F,6,FALSE()),"")</f>
        <v/>
      </c>
      <c r="E135" s="10" t="str">
        <f>IFERROR(VLOOKUP(A135,'Incident Intake'!$A:$J,10,FALSE()),"")</f>
        <v/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10" t="str">
        <f t="shared" si="16"/>
        <v/>
      </c>
      <c r="AC135" s="11" t="str">
        <f t="shared" ca="1" si="17"/>
        <v/>
      </c>
      <c r="AD135" s="10" t="str">
        <f t="shared" si="18"/>
        <v/>
      </c>
      <c r="AE135" s="4"/>
      <c r="AF135" s="4"/>
      <c r="AG135" s="4"/>
      <c r="AH135" s="4"/>
      <c r="AI135" s="4"/>
      <c r="AJ135" s="4"/>
      <c r="AK135" s="39" t="str">
        <f t="shared" si="19"/>
        <v/>
      </c>
      <c r="AL135" s="4"/>
      <c r="AM135" s="4"/>
    </row>
    <row r="136" spans="1:39" ht="18" customHeight="1" x14ac:dyDescent="0.45">
      <c r="A136" s="6"/>
      <c r="B136" s="39" t="str">
        <f>IFERROR(VLOOKUP(A136,'Incident Intake'!$A:$B,2,FALSE()),"")</f>
        <v/>
      </c>
      <c r="C136" s="10" t="str">
        <f>IFERROR(VLOOKUP(A136,'Incident Intake'!$A:$E,5,FALSE()),"")</f>
        <v/>
      </c>
      <c r="D136" s="10" t="str">
        <f>IFERROR(VLOOKUP(A136,'Incident Intake'!$A:$G,7,FALSE())&amp;" "&amp;VLOOKUP(A136,'Incident Intake'!$A:$F,6,FALSE()),"")</f>
        <v/>
      </c>
      <c r="E136" s="10" t="str">
        <f>IFERROR(VLOOKUP(A136,'Incident Intake'!$A:$J,10,FALSE()),"")</f>
        <v/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10" t="str">
        <f t="shared" si="16"/>
        <v/>
      </c>
      <c r="AC136" s="11" t="str">
        <f t="shared" ca="1" si="17"/>
        <v/>
      </c>
      <c r="AD136" s="10" t="str">
        <f t="shared" si="18"/>
        <v/>
      </c>
      <c r="AE136" s="6"/>
      <c r="AF136" s="6"/>
      <c r="AG136" s="6"/>
      <c r="AH136" s="6"/>
      <c r="AI136" s="6"/>
      <c r="AJ136" s="6"/>
      <c r="AK136" s="39" t="str">
        <f t="shared" si="19"/>
        <v/>
      </c>
      <c r="AL136" s="6"/>
      <c r="AM136" s="6"/>
    </row>
    <row r="137" spans="1:39" ht="18" customHeight="1" x14ac:dyDescent="0.45">
      <c r="A137" s="4"/>
      <c r="B137" s="39" t="str">
        <f>IFERROR(VLOOKUP(A137,'Incident Intake'!$A:$B,2,FALSE()),"")</f>
        <v/>
      </c>
      <c r="C137" s="10" t="str">
        <f>IFERROR(VLOOKUP(A137,'Incident Intake'!$A:$E,5,FALSE()),"")</f>
        <v/>
      </c>
      <c r="D137" s="10" t="str">
        <f>IFERROR(VLOOKUP(A137,'Incident Intake'!$A:$G,7,FALSE())&amp;" "&amp;VLOOKUP(A137,'Incident Intake'!$A:$F,6,FALSE()),"")</f>
        <v/>
      </c>
      <c r="E137" s="10" t="str">
        <f>IFERROR(VLOOKUP(A137,'Incident Intake'!$A:$J,10,FALSE()),"")</f>
        <v/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10" t="str">
        <f t="shared" si="16"/>
        <v/>
      </c>
      <c r="AC137" s="11" t="str">
        <f t="shared" ca="1" si="17"/>
        <v/>
      </c>
      <c r="AD137" s="10" t="str">
        <f t="shared" si="18"/>
        <v/>
      </c>
      <c r="AE137" s="4"/>
      <c r="AF137" s="4"/>
      <c r="AG137" s="4"/>
      <c r="AH137" s="4"/>
      <c r="AI137" s="4"/>
      <c r="AJ137" s="4"/>
      <c r="AK137" s="39" t="str">
        <f t="shared" si="19"/>
        <v/>
      </c>
      <c r="AL137" s="4"/>
      <c r="AM137" s="4"/>
    </row>
    <row r="138" spans="1:39" ht="18" customHeight="1" x14ac:dyDescent="0.45">
      <c r="A138" s="6"/>
      <c r="B138" s="39" t="str">
        <f>IFERROR(VLOOKUP(A138,'Incident Intake'!$A:$B,2,FALSE()),"")</f>
        <v/>
      </c>
      <c r="C138" s="10" t="str">
        <f>IFERROR(VLOOKUP(A138,'Incident Intake'!$A:$E,5,FALSE()),"")</f>
        <v/>
      </c>
      <c r="D138" s="10" t="str">
        <f>IFERROR(VLOOKUP(A138,'Incident Intake'!$A:$G,7,FALSE())&amp;" "&amp;VLOOKUP(A138,'Incident Intake'!$A:$F,6,FALSE()),"")</f>
        <v/>
      </c>
      <c r="E138" s="10" t="str">
        <f>IFERROR(VLOOKUP(A138,'Incident Intake'!$A:$J,10,FALSE()),"")</f>
        <v/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10" t="str">
        <f t="shared" si="16"/>
        <v/>
      </c>
      <c r="AC138" s="11" t="str">
        <f t="shared" ca="1" si="17"/>
        <v/>
      </c>
      <c r="AD138" s="10" t="str">
        <f t="shared" si="18"/>
        <v/>
      </c>
      <c r="AE138" s="6"/>
      <c r="AF138" s="6"/>
      <c r="AG138" s="6"/>
      <c r="AH138" s="6"/>
      <c r="AI138" s="6"/>
      <c r="AJ138" s="6"/>
      <c r="AK138" s="39" t="str">
        <f t="shared" si="19"/>
        <v/>
      </c>
      <c r="AL138" s="6"/>
      <c r="AM138" s="6"/>
    </row>
    <row r="139" spans="1:39" ht="18" customHeight="1" x14ac:dyDescent="0.45">
      <c r="A139" s="4"/>
      <c r="B139" s="39" t="str">
        <f>IFERROR(VLOOKUP(A139,'Incident Intake'!$A:$B,2,FALSE()),"")</f>
        <v/>
      </c>
      <c r="C139" s="10" t="str">
        <f>IFERROR(VLOOKUP(A139,'Incident Intake'!$A:$E,5,FALSE()),"")</f>
        <v/>
      </c>
      <c r="D139" s="10" t="str">
        <f>IFERROR(VLOOKUP(A139,'Incident Intake'!$A:$G,7,FALSE())&amp;" "&amp;VLOOKUP(A139,'Incident Intake'!$A:$F,6,FALSE()),"")</f>
        <v/>
      </c>
      <c r="E139" s="10" t="str">
        <f>IFERROR(VLOOKUP(A139,'Incident Intake'!$A:$J,10,FALSE()),"")</f>
        <v/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10" t="str">
        <f t="shared" si="16"/>
        <v/>
      </c>
      <c r="AC139" s="11" t="str">
        <f t="shared" ca="1" si="17"/>
        <v/>
      </c>
      <c r="AD139" s="10" t="str">
        <f t="shared" si="18"/>
        <v/>
      </c>
      <c r="AE139" s="4"/>
      <c r="AF139" s="4"/>
      <c r="AG139" s="4"/>
      <c r="AH139" s="4"/>
      <c r="AI139" s="4"/>
      <c r="AJ139" s="4"/>
      <c r="AK139" s="39" t="str">
        <f t="shared" si="19"/>
        <v/>
      </c>
      <c r="AL139" s="4"/>
      <c r="AM139" s="4"/>
    </row>
    <row r="140" spans="1:39" ht="18" customHeight="1" x14ac:dyDescent="0.45">
      <c r="A140" s="6"/>
      <c r="B140" s="39" t="str">
        <f>IFERROR(VLOOKUP(A140,'Incident Intake'!$A:$B,2,FALSE()),"")</f>
        <v/>
      </c>
      <c r="C140" s="10" t="str">
        <f>IFERROR(VLOOKUP(A140,'Incident Intake'!$A:$E,5,FALSE()),"")</f>
        <v/>
      </c>
      <c r="D140" s="10" t="str">
        <f>IFERROR(VLOOKUP(A140,'Incident Intake'!$A:$G,7,FALSE())&amp;" "&amp;VLOOKUP(A140,'Incident Intake'!$A:$F,6,FALSE()),"")</f>
        <v/>
      </c>
      <c r="E140" s="10" t="str">
        <f>IFERROR(VLOOKUP(A140,'Incident Intake'!$A:$J,10,FALSE()),"")</f>
        <v/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10" t="str">
        <f t="shared" si="16"/>
        <v/>
      </c>
      <c r="AC140" s="11" t="str">
        <f t="shared" ca="1" si="17"/>
        <v/>
      </c>
      <c r="AD140" s="10" t="str">
        <f t="shared" si="18"/>
        <v/>
      </c>
      <c r="AE140" s="6"/>
      <c r="AF140" s="6"/>
      <c r="AG140" s="6"/>
      <c r="AH140" s="6"/>
      <c r="AI140" s="6"/>
      <c r="AJ140" s="6"/>
      <c r="AK140" s="39" t="str">
        <f t="shared" si="19"/>
        <v/>
      </c>
      <c r="AL140" s="6"/>
      <c r="AM140" s="6"/>
    </row>
    <row r="141" spans="1:39" ht="18" customHeight="1" x14ac:dyDescent="0.45">
      <c r="A141" s="4"/>
      <c r="B141" s="39" t="str">
        <f>IFERROR(VLOOKUP(A141,'Incident Intake'!$A:$B,2,FALSE()),"")</f>
        <v/>
      </c>
      <c r="C141" s="10" t="str">
        <f>IFERROR(VLOOKUP(A141,'Incident Intake'!$A:$E,5,FALSE()),"")</f>
        <v/>
      </c>
      <c r="D141" s="10" t="str">
        <f>IFERROR(VLOOKUP(A141,'Incident Intake'!$A:$G,7,FALSE())&amp;" "&amp;VLOOKUP(A141,'Incident Intake'!$A:$F,6,FALSE()),"")</f>
        <v/>
      </c>
      <c r="E141" s="10" t="str">
        <f>IFERROR(VLOOKUP(A141,'Incident Intake'!$A:$J,10,FALSE()),"")</f>
        <v/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10" t="str">
        <f t="shared" si="16"/>
        <v/>
      </c>
      <c r="AC141" s="11" t="str">
        <f t="shared" ca="1" si="17"/>
        <v/>
      </c>
      <c r="AD141" s="10" t="str">
        <f t="shared" si="18"/>
        <v/>
      </c>
      <c r="AE141" s="4"/>
      <c r="AF141" s="4"/>
      <c r="AG141" s="4"/>
      <c r="AH141" s="4"/>
      <c r="AI141" s="4"/>
      <c r="AJ141" s="4"/>
      <c r="AK141" s="39" t="str">
        <f t="shared" si="19"/>
        <v/>
      </c>
      <c r="AL141" s="4"/>
      <c r="AM141" s="4"/>
    </row>
    <row r="142" spans="1:39" ht="18" customHeight="1" x14ac:dyDescent="0.45">
      <c r="A142" s="6"/>
      <c r="B142" s="39" t="str">
        <f>IFERROR(VLOOKUP(A142,'Incident Intake'!$A:$B,2,FALSE()),"")</f>
        <v/>
      </c>
      <c r="C142" s="10" t="str">
        <f>IFERROR(VLOOKUP(A142,'Incident Intake'!$A:$E,5,FALSE()),"")</f>
        <v/>
      </c>
      <c r="D142" s="10" t="str">
        <f>IFERROR(VLOOKUP(A142,'Incident Intake'!$A:$G,7,FALSE())&amp;" "&amp;VLOOKUP(A142,'Incident Intake'!$A:$F,6,FALSE()),"")</f>
        <v/>
      </c>
      <c r="E142" s="10" t="str">
        <f>IFERROR(VLOOKUP(A142,'Incident Intake'!$A:$J,10,FALSE()),"")</f>
        <v/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10" t="str">
        <f t="shared" si="16"/>
        <v/>
      </c>
      <c r="AC142" s="11" t="str">
        <f t="shared" ca="1" si="17"/>
        <v/>
      </c>
      <c r="AD142" s="10" t="str">
        <f t="shared" si="18"/>
        <v/>
      </c>
      <c r="AE142" s="6"/>
      <c r="AF142" s="6"/>
      <c r="AG142" s="6"/>
      <c r="AH142" s="6"/>
      <c r="AI142" s="6"/>
      <c r="AJ142" s="6"/>
      <c r="AK142" s="39" t="str">
        <f t="shared" si="19"/>
        <v/>
      </c>
      <c r="AL142" s="6"/>
      <c r="AM142" s="6"/>
    </row>
    <row r="143" spans="1:39" ht="18" customHeight="1" x14ac:dyDescent="0.45">
      <c r="A143" s="4"/>
      <c r="B143" s="39" t="str">
        <f>IFERROR(VLOOKUP(A143,'Incident Intake'!$A:$B,2,FALSE()),"")</f>
        <v/>
      </c>
      <c r="C143" s="10" t="str">
        <f>IFERROR(VLOOKUP(A143,'Incident Intake'!$A:$E,5,FALSE()),"")</f>
        <v/>
      </c>
      <c r="D143" s="10" t="str">
        <f>IFERROR(VLOOKUP(A143,'Incident Intake'!$A:$G,7,FALSE())&amp;" "&amp;VLOOKUP(A143,'Incident Intake'!$A:$F,6,FALSE()),"")</f>
        <v/>
      </c>
      <c r="E143" s="10" t="str">
        <f>IFERROR(VLOOKUP(A143,'Incident Intake'!$A:$J,10,FALSE()),"")</f>
        <v/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10" t="str">
        <f t="shared" si="16"/>
        <v/>
      </c>
      <c r="AC143" s="11" t="str">
        <f t="shared" ca="1" si="17"/>
        <v/>
      </c>
      <c r="AD143" s="10" t="str">
        <f t="shared" si="18"/>
        <v/>
      </c>
      <c r="AE143" s="4"/>
      <c r="AF143" s="4"/>
      <c r="AG143" s="4"/>
      <c r="AH143" s="4"/>
      <c r="AI143" s="4"/>
      <c r="AJ143" s="4"/>
      <c r="AK143" s="39" t="str">
        <f t="shared" si="19"/>
        <v/>
      </c>
      <c r="AL143" s="4"/>
      <c r="AM143" s="4"/>
    </row>
    <row r="144" spans="1:39" ht="18" customHeight="1" x14ac:dyDescent="0.45">
      <c r="A144" s="6"/>
      <c r="B144" s="39" t="str">
        <f>IFERROR(VLOOKUP(A144,'Incident Intake'!$A:$B,2,FALSE()),"")</f>
        <v/>
      </c>
      <c r="C144" s="10" t="str">
        <f>IFERROR(VLOOKUP(A144,'Incident Intake'!$A:$E,5,FALSE()),"")</f>
        <v/>
      </c>
      <c r="D144" s="10" t="str">
        <f>IFERROR(VLOOKUP(A144,'Incident Intake'!$A:$G,7,FALSE())&amp;" "&amp;VLOOKUP(A144,'Incident Intake'!$A:$F,6,FALSE()),"")</f>
        <v/>
      </c>
      <c r="E144" s="10" t="str">
        <f>IFERROR(VLOOKUP(A144,'Incident Intake'!$A:$J,10,FALSE()),"")</f>
        <v/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10" t="str">
        <f t="shared" si="16"/>
        <v/>
      </c>
      <c r="AC144" s="11" t="str">
        <f t="shared" ca="1" si="17"/>
        <v/>
      </c>
      <c r="AD144" s="10" t="str">
        <f t="shared" si="18"/>
        <v/>
      </c>
      <c r="AE144" s="6"/>
      <c r="AF144" s="6"/>
      <c r="AG144" s="6"/>
      <c r="AH144" s="6"/>
      <c r="AI144" s="6"/>
      <c r="AJ144" s="6"/>
      <c r="AK144" s="39" t="str">
        <f t="shared" si="19"/>
        <v/>
      </c>
      <c r="AL144" s="6"/>
      <c r="AM144" s="6"/>
    </row>
    <row r="145" spans="1:39" ht="18" customHeight="1" x14ac:dyDescent="0.45">
      <c r="A145" s="4"/>
      <c r="B145" s="39" t="str">
        <f>IFERROR(VLOOKUP(A145,'Incident Intake'!$A:$B,2,FALSE()),"")</f>
        <v/>
      </c>
      <c r="C145" s="10" t="str">
        <f>IFERROR(VLOOKUP(A145,'Incident Intake'!$A:$E,5,FALSE()),"")</f>
        <v/>
      </c>
      <c r="D145" s="10" t="str">
        <f>IFERROR(VLOOKUP(A145,'Incident Intake'!$A:$G,7,FALSE())&amp;" "&amp;VLOOKUP(A145,'Incident Intake'!$A:$F,6,FALSE()),"")</f>
        <v/>
      </c>
      <c r="E145" s="10" t="str">
        <f>IFERROR(VLOOKUP(A145,'Incident Intake'!$A:$J,10,FALSE()),"")</f>
        <v/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10" t="str">
        <f t="shared" si="16"/>
        <v/>
      </c>
      <c r="AC145" s="11" t="str">
        <f t="shared" ca="1" si="17"/>
        <v/>
      </c>
      <c r="AD145" s="10" t="str">
        <f t="shared" si="18"/>
        <v/>
      </c>
      <c r="AE145" s="4"/>
      <c r="AF145" s="4"/>
      <c r="AG145" s="4"/>
      <c r="AH145" s="4"/>
      <c r="AI145" s="4"/>
      <c r="AJ145" s="4"/>
      <c r="AK145" s="39" t="str">
        <f t="shared" si="19"/>
        <v/>
      </c>
      <c r="AL145" s="4"/>
      <c r="AM145" s="4"/>
    </row>
    <row r="146" spans="1:39" ht="18" customHeight="1" x14ac:dyDescent="0.45">
      <c r="A146" s="6"/>
      <c r="B146" s="39" t="str">
        <f>IFERROR(VLOOKUP(A146,'Incident Intake'!$A:$B,2,FALSE()),"")</f>
        <v/>
      </c>
      <c r="C146" s="10" t="str">
        <f>IFERROR(VLOOKUP(A146,'Incident Intake'!$A:$E,5,FALSE()),"")</f>
        <v/>
      </c>
      <c r="D146" s="10" t="str">
        <f>IFERROR(VLOOKUP(A146,'Incident Intake'!$A:$G,7,FALSE())&amp;" "&amp;VLOOKUP(A146,'Incident Intake'!$A:$F,6,FALSE()),"")</f>
        <v/>
      </c>
      <c r="E146" s="10" t="str">
        <f>IFERROR(VLOOKUP(A146,'Incident Intake'!$A:$J,10,FALSE()),"")</f>
        <v/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10" t="str">
        <f t="shared" si="16"/>
        <v/>
      </c>
      <c r="AC146" s="11" t="str">
        <f t="shared" ca="1" si="17"/>
        <v/>
      </c>
      <c r="AD146" s="10" t="str">
        <f t="shared" si="18"/>
        <v/>
      </c>
      <c r="AE146" s="6"/>
      <c r="AF146" s="6"/>
      <c r="AG146" s="6"/>
      <c r="AH146" s="6"/>
      <c r="AI146" s="6"/>
      <c r="AJ146" s="6"/>
      <c r="AK146" s="39" t="str">
        <f t="shared" si="19"/>
        <v/>
      </c>
      <c r="AL146" s="6"/>
      <c r="AM146" s="6"/>
    </row>
    <row r="147" spans="1:39" ht="18" customHeight="1" x14ac:dyDescent="0.45">
      <c r="A147" s="4"/>
      <c r="B147" s="39" t="str">
        <f>IFERROR(VLOOKUP(A147,'Incident Intake'!$A:$B,2,FALSE()),"")</f>
        <v/>
      </c>
      <c r="C147" s="10" t="str">
        <f>IFERROR(VLOOKUP(A147,'Incident Intake'!$A:$E,5,FALSE()),"")</f>
        <v/>
      </c>
      <c r="D147" s="10" t="str">
        <f>IFERROR(VLOOKUP(A147,'Incident Intake'!$A:$G,7,FALSE())&amp;" "&amp;VLOOKUP(A147,'Incident Intake'!$A:$F,6,FALSE()),"")</f>
        <v/>
      </c>
      <c r="E147" s="10" t="str">
        <f>IFERROR(VLOOKUP(A147,'Incident Intake'!$A:$J,10,FALSE()),"")</f>
        <v/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10" t="str">
        <f t="shared" si="16"/>
        <v/>
      </c>
      <c r="AC147" s="11" t="str">
        <f t="shared" ca="1" si="17"/>
        <v/>
      </c>
      <c r="AD147" s="10" t="str">
        <f t="shared" si="18"/>
        <v/>
      </c>
      <c r="AE147" s="4"/>
      <c r="AF147" s="4"/>
      <c r="AG147" s="4"/>
      <c r="AH147" s="4"/>
      <c r="AI147" s="4"/>
      <c r="AJ147" s="4"/>
      <c r="AK147" s="39" t="str">
        <f t="shared" si="19"/>
        <v/>
      </c>
      <c r="AL147" s="4"/>
      <c r="AM147" s="4"/>
    </row>
    <row r="148" spans="1:39" ht="18" customHeight="1" x14ac:dyDescent="0.45">
      <c r="A148" s="6"/>
      <c r="B148" s="39" t="str">
        <f>IFERROR(VLOOKUP(A148,'Incident Intake'!$A:$B,2,FALSE()),"")</f>
        <v/>
      </c>
      <c r="C148" s="10" t="str">
        <f>IFERROR(VLOOKUP(A148,'Incident Intake'!$A:$E,5,FALSE()),"")</f>
        <v/>
      </c>
      <c r="D148" s="10" t="str">
        <f>IFERROR(VLOOKUP(A148,'Incident Intake'!$A:$G,7,FALSE())&amp;" "&amp;VLOOKUP(A148,'Incident Intake'!$A:$F,6,FALSE()),"")</f>
        <v/>
      </c>
      <c r="E148" s="10" t="str">
        <f>IFERROR(VLOOKUP(A148,'Incident Intake'!$A:$J,10,FALSE()),"")</f>
        <v/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10" t="str">
        <f t="shared" si="16"/>
        <v/>
      </c>
      <c r="AC148" s="11" t="str">
        <f t="shared" ca="1" si="17"/>
        <v/>
      </c>
      <c r="AD148" s="10" t="str">
        <f t="shared" si="18"/>
        <v/>
      </c>
      <c r="AE148" s="6"/>
      <c r="AF148" s="6"/>
      <c r="AG148" s="6"/>
      <c r="AH148" s="6"/>
      <c r="AI148" s="6"/>
      <c r="AJ148" s="6"/>
      <c r="AK148" s="39" t="str">
        <f t="shared" si="19"/>
        <v/>
      </c>
      <c r="AL148" s="6"/>
      <c r="AM148" s="6"/>
    </row>
    <row r="149" spans="1:39" ht="18" customHeight="1" x14ac:dyDescent="0.45">
      <c r="A149" s="4"/>
      <c r="B149" s="39" t="str">
        <f>IFERROR(VLOOKUP(A149,'Incident Intake'!$A:$B,2,FALSE()),"")</f>
        <v/>
      </c>
      <c r="C149" s="10" t="str">
        <f>IFERROR(VLOOKUP(A149,'Incident Intake'!$A:$E,5,FALSE()),"")</f>
        <v/>
      </c>
      <c r="D149" s="10" t="str">
        <f>IFERROR(VLOOKUP(A149,'Incident Intake'!$A:$G,7,FALSE())&amp;" "&amp;VLOOKUP(A149,'Incident Intake'!$A:$F,6,FALSE()),"")</f>
        <v/>
      </c>
      <c r="E149" s="10" t="str">
        <f>IFERROR(VLOOKUP(A149,'Incident Intake'!$A:$J,10,FALSE()),"")</f>
        <v/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10" t="str">
        <f t="shared" si="16"/>
        <v/>
      </c>
      <c r="AC149" s="11" t="str">
        <f t="shared" ca="1" si="17"/>
        <v/>
      </c>
      <c r="AD149" s="10" t="str">
        <f t="shared" si="18"/>
        <v/>
      </c>
      <c r="AE149" s="4"/>
      <c r="AF149" s="4"/>
      <c r="AG149" s="4"/>
      <c r="AH149" s="4"/>
      <c r="AI149" s="4"/>
      <c r="AJ149" s="4"/>
      <c r="AK149" s="39" t="str">
        <f t="shared" si="19"/>
        <v/>
      </c>
      <c r="AL149" s="4"/>
      <c r="AM149" s="4"/>
    </row>
    <row r="150" spans="1:39" ht="18" customHeight="1" x14ac:dyDescent="0.45">
      <c r="A150" s="6"/>
      <c r="B150" s="39" t="str">
        <f>IFERROR(VLOOKUP(A150,'Incident Intake'!$A:$B,2,FALSE()),"")</f>
        <v/>
      </c>
      <c r="C150" s="10" t="str">
        <f>IFERROR(VLOOKUP(A150,'Incident Intake'!$A:$E,5,FALSE()),"")</f>
        <v/>
      </c>
      <c r="D150" s="10" t="str">
        <f>IFERROR(VLOOKUP(A150,'Incident Intake'!$A:$G,7,FALSE())&amp;" "&amp;VLOOKUP(A150,'Incident Intake'!$A:$F,6,FALSE()),"")</f>
        <v/>
      </c>
      <c r="E150" s="10" t="str">
        <f>IFERROR(VLOOKUP(A150,'Incident Intake'!$A:$J,10,FALSE()),"")</f>
        <v/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10" t="str">
        <f t="shared" si="16"/>
        <v/>
      </c>
      <c r="AC150" s="11" t="str">
        <f t="shared" ca="1" si="17"/>
        <v/>
      </c>
      <c r="AD150" s="10" t="str">
        <f t="shared" si="18"/>
        <v/>
      </c>
      <c r="AE150" s="6"/>
      <c r="AF150" s="6"/>
      <c r="AG150" s="6"/>
      <c r="AH150" s="6"/>
      <c r="AI150" s="6"/>
      <c r="AJ150" s="6"/>
      <c r="AK150" s="39" t="str">
        <f t="shared" si="19"/>
        <v/>
      </c>
      <c r="AL150" s="6"/>
      <c r="AM150" s="6"/>
    </row>
    <row r="151" spans="1:39" ht="18" customHeight="1" x14ac:dyDescent="0.45">
      <c r="A151" s="4"/>
      <c r="B151" s="39" t="str">
        <f>IFERROR(VLOOKUP(A151,'Incident Intake'!$A:$B,2,FALSE()),"")</f>
        <v/>
      </c>
      <c r="C151" s="10" t="str">
        <f>IFERROR(VLOOKUP(A151,'Incident Intake'!$A:$E,5,FALSE()),"")</f>
        <v/>
      </c>
      <c r="D151" s="10" t="str">
        <f>IFERROR(VLOOKUP(A151,'Incident Intake'!$A:$G,7,FALSE())&amp;" "&amp;VLOOKUP(A151,'Incident Intake'!$A:$F,6,FALSE()),"")</f>
        <v/>
      </c>
      <c r="E151" s="10" t="str">
        <f>IFERROR(VLOOKUP(A151,'Incident Intake'!$A:$J,10,FALSE()),"")</f>
        <v/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10" t="str">
        <f t="shared" si="16"/>
        <v/>
      </c>
      <c r="AC151" s="11" t="str">
        <f t="shared" ca="1" si="17"/>
        <v/>
      </c>
      <c r="AD151" s="10" t="str">
        <f t="shared" si="18"/>
        <v/>
      </c>
      <c r="AE151" s="4"/>
      <c r="AF151" s="4"/>
      <c r="AG151" s="4"/>
      <c r="AH151" s="4"/>
      <c r="AI151" s="4"/>
      <c r="AJ151" s="4"/>
      <c r="AK151" s="39" t="str">
        <f t="shared" si="19"/>
        <v/>
      </c>
      <c r="AL151" s="4"/>
      <c r="AM151" s="4"/>
    </row>
    <row r="152" spans="1:39" ht="18" customHeight="1" x14ac:dyDescent="0.45">
      <c r="A152" s="6"/>
      <c r="B152" s="39" t="str">
        <f>IFERROR(VLOOKUP(A152,'Incident Intake'!$A:$B,2,FALSE()),"")</f>
        <v/>
      </c>
      <c r="C152" s="10" t="str">
        <f>IFERROR(VLOOKUP(A152,'Incident Intake'!$A:$E,5,FALSE()),"")</f>
        <v/>
      </c>
      <c r="D152" s="10" t="str">
        <f>IFERROR(VLOOKUP(A152,'Incident Intake'!$A:$G,7,FALSE())&amp;" "&amp;VLOOKUP(A152,'Incident Intake'!$A:$F,6,FALSE()),"")</f>
        <v/>
      </c>
      <c r="E152" s="10" t="str">
        <f>IFERROR(VLOOKUP(A152,'Incident Intake'!$A:$J,10,FALSE()),"")</f>
        <v/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10" t="str">
        <f t="shared" si="16"/>
        <v/>
      </c>
      <c r="AC152" s="11" t="str">
        <f t="shared" ca="1" si="17"/>
        <v/>
      </c>
      <c r="AD152" s="10" t="str">
        <f t="shared" si="18"/>
        <v/>
      </c>
      <c r="AE152" s="6"/>
      <c r="AF152" s="6"/>
      <c r="AG152" s="6"/>
      <c r="AH152" s="6"/>
      <c r="AI152" s="6"/>
      <c r="AJ152" s="6"/>
      <c r="AK152" s="39" t="str">
        <f t="shared" si="19"/>
        <v/>
      </c>
      <c r="AL152" s="6"/>
      <c r="AM152" s="6"/>
    </row>
    <row r="153" spans="1:39" ht="18" customHeight="1" x14ac:dyDescent="0.45">
      <c r="A153" s="4"/>
      <c r="B153" s="39" t="str">
        <f>IFERROR(VLOOKUP(A153,'Incident Intake'!$A:$B,2,FALSE()),"")</f>
        <v/>
      </c>
      <c r="C153" s="10" t="str">
        <f>IFERROR(VLOOKUP(A153,'Incident Intake'!$A:$E,5,FALSE()),"")</f>
        <v/>
      </c>
      <c r="D153" s="10" t="str">
        <f>IFERROR(VLOOKUP(A153,'Incident Intake'!$A:$G,7,FALSE())&amp;" "&amp;VLOOKUP(A153,'Incident Intake'!$A:$F,6,FALSE()),"")</f>
        <v/>
      </c>
      <c r="E153" s="10" t="str">
        <f>IFERROR(VLOOKUP(A153,'Incident Intake'!$A:$J,10,FALSE()),"")</f>
        <v/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10" t="str">
        <f t="shared" si="16"/>
        <v/>
      </c>
      <c r="AC153" s="11" t="str">
        <f t="shared" ca="1" si="17"/>
        <v/>
      </c>
      <c r="AD153" s="10" t="str">
        <f t="shared" si="18"/>
        <v/>
      </c>
      <c r="AE153" s="4"/>
      <c r="AF153" s="4"/>
      <c r="AG153" s="4"/>
      <c r="AH153" s="4"/>
      <c r="AI153" s="4"/>
      <c r="AJ153" s="4"/>
      <c r="AK153" s="39" t="str">
        <f t="shared" si="19"/>
        <v/>
      </c>
      <c r="AL153" s="4"/>
      <c r="AM153" s="4"/>
    </row>
    <row r="154" spans="1:39" ht="18" customHeight="1" x14ac:dyDescent="0.45">
      <c r="A154" s="6"/>
      <c r="B154" s="39" t="str">
        <f>IFERROR(VLOOKUP(A154,'Incident Intake'!$A:$B,2,FALSE()),"")</f>
        <v/>
      </c>
      <c r="C154" s="10" t="str">
        <f>IFERROR(VLOOKUP(A154,'Incident Intake'!$A:$E,5,FALSE()),"")</f>
        <v/>
      </c>
      <c r="D154" s="10" t="str">
        <f>IFERROR(VLOOKUP(A154,'Incident Intake'!$A:$G,7,FALSE())&amp;" "&amp;VLOOKUP(A154,'Incident Intake'!$A:$F,6,FALSE()),"")</f>
        <v/>
      </c>
      <c r="E154" s="10" t="str">
        <f>IFERROR(VLOOKUP(A154,'Incident Intake'!$A:$J,10,FALSE()),"")</f>
        <v/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10" t="str">
        <f t="shared" si="16"/>
        <v/>
      </c>
      <c r="AC154" s="11" t="str">
        <f t="shared" ca="1" si="17"/>
        <v/>
      </c>
      <c r="AD154" s="10" t="str">
        <f t="shared" si="18"/>
        <v/>
      </c>
      <c r="AE154" s="6"/>
      <c r="AF154" s="6"/>
      <c r="AG154" s="6"/>
      <c r="AH154" s="6"/>
      <c r="AI154" s="6"/>
      <c r="AJ154" s="6"/>
      <c r="AK154" s="39" t="str">
        <f t="shared" si="19"/>
        <v/>
      </c>
      <c r="AL154" s="6"/>
      <c r="AM154" s="6"/>
    </row>
    <row r="155" spans="1:39" ht="18" customHeight="1" x14ac:dyDescent="0.45">
      <c r="A155" s="4"/>
      <c r="B155" s="39" t="str">
        <f>IFERROR(VLOOKUP(A155,'Incident Intake'!$A:$B,2,FALSE()),"")</f>
        <v/>
      </c>
      <c r="C155" s="10" t="str">
        <f>IFERROR(VLOOKUP(A155,'Incident Intake'!$A:$E,5,FALSE()),"")</f>
        <v/>
      </c>
      <c r="D155" s="10" t="str">
        <f>IFERROR(VLOOKUP(A155,'Incident Intake'!$A:$G,7,FALSE())&amp;" "&amp;VLOOKUP(A155,'Incident Intake'!$A:$F,6,FALSE()),"")</f>
        <v/>
      </c>
      <c r="E155" s="10" t="str">
        <f>IFERROR(VLOOKUP(A155,'Incident Intake'!$A:$J,10,FALSE()),"")</f>
        <v/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10" t="str">
        <f t="shared" si="16"/>
        <v/>
      </c>
      <c r="AC155" s="11" t="str">
        <f t="shared" ca="1" si="17"/>
        <v/>
      </c>
      <c r="AD155" s="10" t="str">
        <f t="shared" si="18"/>
        <v/>
      </c>
      <c r="AE155" s="4"/>
      <c r="AF155" s="4"/>
      <c r="AG155" s="4"/>
      <c r="AH155" s="4"/>
      <c r="AI155" s="4"/>
      <c r="AJ155" s="4"/>
      <c r="AK155" s="39" t="str">
        <f t="shared" si="19"/>
        <v/>
      </c>
      <c r="AL155" s="4"/>
      <c r="AM155" s="4"/>
    </row>
    <row r="156" spans="1:39" ht="18" customHeight="1" x14ac:dyDescent="0.45">
      <c r="A156" s="6"/>
      <c r="B156" s="39" t="str">
        <f>IFERROR(VLOOKUP(A156,'Incident Intake'!$A:$B,2,FALSE()),"")</f>
        <v/>
      </c>
      <c r="C156" s="10" t="str">
        <f>IFERROR(VLOOKUP(A156,'Incident Intake'!$A:$E,5,FALSE()),"")</f>
        <v/>
      </c>
      <c r="D156" s="10" t="str">
        <f>IFERROR(VLOOKUP(A156,'Incident Intake'!$A:$G,7,FALSE())&amp;" "&amp;VLOOKUP(A156,'Incident Intake'!$A:$F,6,FALSE()),"")</f>
        <v/>
      </c>
      <c r="E156" s="10" t="str">
        <f>IFERROR(VLOOKUP(A156,'Incident Intake'!$A:$J,10,FALSE()),"")</f>
        <v/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10" t="str">
        <f t="shared" si="16"/>
        <v/>
      </c>
      <c r="AC156" s="11" t="str">
        <f t="shared" ca="1" si="17"/>
        <v/>
      </c>
      <c r="AD156" s="10" t="str">
        <f t="shared" si="18"/>
        <v/>
      </c>
      <c r="AE156" s="6"/>
      <c r="AF156" s="6"/>
      <c r="AG156" s="6"/>
      <c r="AH156" s="6"/>
      <c r="AI156" s="6"/>
      <c r="AJ156" s="6"/>
      <c r="AK156" s="39" t="str">
        <f t="shared" si="19"/>
        <v/>
      </c>
      <c r="AL156" s="6"/>
      <c r="AM156" s="6"/>
    </row>
    <row r="157" spans="1:39" ht="18" customHeight="1" x14ac:dyDescent="0.45">
      <c r="A157" s="4"/>
      <c r="B157" s="39" t="str">
        <f>IFERROR(VLOOKUP(A157,'Incident Intake'!$A:$B,2,FALSE()),"")</f>
        <v/>
      </c>
      <c r="C157" s="10" t="str">
        <f>IFERROR(VLOOKUP(A157,'Incident Intake'!$A:$E,5,FALSE()),"")</f>
        <v/>
      </c>
      <c r="D157" s="10" t="str">
        <f>IFERROR(VLOOKUP(A157,'Incident Intake'!$A:$G,7,FALSE())&amp;" "&amp;VLOOKUP(A157,'Incident Intake'!$A:$F,6,FALSE()),"")</f>
        <v/>
      </c>
      <c r="E157" s="10" t="str">
        <f>IFERROR(VLOOKUP(A157,'Incident Intake'!$A:$J,10,FALSE()),"")</f>
        <v/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10" t="str">
        <f t="shared" si="16"/>
        <v/>
      </c>
      <c r="AC157" s="11" t="str">
        <f t="shared" ca="1" si="17"/>
        <v/>
      </c>
      <c r="AD157" s="10" t="str">
        <f t="shared" si="18"/>
        <v/>
      </c>
      <c r="AE157" s="4"/>
      <c r="AF157" s="4"/>
      <c r="AG157" s="4"/>
      <c r="AH157" s="4"/>
      <c r="AI157" s="4"/>
      <c r="AJ157" s="4"/>
      <c r="AK157" s="39" t="str">
        <f t="shared" si="19"/>
        <v/>
      </c>
      <c r="AL157" s="4"/>
      <c r="AM157" s="4"/>
    </row>
    <row r="158" spans="1:39" ht="18" customHeight="1" x14ac:dyDescent="0.45">
      <c r="A158" s="6"/>
      <c r="B158" s="39" t="str">
        <f>IFERROR(VLOOKUP(A158,'Incident Intake'!$A:$B,2,FALSE()),"")</f>
        <v/>
      </c>
      <c r="C158" s="10" t="str">
        <f>IFERROR(VLOOKUP(A158,'Incident Intake'!$A:$E,5,FALSE()),"")</f>
        <v/>
      </c>
      <c r="D158" s="10" t="str">
        <f>IFERROR(VLOOKUP(A158,'Incident Intake'!$A:$G,7,FALSE())&amp;" "&amp;VLOOKUP(A158,'Incident Intake'!$A:$F,6,FALSE()),"")</f>
        <v/>
      </c>
      <c r="E158" s="10" t="str">
        <f>IFERROR(VLOOKUP(A158,'Incident Intake'!$A:$J,10,FALSE()),"")</f>
        <v/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10" t="str">
        <f t="shared" si="16"/>
        <v/>
      </c>
      <c r="AC158" s="11" t="str">
        <f t="shared" ca="1" si="17"/>
        <v/>
      </c>
      <c r="AD158" s="10" t="str">
        <f t="shared" si="18"/>
        <v/>
      </c>
      <c r="AE158" s="6"/>
      <c r="AF158" s="6"/>
      <c r="AG158" s="6"/>
      <c r="AH158" s="6"/>
      <c r="AI158" s="6"/>
      <c r="AJ158" s="6"/>
      <c r="AK158" s="39" t="str">
        <f t="shared" si="19"/>
        <v/>
      </c>
      <c r="AL158" s="6"/>
      <c r="AM158" s="6"/>
    </row>
    <row r="159" spans="1:39" ht="18" customHeight="1" x14ac:dyDescent="0.45">
      <c r="A159" s="4"/>
      <c r="B159" s="39" t="str">
        <f>IFERROR(VLOOKUP(A159,'Incident Intake'!$A:$B,2,FALSE()),"")</f>
        <v/>
      </c>
      <c r="C159" s="10" t="str">
        <f>IFERROR(VLOOKUP(A159,'Incident Intake'!$A:$E,5,FALSE()),"")</f>
        <v/>
      </c>
      <c r="D159" s="10" t="str">
        <f>IFERROR(VLOOKUP(A159,'Incident Intake'!$A:$G,7,FALSE())&amp;" "&amp;VLOOKUP(A159,'Incident Intake'!$A:$F,6,FALSE()),"")</f>
        <v/>
      </c>
      <c r="E159" s="10" t="str">
        <f>IFERROR(VLOOKUP(A159,'Incident Intake'!$A:$J,10,FALSE()),"")</f>
        <v/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10" t="str">
        <f t="shared" si="16"/>
        <v/>
      </c>
      <c r="AC159" s="11" t="str">
        <f t="shared" ca="1" si="17"/>
        <v/>
      </c>
      <c r="AD159" s="10" t="str">
        <f t="shared" si="18"/>
        <v/>
      </c>
      <c r="AE159" s="4"/>
      <c r="AF159" s="4"/>
      <c r="AG159" s="4"/>
      <c r="AH159" s="4"/>
      <c r="AI159" s="4"/>
      <c r="AJ159" s="4"/>
      <c r="AK159" s="39" t="str">
        <f t="shared" si="19"/>
        <v/>
      </c>
      <c r="AL159" s="4"/>
      <c r="AM159" s="4"/>
    </row>
    <row r="160" spans="1:39" ht="18" customHeight="1" x14ac:dyDescent="0.45">
      <c r="A160" s="6"/>
      <c r="B160" s="39" t="str">
        <f>IFERROR(VLOOKUP(A160,'Incident Intake'!$A:$B,2,FALSE()),"")</f>
        <v/>
      </c>
      <c r="C160" s="10" t="str">
        <f>IFERROR(VLOOKUP(A160,'Incident Intake'!$A:$E,5,FALSE()),"")</f>
        <v/>
      </c>
      <c r="D160" s="10" t="str">
        <f>IFERROR(VLOOKUP(A160,'Incident Intake'!$A:$G,7,FALSE())&amp;" "&amp;VLOOKUP(A160,'Incident Intake'!$A:$F,6,FALSE()),"")</f>
        <v/>
      </c>
      <c r="E160" s="10" t="str">
        <f>IFERROR(VLOOKUP(A160,'Incident Intake'!$A:$J,10,FALSE()),"")</f>
        <v/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10" t="str">
        <f t="shared" si="16"/>
        <v/>
      </c>
      <c r="AC160" s="11" t="str">
        <f t="shared" ca="1" si="17"/>
        <v/>
      </c>
      <c r="AD160" s="10" t="str">
        <f t="shared" si="18"/>
        <v/>
      </c>
      <c r="AE160" s="6"/>
      <c r="AF160" s="6"/>
      <c r="AG160" s="6"/>
      <c r="AH160" s="6"/>
      <c r="AI160" s="6"/>
      <c r="AJ160" s="6"/>
      <c r="AK160" s="39" t="str">
        <f t="shared" si="19"/>
        <v/>
      </c>
      <c r="AL160" s="6"/>
      <c r="AM160" s="6"/>
    </row>
    <row r="161" spans="1:39" ht="18" customHeight="1" x14ac:dyDescent="0.45">
      <c r="A161" s="4"/>
      <c r="B161" s="39" t="str">
        <f>IFERROR(VLOOKUP(A161,'Incident Intake'!$A:$B,2,FALSE()),"")</f>
        <v/>
      </c>
      <c r="C161" s="10" t="str">
        <f>IFERROR(VLOOKUP(A161,'Incident Intake'!$A:$E,5,FALSE()),"")</f>
        <v/>
      </c>
      <c r="D161" s="10" t="str">
        <f>IFERROR(VLOOKUP(A161,'Incident Intake'!$A:$G,7,FALSE())&amp;" "&amp;VLOOKUP(A161,'Incident Intake'!$A:$F,6,FALSE()),"")</f>
        <v/>
      </c>
      <c r="E161" s="10" t="str">
        <f>IFERROR(VLOOKUP(A161,'Incident Intake'!$A:$J,10,FALSE()),"")</f>
        <v/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10" t="str">
        <f t="shared" si="16"/>
        <v/>
      </c>
      <c r="AC161" s="11" t="str">
        <f t="shared" ca="1" si="17"/>
        <v/>
      </c>
      <c r="AD161" s="10" t="str">
        <f t="shared" si="18"/>
        <v/>
      </c>
      <c r="AE161" s="4"/>
      <c r="AF161" s="4"/>
      <c r="AG161" s="4"/>
      <c r="AH161" s="4"/>
      <c r="AI161" s="4"/>
      <c r="AJ161" s="4"/>
      <c r="AK161" s="39" t="str">
        <f t="shared" si="19"/>
        <v/>
      </c>
      <c r="AL161" s="4"/>
      <c r="AM161" s="4"/>
    </row>
    <row r="162" spans="1:39" ht="18" customHeight="1" x14ac:dyDescent="0.45">
      <c r="A162" s="6"/>
      <c r="B162" s="39" t="str">
        <f>IFERROR(VLOOKUP(A162,'Incident Intake'!$A:$B,2,FALSE()),"")</f>
        <v/>
      </c>
      <c r="C162" s="10" t="str">
        <f>IFERROR(VLOOKUP(A162,'Incident Intake'!$A:$E,5,FALSE()),"")</f>
        <v/>
      </c>
      <c r="D162" s="10" t="str">
        <f>IFERROR(VLOOKUP(A162,'Incident Intake'!$A:$G,7,FALSE())&amp;" "&amp;VLOOKUP(A162,'Incident Intake'!$A:$F,6,FALSE()),"")</f>
        <v/>
      </c>
      <c r="E162" s="10" t="str">
        <f>IFERROR(VLOOKUP(A162,'Incident Intake'!$A:$J,10,FALSE()),"")</f>
        <v/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10" t="str">
        <f t="shared" si="16"/>
        <v/>
      </c>
      <c r="AC162" s="11" t="str">
        <f t="shared" ca="1" si="17"/>
        <v/>
      </c>
      <c r="AD162" s="10" t="str">
        <f t="shared" si="18"/>
        <v/>
      </c>
      <c r="AE162" s="6"/>
      <c r="AF162" s="6"/>
      <c r="AG162" s="6"/>
      <c r="AH162" s="6"/>
      <c r="AI162" s="6"/>
      <c r="AJ162" s="6"/>
      <c r="AK162" s="39" t="str">
        <f t="shared" si="19"/>
        <v/>
      </c>
      <c r="AL162" s="6"/>
      <c r="AM162" s="6"/>
    </row>
    <row r="163" spans="1:39" ht="18" customHeight="1" x14ac:dyDescent="0.45">
      <c r="A163" s="4"/>
      <c r="B163" s="39" t="str">
        <f>IFERROR(VLOOKUP(A163,'Incident Intake'!$A:$B,2,FALSE()),"")</f>
        <v/>
      </c>
      <c r="C163" s="10" t="str">
        <f>IFERROR(VLOOKUP(A163,'Incident Intake'!$A:$E,5,FALSE()),"")</f>
        <v/>
      </c>
      <c r="D163" s="10" t="str">
        <f>IFERROR(VLOOKUP(A163,'Incident Intake'!$A:$G,7,FALSE())&amp;" "&amp;VLOOKUP(A163,'Incident Intake'!$A:$F,6,FALSE()),"")</f>
        <v/>
      </c>
      <c r="E163" s="10" t="str">
        <f>IFERROR(VLOOKUP(A163,'Incident Intake'!$A:$J,10,FALSE()),"")</f>
        <v/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10" t="str">
        <f t="shared" si="16"/>
        <v/>
      </c>
      <c r="AC163" s="11" t="str">
        <f t="shared" ca="1" si="17"/>
        <v/>
      </c>
      <c r="AD163" s="10" t="str">
        <f t="shared" si="18"/>
        <v/>
      </c>
      <c r="AE163" s="4"/>
      <c r="AF163" s="4"/>
      <c r="AG163" s="4"/>
      <c r="AH163" s="4"/>
      <c r="AI163" s="4"/>
      <c r="AJ163" s="4"/>
      <c r="AK163" s="39" t="str">
        <f t="shared" si="19"/>
        <v/>
      </c>
      <c r="AL163" s="4"/>
      <c r="AM163" s="4"/>
    </row>
    <row r="164" spans="1:39" ht="18" customHeight="1" x14ac:dyDescent="0.45">
      <c r="A164" s="6"/>
      <c r="B164" s="39" t="str">
        <f>IFERROR(VLOOKUP(A164,'Incident Intake'!$A:$B,2,FALSE()),"")</f>
        <v/>
      </c>
      <c r="C164" s="10" t="str">
        <f>IFERROR(VLOOKUP(A164,'Incident Intake'!$A:$E,5,FALSE()),"")</f>
        <v/>
      </c>
      <c r="D164" s="10" t="str">
        <f>IFERROR(VLOOKUP(A164,'Incident Intake'!$A:$G,7,FALSE())&amp;" "&amp;VLOOKUP(A164,'Incident Intake'!$A:$F,6,FALSE()),"")</f>
        <v/>
      </c>
      <c r="E164" s="10" t="str">
        <f>IFERROR(VLOOKUP(A164,'Incident Intake'!$A:$J,10,FALSE()),"")</f>
        <v/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10" t="str">
        <f t="shared" si="16"/>
        <v/>
      </c>
      <c r="AC164" s="11" t="str">
        <f t="shared" ca="1" si="17"/>
        <v/>
      </c>
      <c r="AD164" s="10" t="str">
        <f t="shared" si="18"/>
        <v/>
      </c>
      <c r="AE164" s="6"/>
      <c r="AF164" s="6"/>
      <c r="AG164" s="6"/>
      <c r="AH164" s="6"/>
      <c r="AI164" s="6"/>
      <c r="AJ164" s="6"/>
      <c r="AK164" s="39" t="str">
        <f t="shared" si="19"/>
        <v/>
      </c>
      <c r="AL164" s="6"/>
      <c r="AM164" s="6"/>
    </row>
    <row r="165" spans="1:39" ht="18" customHeight="1" x14ac:dyDescent="0.45">
      <c r="A165" s="4"/>
      <c r="B165" s="39" t="str">
        <f>IFERROR(VLOOKUP(A165,'Incident Intake'!$A:$B,2,FALSE()),"")</f>
        <v/>
      </c>
      <c r="C165" s="10" t="str">
        <f>IFERROR(VLOOKUP(A165,'Incident Intake'!$A:$E,5,FALSE()),"")</f>
        <v/>
      </c>
      <c r="D165" s="10" t="str">
        <f>IFERROR(VLOOKUP(A165,'Incident Intake'!$A:$G,7,FALSE())&amp;" "&amp;VLOOKUP(A165,'Incident Intake'!$A:$F,6,FALSE()),"")</f>
        <v/>
      </c>
      <c r="E165" s="10" t="str">
        <f>IFERROR(VLOOKUP(A165,'Incident Intake'!$A:$J,10,FALSE()),"")</f>
        <v/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10" t="str">
        <f t="shared" si="16"/>
        <v/>
      </c>
      <c r="AC165" s="11" t="str">
        <f t="shared" ca="1" si="17"/>
        <v/>
      </c>
      <c r="AD165" s="10" t="str">
        <f t="shared" si="18"/>
        <v/>
      </c>
      <c r="AE165" s="4"/>
      <c r="AF165" s="4"/>
      <c r="AG165" s="4"/>
      <c r="AH165" s="4"/>
      <c r="AI165" s="4"/>
      <c r="AJ165" s="4"/>
      <c r="AK165" s="39" t="str">
        <f t="shared" si="19"/>
        <v/>
      </c>
      <c r="AL165" s="4"/>
      <c r="AM165" s="4"/>
    </row>
    <row r="166" spans="1:39" ht="18" customHeight="1" x14ac:dyDescent="0.45">
      <c r="A166" s="6"/>
      <c r="B166" s="39" t="str">
        <f>IFERROR(VLOOKUP(A166,'Incident Intake'!$A:$B,2,FALSE()),"")</f>
        <v/>
      </c>
      <c r="C166" s="10" t="str">
        <f>IFERROR(VLOOKUP(A166,'Incident Intake'!$A:$E,5,FALSE()),"")</f>
        <v/>
      </c>
      <c r="D166" s="10" t="str">
        <f>IFERROR(VLOOKUP(A166,'Incident Intake'!$A:$G,7,FALSE())&amp;" "&amp;VLOOKUP(A166,'Incident Intake'!$A:$F,6,FALSE()),"")</f>
        <v/>
      </c>
      <c r="E166" s="10" t="str">
        <f>IFERROR(VLOOKUP(A166,'Incident Intake'!$A:$J,10,FALSE()),"")</f>
        <v/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10" t="str">
        <f t="shared" ref="AB166:AB197" si="20">IF(A166="","",IF(AB166="Yes","Closed",IF(T166="Yes","Consequence Assigned",IF(O166="Yes","Finding Reached",IF(F166="Yes","In Progress","Open")))))</f>
        <v/>
      </c>
      <c r="AC166" s="11" t="str">
        <f t="shared" ref="AC166:AC197" ca="1" si="21">IF(OR(A166="",AB166="Yes"),"",IF(B166="","",TODAY()-B166))</f>
        <v/>
      </c>
      <c r="AD166" s="10" t="str">
        <f t="shared" ref="AD166:AD197" si="22">IF(A166="","",IF(AND(V166="Yes",X166="Yes",Y166="Yes",Z166="Yes",AA166="Yes"),"✅ ALL CHECKS COMPLETE — OK TO CLOSE","⚠ "&amp;(5-COUNTIF(V166:Z166,"Yes"))&amp;" CHECK(S) INCOMPLETE"))</f>
        <v/>
      </c>
      <c r="AE166" s="6"/>
      <c r="AF166" s="6"/>
      <c r="AG166" s="6"/>
      <c r="AH166" s="6"/>
      <c r="AI166" s="6"/>
      <c r="AJ166" s="6"/>
      <c r="AK166" s="39" t="str">
        <f t="shared" ref="AK166:AK197" si="23">IF(AI166="Yes",IF(AJ166="","",AJ166+21),"")</f>
        <v/>
      </c>
      <c r="AL166" s="6"/>
      <c r="AM166" s="6"/>
    </row>
    <row r="167" spans="1:39" ht="18" customHeight="1" x14ac:dyDescent="0.45">
      <c r="A167" s="4"/>
      <c r="B167" s="39" t="str">
        <f>IFERROR(VLOOKUP(A167,'Incident Intake'!$A:$B,2,FALSE()),"")</f>
        <v/>
      </c>
      <c r="C167" s="10" t="str">
        <f>IFERROR(VLOOKUP(A167,'Incident Intake'!$A:$E,5,FALSE()),"")</f>
        <v/>
      </c>
      <c r="D167" s="10" t="str">
        <f>IFERROR(VLOOKUP(A167,'Incident Intake'!$A:$G,7,FALSE())&amp;" "&amp;VLOOKUP(A167,'Incident Intake'!$A:$F,6,FALSE()),"")</f>
        <v/>
      </c>
      <c r="E167" s="10" t="str">
        <f>IFERROR(VLOOKUP(A167,'Incident Intake'!$A:$J,10,FALSE()),"")</f>
        <v/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10" t="str">
        <f t="shared" si="20"/>
        <v/>
      </c>
      <c r="AC167" s="11" t="str">
        <f t="shared" ca="1" si="21"/>
        <v/>
      </c>
      <c r="AD167" s="10" t="str">
        <f t="shared" si="22"/>
        <v/>
      </c>
      <c r="AE167" s="4"/>
      <c r="AF167" s="4"/>
      <c r="AG167" s="4"/>
      <c r="AH167" s="4"/>
      <c r="AI167" s="4"/>
      <c r="AJ167" s="4"/>
      <c r="AK167" s="39" t="str">
        <f t="shared" si="23"/>
        <v/>
      </c>
      <c r="AL167" s="4"/>
      <c r="AM167" s="4"/>
    </row>
    <row r="168" spans="1:39" ht="18" customHeight="1" x14ac:dyDescent="0.45">
      <c r="A168" s="6"/>
      <c r="B168" s="39" t="str">
        <f>IFERROR(VLOOKUP(A168,'Incident Intake'!$A:$B,2,FALSE()),"")</f>
        <v/>
      </c>
      <c r="C168" s="10" t="str">
        <f>IFERROR(VLOOKUP(A168,'Incident Intake'!$A:$E,5,FALSE()),"")</f>
        <v/>
      </c>
      <c r="D168" s="10" t="str">
        <f>IFERROR(VLOOKUP(A168,'Incident Intake'!$A:$G,7,FALSE())&amp;" "&amp;VLOOKUP(A168,'Incident Intake'!$A:$F,6,FALSE()),"")</f>
        <v/>
      </c>
      <c r="E168" s="10" t="str">
        <f>IFERROR(VLOOKUP(A168,'Incident Intake'!$A:$J,10,FALSE()),"")</f>
        <v/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10" t="str">
        <f t="shared" si="20"/>
        <v/>
      </c>
      <c r="AC168" s="11" t="str">
        <f t="shared" ca="1" si="21"/>
        <v/>
      </c>
      <c r="AD168" s="10" t="str">
        <f t="shared" si="22"/>
        <v/>
      </c>
      <c r="AE168" s="6"/>
      <c r="AF168" s="6"/>
      <c r="AG168" s="6"/>
      <c r="AH168" s="6"/>
      <c r="AI168" s="6"/>
      <c r="AJ168" s="6"/>
      <c r="AK168" s="39" t="str">
        <f t="shared" si="23"/>
        <v/>
      </c>
      <c r="AL168" s="6"/>
      <c r="AM168" s="6"/>
    </row>
    <row r="169" spans="1:39" ht="18" customHeight="1" x14ac:dyDescent="0.45">
      <c r="A169" s="4"/>
      <c r="B169" s="39" t="str">
        <f>IFERROR(VLOOKUP(A169,'Incident Intake'!$A:$B,2,FALSE()),"")</f>
        <v/>
      </c>
      <c r="C169" s="10" t="str">
        <f>IFERROR(VLOOKUP(A169,'Incident Intake'!$A:$E,5,FALSE()),"")</f>
        <v/>
      </c>
      <c r="D169" s="10" t="str">
        <f>IFERROR(VLOOKUP(A169,'Incident Intake'!$A:$G,7,FALSE())&amp;" "&amp;VLOOKUP(A169,'Incident Intake'!$A:$F,6,FALSE()),"")</f>
        <v/>
      </c>
      <c r="E169" s="10" t="str">
        <f>IFERROR(VLOOKUP(A169,'Incident Intake'!$A:$J,10,FALSE()),"")</f>
        <v/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10" t="str">
        <f t="shared" si="20"/>
        <v/>
      </c>
      <c r="AC169" s="11" t="str">
        <f t="shared" ca="1" si="21"/>
        <v/>
      </c>
      <c r="AD169" s="10" t="str">
        <f t="shared" si="22"/>
        <v/>
      </c>
      <c r="AE169" s="4"/>
      <c r="AF169" s="4"/>
      <c r="AG169" s="4"/>
      <c r="AH169" s="4"/>
      <c r="AI169" s="4"/>
      <c r="AJ169" s="4"/>
      <c r="AK169" s="39" t="str">
        <f t="shared" si="23"/>
        <v/>
      </c>
      <c r="AL169" s="4"/>
      <c r="AM169" s="4"/>
    </row>
    <row r="170" spans="1:39" ht="18" customHeight="1" x14ac:dyDescent="0.45">
      <c r="A170" s="6"/>
      <c r="B170" s="39" t="str">
        <f>IFERROR(VLOOKUP(A170,'Incident Intake'!$A:$B,2,FALSE()),"")</f>
        <v/>
      </c>
      <c r="C170" s="10" t="str">
        <f>IFERROR(VLOOKUP(A170,'Incident Intake'!$A:$E,5,FALSE()),"")</f>
        <v/>
      </c>
      <c r="D170" s="10" t="str">
        <f>IFERROR(VLOOKUP(A170,'Incident Intake'!$A:$G,7,FALSE())&amp;" "&amp;VLOOKUP(A170,'Incident Intake'!$A:$F,6,FALSE()),"")</f>
        <v/>
      </c>
      <c r="E170" s="10" t="str">
        <f>IFERROR(VLOOKUP(A170,'Incident Intake'!$A:$J,10,FALSE()),"")</f>
        <v/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10" t="str">
        <f t="shared" si="20"/>
        <v/>
      </c>
      <c r="AC170" s="11" t="str">
        <f t="shared" ca="1" si="21"/>
        <v/>
      </c>
      <c r="AD170" s="10" t="str">
        <f t="shared" si="22"/>
        <v/>
      </c>
      <c r="AE170" s="6"/>
      <c r="AF170" s="6"/>
      <c r="AG170" s="6"/>
      <c r="AH170" s="6"/>
      <c r="AI170" s="6"/>
      <c r="AJ170" s="6"/>
      <c r="AK170" s="39" t="str">
        <f t="shared" si="23"/>
        <v/>
      </c>
      <c r="AL170" s="6"/>
      <c r="AM170" s="6"/>
    </row>
    <row r="171" spans="1:39" ht="18" customHeight="1" x14ac:dyDescent="0.45">
      <c r="A171" s="4"/>
      <c r="B171" s="39" t="str">
        <f>IFERROR(VLOOKUP(A171,'Incident Intake'!$A:$B,2,FALSE()),"")</f>
        <v/>
      </c>
      <c r="C171" s="10" t="str">
        <f>IFERROR(VLOOKUP(A171,'Incident Intake'!$A:$E,5,FALSE()),"")</f>
        <v/>
      </c>
      <c r="D171" s="10" t="str">
        <f>IFERROR(VLOOKUP(A171,'Incident Intake'!$A:$G,7,FALSE())&amp;" "&amp;VLOOKUP(A171,'Incident Intake'!$A:$F,6,FALSE()),"")</f>
        <v/>
      </c>
      <c r="E171" s="10" t="str">
        <f>IFERROR(VLOOKUP(A171,'Incident Intake'!$A:$J,10,FALSE()),"")</f>
        <v/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10" t="str">
        <f t="shared" si="20"/>
        <v/>
      </c>
      <c r="AC171" s="11" t="str">
        <f t="shared" ca="1" si="21"/>
        <v/>
      </c>
      <c r="AD171" s="10" t="str">
        <f t="shared" si="22"/>
        <v/>
      </c>
      <c r="AE171" s="4"/>
      <c r="AF171" s="4"/>
      <c r="AG171" s="4"/>
      <c r="AH171" s="4"/>
      <c r="AI171" s="4"/>
      <c r="AJ171" s="4"/>
      <c r="AK171" s="39" t="str">
        <f t="shared" si="23"/>
        <v/>
      </c>
      <c r="AL171" s="4"/>
      <c r="AM171" s="4"/>
    </row>
    <row r="172" spans="1:39" ht="18" customHeight="1" x14ac:dyDescent="0.45">
      <c r="A172" s="6"/>
      <c r="B172" s="39" t="str">
        <f>IFERROR(VLOOKUP(A172,'Incident Intake'!$A:$B,2,FALSE()),"")</f>
        <v/>
      </c>
      <c r="C172" s="10" t="str">
        <f>IFERROR(VLOOKUP(A172,'Incident Intake'!$A:$E,5,FALSE()),"")</f>
        <v/>
      </c>
      <c r="D172" s="10" t="str">
        <f>IFERROR(VLOOKUP(A172,'Incident Intake'!$A:$G,7,FALSE())&amp;" "&amp;VLOOKUP(A172,'Incident Intake'!$A:$F,6,FALSE()),"")</f>
        <v/>
      </c>
      <c r="E172" s="10" t="str">
        <f>IFERROR(VLOOKUP(A172,'Incident Intake'!$A:$J,10,FALSE()),"")</f>
        <v/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10" t="str">
        <f t="shared" si="20"/>
        <v/>
      </c>
      <c r="AC172" s="11" t="str">
        <f t="shared" ca="1" si="21"/>
        <v/>
      </c>
      <c r="AD172" s="10" t="str">
        <f t="shared" si="22"/>
        <v/>
      </c>
      <c r="AE172" s="6"/>
      <c r="AF172" s="6"/>
      <c r="AG172" s="6"/>
      <c r="AH172" s="6"/>
      <c r="AI172" s="6"/>
      <c r="AJ172" s="6"/>
      <c r="AK172" s="39" t="str">
        <f t="shared" si="23"/>
        <v/>
      </c>
      <c r="AL172" s="6"/>
      <c r="AM172" s="6"/>
    </row>
    <row r="173" spans="1:39" ht="18" customHeight="1" x14ac:dyDescent="0.45">
      <c r="A173" s="4"/>
      <c r="B173" s="39" t="str">
        <f>IFERROR(VLOOKUP(A173,'Incident Intake'!$A:$B,2,FALSE()),"")</f>
        <v/>
      </c>
      <c r="C173" s="10" t="str">
        <f>IFERROR(VLOOKUP(A173,'Incident Intake'!$A:$E,5,FALSE()),"")</f>
        <v/>
      </c>
      <c r="D173" s="10" t="str">
        <f>IFERROR(VLOOKUP(A173,'Incident Intake'!$A:$G,7,FALSE())&amp;" "&amp;VLOOKUP(A173,'Incident Intake'!$A:$F,6,FALSE()),"")</f>
        <v/>
      </c>
      <c r="E173" s="10" t="str">
        <f>IFERROR(VLOOKUP(A173,'Incident Intake'!$A:$J,10,FALSE()),"")</f>
        <v/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10" t="str">
        <f t="shared" si="20"/>
        <v/>
      </c>
      <c r="AC173" s="11" t="str">
        <f t="shared" ca="1" si="21"/>
        <v/>
      </c>
      <c r="AD173" s="10" t="str">
        <f t="shared" si="22"/>
        <v/>
      </c>
      <c r="AE173" s="4"/>
      <c r="AF173" s="4"/>
      <c r="AG173" s="4"/>
      <c r="AH173" s="4"/>
      <c r="AI173" s="4"/>
      <c r="AJ173" s="4"/>
      <c r="AK173" s="39" t="str">
        <f t="shared" si="23"/>
        <v/>
      </c>
      <c r="AL173" s="4"/>
      <c r="AM173" s="4"/>
    </row>
    <row r="174" spans="1:39" ht="18" customHeight="1" x14ac:dyDescent="0.45">
      <c r="A174" s="6"/>
      <c r="B174" s="39" t="str">
        <f>IFERROR(VLOOKUP(A174,'Incident Intake'!$A:$B,2,FALSE()),"")</f>
        <v/>
      </c>
      <c r="C174" s="10" t="str">
        <f>IFERROR(VLOOKUP(A174,'Incident Intake'!$A:$E,5,FALSE()),"")</f>
        <v/>
      </c>
      <c r="D174" s="10" t="str">
        <f>IFERROR(VLOOKUP(A174,'Incident Intake'!$A:$G,7,FALSE())&amp;" "&amp;VLOOKUP(A174,'Incident Intake'!$A:$F,6,FALSE()),"")</f>
        <v/>
      </c>
      <c r="E174" s="10" t="str">
        <f>IFERROR(VLOOKUP(A174,'Incident Intake'!$A:$J,10,FALSE()),"")</f>
        <v/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10" t="str">
        <f t="shared" si="20"/>
        <v/>
      </c>
      <c r="AC174" s="11" t="str">
        <f t="shared" ca="1" si="21"/>
        <v/>
      </c>
      <c r="AD174" s="10" t="str">
        <f t="shared" si="22"/>
        <v/>
      </c>
      <c r="AE174" s="6"/>
      <c r="AF174" s="6"/>
      <c r="AG174" s="6"/>
      <c r="AH174" s="6"/>
      <c r="AI174" s="6"/>
      <c r="AJ174" s="6"/>
      <c r="AK174" s="39" t="str">
        <f t="shared" si="23"/>
        <v/>
      </c>
      <c r="AL174" s="6"/>
      <c r="AM174" s="6"/>
    </row>
    <row r="175" spans="1:39" ht="18" customHeight="1" x14ac:dyDescent="0.45">
      <c r="A175" s="4"/>
      <c r="B175" s="39" t="str">
        <f>IFERROR(VLOOKUP(A175,'Incident Intake'!$A:$B,2,FALSE()),"")</f>
        <v/>
      </c>
      <c r="C175" s="10" t="str">
        <f>IFERROR(VLOOKUP(A175,'Incident Intake'!$A:$E,5,FALSE()),"")</f>
        <v/>
      </c>
      <c r="D175" s="10" t="str">
        <f>IFERROR(VLOOKUP(A175,'Incident Intake'!$A:$G,7,FALSE())&amp;" "&amp;VLOOKUP(A175,'Incident Intake'!$A:$F,6,FALSE()),"")</f>
        <v/>
      </c>
      <c r="E175" s="10" t="str">
        <f>IFERROR(VLOOKUP(A175,'Incident Intake'!$A:$J,10,FALSE()),"")</f>
        <v/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10" t="str">
        <f t="shared" si="20"/>
        <v/>
      </c>
      <c r="AC175" s="11" t="str">
        <f t="shared" ca="1" si="21"/>
        <v/>
      </c>
      <c r="AD175" s="10" t="str">
        <f t="shared" si="22"/>
        <v/>
      </c>
      <c r="AE175" s="4"/>
      <c r="AF175" s="4"/>
      <c r="AG175" s="4"/>
      <c r="AH175" s="4"/>
      <c r="AI175" s="4"/>
      <c r="AJ175" s="4"/>
      <c r="AK175" s="39" t="str">
        <f t="shared" si="23"/>
        <v/>
      </c>
      <c r="AL175" s="4"/>
      <c r="AM175" s="4"/>
    </row>
    <row r="176" spans="1:39" ht="18" customHeight="1" x14ac:dyDescent="0.45">
      <c r="A176" s="6"/>
      <c r="B176" s="39" t="str">
        <f>IFERROR(VLOOKUP(A176,'Incident Intake'!$A:$B,2,FALSE()),"")</f>
        <v/>
      </c>
      <c r="C176" s="10" t="str">
        <f>IFERROR(VLOOKUP(A176,'Incident Intake'!$A:$E,5,FALSE()),"")</f>
        <v/>
      </c>
      <c r="D176" s="10" t="str">
        <f>IFERROR(VLOOKUP(A176,'Incident Intake'!$A:$G,7,FALSE())&amp;" "&amp;VLOOKUP(A176,'Incident Intake'!$A:$F,6,FALSE()),"")</f>
        <v/>
      </c>
      <c r="E176" s="10" t="str">
        <f>IFERROR(VLOOKUP(A176,'Incident Intake'!$A:$J,10,FALSE()),"")</f>
        <v/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10" t="str">
        <f t="shared" si="20"/>
        <v/>
      </c>
      <c r="AC176" s="11" t="str">
        <f t="shared" ca="1" si="21"/>
        <v/>
      </c>
      <c r="AD176" s="10" t="str">
        <f t="shared" si="22"/>
        <v/>
      </c>
      <c r="AE176" s="6"/>
      <c r="AF176" s="6"/>
      <c r="AG176" s="6"/>
      <c r="AH176" s="6"/>
      <c r="AI176" s="6"/>
      <c r="AJ176" s="6"/>
      <c r="AK176" s="39" t="str">
        <f t="shared" si="23"/>
        <v/>
      </c>
      <c r="AL176" s="6"/>
      <c r="AM176" s="6"/>
    </row>
    <row r="177" spans="1:39" ht="18" customHeight="1" x14ac:dyDescent="0.45">
      <c r="A177" s="4"/>
      <c r="B177" s="39" t="str">
        <f>IFERROR(VLOOKUP(A177,'Incident Intake'!$A:$B,2,FALSE()),"")</f>
        <v/>
      </c>
      <c r="C177" s="10" t="str">
        <f>IFERROR(VLOOKUP(A177,'Incident Intake'!$A:$E,5,FALSE()),"")</f>
        <v/>
      </c>
      <c r="D177" s="10" t="str">
        <f>IFERROR(VLOOKUP(A177,'Incident Intake'!$A:$G,7,FALSE())&amp;" "&amp;VLOOKUP(A177,'Incident Intake'!$A:$F,6,FALSE()),"")</f>
        <v/>
      </c>
      <c r="E177" s="10" t="str">
        <f>IFERROR(VLOOKUP(A177,'Incident Intake'!$A:$J,10,FALSE()),"")</f>
        <v/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10" t="str">
        <f t="shared" si="20"/>
        <v/>
      </c>
      <c r="AC177" s="11" t="str">
        <f t="shared" ca="1" si="21"/>
        <v/>
      </c>
      <c r="AD177" s="10" t="str">
        <f t="shared" si="22"/>
        <v/>
      </c>
      <c r="AE177" s="4"/>
      <c r="AF177" s="4"/>
      <c r="AG177" s="4"/>
      <c r="AH177" s="4"/>
      <c r="AI177" s="4"/>
      <c r="AJ177" s="4"/>
      <c r="AK177" s="39" t="str">
        <f t="shared" si="23"/>
        <v/>
      </c>
      <c r="AL177" s="4"/>
      <c r="AM177" s="4"/>
    </row>
    <row r="178" spans="1:39" ht="18" customHeight="1" x14ac:dyDescent="0.45">
      <c r="A178" s="6"/>
      <c r="B178" s="39" t="str">
        <f>IFERROR(VLOOKUP(A178,'Incident Intake'!$A:$B,2,FALSE()),"")</f>
        <v/>
      </c>
      <c r="C178" s="10" t="str">
        <f>IFERROR(VLOOKUP(A178,'Incident Intake'!$A:$E,5,FALSE()),"")</f>
        <v/>
      </c>
      <c r="D178" s="10" t="str">
        <f>IFERROR(VLOOKUP(A178,'Incident Intake'!$A:$G,7,FALSE())&amp;" "&amp;VLOOKUP(A178,'Incident Intake'!$A:$F,6,FALSE()),"")</f>
        <v/>
      </c>
      <c r="E178" s="10" t="str">
        <f>IFERROR(VLOOKUP(A178,'Incident Intake'!$A:$J,10,FALSE()),"")</f>
        <v/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10" t="str">
        <f t="shared" si="20"/>
        <v/>
      </c>
      <c r="AC178" s="11" t="str">
        <f t="shared" ca="1" si="21"/>
        <v/>
      </c>
      <c r="AD178" s="10" t="str">
        <f t="shared" si="22"/>
        <v/>
      </c>
      <c r="AE178" s="6"/>
      <c r="AF178" s="6"/>
      <c r="AG178" s="6"/>
      <c r="AH178" s="6"/>
      <c r="AI178" s="6"/>
      <c r="AJ178" s="6"/>
      <c r="AK178" s="39" t="str">
        <f t="shared" si="23"/>
        <v/>
      </c>
      <c r="AL178" s="6"/>
      <c r="AM178" s="6"/>
    </row>
    <row r="179" spans="1:39" ht="18" customHeight="1" x14ac:dyDescent="0.45">
      <c r="A179" s="4"/>
      <c r="B179" s="39" t="str">
        <f>IFERROR(VLOOKUP(A179,'Incident Intake'!$A:$B,2,FALSE()),"")</f>
        <v/>
      </c>
      <c r="C179" s="10" t="str">
        <f>IFERROR(VLOOKUP(A179,'Incident Intake'!$A:$E,5,FALSE()),"")</f>
        <v/>
      </c>
      <c r="D179" s="10" t="str">
        <f>IFERROR(VLOOKUP(A179,'Incident Intake'!$A:$G,7,FALSE())&amp;" "&amp;VLOOKUP(A179,'Incident Intake'!$A:$F,6,FALSE()),"")</f>
        <v/>
      </c>
      <c r="E179" s="10" t="str">
        <f>IFERROR(VLOOKUP(A179,'Incident Intake'!$A:$J,10,FALSE()),"")</f>
        <v/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10" t="str">
        <f t="shared" si="20"/>
        <v/>
      </c>
      <c r="AC179" s="11" t="str">
        <f t="shared" ca="1" si="21"/>
        <v/>
      </c>
      <c r="AD179" s="10" t="str">
        <f t="shared" si="22"/>
        <v/>
      </c>
      <c r="AE179" s="4"/>
      <c r="AF179" s="4"/>
      <c r="AG179" s="4"/>
      <c r="AH179" s="4"/>
      <c r="AI179" s="4"/>
      <c r="AJ179" s="4"/>
      <c r="AK179" s="39" t="str">
        <f t="shared" si="23"/>
        <v/>
      </c>
      <c r="AL179" s="4"/>
      <c r="AM179" s="4"/>
    </row>
    <row r="180" spans="1:39" ht="18" customHeight="1" x14ac:dyDescent="0.45">
      <c r="A180" s="6"/>
      <c r="B180" s="39" t="str">
        <f>IFERROR(VLOOKUP(A180,'Incident Intake'!$A:$B,2,FALSE()),"")</f>
        <v/>
      </c>
      <c r="C180" s="10" t="str">
        <f>IFERROR(VLOOKUP(A180,'Incident Intake'!$A:$E,5,FALSE()),"")</f>
        <v/>
      </c>
      <c r="D180" s="10" t="str">
        <f>IFERROR(VLOOKUP(A180,'Incident Intake'!$A:$G,7,FALSE())&amp;" "&amp;VLOOKUP(A180,'Incident Intake'!$A:$F,6,FALSE()),"")</f>
        <v/>
      </c>
      <c r="E180" s="10" t="str">
        <f>IFERROR(VLOOKUP(A180,'Incident Intake'!$A:$J,10,FALSE()),"")</f>
        <v/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10" t="str">
        <f t="shared" si="20"/>
        <v/>
      </c>
      <c r="AC180" s="11" t="str">
        <f t="shared" ca="1" si="21"/>
        <v/>
      </c>
      <c r="AD180" s="10" t="str">
        <f t="shared" si="22"/>
        <v/>
      </c>
      <c r="AE180" s="6"/>
      <c r="AF180" s="6"/>
      <c r="AG180" s="6"/>
      <c r="AH180" s="6"/>
      <c r="AI180" s="6"/>
      <c r="AJ180" s="6"/>
      <c r="AK180" s="39" t="str">
        <f t="shared" si="23"/>
        <v/>
      </c>
      <c r="AL180" s="6"/>
      <c r="AM180" s="6"/>
    </row>
    <row r="181" spans="1:39" ht="18" customHeight="1" x14ac:dyDescent="0.45">
      <c r="A181" s="4"/>
      <c r="B181" s="39" t="str">
        <f>IFERROR(VLOOKUP(A181,'Incident Intake'!$A:$B,2,FALSE()),"")</f>
        <v/>
      </c>
      <c r="C181" s="10" t="str">
        <f>IFERROR(VLOOKUP(A181,'Incident Intake'!$A:$E,5,FALSE()),"")</f>
        <v/>
      </c>
      <c r="D181" s="10" t="str">
        <f>IFERROR(VLOOKUP(A181,'Incident Intake'!$A:$G,7,FALSE())&amp;" "&amp;VLOOKUP(A181,'Incident Intake'!$A:$F,6,FALSE()),"")</f>
        <v/>
      </c>
      <c r="E181" s="10" t="str">
        <f>IFERROR(VLOOKUP(A181,'Incident Intake'!$A:$J,10,FALSE()),"")</f>
        <v/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10" t="str">
        <f t="shared" si="20"/>
        <v/>
      </c>
      <c r="AC181" s="11" t="str">
        <f t="shared" ca="1" si="21"/>
        <v/>
      </c>
      <c r="AD181" s="10" t="str">
        <f t="shared" si="22"/>
        <v/>
      </c>
      <c r="AE181" s="4"/>
      <c r="AF181" s="4"/>
      <c r="AG181" s="4"/>
      <c r="AH181" s="4"/>
      <c r="AI181" s="4"/>
      <c r="AJ181" s="4"/>
      <c r="AK181" s="39" t="str">
        <f t="shared" si="23"/>
        <v/>
      </c>
      <c r="AL181" s="4"/>
      <c r="AM181" s="4"/>
    </row>
    <row r="182" spans="1:39" ht="18" customHeight="1" x14ac:dyDescent="0.45">
      <c r="A182" s="6"/>
      <c r="B182" s="39" t="str">
        <f>IFERROR(VLOOKUP(A182,'Incident Intake'!$A:$B,2,FALSE()),"")</f>
        <v/>
      </c>
      <c r="C182" s="10" t="str">
        <f>IFERROR(VLOOKUP(A182,'Incident Intake'!$A:$E,5,FALSE()),"")</f>
        <v/>
      </c>
      <c r="D182" s="10" t="str">
        <f>IFERROR(VLOOKUP(A182,'Incident Intake'!$A:$G,7,FALSE())&amp;" "&amp;VLOOKUP(A182,'Incident Intake'!$A:$F,6,FALSE()),"")</f>
        <v/>
      </c>
      <c r="E182" s="10" t="str">
        <f>IFERROR(VLOOKUP(A182,'Incident Intake'!$A:$J,10,FALSE()),"")</f>
        <v/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10" t="str">
        <f t="shared" si="20"/>
        <v/>
      </c>
      <c r="AC182" s="11" t="str">
        <f t="shared" ca="1" si="21"/>
        <v/>
      </c>
      <c r="AD182" s="10" t="str">
        <f t="shared" si="22"/>
        <v/>
      </c>
      <c r="AE182" s="6"/>
      <c r="AF182" s="6"/>
      <c r="AG182" s="6"/>
      <c r="AH182" s="6"/>
      <c r="AI182" s="6"/>
      <c r="AJ182" s="6"/>
      <c r="AK182" s="39" t="str">
        <f t="shared" si="23"/>
        <v/>
      </c>
      <c r="AL182" s="6"/>
      <c r="AM182" s="6"/>
    </row>
    <row r="183" spans="1:39" ht="18" customHeight="1" x14ac:dyDescent="0.45">
      <c r="A183" s="4"/>
      <c r="B183" s="39" t="str">
        <f>IFERROR(VLOOKUP(A183,'Incident Intake'!$A:$B,2,FALSE()),"")</f>
        <v/>
      </c>
      <c r="C183" s="10" t="str">
        <f>IFERROR(VLOOKUP(A183,'Incident Intake'!$A:$E,5,FALSE()),"")</f>
        <v/>
      </c>
      <c r="D183" s="10" t="str">
        <f>IFERROR(VLOOKUP(A183,'Incident Intake'!$A:$G,7,FALSE())&amp;" "&amp;VLOOKUP(A183,'Incident Intake'!$A:$F,6,FALSE()),"")</f>
        <v/>
      </c>
      <c r="E183" s="10" t="str">
        <f>IFERROR(VLOOKUP(A183,'Incident Intake'!$A:$J,10,FALSE()),"")</f>
        <v/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10" t="str">
        <f t="shared" si="20"/>
        <v/>
      </c>
      <c r="AC183" s="11" t="str">
        <f t="shared" ca="1" si="21"/>
        <v/>
      </c>
      <c r="AD183" s="10" t="str">
        <f t="shared" si="22"/>
        <v/>
      </c>
      <c r="AE183" s="4"/>
      <c r="AF183" s="4"/>
      <c r="AG183" s="4"/>
      <c r="AH183" s="4"/>
      <c r="AI183" s="4"/>
      <c r="AJ183" s="4"/>
      <c r="AK183" s="39" t="str">
        <f t="shared" si="23"/>
        <v/>
      </c>
      <c r="AL183" s="4"/>
      <c r="AM183" s="4"/>
    </row>
    <row r="184" spans="1:39" ht="18" customHeight="1" x14ac:dyDescent="0.45">
      <c r="A184" s="6"/>
      <c r="B184" s="39" t="str">
        <f>IFERROR(VLOOKUP(A184,'Incident Intake'!$A:$B,2,FALSE()),"")</f>
        <v/>
      </c>
      <c r="C184" s="10" t="str">
        <f>IFERROR(VLOOKUP(A184,'Incident Intake'!$A:$E,5,FALSE()),"")</f>
        <v/>
      </c>
      <c r="D184" s="10" t="str">
        <f>IFERROR(VLOOKUP(A184,'Incident Intake'!$A:$G,7,FALSE())&amp;" "&amp;VLOOKUP(A184,'Incident Intake'!$A:$F,6,FALSE()),"")</f>
        <v/>
      </c>
      <c r="E184" s="10" t="str">
        <f>IFERROR(VLOOKUP(A184,'Incident Intake'!$A:$J,10,FALSE()),"")</f>
        <v/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10" t="str">
        <f t="shared" si="20"/>
        <v/>
      </c>
      <c r="AC184" s="11" t="str">
        <f t="shared" ca="1" si="21"/>
        <v/>
      </c>
      <c r="AD184" s="10" t="str">
        <f t="shared" si="22"/>
        <v/>
      </c>
      <c r="AE184" s="6"/>
      <c r="AF184" s="6"/>
      <c r="AG184" s="6"/>
      <c r="AH184" s="6"/>
      <c r="AI184" s="6"/>
      <c r="AJ184" s="6"/>
      <c r="AK184" s="39" t="str">
        <f t="shared" si="23"/>
        <v/>
      </c>
      <c r="AL184" s="6"/>
      <c r="AM184" s="6"/>
    </row>
    <row r="185" spans="1:39" ht="18" customHeight="1" x14ac:dyDescent="0.45">
      <c r="A185" s="4"/>
      <c r="B185" s="39" t="str">
        <f>IFERROR(VLOOKUP(A185,'Incident Intake'!$A:$B,2,FALSE()),"")</f>
        <v/>
      </c>
      <c r="C185" s="10" t="str">
        <f>IFERROR(VLOOKUP(A185,'Incident Intake'!$A:$E,5,FALSE()),"")</f>
        <v/>
      </c>
      <c r="D185" s="10" t="str">
        <f>IFERROR(VLOOKUP(A185,'Incident Intake'!$A:$G,7,FALSE())&amp;" "&amp;VLOOKUP(A185,'Incident Intake'!$A:$F,6,FALSE()),"")</f>
        <v/>
      </c>
      <c r="E185" s="10" t="str">
        <f>IFERROR(VLOOKUP(A185,'Incident Intake'!$A:$J,10,FALSE()),"")</f>
        <v/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10" t="str">
        <f t="shared" si="20"/>
        <v/>
      </c>
      <c r="AC185" s="11" t="str">
        <f t="shared" ca="1" si="21"/>
        <v/>
      </c>
      <c r="AD185" s="10" t="str">
        <f t="shared" si="22"/>
        <v/>
      </c>
      <c r="AE185" s="4"/>
      <c r="AF185" s="4"/>
      <c r="AG185" s="4"/>
      <c r="AH185" s="4"/>
      <c r="AI185" s="4"/>
      <c r="AJ185" s="4"/>
      <c r="AK185" s="39" t="str">
        <f t="shared" si="23"/>
        <v/>
      </c>
      <c r="AL185" s="4"/>
      <c r="AM185" s="4"/>
    </row>
    <row r="186" spans="1:39" ht="18" customHeight="1" x14ac:dyDescent="0.45">
      <c r="A186" s="6"/>
      <c r="B186" s="39" t="str">
        <f>IFERROR(VLOOKUP(A186,'Incident Intake'!$A:$B,2,FALSE()),"")</f>
        <v/>
      </c>
      <c r="C186" s="10" t="str">
        <f>IFERROR(VLOOKUP(A186,'Incident Intake'!$A:$E,5,FALSE()),"")</f>
        <v/>
      </c>
      <c r="D186" s="10" t="str">
        <f>IFERROR(VLOOKUP(A186,'Incident Intake'!$A:$G,7,FALSE())&amp;" "&amp;VLOOKUP(A186,'Incident Intake'!$A:$F,6,FALSE()),"")</f>
        <v/>
      </c>
      <c r="E186" s="10" t="str">
        <f>IFERROR(VLOOKUP(A186,'Incident Intake'!$A:$J,10,FALSE()),"")</f>
        <v/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10" t="str">
        <f t="shared" si="20"/>
        <v/>
      </c>
      <c r="AC186" s="11" t="str">
        <f t="shared" ca="1" si="21"/>
        <v/>
      </c>
      <c r="AD186" s="10" t="str">
        <f t="shared" si="22"/>
        <v/>
      </c>
      <c r="AE186" s="6"/>
      <c r="AF186" s="6"/>
      <c r="AG186" s="6"/>
      <c r="AH186" s="6"/>
      <c r="AI186" s="6"/>
      <c r="AJ186" s="6"/>
      <c r="AK186" s="39" t="str">
        <f t="shared" si="23"/>
        <v/>
      </c>
      <c r="AL186" s="6"/>
      <c r="AM186" s="6"/>
    </row>
    <row r="187" spans="1:39" ht="18" customHeight="1" x14ac:dyDescent="0.45">
      <c r="A187" s="4"/>
      <c r="B187" s="39" t="str">
        <f>IFERROR(VLOOKUP(A187,'Incident Intake'!$A:$B,2,FALSE()),"")</f>
        <v/>
      </c>
      <c r="C187" s="10" t="str">
        <f>IFERROR(VLOOKUP(A187,'Incident Intake'!$A:$E,5,FALSE()),"")</f>
        <v/>
      </c>
      <c r="D187" s="10" t="str">
        <f>IFERROR(VLOOKUP(A187,'Incident Intake'!$A:$G,7,FALSE())&amp;" "&amp;VLOOKUP(A187,'Incident Intake'!$A:$F,6,FALSE()),"")</f>
        <v/>
      </c>
      <c r="E187" s="10" t="str">
        <f>IFERROR(VLOOKUP(A187,'Incident Intake'!$A:$J,10,FALSE()),"")</f>
        <v/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10" t="str">
        <f t="shared" si="20"/>
        <v/>
      </c>
      <c r="AC187" s="11" t="str">
        <f t="shared" ca="1" si="21"/>
        <v/>
      </c>
      <c r="AD187" s="10" t="str">
        <f t="shared" si="22"/>
        <v/>
      </c>
      <c r="AE187" s="4"/>
      <c r="AF187" s="4"/>
      <c r="AG187" s="4"/>
      <c r="AH187" s="4"/>
      <c r="AI187" s="4"/>
      <c r="AJ187" s="4"/>
      <c r="AK187" s="39" t="str">
        <f t="shared" si="23"/>
        <v/>
      </c>
      <c r="AL187" s="4"/>
      <c r="AM187" s="4"/>
    </row>
    <row r="188" spans="1:39" ht="18" customHeight="1" x14ac:dyDescent="0.45">
      <c r="A188" s="6"/>
      <c r="B188" s="39" t="str">
        <f>IFERROR(VLOOKUP(A188,'Incident Intake'!$A:$B,2,FALSE()),"")</f>
        <v/>
      </c>
      <c r="C188" s="10" t="str">
        <f>IFERROR(VLOOKUP(A188,'Incident Intake'!$A:$E,5,FALSE()),"")</f>
        <v/>
      </c>
      <c r="D188" s="10" t="str">
        <f>IFERROR(VLOOKUP(A188,'Incident Intake'!$A:$G,7,FALSE())&amp;" "&amp;VLOOKUP(A188,'Incident Intake'!$A:$F,6,FALSE()),"")</f>
        <v/>
      </c>
      <c r="E188" s="10" t="str">
        <f>IFERROR(VLOOKUP(A188,'Incident Intake'!$A:$J,10,FALSE()),"")</f>
        <v/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10" t="str">
        <f t="shared" si="20"/>
        <v/>
      </c>
      <c r="AC188" s="11" t="str">
        <f t="shared" ca="1" si="21"/>
        <v/>
      </c>
      <c r="AD188" s="10" t="str">
        <f t="shared" si="22"/>
        <v/>
      </c>
      <c r="AE188" s="6"/>
      <c r="AF188" s="6"/>
      <c r="AG188" s="6"/>
      <c r="AH188" s="6"/>
      <c r="AI188" s="6"/>
      <c r="AJ188" s="6"/>
      <c r="AK188" s="39" t="str">
        <f t="shared" si="23"/>
        <v/>
      </c>
      <c r="AL188" s="6"/>
      <c r="AM188" s="6"/>
    </row>
    <row r="189" spans="1:39" ht="18" customHeight="1" x14ac:dyDescent="0.45">
      <c r="A189" s="4"/>
      <c r="B189" s="39" t="str">
        <f>IFERROR(VLOOKUP(A189,'Incident Intake'!$A:$B,2,FALSE()),"")</f>
        <v/>
      </c>
      <c r="C189" s="10" t="str">
        <f>IFERROR(VLOOKUP(A189,'Incident Intake'!$A:$E,5,FALSE()),"")</f>
        <v/>
      </c>
      <c r="D189" s="10" t="str">
        <f>IFERROR(VLOOKUP(A189,'Incident Intake'!$A:$G,7,FALSE())&amp;" "&amp;VLOOKUP(A189,'Incident Intake'!$A:$F,6,FALSE()),"")</f>
        <v/>
      </c>
      <c r="E189" s="10" t="str">
        <f>IFERROR(VLOOKUP(A189,'Incident Intake'!$A:$J,10,FALSE()),"")</f>
        <v/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10" t="str">
        <f t="shared" si="20"/>
        <v/>
      </c>
      <c r="AC189" s="11" t="str">
        <f t="shared" ca="1" si="21"/>
        <v/>
      </c>
      <c r="AD189" s="10" t="str">
        <f t="shared" si="22"/>
        <v/>
      </c>
      <c r="AE189" s="4"/>
      <c r="AF189" s="4"/>
      <c r="AG189" s="4"/>
      <c r="AH189" s="4"/>
      <c r="AI189" s="4"/>
      <c r="AJ189" s="4"/>
      <c r="AK189" s="39" t="str">
        <f t="shared" si="23"/>
        <v/>
      </c>
      <c r="AL189" s="4"/>
      <c r="AM189" s="4"/>
    </row>
    <row r="190" spans="1:39" ht="18" customHeight="1" x14ac:dyDescent="0.45">
      <c r="A190" s="6"/>
      <c r="B190" s="39" t="str">
        <f>IFERROR(VLOOKUP(A190,'Incident Intake'!$A:$B,2,FALSE()),"")</f>
        <v/>
      </c>
      <c r="C190" s="10" t="str">
        <f>IFERROR(VLOOKUP(A190,'Incident Intake'!$A:$E,5,FALSE()),"")</f>
        <v/>
      </c>
      <c r="D190" s="10" t="str">
        <f>IFERROR(VLOOKUP(A190,'Incident Intake'!$A:$G,7,FALSE())&amp;" "&amp;VLOOKUP(A190,'Incident Intake'!$A:$F,6,FALSE()),"")</f>
        <v/>
      </c>
      <c r="E190" s="10" t="str">
        <f>IFERROR(VLOOKUP(A190,'Incident Intake'!$A:$J,10,FALSE()),"")</f>
        <v/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10" t="str">
        <f t="shared" si="20"/>
        <v/>
      </c>
      <c r="AC190" s="11" t="str">
        <f t="shared" ca="1" si="21"/>
        <v/>
      </c>
      <c r="AD190" s="10" t="str">
        <f t="shared" si="22"/>
        <v/>
      </c>
      <c r="AE190" s="6"/>
      <c r="AF190" s="6"/>
      <c r="AG190" s="6"/>
      <c r="AH190" s="6"/>
      <c r="AI190" s="6"/>
      <c r="AJ190" s="6"/>
      <c r="AK190" s="39" t="str">
        <f t="shared" si="23"/>
        <v/>
      </c>
      <c r="AL190" s="6"/>
      <c r="AM190" s="6"/>
    </row>
    <row r="191" spans="1:39" ht="18" customHeight="1" x14ac:dyDescent="0.45">
      <c r="A191" s="4"/>
      <c r="B191" s="39" t="str">
        <f>IFERROR(VLOOKUP(A191,'Incident Intake'!$A:$B,2,FALSE()),"")</f>
        <v/>
      </c>
      <c r="C191" s="10" t="str">
        <f>IFERROR(VLOOKUP(A191,'Incident Intake'!$A:$E,5,FALSE()),"")</f>
        <v/>
      </c>
      <c r="D191" s="10" t="str">
        <f>IFERROR(VLOOKUP(A191,'Incident Intake'!$A:$G,7,FALSE())&amp;" "&amp;VLOOKUP(A191,'Incident Intake'!$A:$F,6,FALSE()),"")</f>
        <v/>
      </c>
      <c r="E191" s="10" t="str">
        <f>IFERROR(VLOOKUP(A191,'Incident Intake'!$A:$J,10,FALSE()),"")</f>
        <v/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10" t="str">
        <f t="shared" si="20"/>
        <v/>
      </c>
      <c r="AC191" s="11" t="str">
        <f t="shared" ca="1" si="21"/>
        <v/>
      </c>
      <c r="AD191" s="10" t="str">
        <f t="shared" si="22"/>
        <v/>
      </c>
      <c r="AE191" s="4"/>
      <c r="AF191" s="4"/>
      <c r="AG191" s="4"/>
      <c r="AH191" s="4"/>
      <c r="AI191" s="4"/>
      <c r="AJ191" s="4"/>
      <c r="AK191" s="39" t="str">
        <f t="shared" si="23"/>
        <v/>
      </c>
      <c r="AL191" s="4"/>
      <c r="AM191" s="4"/>
    </row>
    <row r="192" spans="1:39" ht="18" customHeight="1" x14ac:dyDescent="0.45">
      <c r="A192" s="6"/>
      <c r="B192" s="39" t="str">
        <f>IFERROR(VLOOKUP(A192,'Incident Intake'!$A:$B,2,FALSE()),"")</f>
        <v/>
      </c>
      <c r="C192" s="10" t="str">
        <f>IFERROR(VLOOKUP(A192,'Incident Intake'!$A:$E,5,FALSE()),"")</f>
        <v/>
      </c>
      <c r="D192" s="10" t="str">
        <f>IFERROR(VLOOKUP(A192,'Incident Intake'!$A:$G,7,FALSE())&amp;" "&amp;VLOOKUP(A192,'Incident Intake'!$A:$F,6,FALSE()),"")</f>
        <v/>
      </c>
      <c r="E192" s="10" t="str">
        <f>IFERROR(VLOOKUP(A192,'Incident Intake'!$A:$J,10,FALSE()),"")</f>
        <v/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10" t="str">
        <f t="shared" si="20"/>
        <v/>
      </c>
      <c r="AC192" s="11" t="str">
        <f t="shared" ca="1" si="21"/>
        <v/>
      </c>
      <c r="AD192" s="10" t="str">
        <f t="shared" si="22"/>
        <v/>
      </c>
      <c r="AE192" s="6"/>
      <c r="AF192" s="6"/>
      <c r="AG192" s="6"/>
      <c r="AH192" s="6"/>
      <c r="AI192" s="6"/>
      <c r="AJ192" s="6"/>
      <c r="AK192" s="39" t="str">
        <f t="shared" si="23"/>
        <v/>
      </c>
      <c r="AL192" s="6"/>
      <c r="AM192" s="6"/>
    </row>
    <row r="193" spans="1:39" ht="18" customHeight="1" x14ac:dyDescent="0.45">
      <c r="A193" s="4"/>
      <c r="B193" s="39" t="str">
        <f>IFERROR(VLOOKUP(A193,'Incident Intake'!$A:$B,2,FALSE()),"")</f>
        <v/>
      </c>
      <c r="C193" s="10" t="str">
        <f>IFERROR(VLOOKUP(A193,'Incident Intake'!$A:$E,5,FALSE()),"")</f>
        <v/>
      </c>
      <c r="D193" s="10" t="str">
        <f>IFERROR(VLOOKUP(A193,'Incident Intake'!$A:$G,7,FALSE())&amp;" "&amp;VLOOKUP(A193,'Incident Intake'!$A:$F,6,FALSE()),"")</f>
        <v/>
      </c>
      <c r="E193" s="10" t="str">
        <f>IFERROR(VLOOKUP(A193,'Incident Intake'!$A:$J,10,FALSE()),"")</f>
        <v/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10" t="str">
        <f t="shared" si="20"/>
        <v/>
      </c>
      <c r="AC193" s="11" t="str">
        <f t="shared" ca="1" si="21"/>
        <v/>
      </c>
      <c r="AD193" s="10" t="str">
        <f t="shared" si="22"/>
        <v/>
      </c>
      <c r="AE193" s="4"/>
      <c r="AF193" s="4"/>
      <c r="AG193" s="4"/>
      <c r="AH193" s="4"/>
      <c r="AI193" s="4"/>
      <c r="AJ193" s="4"/>
      <c r="AK193" s="39" t="str">
        <f t="shared" si="23"/>
        <v/>
      </c>
      <c r="AL193" s="4"/>
      <c r="AM193" s="4"/>
    </row>
    <row r="194" spans="1:39" ht="18" customHeight="1" x14ac:dyDescent="0.45">
      <c r="A194" s="6"/>
      <c r="B194" s="39" t="str">
        <f>IFERROR(VLOOKUP(A194,'Incident Intake'!$A:$B,2,FALSE()),"")</f>
        <v/>
      </c>
      <c r="C194" s="10" t="str">
        <f>IFERROR(VLOOKUP(A194,'Incident Intake'!$A:$E,5,FALSE()),"")</f>
        <v/>
      </c>
      <c r="D194" s="10" t="str">
        <f>IFERROR(VLOOKUP(A194,'Incident Intake'!$A:$G,7,FALSE())&amp;" "&amp;VLOOKUP(A194,'Incident Intake'!$A:$F,6,FALSE()),"")</f>
        <v/>
      </c>
      <c r="E194" s="10" t="str">
        <f>IFERROR(VLOOKUP(A194,'Incident Intake'!$A:$J,10,FALSE()),"")</f>
        <v/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10" t="str">
        <f t="shared" si="20"/>
        <v/>
      </c>
      <c r="AC194" s="11" t="str">
        <f t="shared" ca="1" si="21"/>
        <v/>
      </c>
      <c r="AD194" s="10" t="str">
        <f t="shared" si="22"/>
        <v/>
      </c>
      <c r="AE194" s="6"/>
      <c r="AF194" s="6"/>
      <c r="AG194" s="6"/>
      <c r="AH194" s="6"/>
      <c r="AI194" s="6"/>
      <c r="AJ194" s="6"/>
      <c r="AK194" s="39" t="str">
        <f t="shared" si="23"/>
        <v/>
      </c>
      <c r="AL194" s="6"/>
      <c r="AM194" s="6"/>
    </row>
    <row r="195" spans="1:39" ht="18" customHeight="1" x14ac:dyDescent="0.45">
      <c r="A195" s="4"/>
      <c r="B195" s="39" t="str">
        <f>IFERROR(VLOOKUP(A195,'Incident Intake'!$A:$B,2,FALSE()),"")</f>
        <v/>
      </c>
      <c r="C195" s="10" t="str">
        <f>IFERROR(VLOOKUP(A195,'Incident Intake'!$A:$E,5,FALSE()),"")</f>
        <v/>
      </c>
      <c r="D195" s="10" t="str">
        <f>IFERROR(VLOOKUP(A195,'Incident Intake'!$A:$G,7,FALSE())&amp;" "&amp;VLOOKUP(A195,'Incident Intake'!$A:$F,6,FALSE()),"")</f>
        <v/>
      </c>
      <c r="E195" s="10" t="str">
        <f>IFERROR(VLOOKUP(A195,'Incident Intake'!$A:$J,10,FALSE()),"")</f>
        <v/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10" t="str">
        <f t="shared" si="20"/>
        <v/>
      </c>
      <c r="AC195" s="11" t="str">
        <f t="shared" ca="1" si="21"/>
        <v/>
      </c>
      <c r="AD195" s="10" t="str">
        <f t="shared" si="22"/>
        <v/>
      </c>
      <c r="AE195" s="4"/>
      <c r="AF195" s="4"/>
      <c r="AG195" s="4"/>
      <c r="AH195" s="4"/>
      <c r="AI195" s="4"/>
      <c r="AJ195" s="4"/>
      <c r="AK195" s="39" t="str">
        <f t="shared" si="23"/>
        <v/>
      </c>
      <c r="AL195" s="4"/>
      <c r="AM195" s="4"/>
    </row>
    <row r="196" spans="1:39" ht="18" customHeight="1" x14ac:dyDescent="0.45">
      <c r="A196" s="6"/>
      <c r="B196" s="39" t="str">
        <f>IFERROR(VLOOKUP(A196,'Incident Intake'!$A:$B,2,FALSE()),"")</f>
        <v/>
      </c>
      <c r="C196" s="10" t="str">
        <f>IFERROR(VLOOKUP(A196,'Incident Intake'!$A:$E,5,FALSE()),"")</f>
        <v/>
      </c>
      <c r="D196" s="10" t="str">
        <f>IFERROR(VLOOKUP(A196,'Incident Intake'!$A:$G,7,FALSE())&amp;" "&amp;VLOOKUP(A196,'Incident Intake'!$A:$F,6,FALSE()),"")</f>
        <v/>
      </c>
      <c r="E196" s="10" t="str">
        <f>IFERROR(VLOOKUP(A196,'Incident Intake'!$A:$J,10,FALSE()),"")</f>
        <v/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10" t="str">
        <f t="shared" si="20"/>
        <v/>
      </c>
      <c r="AC196" s="11" t="str">
        <f t="shared" ca="1" si="21"/>
        <v/>
      </c>
      <c r="AD196" s="10" t="str">
        <f t="shared" si="22"/>
        <v/>
      </c>
      <c r="AE196" s="6"/>
      <c r="AF196" s="6"/>
      <c r="AG196" s="6"/>
      <c r="AH196" s="6"/>
      <c r="AI196" s="6"/>
      <c r="AJ196" s="6"/>
      <c r="AK196" s="39" t="str">
        <f t="shared" si="23"/>
        <v/>
      </c>
      <c r="AL196" s="6"/>
      <c r="AM196" s="6"/>
    </row>
    <row r="197" spans="1:39" ht="18" customHeight="1" x14ac:dyDescent="0.45">
      <c r="A197" s="4"/>
      <c r="B197" s="39" t="str">
        <f>IFERROR(VLOOKUP(A197,'Incident Intake'!$A:$B,2,FALSE()),"")</f>
        <v/>
      </c>
      <c r="C197" s="10" t="str">
        <f>IFERROR(VLOOKUP(A197,'Incident Intake'!$A:$E,5,FALSE()),"")</f>
        <v/>
      </c>
      <c r="D197" s="10" t="str">
        <f>IFERROR(VLOOKUP(A197,'Incident Intake'!$A:$G,7,FALSE())&amp;" "&amp;VLOOKUP(A197,'Incident Intake'!$A:$F,6,FALSE()),"")</f>
        <v/>
      </c>
      <c r="E197" s="10" t="str">
        <f>IFERROR(VLOOKUP(A197,'Incident Intake'!$A:$J,10,FALSE()),"")</f>
        <v/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10" t="str">
        <f t="shared" si="20"/>
        <v/>
      </c>
      <c r="AC197" s="11" t="str">
        <f t="shared" ca="1" si="21"/>
        <v/>
      </c>
      <c r="AD197" s="10" t="str">
        <f t="shared" si="22"/>
        <v/>
      </c>
      <c r="AE197" s="4"/>
      <c r="AF197" s="4"/>
      <c r="AG197" s="4"/>
      <c r="AH197" s="4"/>
      <c r="AI197" s="4"/>
      <c r="AJ197" s="4"/>
      <c r="AK197" s="39" t="str">
        <f t="shared" si="23"/>
        <v/>
      </c>
      <c r="AL197" s="4"/>
      <c r="AM197" s="4"/>
    </row>
    <row r="198" spans="1:39" ht="18" customHeight="1" x14ac:dyDescent="0.45">
      <c r="A198" s="6"/>
      <c r="B198" s="39" t="str">
        <f>IFERROR(VLOOKUP(A198,'Incident Intake'!$A:$B,2,FALSE()),"")</f>
        <v/>
      </c>
      <c r="C198" s="10" t="str">
        <f>IFERROR(VLOOKUP(A198,'Incident Intake'!$A:$E,5,FALSE()),"")</f>
        <v/>
      </c>
      <c r="D198" s="10" t="str">
        <f>IFERROR(VLOOKUP(A198,'Incident Intake'!$A:$G,7,FALSE())&amp;" "&amp;VLOOKUP(A198,'Incident Intake'!$A:$F,6,FALSE()),"")</f>
        <v/>
      </c>
      <c r="E198" s="10" t="str">
        <f>IFERROR(VLOOKUP(A198,'Incident Intake'!$A:$J,10,FALSE()),"")</f>
        <v/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10" t="str">
        <f t="shared" ref="AB198:AB205" si="24">IF(A198="","",IF(AB198="Yes","Closed",IF(T198="Yes","Consequence Assigned",IF(O198="Yes","Finding Reached",IF(F198="Yes","In Progress","Open")))))</f>
        <v/>
      </c>
      <c r="AC198" s="11" t="str">
        <f t="shared" ref="AC198:AC229" ca="1" si="25">IF(OR(A198="",AB198="Yes"),"",IF(B198="","",TODAY()-B198))</f>
        <v/>
      </c>
      <c r="AD198" s="10" t="str">
        <f t="shared" ref="AD198:AD205" si="26">IF(A198="","",IF(AND(V198="Yes",X198="Yes",Y198="Yes",Z198="Yes",AA198="Yes"),"✅ ALL CHECKS COMPLETE — OK TO CLOSE","⚠ "&amp;(5-COUNTIF(V198:Z198,"Yes"))&amp;" CHECK(S) INCOMPLETE"))</f>
        <v/>
      </c>
      <c r="AE198" s="6"/>
      <c r="AF198" s="6"/>
      <c r="AG198" s="6"/>
      <c r="AH198" s="6"/>
      <c r="AI198" s="6"/>
      <c r="AJ198" s="6"/>
      <c r="AK198" s="39" t="str">
        <f t="shared" ref="AK198:AK229" si="27">IF(AI198="Yes",IF(AJ198="","",AJ198+21),"")</f>
        <v/>
      </c>
      <c r="AL198" s="6"/>
      <c r="AM198" s="6"/>
    </row>
    <row r="199" spans="1:39" ht="18" customHeight="1" x14ac:dyDescent="0.45">
      <c r="A199" s="4"/>
      <c r="B199" s="39" t="str">
        <f>IFERROR(VLOOKUP(A199,'Incident Intake'!$A:$B,2,FALSE()),"")</f>
        <v/>
      </c>
      <c r="C199" s="10" t="str">
        <f>IFERROR(VLOOKUP(A199,'Incident Intake'!$A:$E,5,FALSE()),"")</f>
        <v/>
      </c>
      <c r="D199" s="10" t="str">
        <f>IFERROR(VLOOKUP(A199,'Incident Intake'!$A:$G,7,FALSE())&amp;" "&amp;VLOOKUP(A199,'Incident Intake'!$A:$F,6,FALSE()),"")</f>
        <v/>
      </c>
      <c r="E199" s="10" t="str">
        <f>IFERROR(VLOOKUP(A199,'Incident Intake'!$A:$J,10,FALSE()),"")</f>
        <v/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10" t="str">
        <f t="shared" si="24"/>
        <v/>
      </c>
      <c r="AC199" s="11" t="str">
        <f t="shared" ca="1" si="25"/>
        <v/>
      </c>
      <c r="AD199" s="10" t="str">
        <f t="shared" si="26"/>
        <v/>
      </c>
      <c r="AE199" s="4"/>
      <c r="AF199" s="4"/>
      <c r="AG199" s="4"/>
      <c r="AH199" s="4"/>
      <c r="AI199" s="4"/>
      <c r="AJ199" s="4"/>
      <c r="AK199" s="39" t="str">
        <f t="shared" si="27"/>
        <v/>
      </c>
      <c r="AL199" s="4"/>
      <c r="AM199" s="4"/>
    </row>
    <row r="200" spans="1:39" ht="18" customHeight="1" x14ac:dyDescent="0.45">
      <c r="A200" s="6"/>
      <c r="B200" s="39" t="str">
        <f>IFERROR(VLOOKUP(A200,'Incident Intake'!$A:$B,2,FALSE()),"")</f>
        <v/>
      </c>
      <c r="C200" s="10" t="str">
        <f>IFERROR(VLOOKUP(A200,'Incident Intake'!$A:$E,5,FALSE()),"")</f>
        <v/>
      </c>
      <c r="D200" s="10" t="str">
        <f>IFERROR(VLOOKUP(A200,'Incident Intake'!$A:$G,7,FALSE())&amp;" "&amp;VLOOKUP(A200,'Incident Intake'!$A:$F,6,FALSE()),"")</f>
        <v/>
      </c>
      <c r="E200" s="10" t="str">
        <f>IFERROR(VLOOKUP(A200,'Incident Intake'!$A:$J,10,FALSE()),"")</f>
        <v/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10" t="str">
        <f t="shared" si="24"/>
        <v/>
      </c>
      <c r="AC200" s="11" t="str">
        <f t="shared" ca="1" si="25"/>
        <v/>
      </c>
      <c r="AD200" s="10" t="str">
        <f t="shared" si="26"/>
        <v/>
      </c>
      <c r="AE200" s="6"/>
      <c r="AF200" s="6"/>
      <c r="AG200" s="6"/>
      <c r="AH200" s="6"/>
      <c r="AI200" s="6"/>
      <c r="AJ200" s="6"/>
      <c r="AK200" s="39" t="str">
        <f t="shared" si="27"/>
        <v/>
      </c>
      <c r="AL200" s="6"/>
      <c r="AM200" s="6"/>
    </row>
    <row r="201" spans="1:39" ht="18" customHeight="1" x14ac:dyDescent="0.45">
      <c r="A201" s="4"/>
      <c r="B201" s="39" t="str">
        <f>IFERROR(VLOOKUP(A201,'Incident Intake'!$A:$B,2,FALSE()),"")</f>
        <v/>
      </c>
      <c r="C201" s="10" t="str">
        <f>IFERROR(VLOOKUP(A201,'Incident Intake'!$A:$E,5,FALSE()),"")</f>
        <v/>
      </c>
      <c r="D201" s="10" t="str">
        <f>IFERROR(VLOOKUP(A201,'Incident Intake'!$A:$G,7,FALSE())&amp;" "&amp;VLOOKUP(A201,'Incident Intake'!$A:$F,6,FALSE()),"")</f>
        <v/>
      </c>
      <c r="E201" s="10" t="str">
        <f>IFERROR(VLOOKUP(A201,'Incident Intake'!$A:$J,10,FALSE()),"")</f>
        <v/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10" t="str">
        <f t="shared" si="24"/>
        <v/>
      </c>
      <c r="AC201" s="11" t="str">
        <f t="shared" ca="1" si="25"/>
        <v/>
      </c>
      <c r="AD201" s="10" t="str">
        <f t="shared" si="26"/>
        <v/>
      </c>
      <c r="AE201" s="4"/>
      <c r="AF201" s="4"/>
      <c r="AG201" s="4"/>
      <c r="AH201" s="4"/>
      <c r="AI201" s="4"/>
      <c r="AJ201" s="4"/>
      <c r="AK201" s="39" t="str">
        <f t="shared" si="27"/>
        <v/>
      </c>
      <c r="AL201" s="4"/>
      <c r="AM201" s="4"/>
    </row>
    <row r="202" spans="1:39" ht="18" customHeight="1" x14ac:dyDescent="0.45">
      <c r="A202" s="6"/>
      <c r="B202" s="39" t="str">
        <f>IFERROR(VLOOKUP(A202,'Incident Intake'!$A:$B,2,FALSE()),"")</f>
        <v/>
      </c>
      <c r="C202" s="10" t="str">
        <f>IFERROR(VLOOKUP(A202,'Incident Intake'!$A:$E,5,FALSE()),"")</f>
        <v/>
      </c>
      <c r="D202" s="10" t="str">
        <f>IFERROR(VLOOKUP(A202,'Incident Intake'!$A:$G,7,FALSE())&amp;" "&amp;VLOOKUP(A202,'Incident Intake'!$A:$F,6,FALSE()),"")</f>
        <v/>
      </c>
      <c r="E202" s="10" t="str">
        <f>IFERROR(VLOOKUP(A202,'Incident Intake'!$A:$J,10,FALSE()),"")</f>
        <v/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10" t="str">
        <f t="shared" si="24"/>
        <v/>
      </c>
      <c r="AC202" s="11" t="str">
        <f t="shared" ca="1" si="25"/>
        <v/>
      </c>
      <c r="AD202" s="10" t="str">
        <f t="shared" si="26"/>
        <v/>
      </c>
      <c r="AE202" s="6"/>
      <c r="AF202" s="6"/>
      <c r="AG202" s="6"/>
      <c r="AH202" s="6"/>
      <c r="AI202" s="6"/>
      <c r="AJ202" s="6"/>
      <c r="AK202" s="39" t="str">
        <f t="shared" si="27"/>
        <v/>
      </c>
      <c r="AL202" s="6"/>
      <c r="AM202" s="6"/>
    </row>
    <row r="203" spans="1:39" ht="18" customHeight="1" x14ac:dyDescent="0.45">
      <c r="A203" s="4"/>
      <c r="B203" s="39" t="str">
        <f>IFERROR(VLOOKUP(A203,'Incident Intake'!$A:$B,2,FALSE()),"")</f>
        <v/>
      </c>
      <c r="C203" s="10" t="str">
        <f>IFERROR(VLOOKUP(A203,'Incident Intake'!$A:$E,5,FALSE()),"")</f>
        <v/>
      </c>
      <c r="D203" s="10" t="str">
        <f>IFERROR(VLOOKUP(A203,'Incident Intake'!$A:$G,7,FALSE())&amp;" "&amp;VLOOKUP(A203,'Incident Intake'!$A:$F,6,FALSE()),"")</f>
        <v/>
      </c>
      <c r="E203" s="10" t="str">
        <f>IFERROR(VLOOKUP(A203,'Incident Intake'!$A:$J,10,FALSE()),"")</f>
        <v/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10" t="str">
        <f t="shared" si="24"/>
        <v/>
      </c>
      <c r="AC203" s="11" t="str">
        <f t="shared" ca="1" si="25"/>
        <v/>
      </c>
      <c r="AD203" s="10" t="str">
        <f t="shared" si="26"/>
        <v/>
      </c>
      <c r="AE203" s="4"/>
      <c r="AF203" s="4"/>
      <c r="AG203" s="4"/>
      <c r="AH203" s="4"/>
      <c r="AI203" s="4"/>
      <c r="AJ203" s="4"/>
      <c r="AK203" s="39" t="str">
        <f t="shared" si="27"/>
        <v/>
      </c>
      <c r="AL203" s="4"/>
      <c r="AM203" s="4"/>
    </row>
    <row r="204" spans="1:39" ht="18" customHeight="1" x14ac:dyDescent="0.45">
      <c r="A204" s="6"/>
      <c r="B204" s="39" t="str">
        <f>IFERROR(VLOOKUP(A204,'Incident Intake'!$A:$B,2,FALSE()),"")</f>
        <v/>
      </c>
      <c r="C204" s="10" t="str">
        <f>IFERROR(VLOOKUP(A204,'Incident Intake'!$A:$E,5,FALSE()),"")</f>
        <v/>
      </c>
      <c r="D204" s="10" t="str">
        <f>IFERROR(VLOOKUP(A204,'Incident Intake'!$A:$G,7,FALSE())&amp;" "&amp;VLOOKUP(A204,'Incident Intake'!$A:$F,6,FALSE()),"")</f>
        <v/>
      </c>
      <c r="E204" s="10" t="str">
        <f>IFERROR(VLOOKUP(A204,'Incident Intake'!$A:$J,10,FALSE()),"")</f>
        <v/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10" t="str">
        <f t="shared" si="24"/>
        <v/>
      </c>
      <c r="AC204" s="11" t="str">
        <f t="shared" ca="1" si="25"/>
        <v/>
      </c>
      <c r="AD204" s="10" t="str">
        <f t="shared" si="26"/>
        <v/>
      </c>
      <c r="AE204" s="6"/>
      <c r="AF204" s="6"/>
      <c r="AG204" s="6"/>
      <c r="AH204" s="6"/>
      <c r="AI204" s="6"/>
      <c r="AJ204" s="6"/>
      <c r="AK204" s="39" t="str">
        <f t="shared" si="27"/>
        <v/>
      </c>
      <c r="AL204" s="6"/>
      <c r="AM204" s="6"/>
    </row>
    <row r="205" spans="1:39" ht="18" customHeight="1" x14ac:dyDescent="0.45">
      <c r="A205" s="4"/>
      <c r="B205" s="39" t="str">
        <f>IFERROR(VLOOKUP(A205,'Incident Intake'!$A:$B,2,FALSE()),"")</f>
        <v/>
      </c>
      <c r="C205" s="10" t="str">
        <f>IFERROR(VLOOKUP(A205,'Incident Intake'!$A:$E,5,FALSE()),"")</f>
        <v/>
      </c>
      <c r="D205" s="10" t="str">
        <f>IFERROR(VLOOKUP(A205,'Incident Intake'!$A:$G,7,FALSE())&amp;" "&amp;VLOOKUP(A205,'Incident Intake'!$A:$F,6,FALSE()),"")</f>
        <v/>
      </c>
      <c r="E205" s="10" t="str">
        <f>IFERROR(VLOOKUP(A205,'Incident Intake'!$A:$J,10,FALSE()),"")</f>
        <v/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10" t="str">
        <f t="shared" si="24"/>
        <v/>
      </c>
      <c r="AC205" s="11" t="str">
        <f t="shared" ca="1" si="25"/>
        <v/>
      </c>
      <c r="AD205" s="10" t="str">
        <f t="shared" si="26"/>
        <v/>
      </c>
      <c r="AE205" s="4"/>
      <c r="AF205" s="4"/>
      <c r="AG205" s="4"/>
      <c r="AH205" s="4"/>
      <c r="AI205" s="4"/>
      <c r="AJ205" s="4"/>
      <c r="AK205" s="39" t="str">
        <f t="shared" si="27"/>
        <v/>
      </c>
      <c r="AL205" s="4"/>
      <c r="AM205" s="4"/>
    </row>
    <row r="206" spans="1:39" ht="19.5" customHeight="1" x14ac:dyDescent="0.45">
      <c r="A206" s="87" t="s">
        <v>72</v>
      </c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</row>
  </sheetData>
  <mergeCells count="13">
    <mergeCell ref="A206:AM206"/>
    <mergeCell ref="A3:AM3"/>
    <mergeCell ref="F4:H4"/>
    <mergeCell ref="AB4:AD4"/>
    <mergeCell ref="N4:P4"/>
    <mergeCell ref="Q4:U4"/>
    <mergeCell ref="I4:M4"/>
    <mergeCell ref="A1:AM1"/>
    <mergeCell ref="A4:E4"/>
    <mergeCell ref="AI4:AM4"/>
    <mergeCell ref="V4:AA4"/>
    <mergeCell ref="AE4:AH4"/>
    <mergeCell ref="A2:AM2"/>
  </mergeCells>
  <conditionalFormatting sqref="A6:AM205">
    <cfRule type="expression" dxfId="30" priority="2">
      <formula>$AB6="Closed"</formula>
    </cfRule>
    <cfRule type="expression" dxfId="29" priority="3">
      <formula>$AB6="Finding Reached"</formula>
    </cfRule>
    <cfRule type="expression" dxfId="28" priority="4">
      <formula>AND($AB6="In Progress",TODAY()-$B6&gt;5)</formula>
    </cfRule>
    <cfRule type="expression" dxfId="27" priority="5">
      <formula>AND($AB6="Open",TODAY()-$B6&gt;2)</formula>
    </cfRule>
  </conditionalFormatting>
  <conditionalFormatting sqref="AD6:AD205">
    <cfRule type="expression" dxfId="26" priority="6">
      <formula>ISNUMBER(SEARCH("✅",$AD6))</formula>
    </cfRule>
    <cfRule type="expression" dxfId="25" priority="7">
      <formula>ISNUMBER(SEARCH("⚠",$AD6))</formula>
    </cfRule>
  </conditionalFormatting>
  <conditionalFormatting sqref="AK6:AK205">
    <cfRule type="expression" dxfId="24" priority="8">
      <formula>AND($AI6="Yes",$AK6&lt;TODAY())</formula>
    </cfRule>
    <cfRule type="expression" dxfId="23" priority="9">
      <formula>AND($AI6="Yes",$AK6-TODAY()&lt;=3)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300-000000000000}">
          <x14:formula1>
            <xm:f>Lists!$F$2:$F$3</xm:f>
          </x14:formula1>
          <xm:sqref>F6:F205 AH6:AI205 V6:Z205 T6:T205 Q6:Q205 N6:N205 L6:L205 I6:J205</xm:sqref>
        </x14:dataValidation>
        <x14:dataValidation type="list" allowBlank="1" xr:uid="{00000000-0002-0000-0300-00000E000000}">
          <x14:formula1>
            <xm:f>Lists!$P$2:$P$7</xm:f>
          </x14:formula1>
          <xm:sqref>O6:O205</xm:sqref>
        </x14:dataValidation>
        <x14:dataValidation type="list" allowBlank="1" xr:uid="{00000000-0002-0000-0300-00000F000000}">
          <x14:formula1>
            <xm:f>Lists!$E$2:$E$17</xm:f>
          </x14:formula1>
          <xm:sqref>R6:R205</xm:sqref>
        </x14:dataValidation>
        <x14:dataValidation type="list" allowBlank="1" xr:uid="{00000000-0002-0000-0300-000010000000}">
          <x14:formula1>
            <xm:f>Lists!$O$2:$O$9</xm:f>
          </x14:formula1>
          <xm:sqref>AK6:AK205</xm:sqref>
        </x14:dataValidation>
        <x14:dataValidation type="list" allowBlank="1" xr:uid="{00000000-0002-0000-0300-000011000000}">
          <x14:formula1>
            <xm:f>Lists!$I$2:$I$6</xm:f>
          </x14:formula1>
          <xm:sqref>AE6:AE205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AB15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12" customWidth="1"/>
    <col min="2" max="2" width="16" customWidth="1"/>
    <col min="3" max="3" width="14" customWidth="1"/>
    <col min="4" max="4" width="8" customWidth="1"/>
    <col min="5" max="6" width="14" customWidth="1"/>
    <col min="7" max="7" width="13" customWidth="1"/>
    <col min="8" max="8" width="10" customWidth="1"/>
    <col min="9" max="9" width="14" customWidth="1"/>
    <col min="10" max="10" width="13" customWidth="1"/>
    <col min="11" max="11" width="10" customWidth="1"/>
    <col min="12" max="12" width="14" customWidth="1"/>
    <col min="13" max="13" width="13" customWidth="1"/>
    <col min="14" max="14" width="10" customWidth="1"/>
    <col min="15" max="15" width="14" customWidth="1"/>
    <col min="16" max="16" width="13" customWidth="1"/>
    <col min="17" max="17" width="10" customWidth="1"/>
    <col min="18" max="18" width="14" customWidth="1"/>
    <col min="19" max="19" width="13" customWidth="1"/>
    <col min="20" max="20" width="10" customWidth="1"/>
    <col min="21" max="21" width="18" customWidth="1"/>
    <col min="22" max="22" width="14" customWidth="1"/>
    <col min="23" max="23" width="13" customWidth="1"/>
    <col min="24" max="24" width="22" customWidth="1"/>
    <col min="25" max="25" width="16" customWidth="1"/>
    <col min="26" max="26" width="14" customWidth="1"/>
    <col min="27" max="28" width="28" customWidth="1"/>
  </cols>
  <sheetData>
    <row r="1" spans="1:28" ht="43.5" customHeight="1" x14ac:dyDescent="0.45">
      <c r="A1" s="105" t="s">
        <v>155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 spans="1:28" ht="21.75" customHeight="1" x14ac:dyDescent="0.45">
      <c r="A2" s="85" t="s">
        <v>156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</row>
    <row r="3" spans="1:28" ht="18" customHeight="1" x14ac:dyDescent="0.45">
      <c r="A3" s="104" t="s">
        <v>157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</row>
    <row r="4" spans="1:28" ht="36" customHeight="1" x14ac:dyDescent="0.45">
      <c r="A4" s="38" t="s">
        <v>42</v>
      </c>
      <c r="B4" s="38" t="s">
        <v>43</v>
      </c>
      <c r="C4" s="38" t="s">
        <v>44</v>
      </c>
      <c r="D4" s="38" t="s">
        <v>45</v>
      </c>
      <c r="E4" s="38" t="s">
        <v>158</v>
      </c>
      <c r="F4" s="38" t="s">
        <v>159</v>
      </c>
      <c r="G4" s="38" t="s">
        <v>160</v>
      </c>
      <c r="H4" s="38" t="s">
        <v>161</v>
      </c>
      <c r="I4" s="38" t="s">
        <v>162</v>
      </c>
      <c r="J4" s="38" t="s">
        <v>163</v>
      </c>
      <c r="K4" s="38" t="s">
        <v>164</v>
      </c>
      <c r="L4" s="38" t="s">
        <v>165</v>
      </c>
      <c r="M4" s="38" t="s">
        <v>166</v>
      </c>
      <c r="N4" s="38" t="s">
        <v>167</v>
      </c>
      <c r="O4" s="38" t="s">
        <v>168</v>
      </c>
      <c r="P4" s="38" t="s">
        <v>169</v>
      </c>
      <c r="Q4" s="38" t="s">
        <v>170</v>
      </c>
      <c r="R4" s="38" t="s">
        <v>171</v>
      </c>
      <c r="S4" s="38" t="s">
        <v>172</v>
      </c>
      <c r="T4" s="38" t="s">
        <v>173</v>
      </c>
      <c r="U4" s="38" t="s">
        <v>58</v>
      </c>
      <c r="V4" s="38" t="s">
        <v>174</v>
      </c>
      <c r="W4" s="38" t="s">
        <v>175</v>
      </c>
      <c r="X4" s="38" t="s">
        <v>176</v>
      </c>
      <c r="Y4" s="38" t="s">
        <v>150</v>
      </c>
      <c r="Z4" s="38" t="s">
        <v>177</v>
      </c>
      <c r="AA4" s="38" t="s">
        <v>178</v>
      </c>
      <c r="AB4" s="38" t="s">
        <v>71</v>
      </c>
    </row>
    <row r="5" spans="1:28" ht="18" customHeight="1" x14ac:dyDescent="0.45">
      <c r="A5" s="4"/>
      <c r="B5" s="4"/>
      <c r="C5" s="4"/>
      <c r="D5" s="4"/>
      <c r="E5" s="11">
        <f t="shared" ref="E5:E36" si="0">SUM(H5,K5,N5,Q5,T5)</f>
        <v>0</v>
      </c>
      <c r="F5" s="4"/>
      <c r="G5" s="4"/>
      <c r="H5" s="11" t="str">
        <f>IF(F5="","",IFERROR(VLOOKUP(F5,'Incident Intake'!$A:$AE,31,FALSE())-VLOOKUP(F5,'Incident Intake'!$A:$AD,30,FALSE())+1,1))</f>
        <v/>
      </c>
      <c r="I5" s="4"/>
      <c r="J5" s="4"/>
      <c r="K5" s="11" t="str">
        <f>IF(I5="","",IFERROR(VLOOKUP(I5,'Incident Intake'!$A:$AE,31,FALSE())-VLOOKUP(I5,'Incident Intake'!$A:$AD,30,FALSE())+1,1))</f>
        <v/>
      </c>
      <c r="L5" s="4"/>
      <c r="M5" s="4"/>
      <c r="N5" s="11" t="str">
        <f>IF(L5="","",IFERROR(VLOOKUP(L5,'Incident Intake'!$A:$AE,31,FALSE())-VLOOKUP(L5,'Incident Intake'!$A:$AD,30,FALSE())+1,1))</f>
        <v/>
      </c>
      <c r="O5" s="4"/>
      <c r="P5" s="4"/>
      <c r="Q5" s="11" t="str">
        <f>IF(O5="","",IFERROR(VLOOKUP(O5,'Incident Intake'!$A:$AE,31,FALSE())-VLOOKUP(O5,'Incident Intake'!$A:$AD,30,FALSE())+1,1))</f>
        <v/>
      </c>
      <c r="R5" s="4"/>
      <c r="S5" s="4"/>
      <c r="T5" s="11" t="str">
        <f>IF(R5="","",IFERROR(VLOOKUP(R5,'Incident Intake'!$A:$AE,31,FALSE())-VLOOKUP(R5,'Incident Intake'!$A:$AD,30,FALSE())+1,1))</f>
        <v/>
      </c>
      <c r="U5" s="4"/>
      <c r="V5" s="4"/>
      <c r="W5" s="4"/>
      <c r="X5" s="4"/>
      <c r="Y5" s="4"/>
      <c r="Z5" s="4"/>
      <c r="AA5" s="10" t="str">
        <f t="shared" ref="AA5:AA36" si="1">IF(A5="","",IF(E5&gt;=10,"🔴 EXCEEDED — MDR REQUIRED NOW",IF(E5&gt;=9,"🟠 URGENT — Day "&amp;E5&amp;" — Notify SPED Coord",IF(E5&gt;=7,"🟡 WARNING — Day "&amp;E5&amp;" — Plan MDR",IF(E5&gt;0,"✅ OK — "&amp;E5&amp;" days","✅ No removals")))))</f>
        <v/>
      </c>
      <c r="AB5" s="4"/>
    </row>
    <row r="6" spans="1:28" ht="18" customHeight="1" x14ac:dyDescent="0.45">
      <c r="A6" s="6"/>
      <c r="B6" s="6"/>
      <c r="C6" s="6"/>
      <c r="D6" s="6"/>
      <c r="E6" s="11">
        <f t="shared" si="0"/>
        <v>0</v>
      </c>
      <c r="F6" s="6"/>
      <c r="G6" s="6"/>
      <c r="H6" s="11" t="str">
        <f>IF(F6="","",IFERROR(VLOOKUP(F6,'Incident Intake'!$A:$AE,31,FALSE())-VLOOKUP(F6,'Incident Intake'!$A:$AD,30,FALSE())+1,1))</f>
        <v/>
      </c>
      <c r="I6" s="6"/>
      <c r="J6" s="6"/>
      <c r="K6" s="11" t="str">
        <f>IF(I6="","",IFERROR(VLOOKUP(I6,'Incident Intake'!$A:$AE,31,FALSE())-VLOOKUP(I6,'Incident Intake'!$A:$AD,30,FALSE())+1,1))</f>
        <v/>
      </c>
      <c r="L6" s="6"/>
      <c r="M6" s="6"/>
      <c r="N6" s="11" t="str">
        <f>IF(L6="","",IFERROR(VLOOKUP(L6,'Incident Intake'!$A:$AE,31,FALSE())-VLOOKUP(L6,'Incident Intake'!$A:$AD,30,FALSE())+1,1))</f>
        <v/>
      </c>
      <c r="O6" s="6"/>
      <c r="P6" s="6"/>
      <c r="Q6" s="11" t="str">
        <f>IF(O6="","",IFERROR(VLOOKUP(O6,'Incident Intake'!$A:$AE,31,FALSE())-VLOOKUP(O6,'Incident Intake'!$A:$AD,30,FALSE())+1,1))</f>
        <v/>
      </c>
      <c r="R6" s="6"/>
      <c r="S6" s="6"/>
      <c r="T6" s="11" t="str">
        <f>IF(R6="","",IFERROR(VLOOKUP(R6,'Incident Intake'!$A:$AE,31,FALSE())-VLOOKUP(R6,'Incident Intake'!$A:$AD,30,FALSE())+1,1))</f>
        <v/>
      </c>
      <c r="U6" s="6"/>
      <c r="V6" s="6"/>
      <c r="W6" s="6"/>
      <c r="X6" s="6"/>
      <c r="Y6" s="6"/>
      <c r="Z6" s="6"/>
      <c r="AA6" s="10" t="str">
        <f t="shared" si="1"/>
        <v/>
      </c>
      <c r="AB6" s="6"/>
    </row>
    <row r="7" spans="1:28" ht="18" customHeight="1" x14ac:dyDescent="0.45">
      <c r="A7" s="4"/>
      <c r="B7" s="4"/>
      <c r="C7" s="4"/>
      <c r="D7" s="4"/>
      <c r="E7" s="11">
        <f t="shared" si="0"/>
        <v>0</v>
      </c>
      <c r="F7" s="4"/>
      <c r="G7" s="4"/>
      <c r="H7" s="11" t="str">
        <f>IF(F7="","",IFERROR(VLOOKUP(F7,'Incident Intake'!$A:$AE,31,FALSE())-VLOOKUP(F7,'Incident Intake'!$A:$AD,30,FALSE())+1,1))</f>
        <v/>
      </c>
      <c r="I7" s="4"/>
      <c r="J7" s="4"/>
      <c r="K7" s="11" t="str">
        <f>IF(I7="","",IFERROR(VLOOKUP(I7,'Incident Intake'!$A:$AE,31,FALSE())-VLOOKUP(I7,'Incident Intake'!$A:$AD,30,FALSE())+1,1))</f>
        <v/>
      </c>
      <c r="L7" s="4"/>
      <c r="M7" s="4"/>
      <c r="N7" s="11" t="str">
        <f>IF(L7="","",IFERROR(VLOOKUP(L7,'Incident Intake'!$A:$AE,31,FALSE())-VLOOKUP(L7,'Incident Intake'!$A:$AD,30,FALSE())+1,1))</f>
        <v/>
      </c>
      <c r="O7" s="4"/>
      <c r="P7" s="4"/>
      <c r="Q7" s="11" t="str">
        <f>IF(O7="","",IFERROR(VLOOKUP(O7,'Incident Intake'!$A:$AE,31,FALSE())-VLOOKUP(O7,'Incident Intake'!$A:$AD,30,FALSE())+1,1))</f>
        <v/>
      </c>
      <c r="R7" s="4"/>
      <c r="S7" s="4"/>
      <c r="T7" s="11" t="str">
        <f>IF(R7="","",IFERROR(VLOOKUP(R7,'Incident Intake'!$A:$AE,31,FALSE())-VLOOKUP(R7,'Incident Intake'!$A:$AD,30,FALSE())+1,1))</f>
        <v/>
      </c>
      <c r="U7" s="4"/>
      <c r="V7" s="4"/>
      <c r="W7" s="4"/>
      <c r="X7" s="4"/>
      <c r="Y7" s="4"/>
      <c r="Z7" s="4"/>
      <c r="AA7" s="10" t="str">
        <f t="shared" si="1"/>
        <v/>
      </c>
      <c r="AB7" s="4"/>
    </row>
    <row r="8" spans="1:28" ht="18" customHeight="1" x14ac:dyDescent="0.45">
      <c r="A8" s="6"/>
      <c r="B8" s="6"/>
      <c r="C8" s="6"/>
      <c r="D8" s="6"/>
      <c r="E8" s="11">
        <f t="shared" si="0"/>
        <v>0</v>
      </c>
      <c r="F8" s="6"/>
      <c r="G8" s="6"/>
      <c r="H8" s="11" t="str">
        <f>IF(F8="","",IFERROR(VLOOKUP(F8,'Incident Intake'!$A:$AE,31,FALSE())-VLOOKUP(F8,'Incident Intake'!$A:$AD,30,FALSE())+1,1))</f>
        <v/>
      </c>
      <c r="I8" s="6"/>
      <c r="J8" s="6"/>
      <c r="K8" s="11" t="str">
        <f>IF(I8="","",IFERROR(VLOOKUP(I8,'Incident Intake'!$A:$AE,31,FALSE())-VLOOKUP(I8,'Incident Intake'!$A:$AD,30,FALSE())+1,1))</f>
        <v/>
      </c>
      <c r="L8" s="6"/>
      <c r="M8" s="6"/>
      <c r="N8" s="11" t="str">
        <f>IF(L8="","",IFERROR(VLOOKUP(L8,'Incident Intake'!$A:$AE,31,FALSE())-VLOOKUP(L8,'Incident Intake'!$A:$AD,30,FALSE())+1,1))</f>
        <v/>
      </c>
      <c r="O8" s="6"/>
      <c r="P8" s="6"/>
      <c r="Q8" s="11" t="str">
        <f>IF(O8="","",IFERROR(VLOOKUP(O8,'Incident Intake'!$A:$AE,31,FALSE())-VLOOKUP(O8,'Incident Intake'!$A:$AD,30,FALSE())+1,1))</f>
        <v/>
      </c>
      <c r="R8" s="6"/>
      <c r="S8" s="6"/>
      <c r="T8" s="11" t="str">
        <f>IF(R8="","",IFERROR(VLOOKUP(R8,'Incident Intake'!$A:$AE,31,FALSE())-VLOOKUP(R8,'Incident Intake'!$A:$AD,30,FALSE())+1,1))</f>
        <v/>
      </c>
      <c r="U8" s="6"/>
      <c r="V8" s="6"/>
      <c r="W8" s="6"/>
      <c r="X8" s="6"/>
      <c r="Y8" s="6"/>
      <c r="Z8" s="6"/>
      <c r="AA8" s="10" t="str">
        <f t="shared" si="1"/>
        <v/>
      </c>
      <c r="AB8" s="6"/>
    </row>
    <row r="9" spans="1:28" ht="18" customHeight="1" x14ac:dyDescent="0.45">
      <c r="A9" s="4"/>
      <c r="B9" s="4"/>
      <c r="C9" s="4"/>
      <c r="D9" s="4"/>
      <c r="E9" s="11">
        <f t="shared" si="0"/>
        <v>0</v>
      </c>
      <c r="F9" s="4"/>
      <c r="G9" s="4"/>
      <c r="H9" s="11" t="str">
        <f>IF(F9="","",IFERROR(VLOOKUP(F9,'Incident Intake'!$A:$AE,31,FALSE())-VLOOKUP(F9,'Incident Intake'!$A:$AD,30,FALSE())+1,1))</f>
        <v/>
      </c>
      <c r="I9" s="4"/>
      <c r="J9" s="4"/>
      <c r="K9" s="11" t="str">
        <f>IF(I9="","",IFERROR(VLOOKUP(I9,'Incident Intake'!$A:$AE,31,FALSE())-VLOOKUP(I9,'Incident Intake'!$A:$AD,30,FALSE())+1,1))</f>
        <v/>
      </c>
      <c r="L9" s="4"/>
      <c r="M9" s="4"/>
      <c r="N9" s="11" t="str">
        <f>IF(L9="","",IFERROR(VLOOKUP(L9,'Incident Intake'!$A:$AE,31,FALSE())-VLOOKUP(L9,'Incident Intake'!$A:$AD,30,FALSE())+1,1))</f>
        <v/>
      </c>
      <c r="O9" s="4"/>
      <c r="P9" s="4"/>
      <c r="Q9" s="11" t="str">
        <f>IF(O9="","",IFERROR(VLOOKUP(O9,'Incident Intake'!$A:$AE,31,FALSE())-VLOOKUP(O9,'Incident Intake'!$A:$AD,30,FALSE())+1,1))</f>
        <v/>
      </c>
      <c r="R9" s="4"/>
      <c r="S9" s="4"/>
      <c r="T9" s="11" t="str">
        <f>IF(R9="","",IFERROR(VLOOKUP(R9,'Incident Intake'!$A:$AE,31,FALSE())-VLOOKUP(R9,'Incident Intake'!$A:$AD,30,FALSE())+1,1))</f>
        <v/>
      </c>
      <c r="U9" s="4"/>
      <c r="V9" s="4"/>
      <c r="W9" s="4"/>
      <c r="X9" s="4"/>
      <c r="Y9" s="4"/>
      <c r="Z9" s="4"/>
      <c r="AA9" s="10" t="str">
        <f t="shared" si="1"/>
        <v/>
      </c>
      <c r="AB9" s="4"/>
    </row>
    <row r="10" spans="1:28" ht="18" customHeight="1" x14ac:dyDescent="0.45">
      <c r="A10" s="6"/>
      <c r="B10" s="6"/>
      <c r="C10" s="6"/>
      <c r="D10" s="6"/>
      <c r="E10" s="11">
        <f t="shared" si="0"/>
        <v>0</v>
      </c>
      <c r="F10" s="6"/>
      <c r="G10" s="6"/>
      <c r="H10" s="11" t="str">
        <f>IF(F10="","",IFERROR(VLOOKUP(F10,'Incident Intake'!$A:$AE,31,FALSE())-VLOOKUP(F10,'Incident Intake'!$A:$AD,30,FALSE())+1,1))</f>
        <v/>
      </c>
      <c r="I10" s="6"/>
      <c r="J10" s="6"/>
      <c r="K10" s="11" t="str">
        <f>IF(I10="","",IFERROR(VLOOKUP(I10,'Incident Intake'!$A:$AE,31,FALSE())-VLOOKUP(I10,'Incident Intake'!$A:$AD,30,FALSE())+1,1))</f>
        <v/>
      </c>
      <c r="L10" s="6"/>
      <c r="M10" s="6"/>
      <c r="N10" s="11" t="str">
        <f>IF(L10="","",IFERROR(VLOOKUP(L10,'Incident Intake'!$A:$AE,31,FALSE())-VLOOKUP(L10,'Incident Intake'!$A:$AD,30,FALSE())+1,1))</f>
        <v/>
      </c>
      <c r="O10" s="6"/>
      <c r="P10" s="6"/>
      <c r="Q10" s="11" t="str">
        <f>IF(O10="","",IFERROR(VLOOKUP(O10,'Incident Intake'!$A:$AE,31,FALSE())-VLOOKUP(O10,'Incident Intake'!$A:$AD,30,FALSE())+1,1))</f>
        <v/>
      </c>
      <c r="R10" s="6"/>
      <c r="S10" s="6"/>
      <c r="T10" s="11" t="str">
        <f>IF(R10="","",IFERROR(VLOOKUP(R10,'Incident Intake'!$A:$AE,31,FALSE())-VLOOKUP(R10,'Incident Intake'!$A:$AD,30,FALSE())+1,1))</f>
        <v/>
      </c>
      <c r="U10" s="6"/>
      <c r="V10" s="6"/>
      <c r="W10" s="6"/>
      <c r="X10" s="6"/>
      <c r="Y10" s="6"/>
      <c r="Z10" s="6"/>
      <c r="AA10" s="10" t="str">
        <f t="shared" si="1"/>
        <v/>
      </c>
      <c r="AB10" s="6"/>
    </row>
    <row r="11" spans="1:28" ht="18" customHeight="1" x14ac:dyDescent="0.45">
      <c r="A11" s="4"/>
      <c r="B11" s="4"/>
      <c r="C11" s="4"/>
      <c r="D11" s="4"/>
      <c r="E11" s="11">
        <f t="shared" si="0"/>
        <v>0</v>
      </c>
      <c r="F11" s="4"/>
      <c r="G11" s="4"/>
      <c r="H11" s="11" t="str">
        <f>IF(F11="","",IFERROR(VLOOKUP(F11,'Incident Intake'!$A:$AE,31,FALSE())-VLOOKUP(F11,'Incident Intake'!$A:$AD,30,FALSE())+1,1))</f>
        <v/>
      </c>
      <c r="I11" s="4"/>
      <c r="J11" s="4"/>
      <c r="K11" s="11" t="str">
        <f>IF(I11="","",IFERROR(VLOOKUP(I11,'Incident Intake'!$A:$AE,31,FALSE())-VLOOKUP(I11,'Incident Intake'!$A:$AD,30,FALSE())+1,1))</f>
        <v/>
      </c>
      <c r="L11" s="4"/>
      <c r="M11" s="4"/>
      <c r="N11" s="11" t="str">
        <f>IF(L11="","",IFERROR(VLOOKUP(L11,'Incident Intake'!$A:$AE,31,FALSE())-VLOOKUP(L11,'Incident Intake'!$A:$AD,30,FALSE())+1,1))</f>
        <v/>
      </c>
      <c r="O11" s="4"/>
      <c r="P11" s="4"/>
      <c r="Q11" s="11" t="str">
        <f>IF(O11="","",IFERROR(VLOOKUP(O11,'Incident Intake'!$A:$AE,31,FALSE())-VLOOKUP(O11,'Incident Intake'!$A:$AD,30,FALSE())+1,1))</f>
        <v/>
      </c>
      <c r="R11" s="4"/>
      <c r="S11" s="4"/>
      <c r="T11" s="11" t="str">
        <f>IF(R11="","",IFERROR(VLOOKUP(R11,'Incident Intake'!$A:$AE,31,FALSE())-VLOOKUP(R11,'Incident Intake'!$A:$AD,30,FALSE())+1,1))</f>
        <v/>
      </c>
      <c r="U11" s="4"/>
      <c r="V11" s="4"/>
      <c r="W11" s="4"/>
      <c r="X11" s="4"/>
      <c r="Y11" s="4"/>
      <c r="Z11" s="4"/>
      <c r="AA11" s="10" t="str">
        <f t="shared" si="1"/>
        <v/>
      </c>
      <c r="AB11" s="4"/>
    </row>
    <row r="12" spans="1:28" ht="18" customHeight="1" x14ac:dyDescent="0.45">
      <c r="A12" s="6"/>
      <c r="B12" s="6"/>
      <c r="C12" s="6"/>
      <c r="D12" s="6"/>
      <c r="E12" s="11">
        <f t="shared" si="0"/>
        <v>0</v>
      </c>
      <c r="F12" s="6"/>
      <c r="G12" s="6"/>
      <c r="H12" s="11" t="str">
        <f>IF(F12="","",IFERROR(VLOOKUP(F12,'Incident Intake'!$A:$AE,31,FALSE())-VLOOKUP(F12,'Incident Intake'!$A:$AD,30,FALSE())+1,1))</f>
        <v/>
      </c>
      <c r="I12" s="6"/>
      <c r="J12" s="6"/>
      <c r="K12" s="11" t="str">
        <f>IF(I12="","",IFERROR(VLOOKUP(I12,'Incident Intake'!$A:$AE,31,FALSE())-VLOOKUP(I12,'Incident Intake'!$A:$AD,30,FALSE())+1,1))</f>
        <v/>
      </c>
      <c r="L12" s="6"/>
      <c r="M12" s="6"/>
      <c r="N12" s="11" t="str">
        <f>IF(L12="","",IFERROR(VLOOKUP(L12,'Incident Intake'!$A:$AE,31,FALSE())-VLOOKUP(L12,'Incident Intake'!$A:$AD,30,FALSE())+1,1))</f>
        <v/>
      </c>
      <c r="O12" s="6"/>
      <c r="P12" s="6"/>
      <c r="Q12" s="11" t="str">
        <f>IF(O12="","",IFERROR(VLOOKUP(O12,'Incident Intake'!$A:$AE,31,FALSE())-VLOOKUP(O12,'Incident Intake'!$A:$AD,30,FALSE())+1,1))</f>
        <v/>
      </c>
      <c r="R12" s="6"/>
      <c r="S12" s="6"/>
      <c r="T12" s="11" t="str">
        <f>IF(R12="","",IFERROR(VLOOKUP(R12,'Incident Intake'!$A:$AE,31,FALSE())-VLOOKUP(R12,'Incident Intake'!$A:$AD,30,FALSE())+1,1))</f>
        <v/>
      </c>
      <c r="U12" s="6"/>
      <c r="V12" s="6"/>
      <c r="W12" s="6"/>
      <c r="X12" s="6"/>
      <c r="Y12" s="6"/>
      <c r="Z12" s="6"/>
      <c r="AA12" s="10" t="str">
        <f t="shared" si="1"/>
        <v/>
      </c>
      <c r="AB12" s="6"/>
    </row>
    <row r="13" spans="1:28" ht="18" customHeight="1" x14ac:dyDescent="0.45">
      <c r="A13" s="4"/>
      <c r="B13" s="4"/>
      <c r="C13" s="4"/>
      <c r="D13" s="4"/>
      <c r="E13" s="11">
        <f t="shared" si="0"/>
        <v>0</v>
      </c>
      <c r="F13" s="4"/>
      <c r="G13" s="4"/>
      <c r="H13" s="11" t="str">
        <f>IF(F13="","",IFERROR(VLOOKUP(F13,'Incident Intake'!$A:$AE,31,FALSE())-VLOOKUP(F13,'Incident Intake'!$A:$AD,30,FALSE())+1,1))</f>
        <v/>
      </c>
      <c r="I13" s="4"/>
      <c r="J13" s="4"/>
      <c r="K13" s="11" t="str">
        <f>IF(I13="","",IFERROR(VLOOKUP(I13,'Incident Intake'!$A:$AE,31,FALSE())-VLOOKUP(I13,'Incident Intake'!$A:$AD,30,FALSE())+1,1))</f>
        <v/>
      </c>
      <c r="L13" s="4"/>
      <c r="M13" s="4"/>
      <c r="N13" s="11" t="str">
        <f>IF(L13="","",IFERROR(VLOOKUP(L13,'Incident Intake'!$A:$AE,31,FALSE())-VLOOKUP(L13,'Incident Intake'!$A:$AD,30,FALSE())+1,1))</f>
        <v/>
      </c>
      <c r="O13" s="4"/>
      <c r="P13" s="4"/>
      <c r="Q13" s="11" t="str">
        <f>IF(O13="","",IFERROR(VLOOKUP(O13,'Incident Intake'!$A:$AE,31,FALSE())-VLOOKUP(O13,'Incident Intake'!$A:$AD,30,FALSE())+1,1))</f>
        <v/>
      </c>
      <c r="R13" s="4"/>
      <c r="S13" s="4"/>
      <c r="T13" s="11" t="str">
        <f>IF(R13="","",IFERROR(VLOOKUP(R13,'Incident Intake'!$A:$AE,31,FALSE())-VLOOKUP(R13,'Incident Intake'!$A:$AD,30,FALSE())+1,1))</f>
        <v/>
      </c>
      <c r="U13" s="4"/>
      <c r="V13" s="4"/>
      <c r="W13" s="4"/>
      <c r="X13" s="4"/>
      <c r="Y13" s="4"/>
      <c r="Z13" s="4"/>
      <c r="AA13" s="10" t="str">
        <f t="shared" si="1"/>
        <v/>
      </c>
      <c r="AB13" s="4"/>
    </row>
    <row r="14" spans="1:28" ht="18" customHeight="1" x14ac:dyDescent="0.45">
      <c r="A14" s="6"/>
      <c r="B14" s="6"/>
      <c r="C14" s="6"/>
      <c r="D14" s="6"/>
      <c r="E14" s="11">
        <f t="shared" si="0"/>
        <v>0</v>
      </c>
      <c r="F14" s="6"/>
      <c r="G14" s="6"/>
      <c r="H14" s="11" t="str">
        <f>IF(F14="","",IFERROR(VLOOKUP(F14,'Incident Intake'!$A:$AE,31,FALSE())-VLOOKUP(F14,'Incident Intake'!$A:$AD,30,FALSE())+1,1))</f>
        <v/>
      </c>
      <c r="I14" s="6"/>
      <c r="J14" s="6"/>
      <c r="K14" s="11" t="str">
        <f>IF(I14="","",IFERROR(VLOOKUP(I14,'Incident Intake'!$A:$AE,31,FALSE())-VLOOKUP(I14,'Incident Intake'!$A:$AD,30,FALSE())+1,1))</f>
        <v/>
      </c>
      <c r="L14" s="6"/>
      <c r="M14" s="6"/>
      <c r="N14" s="11" t="str">
        <f>IF(L14="","",IFERROR(VLOOKUP(L14,'Incident Intake'!$A:$AE,31,FALSE())-VLOOKUP(L14,'Incident Intake'!$A:$AD,30,FALSE())+1,1))</f>
        <v/>
      </c>
      <c r="O14" s="6"/>
      <c r="P14" s="6"/>
      <c r="Q14" s="11" t="str">
        <f>IF(O14="","",IFERROR(VLOOKUP(O14,'Incident Intake'!$A:$AE,31,FALSE())-VLOOKUP(O14,'Incident Intake'!$A:$AD,30,FALSE())+1,1))</f>
        <v/>
      </c>
      <c r="R14" s="6"/>
      <c r="S14" s="6"/>
      <c r="T14" s="11" t="str">
        <f>IF(R14="","",IFERROR(VLOOKUP(R14,'Incident Intake'!$A:$AE,31,FALSE())-VLOOKUP(R14,'Incident Intake'!$A:$AD,30,FALSE())+1,1))</f>
        <v/>
      </c>
      <c r="U14" s="6"/>
      <c r="V14" s="6"/>
      <c r="W14" s="6"/>
      <c r="X14" s="6"/>
      <c r="Y14" s="6"/>
      <c r="Z14" s="6"/>
      <c r="AA14" s="10" t="str">
        <f t="shared" si="1"/>
        <v/>
      </c>
      <c r="AB14" s="6"/>
    </row>
    <row r="15" spans="1:28" ht="18" customHeight="1" x14ac:dyDescent="0.45">
      <c r="A15" s="4"/>
      <c r="B15" s="4"/>
      <c r="C15" s="4"/>
      <c r="D15" s="4"/>
      <c r="E15" s="11">
        <f t="shared" si="0"/>
        <v>0</v>
      </c>
      <c r="F15" s="4"/>
      <c r="G15" s="4"/>
      <c r="H15" s="11" t="str">
        <f>IF(F15="","",IFERROR(VLOOKUP(F15,'Incident Intake'!$A:$AE,31,FALSE())-VLOOKUP(F15,'Incident Intake'!$A:$AD,30,FALSE())+1,1))</f>
        <v/>
      </c>
      <c r="I15" s="4"/>
      <c r="J15" s="4"/>
      <c r="K15" s="11" t="str">
        <f>IF(I15="","",IFERROR(VLOOKUP(I15,'Incident Intake'!$A:$AE,31,FALSE())-VLOOKUP(I15,'Incident Intake'!$A:$AD,30,FALSE())+1,1))</f>
        <v/>
      </c>
      <c r="L15" s="4"/>
      <c r="M15" s="4"/>
      <c r="N15" s="11" t="str">
        <f>IF(L15="","",IFERROR(VLOOKUP(L15,'Incident Intake'!$A:$AE,31,FALSE())-VLOOKUP(L15,'Incident Intake'!$A:$AD,30,FALSE())+1,1))</f>
        <v/>
      </c>
      <c r="O15" s="4"/>
      <c r="P15" s="4"/>
      <c r="Q15" s="11" t="str">
        <f>IF(O15="","",IFERROR(VLOOKUP(O15,'Incident Intake'!$A:$AE,31,FALSE())-VLOOKUP(O15,'Incident Intake'!$A:$AD,30,FALSE())+1,1))</f>
        <v/>
      </c>
      <c r="R15" s="4"/>
      <c r="S15" s="4"/>
      <c r="T15" s="11" t="str">
        <f>IF(R15="","",IFERROR(VLOOKUP(R15,'Incident Intake'!$A:$AE,31,FALSE())-VLOOKUP(R15,'Incident Intake'!$A:$AD,30,FALSE())+1,1))</f>
        <v/>
      </c>
      <c r="U15" s="4"/>
      <c r="V15" s="4"/>
      <c r="W15" s="4"/>
      <c r="X15" s="4"/>
      <c r="Y15" s="4"/>
      <c r="Z15" s="4"/>
      <c r="AA15" s="10" t="str">
        <f t="shared" si="1"/>
        <v/>
      </c>
      <c r="AB15" s="4"/>
    </row>
    <row r="16" spans="1:28" ht="18" customHeight="1" x14ac:dyDescent="0.45">
      <c r="A16" s="6"/>
      <c r="B16" s="6"/>
      <c r="C16" s="6"/>
      <c r="D16" s="6"/>
      <c r="E16" s="11">
        <f t="shared" si="0"/>
        <v>0</v>
      </c>
      <c r="F16" s="6"/>
      <c r="G16" s="6"/>
      <c r="H16" s="11" t="str">
        <f>IF(F16="","",IFERROR(VLOOKUP(F16,'Incident Intake'!$A:$AE,31,FALSE())-VLOOKUP(F16,'Incident Intake'!$A:$AD,30,FALSE())+1,1))</f>
        <v/>
      </c>
      <c r="I16" s="6"/>
      <c r="J16" s="6"/>
      <c r="K16" s="11" t="str">
        <f>IF(I16="","",IFERROR(VLOOKUP(I16,'Incident Intake'!$A:$AE,31,FALSE())-VLOOKUP(I16,'Incident Intake'!$A:$AD,30,FALSE())+1,1))</f>
        <v/>
      </c>
      <c r="L16" s="6"/>
      <c r="M16" s="6"/>
      <c r="N16" s="11" t="str">
        <f>IF(L16="","",IFERROR(VLOOKUP(L16,'Incident Intake'!$A:$AE,31,FALSE())-VLOOKUP(L16,'Incident Intake'!$A:$AD,30,FALSE())+1,1))</f>
        <v/>
      </c>
      <c r="O16" s="6"/>
      <c r="P16" s="6"/>
      <c r="Q16" s="11" t="str">
        <f>IF(O16="","",IFERROR(VLOOKUP(O16,'Incident Intake'!$A:$AE,31,FALSE())-VLOOKUP(O16,'Incident Intake'!$A:$AD,30,FALSE())+1,1))</f>
        <v/>
      </c>
      <c r="R16" s="6"/>
      <c r="S16" s="6"/>
      <c r="T16" s="11" t="str">
        <f>IF(R16="","",IFERROR(VLOOKUP(R16,'Incident Intake'!$A:$AE,31,FALSE())-VLOOKUP(R16,'Incident Intake'!$A:$AD,30,FALSE())+1,1))</f>
        <v/>
      </c>
      <c r="U16" s="6"/>
      <c r="V16" s="6"/>
      <c r="W16" s="6"/>
      <c r="X16" s="6"/>
      <c r="Y16" s="6"/>
      <c r="Z16" s="6"/>
      <c r="AA16" s="10" t="str">
        <f t="shared" si="1"/>
        <v/>
      </c>
      <c r="AB16" s="6"/>
    </row>
    <row r="17" spans="1:28" ht="18" customHeight="1" x14ac:dyDescent="0.45">
      <c r="A17" s="4"/>
      <c r="B17" s="4"/>
      <c r="C17" s="4"/>
      <c r="D17" s="4"/>
      <c r="E17" s="11">
        <f t="shared" si="0"/>
        <v>0</v>
      </c>
      <c r="F17" s="4"/>
      <c r="G17" s="4"/>
      <c r="H17" s="11" t="str">
        <f>IF(F17="","",IFERROR(VLOOKUP(F17,'Incident Intake'!$A:$AE,31,FALSE())-VLOOKUP(F17,'Incident Intake'!$A:$AD,30,FALSE())+1,1))</f>
        <v/>
      </c>
      <c r="I17" s="4"/>
      <c r="J17" s="4"/>
      <c r="K17" s="11" t="str">
        <f>IF(I17="","",IFERROR(VLOOKUP(I17,'Incident Intake'!$A:$AE,31,FALSE())-VLOOKUP(I17,'Incident Intake'!$A:$AD,30,FALSE())+1,1))</f>
        <v/>
      </c>
      <c r="L17" s="4"/>
      <c r="M17" s="4"/>
      <c r="N17" s="11" t="str">
        <f>IF(L17="","",IFERROR(VLOOKUP(L17,'Incident Intake'!$A:$AE,31,FALSE())-VLOOKUP(L17,'Incident Intake'!$A:$AD,30,FALSE())+1,1))</f>
        <v/>
      </c>
      <c r="O17" s="4"/>
      <c r="P17" s="4"/>
      <c r="Q17" s="11" t="str">
        <f>IF(O17="","",IFERROR(VLOOKUP(O17,'Incident Intake'!$A:$AE,31,FALSE())-VLOOKUP(O17,'Incident Intake'!$A:$AD,30,FALSE())+1,1))</f>
        <v/>
      </c>
      <c r="R17" s="4"/>
      <c r="S17" s="4"/>
      <c r="T17" s="11" t="str">
        <f>IF(R17="","",IFERROR(VLOOKUP(R17,'Incident Intake'!$A:$AE,31,FALSE())-VLOOKUP(R17,'Incident Intake'!$A:$AD,30,FALSE())+1,1))</f>
        <v/>
      </c>
      <c r="U17" s="4"/>
      <c r="V17" s="4"/>
      <c r="W17" s="4"/>
      <c r="X17" s="4"/>
      <c r="Y17" s="4"/>
      <c r="Z17" s="4"/>
      <c r="AA17" s="10" t="str">
        <f t="shared" si="1"/>
        <v/>
      </c>
      <c r="AB17" s="4"/>
    </row>
    <row r="18" spans="1:28" ht="18" customHeight="1" x14ac:dyDescent="0.45">
      <c r="A18" s="6"/>
      <c r="B18" s="6"/>
      <c r="C18" s="6"/>
      <c r="D18" s="6"/>
      <c r="E18" s="11">
        <f t="shared" si="0"/>
        <v>0</v>
      </c>
      <c r="F18" s="6"/>
      <c r="G18" s="6"/>
      <c r="H18" s="11" t="str">
        <f>IF(F18="","",IFERROR(VLOOKUP(F18,'Incident Intake'!$A:$AE,31,FALSE())-VLOOKUP(F18,'Incident Intake'!$A:$AD,30,FALSE())+1,1))</f>
        <v/>
      </c>
      <c r="I18" s="6"/>
      <c r="J18" s="6"/>
      <c r="K18" s="11" t="str">
        <f>IF(I18="","",IFERROR(VLOOKUP(I18,'Incident Intake'!$A:$AE,31,FALSE())-VLOOKUP(I18,'Incident Intake'!$A:$AD,30,FALSE())+1,1))</f>
        <v/>
      </c>
      <c r="L18" s="6"/>
      <c r="M18" s="6"/>
      <c r="N18" s="11" t="str">
        <f>IF(L18="","",IFERROR(VLOOKUP(L18,'Incident Intake'!$A:$AE,31,FALSE())-VLOOKUP(L18,'Incident Intake'!$A:$AD,30,FALSE())+1,1))</f>
        <v/>
      </c>
      <c r="O18" s="6"/>
      <c r="P18" s="6"/>
      <c r="Q18" s="11" t="str">
        <f>IF(O18="","",IFERROR(VLOOKUP(O18,'Incident Intake'!$A:$AE,31,FALSE())-VLOOKUP(O18,'Incident Intake'!$A:$AD,30,FALSE())+1,1))</f>
        <v/>
      </c>
      <c r="R18" s="6"/>
      <c r="S18" s="6"/>
      <c r="T18" s="11" t="str">
        <f>IF(R18="","",IFERROR(VLOOKUP(R18,'Incident Intake'!$A:$AE,31,FALSE())-VLOOKUP(R18,'Incident Intake'!$A:$AD,30,FALSE())+1,1))</f>
        <v/>
      </c>
      <c r="U18" s="6"/>
      <c r="V18" s="6"/>
      <c r="W18" s="6"/>
      <c r="X18" s="6"/>
      <c r="Y18" s="6"/>
      <c r="Z18" s="6"/>
      <c r="AA18" s="10" t="str">
        <f t="shared" si="1"/>
        <v/>
      </c>
      <c r="AB18" s="6"/>
    </row>
    <row r="19" spans="1:28" ht="18" customHeight="1" x14ac:dyDescent="0.45">
      <c r="A19" s="4"/>
      <c r="B19" s="4"/>
      <c r="C19" s="4"/>
      <c r="D19" s="4"/>
      <c r="E19" s="11">
        <f t="shared" si="0"/>
        <v>0</v>
      </c>
      <c r="F19" s="4"/>
      <c r="G19" s="4"/>
      <c r="H19" s="11" t="str">
        <f>IF(F19="","",IFERROR(VLOOKUP(F19,'Incident Intake'!$A:$AE,31,FALSE())-VLOOKUP(F19,'Incident Intake'!$A:$AD,30,FALSE())+1,1))</f>
        <v/>
      </c>
      <c r="I19" s="4"/>
      <c r="J19" s="4"/>
      <c r="K19" s="11" t="str">
        <f>IF(I19="","",IFERROR(VLOOKUP(I19,'Incident Intake'!$A:$AE,31,FALSE())-VLOOKUP(I19,'Incident Intake'!$A:$AD,30,FALSE())+1,1))</f>
        <v/>
      </c>
      <c r="L19" s="4"/>
      <c r="M19" s="4"/>
      <c r="N19" s="11" t="str">
        <f>IF(L19="","",IFERROR(VLOOKUP(L19,'Incident Intake'!$A:$AE,31,FALSE())-VLOOKUP(L19,'Incident Intake'!$A:$AD,30,FALSE())+1,1))</f>
        <v/>
      </c>
      <c r="O19" s="4"/>
      <c r="P19" s="4"/>
      <c r="Q19" s="11" t="str">
        <f>IF(O19="","",IFERROR(VLOOKUP(O19,'Incident Intake'!$A:$AE,31,FALSE())-VLOOKUP(O19,'Incident Intake'!$A:$AD,30,FALSE())+1,1))</f>
        <v/>
      </c>
      <c r="R19" s="4"/>
      <c r="S19" s="4"/>
      <c r="T19" s="11" t="str">
        <f>IF(R19="","",IFERROR(VLOOKUP(R19,'Incident Intake'!$A:$AE,31,FALSE())-VLOOKUP(R19,'Incident Intake'!$A:$AD,30,FALSE())+1,1))</f>
        <v/>
      </c>
      <c r="U19" s="4"/>
      <c r="V19" s="4"/>
      <c r="W19" s="4"/>
      <c r="X19" s="4"/>
      <c r="Y19" s="4"/>
      <c r="Z19" s="4"/>
      <c r="AA19" s="10" t="str">
        <f t="shared" si="1"/>
        <v/>
      </c>
      <c r="AB19" s="4"/>
    </row>
    <row r="20" spans="1:28" ht="18" customHeight="1" x14ac:dyDescent="0.45">
      <c r="A20" s="6"/>
      <c r="B20" s="6"/>
      <c r="C20" s="6"/>
      <c r="D20" s="6"/>
      <c r="E20" s="11">
        <f t="shared" si="0"/>
        <v>0</v>
      </c>
      <c r="F20" s="6"/>
      <c r="G20" s="6"/>
      <c r="H20" s="11" t="str">
        <f>IF(F20="","",IFERROR(VLOOKUP(F20,'Incident Intake'!$A:$AE,31,FALSE())-VLOOKUP(F20,'Incident Intake'!$A:$AD,30,FALSE())+1,1))</f>
        <v/>
      </c>
      <c r="I20" s="6"/>
      <c r="J20" s="6"/>
      <c r="K20" s="11" t="str">
        <f>IF(I20="","",IFERROR(VLOOKUP(I20,'Incident Intake'!$A:$AE,31,FALSE())-VLOOKUP(I20,'Incident Intake'!$A:$AD,30,FALSE())+1,1))</f>
        <v/>
      </c>
      <c r="L20" s="6"/>
      <c r="M20" s="6"/>
      <c r="N20" s="11" t="str">
        <f>IF(L20="","",IFERROR(VLOOKUP(L20,'Incident Intake'!$A:$AE,31,FALSE())-VLOOKUP(L20,'Incident Intake'!$A:$AD,30,FALSE())+1,1))</f>
        <v/>
      </c>
      <c r="O20" s="6"/>
      <c r="P20" s="6"/>
      <c r="Q20" s="11" t="str">
        <f>IF(O20="","",IFERROR(VLOOKUP(O20,'Incident Intake'!$A:$AE,31,FALSE())-VLOOKUP(O20,'Incident Intake'!$A:$AD,30,FALSE())+1,1))</f>
        <v/>
      </c>
      <c r="R20" s="6"/>
      <c r="S20" s="6"/>
      <c r="T20" s="11" t="str">
        <f>IF(R20="","",IFERROR(VLOOKUP(R20,'Incident Intake'!$A:$AE,31,FALSE())-VLOOKUP(R20,'Incident Intake'!$A:$AD,30,FALSE())+1,1))</f>
        <v/>
      </c>
      <c r="U20" s="6"/>
      <c r="V20" s="6"/>
      <c r="W20" s="6"/>
      <c r="X20" s="6"/>
      <c r="Y20" s="6"/>
      <c r="Z20" s="6"/>
      <c r="AA20" s="10" t="str">
        <f t="shared" si="1"/>
        <v/>
      </c>
      <c r="AB20" s="6"/>
    </row>
    <row r="21" spans="1:28" ht="18" customHeight="1" x14ac:dyDescent="0.45">
      <c r="A21" s="4"/>
      <c r="B21" s="4"/>
      <c r="C21" s="4"/>
      <c r="D21" s="4"/>
      <c r="E21" s="11">
        <f t="shared" si="0"/>
        <v>0</v>
      </c>
      <c r="F21" s="4"/>
      <c r="G21" s="4"/>
      <c r="H21" s="11" t="str">
        <f>IF(F21="","",IFERROR(VLOOKUP(F21,'Incident Intake'!$A:$AE,31,FALSE())-VLOOKUP(F21,'Incident Intake'!$A:$AD,30,FALSE())+1,1))</f>
        <v/>
      </c>
      <c r="I21" s="4"/>
      <c r="J21" s="4"/>
      <c r="K21" s="11" t="str">
        <f>IF(I21="","",IFERROR(VLOOKUP(I21,'Incident Intake'!$A:$AE,31,FALSE())-VLOOKUP(I21,'Incident Intake'!$A:$AD,30,FALSE())+1,1))</f>
        <v/>
      </c>
      <c r="L21" s="4"/>
      <c r="M21" s="4"/>
      <c r="N21" s="11" t="str">
        <f>IF(L21="","",IFERROR(VLOOKUP(L21,'Incident Intake'!$A:$AE,31,FALSE())-VLOOKUP(L21,'Incident Intake'!$A:$AD,30,FALSE())+1,1))</f>
        <v/>
      </c>
      <c r="O21" s="4"/>
      <c r="P21" s="4"/>
      <c r="Q21" s="11" t="str">
        <f>IF(O21="","",IFERROR(VLOOKUP(O21,'Incident Intake'!$A:$AE,31,FALSE())-VLOOKUP(O21,'Incident Intake'!$A:$AD,30,FALSE())+1,1))</f>
        <v/>
      </c>
      <c r="R21" s="4"/>
      <c r="S21" s="4"/>
      <c r="T21" s="11" t="str">
        <f>IF(R21="","",IFERROR(VLOOKUP(R21,'Incident Intake'!$A:$AE,31,FALSE())-VLOOKUP(R21,'Incident Intake'!$A:$AD,30,FALSE())+1,1))</f>
        <v/>
      </c>
      <c r="U21" s="4"/>
      <c r="V21" s="4"/>
      <c r="W21" s="4"/>
      <c r="X21" s="4"/>
      <c r="Y21" s="4"/>
      <c r="Z21" s="4"/>
      <c r="AA21" s="10" t="str">
        <f t="shared" si="1"/>
        <v/>
      </c>
      <c r="AB21" s="4"/>
    </row>
    <row r="22" spans="1:28" ht="18" customHeight="1" x14ac:dyDescent="0.45">
      <c r="A22" s="6"/>
      <c r="B22" s="6"/>
      <c r="C22" s="6"/>
      <c r="D22" s="6"/>
      <c r="E22" s="11">
        <f t="shared" si="0"/>
        <v>0</v>
      </c>
      <c r="F22" s="6"/>
      <c r="G22" s="6"/>
      <c r="H22" s="11" t="str">
        <f>IF(F22="","",IFERROR(VLOOKUP(F22,'Incident Intake'!$A:$AE,31,FALSE())-VLOOKUP(F22,'Incident Intake'!$A:$AD,30,FALSE())+1,1))</f>
        <v/>
      </c>
      <c r="I22" s="6"/>
      <c r="J22" s="6"/>
      <c r="K22" s="11" t="str">
        <f>IF(I22="","",IFERROR(VLOOKUP(I22,'Incident Intake'!$A:$AE,31,FALSE())-VLOOKUP(I22,'Incident Intake'!$A:$AD,30,FALSE())+1,1))</f>
        <v/>
      </c>
      <c r="L22" s="6"/>
      <c r="M22" s="6"/>
      <c r="N22" s="11" t="str">
        <f>IF(L22="","",IFERROR(VLOOKUP(L22,'Incident Intake'!$A:$AE,31,FALSE())-VLOOKUP(L22,'Incident Intake'!$A:$AD,30,FALSE())+1,1))</f>
        <v/>
      </c>
      <c r="O22" s="6"/>
      <c r="P22" s="6"/>
      <c r="Q22" s="11" t="str">
        <f>IF(O22="","",IFERROR(VLOOKUP(O22,'Incident Intake'!$A:$AE,31,FALSE())-VLOOKUP(O22,'Incident Intake'!$A:$AD,30,FALSE())+1,1))</f>
        <v/>
      </c>
      <c r="R22" s="6"/>
      <c r="S22" s="6"/>
      <c r="T22" s="11" t="str">
        <f>IF(R22="","",IFERROR(VLOOKUP(R22,'Incident Intake'!$A:$AE,31,FALSE())-VLOOKUP(R22,'Incident Intake'!$A:$AD,30,FALSE())+1,1))</f>
        <v/>
      </c>
      <c r="U22" s="6"/>
      <c r="V22" s="6"/>
      <c r="W22" s="6"/>
      <c r="X22" s="6"/>
      <c r="Y22" s="6"/>
      <c r="Z22" s="6"/>
      <c r="AA22" s="10" t="str">
        <f t="shared" si="1"/>
        <v/>
      </c>
      <c r="AB22" s="6"/>
    </row>
    <row r="23" spans="1:28" ht="18" customHeight="1" x14ac:dyDescent="0.45">
      <c r="A23" s="4"/>
      <c r="B23" s="4"/>
      <c r="C23" s="4"/>
      <c r="D23" s="4"/>
      <c r="E23" s="11">
        <f t="shared" si="0"/>
        <v>0</v>
      </c>
      <c r="F23" s="4"/>
      <c r="G23" s="4"/>
      <c r="H23" s="11" t="str">
        <f>IF(F23="","",IFERROR(VLOOKUP(F23,'Incident Intake'!$A:$AE,31,FALSE())-VLOOKUP(F23,'Incident Intake'!$A:$AD,30,FALSE())+1,1))</f>
        <v/>
      </c>
      <c r="I23" s="4"/>
      <c r="J23" s="4"/>
      <c r="K23" s="11" t="str">
        <f>IF(I23="","",IFERROR(VLOOKUP(I23,'Incident Intake'!$A:$AE,31,FALSE())-VLOOKUP(I23,'Incident Intake'!$A:$AD,30,FALSE())+1,1))</f>
        <v/>
      </c>
      <c r="L23" s="4"/>
      <c r="M23" s="4"/>
      <c r="N23" s="11" t="str">
        <f>IF(L23="","",IFERROR(VLOOKUP(L23,'Incident Intake'!$A:$AE,31,FALSE())-VLOOKUP(L23,'Incident Intake'!$A:$AD,30,FALSE())+1,1))</f>
        <v/>
      </c>
      <c r="O23" s="4"/>
      <c r="P23" s="4"/>
      <c r="Q23" s="11" t="str">
        <f>IF(O23="","",IFERROR(VLOOKUP(O23,'Incident Intake'!$A:$AE,31,FALSE())-VLOOKUP(O23,'Incident Intake'!$A:$AD,30,FALSE())+1,1))</f>
        <v/>
      </c>
      <c r="R23" s="4"/>
      <c r="S23" s="4"/>
      <c r="T23" s="11" t="str">
        <f>IF(R23="","",IFERROR(VLOOKUP(R23,'Incident Intake'!$A:$AE,31,FALSE())-VLOOKUP(R23,'Incident Intake'!$A:$AD,30,FALSE())+1,1))</f>
        <v/>
      </c>
      <c r="U23" s="4"/>
      <c r="V23" s="4"/>
      <c r="W23" s="4"/>
      <c r="X23" s="4"/>
      <c r="Y23" s="4"/>
      <c r="Z23" s="4"/>
      <c r="AA23" s="10" t="str">
        <f t="shared" si="1"/>
        <v/>
      </c>
      <c r="AB23" s="4"/>
    </row>
    <row r="24" spans="1:28" ht="18" customHeight="1" x14ac:dyDescent="0.45">
      <c r="A24" s="6"/>
      <c r="B24" s="6"/>
      <c r="C24" s="6"/>
      <c r="D24" s="6"/>
      <c r="E24" s="11">
        <f t="shared" si="0"/>
        <v>0</v>
      </c>
      <c r="F24" s="6"/>
      <c r="G24" s="6"/>
      <c r="H24" s="11" t="str">
        <f>IF(F24="","",IFERROR(VLOOKUP(F24,'Incident Intake'!$A:$AE,31,FALSE())-VLOOKUP(F24,'Incident Intake'!$A:$AD,30,FALSE())+1,1))</f>
        <v/>
      </c>
      <c r="I24" s="6"/>
      <c r="J24" s="6"/>
      <c r="K24" s="11" t="str">
        <f>IF(I24="","",IFERROR(VLOOKUP(I24,'Incident Intake'!$A:$AE,31,FALSE())-VLOOKUP(I24,'Incident Intake'!$A:$AD,30,FALSE())+1,1))</f>
        <v/>
      </c>
      <c r="L24" s="6"/>
      <c r="M24" s="6"/>
      <c r="N24" s="11" t="str">
        <f>IF(L24="","",IFERROR(VLOOKUP(L24,'Incident Intake'!$A:$AE,31,FALSE())-VLOOKUP(L24,'Incident Intake'!$A:$AD,30,FALSE())+1,1))</f>
        <v/>
      </c>
      <c r="O24" s="6"/>
      <c r="P24" s="6"/>
      <c r="Q24" s="11" t="str">
        <f>IF(O24="","",IFERROR(VLOOKUP(O24,'Incident Intake'!$A:$AE,31,FALSE())-VLOOKUP(O24,'Incident Intake'!$A:$AD,30,FALSE())+1,1))</f>
        <v/>
      </c>
      <c r="R24" s="6"/>
      <c r="S24" s="6"/>
      <c r="T24" s="11" t="str">
        <f>IF(R24="","",IFERROR(VLOOKUP(R24,'Incident Intake'!$A:$AE,31,FALSE())-VLOOKUP(R24,'Incident Intake'!$A:$AD,30,FALSE())+1,1))</f>
        <v/>
      </c>
      <c r="U24" s="6"/>
      <c r="V24" s="6"/>
      <c r="W24" s="6"/>
      <c r="X24" s="6"/>
      <c r="Y24" s="6"/>
      <c r="Z24" s="6"/>
      <c r="AA24" s="10" t="str">
        <f t="shared" si="1"/>
        <v/>
      </c>
      <c r="AB24" s="6"/>
    </row>
    <row r="25" spans="1:28" ht="18" customHeight="1" x14ac:dyDescent="0.45">
      <c r="A25" s="4"/>
      <c r="B25" s="4"/>
      <c r="C25" s="4"/>
      <c r="D25" s="4"/>
      <c r="E25" s="11">
        <f t="shared" si="0"/>
        <v>0</v>
      </c>
      <c r="F25" s="4"/>
      <c r="G25" s="4"/>
      <c r="H25" s="11" t="str">
        <f>IF(F25="","",IFERROR(VLOOKUP(F25,'Incident Intake'!$A:$AE,31,FALSE())-VLOOKUP(F25,'Incident Intake'!$A:$AD,30,FALSE())+1,1))</f>
        <v/>
      </c>
      <c r="I25" s="4"/>
      <c r="J25" s="4"/>
      <c r="K25" s="11" t="str">
        <f>IF(I25="","",IFERROR(VLOOKUP(I25,'Incident Intake'!$A:$AE,31,FALSE())-VLOOKUP(I25,'Incident Intake'!$A:$AD,30,FALSE())+1,1))</f>
        <v/>
      </c>
      <c r="L25" s="4"/>
      <c r="M25" s="4"/>
      <c r="N25" s="11" t="str">
        <f>IF(L25="","",IFERROR(VLOOKUP(L25,'Incident Intake'!$A:$AE,31,FALSE())-VLOOKUP(L25,'Incident Intake'!$A:$AD,30,FALSE())+1,1))</f>
        <v/>
      </c>
      <c r="O25" s="4"/>
      <c r="P25" s="4"/>
      <c r="Q25" s="11" t="str">
        <f>IF(O25="","",IFERROR(VLOOKUP(O25,'Incident Intake'!$A:$AE,31,FALSE())-VLOOKUP(O25,'Incident Intake'!$A:$AD,30,FALSE())+1,1))</f>
        <v/>
      </c>
      <c r="R25" s="4"/>
      <c r="S25" s="4"/>
      <c r="T25" s="11" t="str">
        <f>IF(R25="","",IFERROR(VLOOKUP(R25,'Incident Intake'!$A:$AE,31,FALSE())-VLOOKUP(R25,'Incident Intake'!$A:$AD,30,FALSE())+1,1))</f>
        <v/>
      </c>
      <c r="U25" s="4"/>
      <c r="V25" s="4"/>
      <c r="W25" s="4"/>
      <c r="X25" s="4"/>
      <c r="Y25" s="4"/>
      <c r="Z25" s="4"/>
      <c r="AA25" s="10" t="str">
        <f t="shared" si="1"/>
        <v/>
      </c>
      <c r="AB25" s="4"/>
    </row>
    <row r="26" spans="1:28" ht="18" customHeight="1" x14ac:dyDescent="0.45">
      <c r="A26" s="6"/>
      <c r="B26" s="6"/>
      <c r="C26" s="6"/>
      <c r="D26" s="6"/>
      <c r="E26" s="11">
        <f t="shared" si="0"/>
        <v>0</v>
      </c>
      <c r="F26" s="6"/>
      <c r="G26" s="6"/>
      <c r="H26" s="11" t="str">
        <f>IF(F26="","",IFERROR(VLOOKUP(F26,'Incident Intake'!$A:$AE,31,FALSE())-VLOOKUP(F26,'Incident Intake'!$A:$AD,30,FALSE())+1,1))</f>
        <v/>
      </c>
      <c r="I26" s="6"/>
      <c r="J26" s="6"/>
      <c r="K26" s="11" t="str">
        <f>IF(I26="","",IFERROR(VLOOKUP(I26,'Incident Intake'!$A:$AE,31,FALSE())-VLOOKUP(I26,'Incident Intake'!$A:$AD,30,FALSE())+1,1))</f>
        <v/>
      </c>
      <c r="L26" s="6"/>
      <c r="M26" s="6"/>
      <c r="N26" s="11" t="str">
        <f>IF(L26="","",IFERROR(VLOOKUP(L26,'Incident Intake'!$A:$AE,31,FALSE())-VLOOKUP(L26,'Incident Intake'!$A:$AD,30,FALSE())+1,1))</f>
        <v/>
      </c>
      <c r="O26" s="6"/>
      <c r="P26" s="6"/>
      <c r="Q26" s="11" t="str">
        <f>IF(O26="","",IFERROR(VLOOKUP(O26,'Incident Intake'!$A:$AE,31,FALSE())-VLOOKUP(O26,'Incident Intake'!$A:$AD,30,FALSE())+1,1))</f>
        <v/>
      </c>
      <c r="R26" s="6"/>
      <c r="S26" s="6"/>
      <c r="T26" s="11" t="str">
        <f>IF(R26="","",IFERROR(VLOOKUP(R26,'Incident Intake'!$A:$AE,31,FALSE())-VLOOKUP(R26,'Incident Intake'!$A:$AD,30,FALSE())+1,1))</f>
        <v/>
      </c>
      <c r="U26" s="6"/>
      <c r="V26" s="6"/>
      <c r="W26" s="6"/>
      <c r="X26" s="6"/>
      <c r="Y26" s="6"/>
      <c r="Z26" s="6"/>
      <c r="AA26" s="10" t="str">
        <f t="shared" si="1"/>
        <v/>
      </c>
      <c r="AB26" s="6"/>
    </row>
    <row r="27" spans="1:28" ht="18" customHeight="1" x14ac:dyDescent="0.45">
      <c r="A27" s="4"/>
      <c r="B27" s="4"/>
      <c r="C27" s="4"/>
      <c r="D27" s="4"/>
      <c r="E27" s="11">
        <f t="shared" si="0"/>
        <v>0</v>
      </c>
      <c r="F27" s="4"/>
      <c r="G27" s="4"/>
      <c r="H27" s="11" t="str">
        <f>IF(F27="","",IFERROR(VLOOKUP(F27,'Incident Intake'!$A:$AE,31,FALSE())-VLOOKUP(F27,'Incident Intake'!$A:$AD,30,FALSE())+1,1))</f>
        <v/>
      </c>
      <c r="I27" s="4"/>
      <c r="J27" s="4"/>
      <c r="K27" s="11" t="str">
        <f>IF(I27="","",IFERROR(VLOOKUP(I27,'Incident Intake'!$A:$AE,31,FALSE())-VLOOKUP(I27,'Incident Intake'!$A:$AD,30,FALSE())+1,1))</f>
        <v/>
      </c>
      <c r="L27" s="4"/>
      <c r="M27" s="4"/>
      <c r="N27" s="11" t="str">
        <f>IF(L27="","",IFERROR(VLOOKUP(L27,'Incident Intake'!$A:$AE,31,FALSE())-VLOOKUP(L27,'Incident Intake'!$A:$AD,30,FALSE())+1,1))</f>
        <v/>
      </c>
      <c r="O27" s="4"/>
      <c r="P27" s="4"/>
      <c r="Q27" s="11" t="str">
        <f>IF(O27="","",IFERROR(VLOOKUP(O27,'Incident Intake'!$A:$AE,31,FALSE())-VLOOKUP(O27,'Incident Intake'!$A:$AD,30,FALSE())+1,1))</f>
        <v/>
      </c>
      <c r="R27" s="4"/>
      <c r="S27" s="4"/>
      <c r="T27" s="11" t="str">
        <f>IF(R27="","",IFERROR(VLOOKUP(R27,'Incident Intake'!$A:$AE,31,FALSE())-VLOOKUP(R27,'Incident Intake'!$A:$AD,30,FALSE())+1,1))</f>
        <v/>
      </c>
      <c r="U27" s="4"/>
      <c r="V27" s="4"/>
      <c r="W27" s="4"/>
      <c r="X27" s="4"/>
      <c r="Y27" s="4"/>
      <c r="Z27" s="4"/>
      <c r="AA27" s="10" t="str">
        <f t="shared" si="1"/>
        <v/>
      </c>
      <c r="AB27" s="4"/>
    </row>
    <row r="28" spans="1:28" ht="18" customHeight="1" x14ac:dyDescent="0.45">
      <c r="A28" s="6"/>
      <c r="B28" s="6"/>
      <c r="C28" s="6"/>
      <c r="D28" s="6"/>
      <c r="E28" s="11">
        <f t="shared" si="0"/>
        <v>0</v>
      </c>
      <c r="F28" s="6"/>
      <c r="G28" s="6"/>
      <c r="H28" s="11" t="str">
        <f>IF(F28="","",IFERROR(VLOOKUP(F28,'Incident Intake'!$A:$AE,31,FALSE())-VLOOKUP(F28,'Incident Intake'!$A:$AD,30,FALSE())+1,1))</f>
        <v/>
      </c>
      <c r="I28" s="6"/>
      <c r="J28" s="6"/>
      <c r="K28" s="11" t="str">
        <f>IF(I28="","",IFERROR(VLOOKUP(I28,'Incident Intake'!$A:$AE,31,FALSE())-VLOOKUP(I28,'Incident Intake'!$A:$AD,30,FALSE())+1,1))</f>
        <v/>
      </c>
      <c r="L28" s="6"/>
      <c r="M28" s="6"/>
      <c r="N28" s="11" t="str">
        <f>IF(L28="","",IFERROR(VLOOKUP(L28,'Incident Intake'!$A:$AE,31,FALSE())-VLOOKUP(L28,'Incident Intake'!$A:$AD,30,FALSE())+1,1))</f>
        <v/>
      </c>
      <c r="O28" s="6"/>
      <c r="P28" s="6"/>
      <c r="Q28" s="11" t="str">
        <f>IF(O28="","",IFERROR(VLOOKUP(O28,'Incident Intake'!$A:$AE,31,FALSE())-VLOOKUP(O28,'Incident Intake'!$A:$AD,30,FALSE())+1,1))</f>
        <v/>
      </c>
      <c r="R28" s="6"/>
      <c r="S28" s="6"/>
      <c r="T28" s="11" t="str">
        <f>IF(R28="","",IFERROR(VLOOKUP(R28,'Incident Intake'!$A:$AE,31,FALSE())-VLOOKUP(R28,'Incident Intake'!$A:$AD,30,FALSE())+1,1))</f>
        <v/>
      </c>
      <c r="U28" s="6"/>
      <c r="V28" s="6"/>
      <c r="W28" s="6"/>
      <c r="X28" s="6"/>
      <c r="Y28" s="6"/>
      <c r="Z28" s="6"/>
      <c r="AA28" s="10" t="str">
        <f t="shared" si="1"/>
        <v/>
      </c>
      <c r="AB28" s="6"/>
    </row>
    <row r="29" spans="1:28" ht="18" customHeight="1" x14ac:dyDescent="0.45">
      <c r="A29" s="4"/>
      <c r="B29" s="4"/>
      <c r="C29" s="4"/>
      <c r="D29" s="4"/>
      <c r="E29" s="11">
        <f t="shared" si="0"/>
        <v>0</v>
      </c>
      <c r="F29" s="4"/>
      <c r="G29" s="4"/>
      <c r="H29" s="11" t="str">
        <f>IF(F29="","",IFERROR(VLOOKUP(F29,'Incident Intake'!$A:$AE,31,FALSE())-VLOOKUP(F29,'Incident Intake'!$A:$AD,30,FALSE())+1,1))</f>
        <v/>
      </c>
      <c r="I29" s="4"/>
      <c r="J29" s="4"/>
      <c r="K29" s="11" t="str">
        <f>IF(I29="","",IFERROR(VLOOKUP(I29,'Incident Intake'!$A:$AE,31,FALSE())-VLOOKUP(I29,'Incident Intake'!$A:$AD,30,FALSE())+1,1))</f>
        <v/>
      </c>
      <c r="L29" s="4"/>
      <c r="M29" s="4"/>
      <c r="N29" s="11" t="str">
        <f>IF(L29="","",IFERROR(VLOOKUP(L29,'Incident Intake'!$A:$AE,31,FALSE())-VLOOKUP(L29,'Incident Intake'!$A:$AD,30,FALSE())+1,1))</f>
        <v/>
      </c>
      <c r="O29" s="4"/>
      <c r="P29" s="4"/>
      <c r="Q29" s="11" t="str">
        <f>IF(O29="","",IFERROR(VLOOKUP(O29,'Incident Intake'!$A:$AE,31,FALSE())-VLOOKUP(O29,'Incident Intake'!$A:$AD,30,FALSE())+1,1))</f>
        <v/>
      </c>
      <c r="R29" s="4"/>
      <c r="S29" s="4"/>
      <c r="T29" s="11" t="str">
        <f>IF(R29="","",IFERROR(VLOOKUP(R29,'Incident Intake'!$A:$AE,31,FALSE())-VLOOKUP(R29,'Incident Intake'!$A:$AD,30,FALSE())+1,1))</f>
        <v/>
      </c>
      <c r="U29" s="4"/>
      <c r="V29" s="4"/>
      <c r="W29" s="4"/>
      <c r="X29" s="4"/>
      <c r="Y29" s="4"/>
      <c r="Z29" s="4"/>
      <c r="AA29" s="10" t="str">
        <f t="shared" si="1"/>
        <v/>
      </c>
      <c r="AB29" s="4"/>
    </row>
    <row r="30" spans="1:28" ht="18" customHeight="1" x14ac:dyDescent="0.45">
      <c r="A30" s="6"/>
      <c r="B30" s="6"/>
      <c r="C30" s="6"/>
      <c r="D30" s="6"/>
      <c r="E30" s="11">
        <f t="shared" si="0"/>
        <v>0</v>
      </c>
      <c r="F30" s="6"/>
      <c r="G30" s="6"/>
      <c r="H30" s="11" t="str">
        <f>IF(F30="","",IFERROR(VLOOKUP(F30,'Incident Intake'!$A:$AE,31,FALSE())-VLOOKUP(F30,'Incident Intake'!$A:$AD,30,FALSE())+1,1))</f>
        <v/>
      </c>
      <c r="I30" s="6"/>
      <c r="J30" s="6"/>
      <c r="K30" s="11" t="str">
        <f>IF(I30="","",IFERROR(VLOOKUP(I30,'Incident Intake'!$A:$AE,31,FALSE())-VLOOKUP(I30,'Incident Intake'!$A:$AD,30,FALSE())+1,1))</f>
        <v/>
      </c>
      <c r="L30" s="6"/>
      <c r="M30" s="6"/>
      <c r="N30" s="11" t="str">
        <f>IF(L30="","",IFERROR(VLOOKUP(L30,'Incident Intake'!$A:$AE,31,FALSE())-VLOOKUP(L30,'Incident Intake'!$A:$AD,30,FALSE())+1,1))</f>
        <v/>
      </c>
      <c r="O30" s="6"/>
      <c r="P30" s="6"/>
      <c r="Q30" s="11" t="str">
        <f>IF(O30="","",IFERROR(VLOOKUP(O30,'Incident Intake'!$A:$AE,31,FALSE())-VLOOKUP(O30,'Incident Intake'!$A:$AD,30,FALSE())+1,1))</f>
        <v/>
      </c>
      <c r="R30" s="6"/>
      <c r="S30" s="6"/>
      <c r="T30" s="11" t="str">
        <f>IF(R30="","",IFERROR(VLOOKUP(R30,'Incident Intake'!$A:$AE,31,FALSE())-VLOOKUP(R30,'Incident Intake'!$A:$AD,30,FALSE())+1,1))</f>
        <v/>
      </c>
      <c r="U30" s="6"/>
      <c r="V30" s="6"/>
      <c r="W30" s="6"/>
      <c r="X30" s="6"/>
      <c r="Y30" s="6"/>
      <c r="Z30" s="6"/>
      <c r="AA30" s="10" t="str">
        <f t="shared" si="1"/>
        <v/>
      </c>
      <c r="AB30" s="6"/>
    </row>
    <row r="31" spans="1:28" ht="18" customHeight="1" x14ac:dyDescent="0.45">
      <c r="A31" s="4"/>
      <c r="B31" s="4"/>
      <c r="C31" s="4"/>
      <c r="D31" s="4"/>
      <c r="E31" s="11">
        <f t="shared" si="0"/>
        <v>0</v>
      </c>
      <c r="F31" s="4"/>
      <c r="G31" s="4"/>
      <c r="H31" s="11" t="str">
        <f>IF(F31="","",IFERROR(VLOOKUP(F31,'Incident Intake'!$A:$AE,31,FALSE())-VLOOKUP(F31,'Incident Intake'!$A:$AD,30,FALSE())+1,1))</f>
        <v/>
      </c>
      <c r="I31" s="4"/>
      <c r="J31" s="4"/>
      <c r="K31" s="11" t="str">
        <f>IF(I31="","",IFERROR(VLOOKUP(I31,'Incident Intake'!$A:$AE,31,FALSE())-VLOOKUP(I31,'Incident Intake'!$A:$AD,30,FALSE())+1,1))</f>
        <v/>
      </c>
      <c r="L31" s="4"/>
      <c r="M31" s="4"/>
      <c r="N31" s="11" t="str">
        <f>IF(L31="","",IFERROR(VLOOKUP(L31,'Incident Intake'!$A:$AE,31,FALSE())-VLOOKUP(L31,'Incident Intake'!$A:$AD,30,FALSE())+1,1))</f>
        <v/>
      </c>
      <c r="O31" s="4"/>
      <c r="P31" s="4"/>
      <c r="Q31" s="11" t="str">
        <f>IF(O31="","",IFERROR(VLOOKUP(O31,'Incident Intake'!$A:$AE,31,FALSE())-VLOOKUP(O31,'Incident Intake'!$A:$AD,30,FALSE())+1,1))</f>
        <v/>
      </c>
      <c r="R31" s="4"/>
      <c r="S31" s="4"/>
      <c r="T31" s="11" t="str">
        <f>IF(R31="","",IFERROR(VLOOKUP(R31,'Incident Intake'!$A:$AE,31,FALSE())-VLOOKUP(R31,'Incident Intake'!$A:$AD,30,FALSE())+1,1))</f>
        <v/>
      </c>
      <c r="U31" s="4"/>
      <c r="V31" s="4"/>
      <c r="W31" s="4"/>
      <c r="X31" s="4"/>
      <c r="Y31" s="4"/>
      <c r="Z31" s="4"/>
      <c r="AA31" s="10" t="str">
        <f t="shared" si="1"/>
        <v/>
      </c>
      <c r="AB31" s="4"/>
    </row>
    <row r="32" spans="1:28" ht="18" customHeight="1" x14ac:dyDescent="0.45">
      <c r="A32" s="6"/>
      <c r="B32" s="6"/>
      <c r="C32" s="6"/>
      <c r="D32" s="6"/>
      <c r="E32" s="11">
        <f t="shared" si="0"/>
        <v>0</v>
      </c>
      <c r="F32" s="6"/>
      <c r="G32" s="6"/>
      <c r="H32" s="11" t="str">
        <f>IF(F32="","",IFERROR(VLOOKUP(F32,'Incident Intake'!$A:$AE,31,FALSE())-VLOOKUP(F32,'Incident Intake'!$A:$AD,30,FALSE())+1,1))</f>
        <v/>
      </c>
      <c r="I32" s="6"/>
      <c r="J32" s="6"/>
      <c r="K32" s="11" t="str">
        <f>IF(I32="","",IFERROR(VLOOKUP(I32,'Incident Intake'!$A:$AE,31,FALSE())-VLOOKUP(I32,'Incident Intake'!$A:$AD,30,FALSE())+1,1))</f>
        <v/>
      </c>
      <c r="L32" s="6"/>
      <c r="M32" s="6"/>
      <c r="N32" s="11" t="str">
        <f>IF(L32="","",IFERROR(VLOOKUP(L32,'Incident Intake'!$A:$AE,31,FALSE())-VLOOKUP(L32,'Incident Intake'!$A:$AD,30,FALSE())+1,1))</f>
        <v/>
      </c>
      <c r="O32" s="6"/>
      <c r="P32" s="6"/>
      <c r="Q32" s="11" t="str">
        <f>IF(O32="","",IFERROR(VLOOKUP(O32,'Incident Intake'!$A:$AE,31,FALSE())-VLOOKUP(O32,'Incident Intake'!$A:$AD,30,FALSE())+1,1))</f>
        <v/>
      </c>
      <c r="R32" s="6"/>
      <c r="S32" s="6"/>
      <c r="T32" s="11" t="str">
        <f>IF(R32="","",IFERROR(VLOOKUP(R32,'Incident Intake'!$A:$AE,31,FALSE())-VLOOKUP(R32,'Incident Intake'!$A:$AD,30,FALSE())+1,1))</f>
        <v/>
      </c>
      <c r="U32" s="6"/>
      <c r="V32" s="6"/>
      <c r="W32" s="6"/>
      <c r="X32" s="6"/>
      <c r="Y32" s="6"/>
      <c r="Z32" s="6"/>
      <c r="AA32" s="10" t="str">
        <f t="shared" si="1"/>
        <v/>
      </c>
      <c r="AB32" s="6"/>
    </row>
    <row r="33" spans="1:28" ht="18" customHeight="1" x14ac:dyDescent="0.45">
      <c r="A33" s="4"/>
      <c r="B33" s="4"/>
      <c r="C33" s="4"/>
      <c r="D33" s="4"/>
      <c r="E33" s="11">
        <f t="shared" si="0"/>
        <v>0</v>
      </c>
      <c r="F33" s="4"/>
      <c r="G33" s="4"/>
      <c r="H33" s="11" t="str">
        <f>IF(F33="","",IFERROR(VLOOKUP(F33,'Incident Intake'!$A:$AE,31,FALSE())-VLOOKUP(F33,'Incident Intake'!$A:$AD,30,FALSE())+1,1))</f>
        <v/>
      </c>
      <c r="I33" s="4"/>
      <c r="J33" s="4"/>
      <c r="K33" s="11" t="str">
        <f>IF(I33="","",IFERROR(VLOOKUP(I33,'Incident Intake'!$A:$AE,31,FALSE())-VLOOKUP(I33,'Incident Intake'!$A:$AD,30,FALSE())+1,1))</f>
        <v/>
      </c>
      <c r="L33" s="4"/>
      <c r="M33" s="4"/>
      <c r="N33" s="11" t="str">
        <f>IF(L33="","",IFERROR(VLOOKUP(L33,'Incident Intake'!$A:$AE,31,FALSE())-VLOOKUP(L33,'Incident Intake'!$A:$AD,30,FALSE())+1,1))</f>
        <v/>
      </c>
      <c r="O33" s="4"/>
      <c r="P33" s="4"/>
      <c r="Q33" s="11" t="str">
        <f>IF(O33="","",IFERROR(VLOOKUP(O33,'Incident Intake'!$A:$AE,31,FALSE())-VLOOKUP(O33,'Incident Intake'!$A:$AD,30,FALSE())+1,1))</f>
        <v/>
      </c>
      <c r="R33" s="4"/>
      <c r="S33" s="4"/>
      <c r="T33" s="11" t="str">
        <f>IF(R33="","",IFERROR(VLOOKUP(R33,'Incident Intake'!$A:$AE,31,FALSE())-VLOOKUP(R33,'Incident Intake'!$A:$AD,30,FALSE())+1,1))</f>
        <v/>
      </c>
      <c r="U33" s="4"/>
      <c r="V33" s="4"/>
      <c r="W33" s="4"/>
      <c r="X33" s="4"/>
      <c r="Y33" s="4"/>
      <c r="Z33" s="4"/>
      <c r="AA33" s="10" t="str">
        <f t="shared" si="1"/>
        <v/>
      </c>
      <c r="AB33" s="4"/>
    </row>
    <row r="34" spans="1:28" ht="18" customHeight="1" x14ac:dyDescent="0.45">
      <c r="A34" s="6"/>
      <c r="B34" s="6"/>
      <c r="C34" s="6"/>
      <c r="D34" s="6"/>
      <c r="E34" s="11">
        <f t="shared" si="0"/>
        <v>0</v>
      </c>
      <c r="F34" s="6"/>
      <c r="G34" s="6"/>
      <c r="H34" s="11" t="str">
        <f>IF(F34="","",IFERROR(VLOOKUP(F34,'Incident Intake'!$A:$AE,31,FALSE())-VLOOKUP(F34,'Incident Intake'!$A:$AD,30,FALSE())+1,1))</f>
        <v/>
      </c>
      <c r="I34" s="6"/>
      <c r="J34" s="6"/>
      <c r="K34" s="11" t="str">
        <f>IF(I34="","",IFERROR(VLOOKUP(I34,'Incident Intake'!$A:$AE,31,FALSE())-VLOOKUP(I34,'Incident Intake'!$A:$AD,30,FALSE())+1,1))</f>
        <v/>
      </c>
      <c r="L34" s="6"/>
      <c r="M34" s="6"/>
      <c r="N34" s="11" t="str">
        <f>IF(L34="","",IFERROR(VLOOKUP(L34,'Incident Intake'!$A:$AE,31,FALSE())-VLOOKUP(L34,'Incident Intake'!$A:$AD,30,FALSE())+1,1))</f>
        <v/>
      </c>
      <c r="O34" s="6"/>
      <c r="P34" s="6"/>
      <c r="Q34" s="11" t="str">
        <f>IF(O34="","",IFERROR(VLOOKUP(O34,'Incident Intake'!$A:$AE,31,FALSE())-VLOOKUP(O34,'Incident Intake'!$A:$AD,30,FALSE())+1,1))</f>
        <v/>
      </c>
      <c r="R34" s="6"/>
      <c r="S34" s="6"/>
      <c r="T34" s="11" t="str">
        <f>IF(R34="","",IFERROR(VLOOKUP(R34,'Incident Intake'!$A:$AE,31,FALSE())-VLOOKUP(R34,'Incident Intake'!$A:$AD,30,FALSE())+1,1))</f>
        <v/>
      </c>
      <c r="U34" s="6"/>
      <c r="V34" s="6"/>
      <c r="W34" s="6"/>
      <c r="X34" s="6"/>
      <c r="Y34" s="6"/>
      <c r="Z34" s="6"/>
      <c r="AA34" s="10" t="str">
        <f t="shared" si="1"/>
        <v/>
      </c>
      <c r="AB34" s="6"/>
    </row>
    <row r="35" spans="1:28" ht="18" customHeight="1" x14ac:dyDescent="0.45">
      <c r="A35" s="4"/>
      <c r="B35" s="4"/>
      <c r="C35" s="4"/>
      <c r="D35" s="4"/>
      <c r="E35" s="11">
        <f t="shared" si="0"/>
        <v>0</v>
      </c>
      <c r="F35" s="4"/>
      <c r="G35" s="4"/>
      <c r="H35" s="11" t="str">
        <f>IF(F35="","",IFERROR(VLOOKUP(F35,'Incident Intake'!$A:$AE,31,FALSE())-VLOOKUP(F35,'Incident Intake'!$A:$AD,30,FALSE())+1,1))</f>
        <v/>
      </c>
      <c r="I35" s="4"/>
      <c r="J35" s="4"/>
      <c r="K35" s="11" t="str">
        <f>IF(I35="","",IFERROR(VLOOKUP(I35,'Incident Intake'!$A:$AE,31,FALSE())-VLOOKUP(I35,'Incident Intake'!$A:$AD,30,FALSE())+1,1))</f>
        <v/>
      </c>
      <c r="L35" s="4"/>
      <c r="M35" s="4"/>
      <c r="N35" s="11" t="str">
        <f>IF(L35="","",IFERROR(VLOOKUP(L35,'Incident Intake'!$A:$AE,31,FALSE())-VLOOKUP(L35,'Incident Intake'!$A:$AD,30,FALSE())+1,1))</f>
        <v/>
      </c>
      <c r="O35" s="4"/>
      <c r="P35" s="4"/>
      <c r="Q35" s="11" t="str">
        <f>IF(O35="","",IFERROR(VLOOKUP(O35,'Incident Intake'!$A:$AE,31,FALSE())-VLOOKUP(O35,'Incident Intake'!$A:$AD,30,FALSE())+1,1))</f>
        <v/>
      </c>
      <c r="R35" s="4"/>
      <c r="S35" s="4"/>
      <c r="T35" s="11" t="str">
        <f>IF(R35="","",IFERROR(VLOOKUP(R35,'Incident Intake'!$A:$AE,31,FALSE())-VLOOKUP(R35,'Incident Intake'!$A:$AD,30,FALSE())+1,1))</f>
        <v/>
      </c>
      <c r="U35" s="4"/>
      <c r="V35" s="4"/>
      <c r="W35" s="4"/>
      <c r="X35" s="4"/>
      <c r="Y35" s="4"/>
      <c r="Z35" s="4"/>
      <c r="AA35" s="10" t="str">
        <f t="shared" si="1"/>
        <v/>
      </c>
      <c r="AB35" s="4"/>
    </row>
    <row r="36" spans="1:28" ht="18" customHeight="1" x14ac:dyDescent="0.45">
      <c r="A36" s="6"/>
      <c r="B36" s="6"/>
      <c r="C36" s="6"/>
      <c r="D36" s="6"/>
      <c r="E36" s="11">
        <f t="shared" si="0"/>
        <v>0</v>
      </c>
      <c r="F36" s="6"/>
      <c r="G36" s="6"/>
      <c r="H36" s="11" t="str">
        <f>IF(F36="","",IFERROR(VLOOKUP(F36,'Incident Intake'!$A:$AE,31,FALSE())-VLOOKUP(F36,'Incident Intake'!$A:$AD,30,FALSE())+1,1))</f>
        <v/>
      </c>
      <c r="I36" s="6"/>
      <c r="J36" s="6"/>
      <c r="K36" s="11" t="str">
        <f>IF(I36="","",IFERROR(VLOOKUP(I36,'Incident Intake'!$A:$AE,31,FALSE())-VLOOKUP(I36,'Incident Intake'!$A:$AD,30,FALSE())+1,1))</f>
        <v/>
      </c>
      <c r="L36" s="6"/>
      <c r="M36" s="6"/>
      <c r="N36" s="11" t="str">
        <f>IF(L36="","",IFERROR(VLOOKUP(L36,'Incident Intake'!$A:$AE,31,FALSE())-VLOOKUP(L36,'Incident Intake'!$A:$AD,30,FALSE())+1,1))</f>
        <v/>
      </c>
      <c r="O36" s="6"/>
      <c r="P36" s="6"/>
      <c r="Q36" s="11" t="str">
        <f>IF(O36="","",IFERROR(VLOOKUP(O36,'Incident Intake'!$A:$AE,31,FALSE())-VLOOKUP(O36,'Incident Intake'!$A:$AD,30,FALSE())+1,1))</f>
        <v/>
      </c>
      <c r="R36" s="6"/>
      <c r="S36" s="6"/>
      <c r="T36" s="11" t="str">
        <f>IF(R36="","",IFERROR(VLOOKUP(R36,'Incident Intake'!$A:$AE,31,FALSE())-VLOOKUP(R36,'Incident Intake'!$A:$AD,30,FALSE())+1,1))</f>
        <v/>
      </c>
      <c r="U36" s="6"/>
      <c r="V36" s="6"/>
      <c r="W36" s="6"/>
      <c r="X36" s="6"/>
      <c r="Y36" s="6"/>
      <c r="Z36" s="6"/>
      <c r="AA36" s="10" t="str">
        <f t="shared" si="1"/>
        <v/>
      </c>
      <c r="AB36" s="6"/>
    </row>
    <row r="37" spans="1:28" ht="18" customHeight="1" x14ac:dyDescent="0.45">
      <c r="A37" s="4"/>
      <c r="B37" s="4"/>
      <c r="C37" s="4"/>
      <c r="D37" s="4"/>
      <c r="E37" s="11">
        <f t="shared" ref="E37:E68" si="2">SUM(H37,K37,N37,Q37,T37)</f>
        <v>0</v>
      </c>
      <c r="F37" s="4"/>
      <c r="G37" s="4"/>
      <c r="H37" s="11" t="str">
        <f>IF(F37="","",IFERROR(VLOOKUP(F37,'Incident Intake'!$A:$AE,31,FALSE())-VLOOKUP(F37,'Incident Intake'!$A:$AD,30,FALSE())+1,1))</f>
        <v/>
      </c>
      <c r="I37" s="4"/>
      <c r="J37" s="4"/>
      <c r="K37" s="11" t="str">
        <f>IF(I37="","",IFERROR(VLOOKUP(I37,'Incident Intake'!$A:$AE,31,FALSE())-VLOOKUP(I37,'Incident Intake'!$A:$AD,30,FALSE())+1,1))</f>
        <v/>
      </c>
      <c r="L37" s="4"/>
      <c r="M37" s="4"/>
      <c r="N37" s="11" t="str">
        <f>IF(L37="","",IFERROR(VLOOKUP(L37,'Incident Intake'!$A:$AE,31,FALSE())-VLOOKUP(L37,'Incident Intake'!$A:$AD,30,FALSE())+1,1))</f>
        <v/>
      </c>
      <c r="O37" s="4"/>
      <c r="P37" s="4"/>
      <c r="Q37" s="11" t="str">
        <f>IF(O37="","",IFERROR(VLOOKUP(O37,'Incident Intake'!$A:$AE,31,FALSE())-VLOOKUP(O37,'Incident Intake'!$A:$AD,30,FALSE())+1,1))</f>
        <v/>
      </c>
      <c r="R37" s="4"/>
      <c r="S37" s="4"/>
      <c r="T37" s="11" t="str">
        <f>IF(R37="","",IFERROR(VLOOKUP(R37,'Incident Intake'!$A:$AE,31,FALSE())-VLOOKUP(R37,'Incident Intake'!$A:$AD,30,FALSE())+1,1))</f>
        <v/>
      </c>
      <c r="U37" s="4"/>
      <c r="V37" s="4"/>
      <c r="W37" s="4"/>
      <c r="X37" s="4"/>
      <c r="Y37" s="4"/>
      <c r="Z37" s="4"/>
      <c r="AA37" s="10" t="str">
        <f t="shared" ref="AA37:AA68" si="3">IF(A37="","",IF(E37&gt;=10,"🔴 EXCEEDED — MDR REQUIRED NOW",IF(E37&gt;=9,"🟠 URGENT — Day "&amp;E37&amp;" — Notify SPED Coord",IF(E37&gt;=7,"🟡 WARNING — Day "&amp;E37&amp;" — Plan MDR",IF(E37&gt;0,"✅ OK — "&amp;E37&amp;" days","✅ No removals")))))</f>
        <v/>
      </c>
      <c r="AB37" s="4"/>
    </row>
    <row r="38" spans="1:28" ht="18" customHeight="1" x14ac:dyDescent="0.45">
      <c r="A38" s="6"/>
      <c r="B38" s="6"/>
      <c r="C38" s="6"/>
      <c r="D38" s="6"/>
      <c r="E38" s="11">
        <f t="shared" si="2"/>
        <v>0</v>
      </c>
      <c r="F38" s="6"/>
      <c r="G38" s="6"/>
      <c r="H38" s="11" t="str">
        <f>IF(F38="","",IFERROR(VLOOKUP(F38,'Incident Intake'!$A:$AE,31,FALSE())-VLOOKUP(F38,'Incident Intake'!$A:$AD,30,FALSE())+1,1))</f>
        <v/>
      </c>
      <c r="I38" s="6"/>
      <c r="J38" s="6"/>
      <c r="K38" s="11" t="str">
        <f>IF(I38="","",IFERROR(VLOOKUP(I38,'Incident Intake'!$A:$AE,31,FALSE())-VLOOKUP(I38,'Incident Intake'!$A:$AD,30,FALSE())+1,1))</f>
        <v/>
      </c>
      <c r="L38" s="6"/>
      <c r="M38" s="6"/>
      <c r="N38" s="11" t="str">
        <f>IF(L38="","",IFERROR(VLOOKUP(L38,'Incident Intake'!$A:$AE,31,FALSE())-VLOOKUP(L38,'Incident Intake'!$A:$AD,30,FALSE())+1,1))</f>
        <v/>
      </c>
      <c r="O38" s="6"/>
      <c r="P38" s="6"/>
      <c r="Q38" s="11" t="str">
        <f>IF(O38="","",IFERROR(VLOOKUP(O38,'Incident Intake'!$A:$AE,31,FALSE())-VLOOKUP(O38,'Incident Intake'!$A:$AD,30,FALSE())+1,1))</f>
        <v/>
      </c>
      <c r="R38" s="6"/>
      <c r="S38" s="6"/>
      <c r="T38" s="11" t="str">
        <f>IF(R38="","",IFERROR(VLOOKUP(R38,'Incident Intake'!$A:$AE,31,FALSE())-VLOOKUP(R38,'Incident Intake'!$A:$AD,30,FALSE())+1,1))</f>
        <v/>
      </c>
      <c r="U38" s="6"/>
      <c r="V38" s="6"/>
      <c r="W38" s="6"/>
      <c r="X38" s="6"/>
      <c r="Y38" s="6"/>
      <c r="Z38" s="6"/>
      <c r="AA38" s="10" t="str">
        <f t="shared" si="3"/>
        <v/>
      </c>
      <c r="AB38" s="6"/>
    </row>
    <row r="39" spans="1:28" ht="18" customHeight="1" x14ac:dyDescent="0.45">
      <c r="A39" s="4"/>
      <c r="B39" s="4"/>
      <c r="C39" s="4"/>
      <c r="D39" s="4"/>
      <c r="E39" s="11">
        <f t="shared" si="2"/>
        <v>0</v>
      </c>
      <c r="F39" s="4"/>
      <c r="G39" s="4"/>
      <c r="H39" s="11" t="str">
        <f>IF(F39="","",IFERROR(VLOOKUP(F39,'Incident Intake'!$A:$AE,31,FALSE())-VLOOKUP(F39,'Incident Intake'!$A:$AD,30,FALSE())+1,1))</f>
        <v/>
      </c>
      <c r="I39" s="4"/>
      <c r="J39" s="4"/>
      <c r="K39" s="11" t="str">
        <f>IF(I39="","",IFERROR(VLOOKUP(I39,'Incident Intake'!$A:$AE,31,FALSE())-VLOOKUP(I39,'Incident Intake'!$A:$AD,30,FALSE())+1,1))</f>
        <v/>
      </c>
      <c r="L39" s="4"/>
      <c r="M39" s="4"/>
      <c r="N39" s="11" t="str">
        <f>IF(L39="","",IFERROR(VLOOKUP(L39,'Incident Intake'!$A:$AE,31,FALSE())-VLOOKUP(L39,'Incident Intake'!$A:$AD,30,FALSE())+1,1))</f>
        <v/>
      </c>
      <c r="O39" s="4"/>
      <c r="P39" s="4"/>
      <c r="Q39" s="11" t="str">
        <f>IF(O39="","",IFERROR(VLOOKUP(O39,'Incident Intake'!$A:$AE,31,FALSE())-VLOOKUP(O39,'Incident Intake'!$A:$AD,30,FALSE())+1,1))</f>
        <v/>
      </c>
      <c r="R39" s="4"/>
      <c r="S39" s="4"/>
      <c r="T39" s="11" t="str">
        <f>IF(R39="","",IFERROR(VLOOKUP(R39,'Incident Intake'!$A:$AE,31,FALSE())-VLOOKUP(R39,'Incident Intake'!$A:$AD,30,FALSE())+1,1))</f>
        <v/>
      </c>
      <c r="U39" s="4"/>
      <c r="V39" s="4"/>
      <c r="W39" s="4"/>
      <c r="X39" s="4"/>
      <c r="Y39" s="4"/>
      <c r="Z39" s="4"/>
      <c r="AA39" s="10" t="str">
        <f t="shared" si="3"/>
        <v/>
      </c>
      <c r="AB39" s="4"/>
    </row>
    <row r="40" spans="1:28" ht="18" customHeight="1" x14ac:dyDescent="0.45">
      <c r="A40" s="6"/>
      <c r="B40" s="6"/>
      <c r="C40" s="6"/>
      <c r="D40" s="6"/>
      <c r="E40" s="11">
        <f t="shared" si="2"/>
        <v>0</v>
      </c>
      <c r="F40" s="6"/>
      <c r="G40" s="6"/>
      <c r="H40" s="11" t="str">
        <f>IF(F40="","",IFERROR(VLOOKUP(F40,'Incident Intake'!$A:$AE,31,FALSE())-VLOOKUP(F40,'Incident Intake'!$A:$AD,30,FALSE())+1,1))</f>
        <v/>
      </c>
      <c r="I40" s="6"/>
      <c r="J40" s="6"/>
      <c r="K40" s="11" t="str">
        <f>IF(I40="","",IFERROR(VLOOKUP(I40,'Incident Intake'!$A:$AE,31,FALSE())-VLOOKUP(I40,'Incident Intake'!$A:$AD,30,FALSE())+1,1))</f>
        <v/>
      </c>
      <c r="L40" s="6"/>
      <c r="M40" s="6"/>
      <c r="N40" s="11" t="str">
        <f>IF(L40="","",IFERROR(VLOOKUP(L40,'Incident Intake'!$A:$AE,31,FALSE())-VLOOKUP(L40,'Incident Intake'!$A:$AD,30,FALSE())+1,1))</f>
        <v/>
      </c>
      <c r="O40" s="6"/>
      <c r="P40" s="6"/>
      <c r="Q40" s="11" t="str">
        <f>IF(O40="","",IFERROR(VLOOKUP(O40,'Incident Intake'!$A:$AE,31,FALSE())-VLOOKUP(O40,'Incident Intake'!$A:$AD,30,FALSE())+1,1))</f>
        <v/>
      </c>
      <c r="R40" s="6"/>
      <c r="S40" s="6"/>
      <c r="T40" s="11" t="str">
        <f>IF(R40="","",IFERROR(VLOOKUP(R40,'Incident Intake'!$A:$AE,31,FALSE())-VLOOKUP(R40,'Incident Intake'!$A:$AD,30,FALSE())+1,1))</f>
        <v/>
      </c>
      <c r="U40" s="6"/>
      <c r="V40" s="6"/>
      <c r="W40" s="6"/>
      <c r="X40" s="6"/>
      <c r="Y40" s="6"/>
      <c r="Z40" s="6"/>
      <c r="AA40" s="10" t="str">
        <f t="shared" si="3"/>
        <v/>
      </c>
      <c r="AB40" s="6"/>
    </row>
    <row r="41" spans="1:28" ht="18" customHeight="1" x14ac:dyDescent="0.45">
      <c r="A41" s="4"/>
      <c r="B41" s="4"/>
      <c r="C41" s="4"/>
      <c r="D41" s="4"/>
      <c r="E41" s="11">
        <f t="shared" si="2"/>
        <v>0</v>
      </c>
      <c r="F41" s="4"/>
      <c r="G41" s="4"/>
      <c r="H41" s="11" t="str">
        <f>IF(F41="","",IFERROR(VLOOKUP(F41,'Incident Intake'!$A:$AE,31,FALSE())-VLOOKUP(F41,'Incident Intake'!$A:$AD,30,FALSE())+1,1))</f>
        <v/>
      </c>
      <c r="I41" s="4"/>
      <c r="J41" s="4"/>
      <c r="K41" s="11" t="str">
        <f>IF(I41="","",IFERROR(VLOOKUP(I41,'Incident Intake'!$A:$AE,31,FALSE())-VLOOKUP(I41,'Incident Intake'!$A:$AD,30,FALSE())+1,1))</f>
        <v/>
      </c>
      <c r="L41" s="4"/>
      <c r="M41" s="4"/>
      <c r="N41" s="11" t="str">
        <f>IF(L41="","",IFERROR(VLOOKUP(L41,'Incident Intake'!$A:$AE,31,FALSE())-VLOOKUP(L41,'Incident Intake'!$A:$AD,30,FALSE())+1,1))</f>
        <v/>
      </c>
      <c r="O41" s="4"/>
      <c r="P41" s="4"/>
      <c r="Q41" s="11" t="str">
        <f>IF(O41="","",IFERROR(VLOOKUP(O41,'Incident Intake'!$A:$AE,31,FALSE())-VLOOKUP(O41,'Incident Intake'!$A:$AD,30,FALSE())+1,1))</f>
        <v/>
      </c>
      <c r="R41" s="4"/>
      <c r="S41" s="4"/>
      <c r="T41" s="11" t="str">
        <f>IF(R41="","",IFERROR(VLOOKUP(R41,'Incident Intake'!$A:$AE,31,FALSE())-VLOOKUP(R41,'Incident Intake'!$A:$AD,30,FALSE())+1,1))</f>
        <v/>
      </c>
      <c r="U41" s="4"/>
      <c r="V41" s="4"/>
      <c r="W41" s="4"/>
      <c r="X41" s="4"/>
      <c r="Y41" s="4"/>
      <c r="Z41" s="4"/>
      <c r="AA41" s="10" t="str">
        <f t="shared" si="3"/>
        <v/>
      </c>
      <c r="AB41" s="4"/>
    </row>
    <row r="42" spans="1:28" ht="18" customHeight="1" x14ac:dyDescent="0.45">
      <c r="A42" s="6"/>
      <c r="B42" s="6"/>
      <c r="C42" s="6"/>
      <c r="D42" s="6"/>
      <c r="E42" s="11">
        <f t="shared" si="2"/>
        <v>0</v>
      </c>
      <c r="F42" s="6"/>
      <c r="G42" s="6"/>
      <c r="H42" s="11" t="str">
        <f>IF(F42="","",IFERROR(VLOOKUP(F42,'Incident Intake'!$A:$AE,31,FALSE())-VLOOKUP(F42,'Incident Intake'!$A:$AD,30,FALSE())+1,1))</f>
        <v/>
      </c>
      <c r="I42" s="6"/>
      <c r="J42" s="6"/>
      <c r="K42" s="11" t="str">
        <f>IF(I42="","",IFERROR(VLOOKUP(I42,'Incident Intake'!$A:$AE,31,FALSE())-VLOOKUP(I42,'Incident Intake'!$A:$AD,30,FALSE())+1,1))</f>
        <v/>
      </c>
      <c r="L42" s="6"/>
      <c r="M42" s="6"/>
      <c r="N42" s="11" t="str">
        <f>IF(L42="","",IFERROR(VLOOKUP(L42,'Incident Intake'!$A:$AE,31,FALSE())-VLOOKUP(L42,'Incident Intake'!$A:$AD,30,FALSE())+1,1))</f>
        <v/>
      </c>
      <c r="O42" s="6"/>
      <c r="P42" s="6"/>
      <c r="Q42" s="11" t="str">
        <f>IF(O42="","",IFERROR(VLOOKUP(O42,'Incident Intake'!$A:$AE,31,FALSE())-VLOOKUP(O42,'Incident Intake'!$A:$AD,30,FALSE())+1,1))</f>
        <v/>
      </c>
      <c r="R42" s="6"/>
      <c r="S42" s="6"/>
      <c r="T42" s="11" t="str">
        <f>IF(R42="","",IFERROR(VLOOKUP(R42,'Incident Intake'!$A:$AE,31,FALSE())-VLOOKUP(R42,'Incident Intake'!$A:$AD,30,FALSE())+1,1))</f>
        <v/>
      </c>
      <c r="U42" s="6"/>
      <c r="V42" s="6"/>
      <c r="W42" s="6"/>
      <c r="X42" s="6"/>
      <c r="Y42" s="6"/>
      <c r="Z42" s="6"/>
      <c r="AA42" s="10" t="str">
        <f t="shared" si="3"/>
        <v/>
      </c>
      <c r="AB42" s="6"/>
    </row>
    <row r="43" spans="1:28" ht="18" customHeight="1" x14ac:dyDescent="0.45">
      <c r="A43" s="4"/>
      <c r="B43" s="4"/>
      <c r="C43" s="4"/>
      <c r="D43" s="4"/>
      <c r="E43" s="11">
        <f t="shared" si="2"/>
        <v>0</v>
      </c>
      <c r="F43" s="4"/>
      <c r="G43" s="4"/>
      <c r="H43" s="11" t="str">
        <f>IF(F43="","",IFERROR(VLOOKUP(F43,'Incident Intake'!$A:$AE,31,FALSE())-VLOOKUP(F43,'Incident Intake'!$A:$AD,30,FALSE())+1,1))</f>
        <v/>
      </c>
      <c r="I43" s="4"/>
      <c r="J43" s="4"/>
      <c r="K43" s="11" t="str">
        <f>IF(I43="","",IFERROR(VLOOKUP(I43,'Incident Intake'!$A:$AE,31,FALSE())-VLOOKUP(I43,'Incident Intake'!$A:$AD,30,FALSE())+1,1))</f>
        <v/>
      </c>
      <c r="L43" s="4"/>
      <c r="M43" s="4"/>
      <c r="N43" s="11" t="str">
        <f>IF(L43="","",IFERROR(VLOOKUP(L43,'Incident Intake'!$A:$AE,31,FALSE())-VLOOKUP(L43,'Incident Intake'!$A:$AD,30,FALSE())+1,1))</f>
        <v/>
      </c>
      <c r="O43" s="4"/>
      <c r="P43" s="4"/>
      <c r="Q43" s="11" t="str">
        <f>IF(O43="","",IFERROR(VLOOKUP(O43,'Incident Intake'!$A:$AE,31,FALSE())-VLOOKUP(O43,'Incident Intake'!$A:$AD,30,FALSE())+1,1))</f>
        <v/>
      </c>
      <c r="R43" s="4"/>
      <c r="S43" s="4"/>
      <c r="T43" s="11" t="str">
        <f>IF(R43="","",IFERROR(VLOOKUP(R43,'Incident Intake'!$A:$AE,31,FALSE())-VLOOKUP(R43,'Incident Intake'!$A:$AD,30,FALSE())+1,1))</f>
        <v/>
      </c>
      <c r="U43" s="4"/>
      <c r="V43" s="4"/>
      <c r="W43" s="4"/>
      <c r="X43" s="4"/>
      <c r="Y43" s="4"/>
      <c r="Z43" s="4"/>
      <c r="AA43" s="10" t="str">
        <f t="shared" si="3"/>
        <v/>
      </c>
      <c r="AB43" s="4"/>
    </row>
    <row r="44" spans="1:28" ht="18" customHeight="1" x14ac:dyDescent="0.45">
      <c r="A44" s="6"/>
      <c r="B44" s="6"/>
      <c r="C44" s="6"/>
      <c r="D44" s="6"/>
      <c r="E44" s="11">
        <f t="shared" si="2"/>
        <v>0</v>
      </c>
      <c r="F44" s="6"/>
      <c r="G44" s="6"/>
      <c r="H44" s="11" t="str">
        <f>IF(F44="","",IFERROR(VLOOKUP(F44,'Incident Intake'!$A:$AE,31,FALSE())-VLOOKUP(F44,'Incident Intake'!$A:$AD,30,FALSE())+1,1))</f>
        <v/>
      </c>
      <c r="I44" s="6"/>
      <c r="J44" s="6"/>
      <c r="K44" s="11" t="str">
        <f>IF(I44="","",IFERROR(VLOOKUP(I44,'Incident Intake'!$A:$AE,31,FALSE())-VLOOKUP(I44,'Incident Intake'!$A:$AD,30,FALSE())+1,1))</f>
        <v/>
      </c>
      <c r="L44" s="6"/>
      <c r="M44" s="6"/>
      <c r="N44" s="11" t="str">
        <f>IF(L44="","",IFERROR(VLOOKUP(L44,'Incident Intake'!$A:$AE,31,FALSE())-VLOOKUP(L44,'Incident Intake'!$A:$AD,30,FALSE())+1,1))</f>
        <v/>
      </c>
      <c r="O44" s="6"/>
      <c r="P44" s="6"/>
      <c r="Q44" s="11" t="str">
        <f>IF(O44="","",IFERROR(VLOOKUP(O44,'Incident Intake'!$A:$AE,31,FALSE())-VLOOKUP(O44,'Incident Intake'!$A:$AD,30,FALSE())+1,1))</f>
        <v/>
      </c>
      <c r="R44" s="6"/>
      <c r="S44" s="6"/>
      <c r="T44" s="11" t="str">
        <f>IF(R44="","",IFERROR(VLOOKUP(R44,'Incident Intake'!$A:$AE,31,FALSE())-VLOOKUP(R44,'Incident Intake'!$A:$AD,30,FALSE())+1,1))</f>
        <v/>
      </c>
      <c r="U44" s="6"/>
      <c r="V44" s="6"/>
      <c r="W44" s="6"/>
      <c r="X44" s="6"/>
      <c r="Y44" s="6"/>
      <c r="Z44" s="6"/>
      <c r="AA44" s="10" t="str">
        <f t="shared" si="3"/>
        <v/>
      </c>
      <c r="AB44" s="6"/>
    </row>
    <row r="45" spans="1:28" ht="18" customHeight="1" x14ac:dyDescent="0.45">
      <c r="A45" s="4"/>
      <c r="B45" s="4"/>
      <c r="C45" s="4"/>
      <c r="D45" s="4"/>
      <c r="E45" s="11">
        <f t="shared" si="2"/>
        <v>0</v>
      </c>
      <c r="F45" s="4"/>
      <c r="G45" s="4"/>
      <c r="H45" s="11" t="str">
        <f>IF(F45="","",IFERROR(VLOOKUP(F45,'Incident Intake'!$A:$AE,31,FALSE())-VLOOKUP(F45,'Incident Intake'!$A:$AD,30,FALSE())+1,1))</f>
        <v/>
      </c>
      <c r="I45" s="4"/>
      <c r="J45" s="4"/>
      <c r="K45" s="11" t="str">
        <f>IF(I45="","",IFERROR(VLOOKUP(I45,'Incident Intake'!$A:$AE,31,FALSE())-VLOOKUP(I45,'Incident Intake'!$A:$AD,30,FALSE())+1,1))</f>
        <v/>
      </c>
      <c r="L45" s="4"/>
      <c r="M45" s="4"/>
      <c r="N45" s="11" t="str">
        <f>IF(L45="","",IFERROR(VLOOKUP(L45,'Incident Intake'!$A:$AE,31,FALSE())-VLOOKUP(L45,'Incident Intake'!$A:$AD,30,FALSE())+1,1))</f>
        <v/>
      </c>
      <c r="O45" s="4"/>
      <c r="P45" s="4"/>
      <c r="Q45" s="11" t="str">
        <f>IF(O45="","",IFERROR(VLOOKUP(O45,'Incident Intake'!$A:$AE,31,FALSE())-VLOOKUP(O45,'Incident Intake'!$A:$AD,30,FALSE())+1,1))</f>
        <v/>
      </c>
      <c r="R45" s="4"/>
      <c r="S45" s="4"/>
      <c r="T45" s="11" t="str">
        <f>IF(R45="","",IFERROR(VLOOKUP(R45,'Incident Intake'!$A:$AE,31,FALSE())-VLOOKUP(R45,'Incident Intake'!$A:$AD,30,FALSE())+1,1))</f>
        <v/>
      </c>
      <c r="U45" s="4"/>
      <c r="V45" s="4"/>
      <c r="W45" s="4"/>
      <c r="X45" s="4"/>
      <c r="Y45" s="4"/>
      <c r="Z45" s="4"/>
      <c r="AA45" s="10" t="str">
        <f t="shared" si="3"/>
        <v/>
      </c>
      <c r="AB45" s="4"/>
    </row>
    <row r="46" spans="1:28" ht="18" customHeight="1" x14ac:dyDescent="0.45">
      <c r="A46" s="6"/>
      <c r="B46" s="6"/>
      <c r="C46" s="6"/>
      <c r="D46" s="6"/>
      <c r="E46" s="11">
        <f t="shared" si="2"/>
        <v>0</v>
      </c>
      <c r="F46" s="6"/>
      <c r="G46" s="6"/>
      <c r="H46" s="11" t="str">
        <f>IF(F46="","",IFERROR(VLOOKUP(F46,'Incident Intake'!$A:$AE,31,FALSE())-VLOOKUP(F46,'Incident Intake'!$A:$AD,30,FALSE())+1,1))</f>
        <v/>
      </c>
      <c r="I46" s="6"/>
      <c r="J46" s="6"/>
      <c r="K46" s="11" t="str">
        <f>IF(I46="","",IFERROR(VLOOKUP(I46,'Incident Intake'!$A:$AE,31,FALSE())-VLOOKUP(I46,'Incident Intake'!$A:$AD,30,FALSE())+1,1))</f>
        <v/>
      </c>
      <c r="L46" s="6"/>
      <c r="M46" s="6"/>
      <c r="N46" s="11" t="str">
        <f>IF(L46="","",IFERROR(VLOOKUP(L46,'Incident Intake'!$A:$AE,31,FALSE())-VLOOKUP(L46,'Incident Intake'!$A:$AD,30,FALSE())+1,1))</f>
        <v/>
      </c>
      <c r="O46" s="6"/>
      <c r="P46" s="6"/>
      <c r="Q46" s="11" t="str">
        <f>IF(O46="","",IFERROR(VLOOKUP(O46,'Incident Intake'!$A:$AE,31,FALSE())-VLOOKUP(O46,'Incident Intake'!$A:$AD,30,FALSE())+1,1))</f>
        <v/>
      </c>
      <c r="R46" s="6"/>
      <c r="S46" s="6"/>
      <c r="T46" s="11" t="str">
        <f>IF(R46="","",IFERROR(VLOOKUP(R46,'Incident Intake'!$A:$AE,31,FALSE())-VLOOKUP(R46,'Incident Intake'!$A:$AD,30,FALSE())+1,1))</f>
        <v/>
      </c>
      <c r="U46" s="6"/>
      <c r="V46" s="6"/>
      <c r="W46" s="6"/>
      <c r="X46" s="6"/>
      <c r="Y46" s="6"/>
      <c r="Z46" s="6"/>
      <c r="AA46" s="10" t="str">
        <f t="shared" si="3"/>
        <v/>
      </c>
      <c r="AB46" s="6"/>
    </row>
    <row r="47" spans="1:28" ht="18" customHeight="1" x14ac:dyDescent="0.45">
      <c r="A47" s="4"/>
      <c r="B47" s="4"/>
      <c r="C47" s="4"/>
      <c r="D47" s="4"/>
      <c r="E47" s="11">
        <f t="shared" si="2"/>
        <v>0</v>
      </c>
      <c r="F47" s="4"/>
      <c r="G47" s="4"/>
      <c r="H47" s="11" t="str">
        <f>IF(F47="","",IFERROR(VLOOKUP(F47,'Incident Intake'!$A:$AE,31,FALSE())-VLOOKUP(F47,'Incident Intake'!$A:$AD,30,FALSE())+1,1))</f>
        <v/>
      </c>
      <c r="I47" s="4"/>
      <c r="J47" s="4"/>
      <c r="K47" s="11" t="str">
        <f>IF(I47="","",IFERROR(VLOOKUP(I47,'Incident Intake'!$A:$AE,31,FALSE())-VLOOKUP(I47,'Incident Intake'!$A:$AD,30,FALSE())+1,1))</f>
        <v/>
      </c>
      <c r="L47" s="4"/>
      <c r="M47" s="4"/>
      <c r="N47" s="11" t="str">
        <f>IF(L47="","",IFERROR(VLOOKUP(L47,'Incident Intake'!$A:$AE,31,FALSE())-VLOOKUP(L47,'Incident Intake'!$A:$AD,30,FALSE())+1,1))</f>
        <v/>
      </c>
      <c r="O47" s="4"/>
      <c r="P47" s="4"/>
      <c r="Q47" s="11" t="str">
        <f>IF(O47="","",IFERROR(VLOOKUP(O47,'Incident Intake'!$A:$AE,31,FALSE())-VLOOKUP(O47,'Incident Intake'!$A:$AD,30,FALSE())+1,1))</f>
        <v/>
      </c>
      <c r="R47" s="4"/>
      <c r="S47" s="4"/>
      <c r="T47" s="11" t="str">
        <f>IF(R47="","",IFERROR(VLOOKUP(R47,'Incident Intake'!$A:$AE,31,FALSE())-VLOOKUP(R47,'Incident Intake'!$A:$AD,30,FALSE())+1,1))</f>
        <v/>
      </c>
      <c r="U47" s="4"/>
      <c r="V47" s="4"/>
      <c r="W47" s="4"/>
      <c r="X47" s="4"/>
      <c r="Y47" s="4"/>
      <c r="Z47" s="4"/>
      <c r="AA47" s="10" t="str">
        <f t="shared" si="3"/>
        <v/>
      </c>
      <c r="AB47" s="4"/>
    </row>
    <row r="48" spans="1:28" ht="18" customHeight="1" x14ac:dyDescent="0.45">
      <c r="A48" s="6"/>
      <c r="B48" s="6"/>
      <c r="C48" s="6"/>
      <c r="D48" s="6"/>
      <c r="E48" s="11">
        <f t="shared" si="2"/>
        <v>0</v>
      </c>
      <c r="F48" s="6"/>
      <c r="G48" s="6"/>
      <c r="H48" s="11" t="str">
        <f>IF(F48="","",IFERROR(VLOOKUP(F48,'Incident Intake'!$A:$AE,31,FALSE())-VLOOKUP(F48,'Incident Intake'!$A:$AD,30,FALSE())+1,1))</f>
        <v/>
      </c>
      <c r="I48" s="6"/>
      <c r="J48" s="6"/>
      <c r="K48" s="11" t="str">
        <f>IF(I48="","",IFERROR(VLOOKUP(I48,'Incident Intake'!$A:$AE,31,FALSE())-VLOOKUP(I48,'Incident Intake'!$A:$AD,30,FALSE())+1,1))</f>
        <v/>
      </c>
      <c r="L48" s="6"/>
      <c r="M48" s="6"/>
      <c r="N48" s="11" t="str">
        <f>IF(L48="","",IFERROR(VLOOKUP(L48,'Incident Intake'!$A:$AE,31,FALSE())-VLOOKUP(L48,'Incident Intake'!$A:$AD,30,FALSE())+1,1))</f>
        <v/>
      </c>
      <c r="O48" s="6"/>
      <c r="P48" s="6"/>
      <c r="Q48" s="11" t="str">
        <f>IF(O48="","",IFERROR(VLOOKUP(O48,'Incident Intake'!$A:$AE,31,FALSE())-VLOOKUP(O48,'Incident Intake'!$A:$AD,30,FALSE())+1,1))</f>
        <v/>
      </c>
      <c r="R48" s="6"/>
      <c r="S48" s="6"/>
      <c r="T48" s="11" t="str">
        <f>IF(R48="","",IFERROR(VLOOKUP(R48,'Incident Intake'!$A:$AE,31,FALSE())-VLOOKUP(R48,'Incident Intake'!$A:$AD,30,FALSE())+1,1))</f>
        <v/>
      </c>
      <c r="U48" s="6"/>
      <c r="V48" s="6"/>
      <c r="W48" s="6"/>
      <c r="X48" s="6"/>
      <c r="Y48" s="6"/>
      <c r="Z48" s="6"/>
      <c r="AA48" s="10" t="str">
        <f t="shared" si="3"/>
        <v/>
      </c>
      <c r="AB48" s="6"/>
    </row>
    <row r="49" spans="1:28" ht="18" customHeight="1" x14ac:dyDescent="0.45">
      <c r="A49" s="4"/>
      <c r="B49" s="4"/>
      <c r="C49" s="4"/>
      <c r="D49" s="4"/>
      <c r="E49" s="11">
        <f t="shared" si="2"/>
        <v>0</v>
      </c>
      <c r="F49" s="4"/>
      <c r="G49" s="4"/>
      <c r="H49" s="11" t="str">
        <f>IF(F49="","",IFERROR(VLOOKUP(F49,'Incident Intake'!$A:$AE,31,FALSE())-VLOOKUP(F49,'Incident Intake'!$A:$AD,30,FALSE())+1,1))</f>
        <v/>
      </c>
      <c r="I49" s="4"/>
      <c r="J49" s="4"/>
      <c r="K49" s="11" t="str">
        <f>IF(I49="","",IFERROR(VLOOKUP(I49,'Incident Intake'!$A:$AE,31,FALSE())-VLOOKUP(I49,'Incident Intake'!$A:$AD,30,FALSE())+1,1))</f>
        <v/>
      </c>
      <c r="L49" s="4"/>
      <c r="M49" s="4"/>
      <c r="N49" s="11" t="str">
        <f>IF(L49="","",IFERROR(VLOOKUP(L49,'Incident Intake'!$A:$AE,31,FALSE())-VLOOKUP(L49,'Incident Intake'!$A:$AD,30,FALSE())+1,1))</f>
        <v/>
      </c>
      <c r="O49" s="4"/>
      <c r="P49" s="4"/>
      <c r="Q49" s="11" t="str">
        <f>IF(O49="","",IFERROR(VLOOKUP(O49,'Incident Intake'!$A:$AE,31,FALSE())-VLOOKUP(O49,'Incident Intake'!$A:$AD,30,FALSE())+1,1))</f>
        <v/>
      </c>
      <c r="R49" s="4"/>
      <c r="S49" s="4"/>
      <c r="T49" s="11" t="str">
        <f>IF(R49="","",IFERROR(VLOOKUP(R49,'Incident Intake'!$A:$AE,31,FALSE())-VLOOKUP(R49,'Incident Intake'!$A:$AD,30,FALSE())+1,1))</f>
        <v/>
      </c>
      <c r="U49" s="4"/>
      <c r="V49" s="4"/>
      <c r="W49" s="4"/>
      <c r="X49" s="4"/>
      <c r="Y49" s="4"/>
      <c r="Z49" s="4"/>
      <c r="AA49" s="10" t="str">
        <f t="shared" si="3"/>
        <v/>
      </c>
      <c r="AB49" s="4"/>
    </row>
    <row r="50" spans="1:28" ht="18" customHeight="1" x14ac:dyDescent="0.45">
      <c r="A50" s="6"/>
      <c r="B50" s="6"/>
      <c r="C50" s="6"/>
      <c r="D50" s="6"/>
      <c r="E50" s="11">
        <f t="shared" si="2"/>
        <v>0</v>
      </c>
      <c r="F50" s="6"/>
      <c r="G50" s="6"/>
      <c r="H50" s="11" t="str">
        <f>IF(F50="","",IFERROR(VLOOKUP(F50,'Incident Intake'!$A:$AE,31,FALSE())-VLOOKUP(F50,'Incident Intake'!$A:$AD,30,FALSE())+1,1))</f>
        <v/>
      </c>
      <c r="I50" s="6"/>
      <c r="J50" s="6"/>
      <c r="K50" s="11" t="str">
        <f>IF(I50="","",IFERROR(VLOOKUP(I50,'Incident Intake'!$A:$AE,31,FALSE())-VLOOKUP(I50,'Incident Intake'!$A:$AD,30,FALSE())+1,1))</f>
        <v/>
      </c>
      <c r="L50" s="6"/>
      <c r="M50" s="6"/>
      <c r="N50" s="11" t="str">
        <f>IF(L50="","",IFERROR(VLOOKUP(L50,'Incident Intake'!$A:$AE,31,FALSE())-VLOOKUP(L50,'Incident Intake'!$A:$AD,30,FALSE())+1,1))</f>
        <v/>
      </c>
      <c r="O50" s="6"/>
      <c r="P50" s="6"/>
      <c r="Q50" s="11" t="str">
        <f>IF(O50="","",IFERROR(VLOOKUP(O50,'Incident Intake'!$A:$AE,31,FALSE())-VLOOKUP(O50,'Incident Intake'!$A:$AD,30,FALSE())+1,1))</f>
        <v/>
      </c>
      <c r="R50" s="6"/>
      <c r="S50" s="6"/>
      <c r="T50" s="11" t="str">
        <f>IF(R50="","",IFERROR(VLOOKUP(R50,'Incident Intake'!$A:$AE,31,FALSE())-VLOOKUP(R50,'Incident Intake'!$A:$AD,30,FALSE())+1,1))</f>
        <v/>
      </c>
      <c r="U50" s="6"/>
      <c r="V50" s="6"/>
      <c r="W50" s="6"/>
      <c r="X50" s="6"/>
      <c r="Y50" s="6"/>
      <c r="Z50" s="6"/>
      <c r="AA50" s="10" t="str">
        <f t="shared" si="3"/>
        <v/>
      </c>
      <c r="AB50" s="6"/>
    </row>
    <row r="51" spans="1:28" ht="18" customHeight="1" x14ac:dyDescent="0.45">
      <c r="A51" s="4"/>
      <c r="B51" s="4"/>
      <c r="C51" s="4"/>
      <c r="D51" s="4"/>
      <c r="E51" s="11">
        <f t="shared" si="2"/>
        <v>0</v>
      </c>
      <c r="F51" s="4"/>
      <c r="G51" s="4"/>
      <c r="H51" s="11" t="str">
        <f>IF(F51="","",IFERROR(VLOOKUP(F51,'Incident Intake'!$A:$AE,31,FALSE())-VLOOKUP(F51,'Incident Intake'!$A:$AD,30,FALSE())+1,1))</f>
        <v/>
      </c>
      <c r="I51" s="4"/>
      <c r="J51" s="4"/>
      <c r="K51" s="11" t="str">
        <f>IF(I51="","",IFERROR(VLOOKUP(I51,'Incident Intake'!$A:$AE,31,FALSE())-VLOOKUP(I51,'Incident Intake'!$A:$AD,30,FALSE())+1,1))</f>
        <v/>
      </c>
      <c r="L51" s="4"/>
      <c r="M51" s="4"/>
      <c r="N51" s="11" t="str">
        <f>IF(L51="","",IFERROR(VLOOKUP(L51,'Incident Intake'!$A:$AE,31,FALSE())-VLOOKUP(L51,'Incident Intake'!$A:$AD,30,FALSE())+1,1))</f>
        <v/>
      </c>
      <c r="O51" s="4"/>
      <c r="P51" s="4"/>
      <c r="Q51" s="11" t="str">
        <f>IF(O51="","",IFERROR(VLOOKUP(O51,'Incident Intake'!$A:$AE,31,FALSE())-VLOOKUP(O51,'Incident Intake'!$A:$AD,30,FALSE())+1,1))</f>
        <v/>
      </c>
      <c r="R51" s="4"/>
      <c r="S51" s="4"/>
      <c r="T51" s="11" t="str">
        <f>IF(R51="","",IFERROR(VLOOKUP(R51,'Incident Intake'!$A:$AE,31,FALSE())-VLOOKUP(R51,'Incident Intake'!$A:$AD,30,FALSE())+1,1))</f>
        <v/>
      </c>
      <c r="U51" s="4"/>
      <c r="V51" s="4"/>
      <c r="W51" s="4"/>
      <c r="X51" s="4"/>
      <c r="Y51" s="4"/>
      <c r="Z51" s="4"/>
      <c r="AA51" s="10" t="str">
        <f t="shared" si="3"/>
        <v/>
      </c>
      <c r="AB51" s="4"/>
    </row>
    <row r="52" spans="1:28" ht="18" customHeight="1" x14ac:dyDescent="0.45">
      <c r="A52" s="6"/>
      <c r="B52" s="6"/>
      <c r="C52" s="6"/>
      <c r="D52" s="6"/>
      <c r="E52" s="11">
        <f t="shared" si="2"/>
        <v>0</v>
      </c>
      <c r="F52" s="6"/>
      <c r="G52" s="6"/>
      <c r="H52" s="11" t="str">
        <f>IF(F52="","",IFERROR(VLOOKUP(F52,'Incident Intake'!$A:$AE,31,FALSE())-VLOOKUP(F52,'Incident Intake'!$A:$AD,30,FALSE())+1,1))</f>
        <v/>
      </c>
      <c r="I52" s="6"/>
      <c r="J52" s="6"/>
      <c r="K52" s="11" t="str">
        <f>IF(I52="","",IFERROR(VLOOKUP(I52,'Incident Intake'!$A:$AE,31,FALSE())-VLOOKUP(I52,'Incident Intake'!$A:$AD,30,FALSE())+1,1))</f>
        <v/>
      </c>
      <c r="L52" s="6"/>
      <c r="M52" s="6"/>
      <c r="N52" s="11" t="str">
        <f>IF(L52="","",IFERROR(VLOOKUP(L52,'Incident Intake'!$A:$AE,31,FALSE())-VLOOKUP(L52,'Incident Intake'!$A:$AD,30,FALSE())+1,1))</f>
        <v/>
      </c>
      <c r="O52" s="6"/>
      <c r="P52" s="6"/>
      <c r="Q52" s="11" t="str">
        <f>IF(O52="","",IFERROR(VLOOKUP(O52,'Incident Intake'!$A:$AE,31,FALSE())-VLOOKUP(O52,'Incident Intake'!$A:$AD,30,FALSE())+1,1))</f>
        <v/>
      </c>
      <c r="R52" s="6"/>
      <c r="S52" s="6"/>
      <c r="T52" s="11" t="str">
        <f>IF(R52="","",IFERROR(VLOOKUP(R52,'Incident Intake'!$A:$AE,31,FALSE())-VLOOKUP(R52,'Incident Intake'!$A:$AD,30,FALSE())+1,1))</f>
        <v/>
      </c>
      <c r="U52" s="6"/>
      <c r="V52" s="6"/>
      <c r="W52" s="6"/>
      <c r="X52" s="6"/>
      <c r="Y52" s="6"/>
      <c r="Z52" s="6"/>
      <c r="AA52" s="10" t="str">
        <f t="shared" si="3"/>
        <v/>
      </c>
      <c r="AB52" s="6"/>
    </row>
    <row r="53" spans="1:28" ht="18" customHeight="1" x14ac:dyDescent="0.45">
      <c r="A53" s="4"/>
      <c r="B53" s="4"/>
      <c r="C53" s="4"/>
      <c r="D53" s="4"/>
      <c r="E53" s="11">
        <f t="shared" si="2"/>
        <v>0</v>
      </c>
      <c r="F53" s="4"/>
      <c r="G53" s="4"/>
      <c r="H53" s="11" t="str">
        <f>IF(F53="","",IFERROR(VLOOKUP(F53,'Incident Intake'!$A:$AE,31,FALSE())-VLOOKUP(F53,'Incident Intake'!$A:$AD,30,FALSE())+1,1))</f>
        <v/>
      </c>
      <c r="I53" s="4"/>
      <c r="J53" s="4"/>
      <c r="K53" s="11" t="str">
        <f>IF(I53="","",IFERROR(VLOOKUP(I53,'Incident Intake'!$A:$AE,31,FALSE())-VLOOKUP(I53,'Incident Intake'!$A:$AD,30,FALSE())+1,1))</f>
        <v/>
      </c>
      <c r="L53" s="4"/>
      <c r="M53" s="4"/>
      <c r="N53" s="11" t="str">
        <f>IF(L53="","",IFERROR(VLOOKUP(L53,'Incident Intake'!$A:$AE,31,FALSE())-VLOOKUP(L53,'Incident Intake'!$A:$AD,30,FALSE())+1,1))</f>
        <v/>
      </c>
      <c r="O53" s="4"/>
      <c r="P53" s="4"/>
      <c r="Q53" s="11" t="str">
        <f>IF(O53="","",IFERROR(VLOOKUP(O53,'Incident Intake'!$A:$AE,31,FALSE())-VLOOKUP(O53,'Incident Intake'!$A:$AD,30,FALSE())+1,1))</f>
        <v/>
      </c>
      <c r="R53" s="4"/>
      <c r="S53" s="4"/>
      <c r="T53" s="11" t="str">
        <f>IF(R53="","",IFERROR(VLOOKUP(R53,'Incident Intake'!$A:$AE,31,FALSE())-VLOOKUP(R53,'Incident Intake'!$A:$AD,30,FALSE())+1,1))</f>
        <v/>
      </c>
      <c r="U53" s="4"/>
      <c r="V53" s="4"/>
      <c r="W53" s="4"/>
      <c r="X53" s="4"/>
      <c r="Y53" s="4"/>
      <c r="Z53" s="4"/>
      <c r="AA53" s="10" t="str">
        <f t="shared" si="3"/>
        <v/>
      </c>
      <c r="AB53" s="4"/>
    </row>
    <row r="54" spans="1:28" ht="18" customHeight="1" x14ac:dyDescent="0.45">
      <c r="A54" s="6"/>
      <c r="B54" s="6"/>
      <c r="C54" s="6"/>
      <c r="D54" s="6"/>
      <c r="E54" s="11">
        <f t="shared" si="2"/>
        <v>0</v>
      </c>
      <c r="F54" s="6"/>
      <c r="G54" s="6"/>
      <c r="H54" s="11" t="str">
        <f>IF(F54="","",IFERROR(VLOOKUP(F54,'Incident Intake'!$A:$AE,31,FALSE())-VLOOKUP(F54,'Incident Intake'!$A:$AD,30,FALSE())+1,1))</f>
        <v/>
      </c>
      <c r="I54" s="6"/>
      <c r="J54" s="6"/>
      <c r="K54" s="11" t="str">
        <f>IF(I54="","",IFERROR(VLOOKUP(I54,'Incident Intake'!$A:$AE,31,FALSE())-VLOOKUP(I54,'Incident Intake'!$A:$AD,30,FALSE())+1,1))</f>
        <v/>
      </c>
      <c r="L54" s="6"/>
      <c r="M54" s="6"/>
      <c r="N54" s="11" t="str">
        <f>IF(L54="","",IFERROR(VLOOKUP(L54,'Incident Intake'!$A:$AE,31,FALSE())-VLOOKUP(L54,'Incident Intake'!$A:$AD,30,FALSE())+1,1))</f>
        <v/>
      </c>
      <c r="O54" s="6"/>
      <c r="P54" s="6"/>
      <c r="Q54" s="11" t="str">
        <f>IF(O54="","",IFERROR(VLOOKUP(O54,'Incident Intake'!$A:$AE,31,FALSE())-VLOOKUP(O54,'Incident Intake'!$A:$AD,30,FALSE())+1,1))</f>
        <v/>
      </c>
      <c r="R54" s="6"/>
      <c r="S54" s="6"/>
      <c r="T54" s="11" t="str">
        <f>IF(R54="","",IFERROR(VLOOKUP(R54,'Incident Intake'!$A:$AE,31,FALSE())-VLOOKUP(R54,'Incident Intake'!$A:$AD,30,FALSE())+1,1))</f>
        <v/>
      </c>
      <c r="U54" s="6"/>
      <c r="V54" s="6"/>
      <c r="W54" s="6"/>
      <c r="X54" s="6"/>
      <c r="Y54" s="6"/>
      <c r="Z54" s="6"/>
      <c r="AA54" s="10" t="str">
        <f t="shared" si="3"/>
        <v/>
      </c>
      <c r="AB54" s="6"/>
    </row>
    <row r="55" spans="1:28" ht="18" customHeight="1" x14ac:dyDescent="0.45">
      <c r="A55" s="4"/>
      <c r="B55" s="4"/>
      <c r="C55" s="4"/>
      <c r="D55" s="4"/>
      <c r="E55" s="11">
        <f t="shared" si="2"/>
        <v>0</v>
      </c>
      <c r="F55" s="4"/>
      <c r="G55" s="4"/>
      <c r="H55" s="11" t="str">
        <f>IF(F55="","",IFERROR(VLOOKUP(F55,'Incident Intake'!$A:$AE,31,FALSE())-VLOOKUP(F55,'Incident Intake'!$A:$AD,30,FALSE())+1,1))</f>
        <v/>
      </c>
      <c r="I55" s="4"/>
      <c r="J55" s="4"/>
      <c r="K55" s="11" t="str">
        <f>IF(I55="","",IFERROR(VLOOKUP(I55,'Incident Intake'!$A:$AE,31,FALSE())-VLOOKUP(I55,'Incident Intake'!$A:$AD,30,FALSE())+1,1))</f>
        <v/>
      </c>
      <c r="L55" s="4"/>
      <c r="M55" s="4"/>
      <c r="N55" s="11" t="str">
        <f>IF(L55="","",IFERROR(VLOOKUP(L55,'Incident Intake'!$A:$AE,31,FALSE())-VLOOKUP(L55,'Incident Intake'!$A:$AD,30,FALSE())+1,1))</f>
        <v/>
      </c>
      <c r="O55" s="4"/>
      <c r="P55" s="4"/>
      <c r="Q55" s="11" t="str">
        <f>IF(O55="","",IFERROR(VLOOKUP(O55,'Incident Intake'!$A:$AE,31,FALSE())-VLOOKUP(O55,'Incident Intake'!$A:$AD,30,FALSE())+1,1))</f>
        <v/>
      </c>
      <c r="R55" s="4"/>
      <c r="S55" s="4"/>
      <c r="T55" s="11" t="str">
        <f>IF(R55="","",IFERROR(VLOOKUP(R55,'Incident Intake'!$A:$AE,31,FALSE())-VLOOKUP(R55,'Incident Intake'!$A:$AD,30,FALSE())+1,1))</f>
        <v/>
      </c>
      <c r="U55" s="4"/>
      <c r="V55" s="4"/>
      <c r="W55" s="4"/>
      <c r="X55" s="4"/>
      <c r="Y55" s="4"/>
      <c r="Z55" s="4"/>
      <c r="AA55" s="10" t="str">
        <f t="shared" si="3"/>
        <v/>
      </c>
      <c r="AB55" s="4"/>
    </row>
    <row r="56" spans="1:28" ht="18" customHeight="1" x14ac:dyDescent="0.45">
      <c r="A56" s="6"/>
      <c r="B56" s="6"/>
      <c r="C56" s="6"/>
      <c r="D56" s="6"/>
      <c r="E56" s="11">
        <f t="shared" si="2"/>
        <v>0</v>
      </c>
      <c r="F56" s="6"/>
      <c r="G56" s="6"/>
      <c r="H56" s="11" t="str">
        <f>IF(F56="","",IFERROR(VLOOKUP(F56,'Incident Intake'!$A:$AE,31,FALSE())-VLOOKUP(F56,'Incident Intake'!$A:$AD,30,FALSE())+1,1))</f>
        <v/>
      </c>
      <c r="I56" s="6"/>
      <c r="J56" s="6"/>
      <c r="K56" s="11" t="str">
        <f>IF(I56="","",IFERROR(VLOOKUP(I56,'Incident Intake'!$A:$AE,31,FALSE())-VLOOKUP(I56,'Incident Intake'!$A:$AD,30,FALSE())+1,1))</f>
        <v/>
      </c>
      <c r="L56" s="6"/>
      <c r="M56" s="6"/>
      <c r="N56" s="11" t="str">
        <f>IF(L56="","",IFERROR(VLOOKUP(L56,'Incident Intake'!$A:$AE,31,FALSE())-VLOOKUP(L56,'Incident Intake'!$A:$AD,30,FALSE())+1,1))</f>
        <v/>
      </c>
      <c r="O56" s="6"/>
      <c r="P56" s="6"/>
      <c r="Q56" s="11" t="str">
        <f>IF(O56="","",IFERROR(VLOOKUP(O56,'Incident Intake'!$A:$AE,31,FALSE())-VLOOKUP(O56,'Incident Intake'!$A:$AD,30,FALSE())+1,1))</f>
        <v/>
      </c>
      <c r="R56" s="6"/>
      <c r="S56" s="6"/>
      <c r="T56" s="11" t="str">
        <f>IF(R56="","",IFERROR(VLOOKUP(R56,'Incident Intake'!$A:$AE,31,FALSE())-VLOOKUP(R56,'Incident Intake'!$A:$AD,30,FALSE())+1,1))</f>
        <v/>
      </c>
      <c r="U56" s="6"/>
      <c r="V56" s="6"/>
      <c r="W56" s="6"/>
      <c r="X56" s="6"/>
      <c r="Y56" s="6"/>
      <c r="Z56" s="6"/>
      <c r="AA56" s="10" t="str">
        <f t="shared" si="3"/>
        <v/>
      </c>
      <c r="AB56" s="6"/>
    </row>
    <row r="57" spans="1:28" ht="18" customHeight="1" x14ac:dyDescent="0.45">
      <c r="A57" s="4"/>
      <c r="B57" s="4"/>
      <c r="C57" s="4"/>
      <c r="D57" s="4"/>
      <c r="E57" s="11">
        <f t="shared" si="2"/>
        <v>0</v>
      </c>
      <c r="F57" s="4"/>
      <c r="G57" s="4"/>
      <c r="H57" s="11" t="str">
        <f>IF(F57="","",IFERROR(VLOOKUP(F57,'Incident Intake'!$A:$AE,31,FALSE())-VLOOKUP(F57,'Incident Intake'!$A:$AD,30,FALSE())+1,1))</f>
        <v/>
      </c>
      <c r="I57" s="4"/>
      <c r="J57" s="4"/>
      <c r="K57" s="11" t="str">
        <f>IF(I57="","",IFERROR(VLOOKUP(I57,'Incident Intake'!$A:$AE,31,FALSE())-VLOOKUP(I57,'Incident Intake'!$A:$AD,30,FALSE())+1,1))</f>
        <v/>
      </c>
      <c r="L57" s="4"/>
      <c r="M57" s="4"/>
      <c r="N57" s="11" t="str">
        <f>IF(L57="","",IFERROR(VLOOKUP(L57,'Incident Intake'!$A:$AE,31,FALSE())-VLOOKUP(L57,'Incident Intake'!$A:$AD,30,FALSE())+1,1))</f>
        <v/>
      </c>
      <c r="O57" s="4"/>
      <c r="P57" s="4"/>
      <c r="Q57" s="11" t="str">
        <f>IF(O57="","",IFERROR(VLOOKUP(O57,'Incident Intake'!$A:$AE,31,FALSE())-VLOOKUP(O57,'Incident Intake'!$A:$AD,30,FALSE())+1,1))</f>
        <v/>
      </c>
      <c r="R57" s="4"/>
      <c r="S57" s="4"/>
      <c r="T57" s="11" t="str">
        <f>IF(R57="","",IFERROR(VLOOKUP(R57,'Incident Intake'!$A:$AE,31,FALSE())-VLOOKUP(R57,'Incident Intake'!$A:$AD,30,FALSE())+1,1))</f>
        <v/>
      </c>
      <c r="U57" s="4"/>
      <c r="V57" s="4"/>
      <c r="W57" s="4"/>
      <c r="X57" s="4"/>
      <c r="Y57" s="4"/>
      <c r="Z57" s="4"/>
      <c r="AA57" s="10" t="str">
        <f t="shared" si="3"/>
        <v/>
      </c>
      <c r="AB57" s="4"/>
    </row>
    <row r="58" spans="1:28" ht="18" customHeight="1" x14ac:dyDescent="0.45">
      <c r="A58" s="6"/>
      <c r="B58" s="6"/>
      <c r="C58" s="6"/>
      <c r="D58" s="6"/>
      <c r="E58" s="11">
        <f t="shared" si="2"/>
        <v>0</v>
      </c>
      <c r="F58" s="6"/>
      <c r="G58" s="6"/>
      <c r="H58" s="11" t="str">
        <f>IF(F58="","",IFERROR(VLOOKUP(F58,'Incident Intake'!$A:$AE,31,FALSE())-VLOOKUP(F58,'Incident Intake'!$A:$AD,30,FALSE())+1,1))</f>
        <v/>
      </c>
      <c r="I58" s="6"/>
      <c r="J58" s="6"/>
      <c r="K58" s="11" t="str">
        <f>IF(I58="","",IFERROR(VLOOKUP(I58,'Incident Intake'!$A:$AE,31,FALSE())-VLOOKUP(I58,'Incident Intake'!$A:$AD,30,FALSE())+1,1))</f>
        <v/>
      </c>
      <c r="L58" s="6"/>
      <c r="M58" s="6"/>
      <c r="N58" s="11" t="str">
        <f>IF(L58="","",IFERROR(VLOOKUP(L58,'Incident Intake'!$A:$AE,31,FALSE())-VLOOKUP(L58,'Incident Intake'!$A:$AD,30,FALSE())+1,1))</f>
        <v/>
      </c>
      <c r="O58" s="6"/>
      <c r="P58" s="6"/>
      <c r="Q58" s="11" t="str">
        <f>IF(O58="","",IFERROR(VLOOKUP(O58,'Incident Intake'!$A:$AE,31,FALSE())-VLOOKUP(O58,'Incident Intake'!$A:$AD,30,FALSE())+1,1))</f>
        <v/>
      </c>
      <c r="R58" s="6"/>
      <c r="S58" s="6"/>
      <c r="T58" s="11" t="str">
        <f>IF(R58="","",IFERROR(VLOOKUP(R58,'Incident Intake'!$A:$AE,31,FALSE())-VLOOKUP(R58,'Incident Intake'!$A:$AD,30,FALSE())+1,1))</f>
        <v/>
      </c>
      <c r="U58" s="6"/>
      <c r="V58" s="6"/>
      <c r="W58" s="6"/>
      <c r="X58" s="6"/>
      <c r="Y58" s="6"/>
      <c r="Z58" s="6"/>
      <c r="AA58" s="10" t="str">
        <f t="shared" si="3"/>
        <v/>
      </c>
      <c r="AB58" s="6"/>
    </row>
    <row r="59" spans="1:28" ht="18" customHeight="1" x14ac:dyDescent="0.45">
      <c r="A59" s="4"/>
      <c r="B59" s="4"/>
      <c r="C59" s="4"/>
      <c r="D59" s="4"/>
      <c r="E59" s="11">
        <f t="shared" si="2"/>
        <v>0</v>
      </c>
      <c r="F59" s="4"/>
      <c r="G59" s="4"/>
      <c r="H59" s="11" t="str">
        <f>IF(F59="","",IFERROR(VLOOKUP(F59,'Incident Intake'!$A:$AE,31,FALSE())-VLOOKUP(F59,'Incident Intake'!$A:$AD,30,FALSE())+1,1))</f>
        <v/>
      </c>
      <c r="I59" s="4"/>
      <c r="J59" s="4"/>
      <c r="K59" s="11" t="str">
        <f>IF(I59="","",IFERROR(VLOOKUP(I59,'Incident Intake'!$A:$AE,31,FALSE())-VLOOKUP(I59,'Incident Intake'!$A:$AD,30,FALSE())+1,1))</f>
        <v/>
      </c>
      <c r="L59" s="4"/>
      <c r="M59" s="4"/>
      <c r="N59" s="11" t="str">
        <f>IF(L59="","",IFERROR(VLOOKUP(L59,'Incident Intake'!$A:$AE,31,FALSE())-VLOOKUP(L59,'Incident Intake'!$A:$AD,30,FALSE())+1,1))</f>
        <v/>
      </c>
      <c r="O59" s="4"/>
      <c r="P59" s="4"/>
      <c r="Q59" s="11" t="str">
        <f>IF(O59="","",IFERROR(VLOOKUP(O59,'Incident Intake'!$A:$AE,31,FALSE())-VLOOKUP(O59,'Incident Intake'!$A:$AD,30,FALSE())+1,1))</f>
        <v/>
      </c>
      <c r="R59" s="4"/>
      <c r="S59" s="4"/>
      <c r="T59" s="11" t="str">
        <f>IF(R59="","",IFERROR(VLOOKUP(R59,'Incident Intake'!$A:$AE,31,FALSE())-VLOOKUP(R59,'Incident Intake'!$A:$AD,30,FALSE())+1,1))</f>
        <v/>
      </c>
      <c r="U59" s="4"/>
      <c r="V59" s="4"/>
      <c r="W59" s="4"/>
      <c r="X59" s="4"/>
      <c r="Y59" s="4"/>
      <c r="Z59" s="4"/>
      <c r="AA59" s="10" t="str">
        <f t="shared" si="3"/>
        <v/>
      </c>
      <c r="AB59" s="4"/>
    </row>
    <row r="60" spans="1:28" ht="18" customHeight="1" x14ac:dyDescent="0.45">
      <c r="A60" s="6"/>
      <c r="B60" s="6"/>
      <c r="C60" s="6"/>
      <c r="D60" s="6"/>
      <c r="E60" s="11">
        <f t="shared" si="2"/>
        <v>0</v>
      </c>
      <c r="F60" s="6"/>
      <c r="G60" s="6"/>
      <c r="H60" s="11" t="str">
        <f>IF(F60="","",IFERROR(VLOOKUP(F60,'Incident Intake'!$A:$AE,31,FALSE())-VLOOKUP(F60,'Incident Intake'!$A:$AD,30,FALSE())+1,1))</f>
        <v/>
      </c>
      <c r="I60" s="6"/>
      <c r="J60" s="6"/>
      <c r="K60" s="11" t="str">
        <f>IF(I60="","",IFERROR(VLOOKUP(I60,'Incident Intake'!$A:$AE,31,FALSE())-VLOOKUP(I60,'Incident Intake'!$A:$AD,30,FALSE())+1,1))</f>
        <v/>
      </c>
      <c r="L60" s="6"/>
      <c r="M60" s="6"/>
      <c r="N60" s="11" t="str">
        <f>IF(L60="","",IFERROR(VLOOKUP(L60,'Incident Intake'!$A:$AE,31,FALSE())-VLOOKUP(L60,'Incident Intake'!$A:$AD,30,FALSE())+1,1))</f>
        <v/>
      </c>
      <c r="O60" s="6"/>
      <c r="P60" s="6"/>
      <c r="Q60" s="11" t="str">
        <f>IF(O60="","",IFERROR(VLOOKUP(O60,'Incident Intake'!$A:$AE,31,FALSE())-VLOOKUP(O60,'Incident Intake'!$A:$AD,30,FALSE())+1,1))</f>
        <v/>
      </c>
      <c r="R60" s="6"/>
      <c r="S60" s="6"/>
      <c r="T60" s="11" t="str">
        <f>IF(R60="","",IFERROR(VLOOKUP(R60,'Incident Intake'!$A:$AE,31,FALSE())-VLOOKUP(R60,'Incident Intake'!$A:$AD,30,FALSE())+1,1))</f>
        <v/>
      </c>
      <c r="U60" s="6"/>
      <c r="V60" s="6"/>
      <c r="W60" s="6"/>
      <c r="X60" s="6"/>
      <c r="Y60" s="6"/>
      <c r="Z60" s="6"/>
      <c r="AA60" s="10" t="str">
        <f t="shared" si="3"/>
        <v/>
      </c>
      <c r="AB60" s="6"/>
    </row>
    <row r="61" spans="1:28" ht="18" customHeight="1" x14ac:dyDescent="0.45">
      <c r="A61" s="4"/>
      <c r="B61" s="4"/>
      <c r="C61" s="4"/>
      <c r="D61" s="4"/>
      <c r="E61" s="11">
        <f t="shared" si="2"/>
        <v>0</v>
      </c>
      <c r="F61" s="4"/>
      <c r="G61" s="4"/>
      <c r="H61" s="11" t="str">
        <f>IF(F61="","",IFERROR(VLOOKUP(F61,'Incident Intake'!$A:$AE,31,FALSE())-VLOOKUP(F61,'Incident Intake'!$A:$AD,30,FALSE())+1,1))</f>
        <v/>
      </c>
      <c r="I61" s="4"/>
      <c r="J61" s="4"/>
      <c r="K61" s="11" t="str">
        <f>IF(I61="","",IFERROR(VLOOKUP(I61,'Incident Intake'!$A:$AE,31,FALSE())-VLOOKUP(I61,'Incident Intake'!$A:$AD,30,FALSE())+1,1))</f>
        <v/>
      </c>
      <c r="L61" s="4"/>
      <c r="M61" s="4"/>
      <c r="N61" s="11" t="str">
        <f>IF(L61="","",IFERROR(VLOOKUP(L61,'Incident Intake'!$A:$AE,31,FALSE())-VLOOKUP(L61,'Incident Intake'!$A:$AD,30,FALSE())+1,1))</f>
        <v/>
      </c>
      <c r="O61" s="4"/>
      <c r="P61" s="4"/>
      <c r="Q61" s="11" t="str">
        <f>IF(O61="","",IFERROR(VLOOKUP(O61,'Incident Intake'!$A:$AE,31,FALSE())-VLOOKUP(O61,'Incident Intake'!$A:$AD,30,FALSE())+1,1))</f>
        <v/>
      </c>
      <c r="R61" s="4"/>
      <c r="S61" s="4"/>
      <c r="T61" s="11" t="str">
        <f>IF(R61="","",IFERROR(VLOOKUP(R61,'Incident Intake'!$A:$AE,31,FALSE())-VLOOKUP(R61,'Incident Intake'!$A:$AD,30,FALSE())+1,1))</f>
        <v/>
      </c>
      <c r="U61" s="4"/>
      <c r="V61" s="4"/>
      <c r="W61" s="4"/>
      <c r="X61" s="4"/>
      <c r="Y61" s="4"/>
      <c r="Z61" s="4"/>
      <c r="AA61" s="10" t="str">
        <f t="shared" si="3"/>
        <v/>
      </c>
      <c r="AB61" s="4"/>
    </row>
    <row r="62" spans="1:28" ht="18" customHeight="1" x14ac:dyDescent="0.45">
      <c r="A62" s="6"/>
      <c r="B62" s="6"/>
      <c r="C62" s="6"/>
      <c r="D62" s="6"/>
      <c r="E62" s="11">
        <f t="shared" si="2"/>
        <v>0</v>
      </c>
      <c r="F62" s="6"/>
      <c r="G62" s="6"/>
      <c r="H62" s="11" t="str">
        <f>IF(F62="","",IFERROR(VLOOKUP(F62,'Incident Intake'!$A:$AE,31,FALSE())-VLOOKUP(F62,'Incident Intake'!$A:$AD,30,FALSE())+1,1))</f>
        <v/>
      </c>
      <c r="I62" s="6"/>
      <c r="J62" s="6"/>
      <c r="K62" s="11" t="str">
        <f>IF(I62="","",IFERROR(VLOOKUP(I62,'Incident Intake'!$A:$AE,31,FALSE())-VLOOKUP(I62,'Incident Intake'!$A:$AD,30,FALSE())+1,1))</f>
        <v/>
      </c>
      <c r="L62" s="6"/>
      <c r="M62" s="6"/>
      <c r="N62" s="11" t="str">
        <f>IF(L62="","",IFERROR(VLOOKUP(L62,'Incident Intake'!$A:$AE,31,FALSE())-VLOOKUP(L62,'Incident Intake'!$A:$AD,30,FALSE())+1,1))</f>
        <v/>
      </c>
      <c r="O62" s="6"/>
      <c r="P62" s="6"/>
      <c r="Q62" s="11" t="str">
        <f>IF(O62="","",IFERROR(VLOOKUP(O62,'Incident Intake'!$A:$AE,31,FALSE())-VLOOKUP(O62,'Incident Intake'!$A:$AD,30,FALSE())+1,1))</f>
        <v/>
      </c>
      <c r="R62" s="6"/>
      <c r="S62" s="6"/>
      <c r="T62" s="11" t="str">
        <f>IF(R62="","",IFERROR(VLOOKUP(R62,'Incident Intake'!$A:$AE,31,FALSE())-VLOOKUP(R62,'Incident Intake'!$A:$AD,30,FALSE())+1,1))</f>
        <v/>
      </c>
      <c r="U62" s="6"/>
      <c r="V62" s="6"/>
      <c r="W62" s="6"/>
      <c r="X62" s="6"/>
      <c r="Y62" s="6"/>
      <c r="Z62" s="6"/>
      <c r="AA62" s="10" t="str">
        <f t="shared" si="3"/>
        <v/>
      </c>
      <c r="AB62" s="6"/>
    </row>
    <row r="63" spans="1:28" ht="18" customHeight="1" x14ac:dyDescent="0.45">
      <c r="A63" s="4"/>
      <c r="B63" s="4"/>
      <c r="C63" s="4"/>
      <c r="D63" s="4"/>
      <c r="E63" s="11">
        <f t="shared" si="2"/>
        <v>0</v>
      </c>
      <c r="F63" s="4"/>
      <c r="G63" s="4"/>
      <c r="H63" s="11" t="str">
        <f>IF(F63="","",IFERROR(VLOOKUP(F63,'Incident Intake'!$A:$AE,31,FALSE())-VLOOKUP(F63,'Incident Intake'!$A:$AD,30,FALSE())+1,1))</f>
        <v/>
      </c>
      <c r="I63" s="4"/>
      <c r="J63" s="4"/>
      <c r="K63" s="11" t="str">
        <f>IF(I63="","",IFERROR(VLOOKUP(I63,'Incident Intake'!$A:$AE,31,FALSE())-VLOOKUP(I63,'Incident Intake'!$A:$AD,30,FALSE())+1,1))</f>
        <v/>
      </c>
      <c r="L63" s="4"/>
      <c r="M63" s="4"/>
      <c r="N63" s="11" t="str">
        <f>IF(L63="","",IFERROR(VLOOKUP(L63,'Incident Intake'!$A:$AE,31,FALSE())-VLOOKUP(L63,'Incident Intake'!$A:$AD,30,FALSE())+1,1))</f>
        <v/>
      </c>
      <c r="O63" s="4"/>
      <c r="P63" s="4"/>
      <c r="Q63" s="11" t="str">
        <f>IF(O63="","",IFERROR(VLOOKUP(O63,'Incident Intake'!$A:$AE,31,FALSE())-VLOOKUP(O63,'Incident Intake'!$A:$AD,30,FALSE())+1,1))</f>
        <v/>
      </c>
      <c r="R63" s="4"/>
      <c r="S63" s="4"/>
      <c r="T63" s="11" t="str">
        <f>IF(R63="","",IFERROR(VLOOKUP(R63,'Incident Intake'!$A:$AE,31,FALSE())-VLOOKUP(R63,'Incident Intake'!$A:$AD,30,FALSE())+1,1))</f>
        <v/>
      </c>
      <c r="U63" s="4"/>
      <c r="V63" s="4"/>
      <c r="W63" s="4"/>
      <c r="X63" s="4"/>
      <c r="Y63" s="4"/>
      <c r="Z63" s="4"/>
      <c r="AA63" s="10" t="str">
        <f t="shared" si="3"/>
        <v/>
      </c>
      <c r="AB63" s="4"/>
    </row>
    <row r="64" spans="1:28" ht="18" customHeight="1" x14ac:dyDescent="0.45">
      <c r="A64" s="6"/>
      <c r="B64" s="6"/>
      <c r="C64" s="6"/>
      <c r="D64" s="6"/>
      <c r="E64" s="11">
        <f t="shared" si="2"/>
        <v>0</v>
      </c>
      <c r="F64" s="6"/>
      <c r="G64" s="6"/>
      <c r="H64" s="11" t="str">
        <f>IF(F64="","",IFERROR(VLOOKUP(F64,'Incident Intake'!$A:$AE,31,FALSE())-VLOOKUP(F64,'Incident Intake'!$A:$AD,30,FALSE())+1,1))</f>
        <v/>
      </c>
      <c r="I64" s="6"/>
      <c r="J64" s="6"/>
      <c r="K64" s="11" t="str">
        <f>IF(I64="","",IFERROR(VLOOKUP(I64,'Incident Intake'!$A:$AE,31,FALSE())-VLOOKUP(I64,'Incident Intake'!$A:$AD,30,FALSE())+1,1))</f>
        <v/>
      </c>
      <c r="L64" s="6"/>
      <c r="M64" s="6"/>
      <c r="N64" s="11" t="str">
        <f>IF(L64="","",IFERROR(VLOOKUP(L64,'Incident Intake'!$A:$AE,31,FALSE())-VLOOKUP(L64,'Incident Intake'!$A:$AD,30,FALSE())+1,1))</f>
        <v/>
      </c>
      <c r="O64" s="6"/>
      <c r="P64" s="6"/>
      <c r="Q64" s="11" t="str">
        <f>IF(O64="","",IFERROR(VLOOKUP(O64,'Incident Intake'!$A:$AE,31,FALSE())-VLOOKUP(O64,'Incident Intake'!$A:$AD,30,FALSE())+1,1))</f>
        <v/>
      </c>
      <c r="R64" s="6"/>
      <c r="S64" s="6"/>
      <c r="T64" s="11" t="str">
        <f>IF(R64="","",IFERROR(VLOOKUP(R64,'Incident Intake'!$A:$AE,31,FALSE())-VLOOKUP(R64,'Incident Intake'!$A:$AD,30,FALSE())+1,1))</f>
        <v/>
      </c>
      <c r="U64" s="6"/>
      <c r="V64" s="6"/>
      <c r="W64" s="6"/>
      <c r="X64" s="6"/>
      <c r="Y64" s="6"/>
      <c r="Z64" s="6"/>
      <c r="AA64" s="10" t="str">
        <f t="shared" si="3"/>
        <v/>
      </c>
      <c r="AB64" s="6"/>
    </row>
    <row r="65" spans="1:28" ht="18" customHeight="1" x14ac:dyDescent="0.45">
      <c r="A65" s="4"/>
      <c r="B65" s="4"/>
      <c r="C65" s="4"/>
      <c r="D65" s="4"/>
      <c r="E65" s="11">
        <f t="shared" si="2"/>
        <v>0</v>
      </c>
      <c r="F65" s="4"/>
      <c r="G65" s="4"/>
      <c r="H65" s="11" t="str">
        <f>IF(F65="","",IFERROR(VLOOKUP(F65,'Incident Intake'!$A:$AE,31,FALSE())-VLOOKUP(F65,'Incident Intake'!$A:$AD,30,FALSE())+1,1))</f>
        <v/>
      </c>
      <c r="I65" s="4"/>
      <c r="J65" s="4"/>
      <c r="K65" s="11" t="str">
        <f>IF(I65="","",IFERROR(VLOOKUP(I65,'Incident Intake'!$A:$AE,31,FALSE())-VLOOKUP(I65,'Incident Intake'!$A:$AD,30,FALSE())+1,1))</f>
        <v/>
      </c>
      <c r="L65" s="4"/>
      <c r="M65" s="4"/>
      <c r="N65" s="11" t="str">
        <f>IF(L65="","",IFERROR(VLOOKUP(L65,'Incident Intake'!$A:$AE,31,FALSE())-VLOOKUP(L65,'Incident Intake'!$A:$AD,30,FALSE())+1,1))</f>
        <v/>
      </c>
      <c r="O65" s="4"/>
      <c r="P65" s="4"/>
      <c r="Q65" s="11" t="str">
        <f>IF(O65="","",IFERROR(VLOOKUP(O65,'Incident Intake'!$A:$AE,31,FALSE())-VLOOKUP(O65,'Incident Intake'!$A:$AD,30,FALSE())+1,1))</f>
        <v/>
      </c>
      <c r="R65" s="4"/>
      <c r="S65" s="4"/>
      <c r="T65" s="11" t="str">
        <f>IF(R65="","",IFERROR(VLOOKUP(R65,'Incident Intake'!$A:$AE,31,FALSE())-VLOOKUP(R65,'Incident Intake'!$A:$AD,30,FALSE())+1,1))</f>
        <v/>
      </c>
      <c r="U65" s="4"/>
      <c r="V65" s="4"/>
      <c r="W65" s="4"/>
      <c r="X65" s="4"/>
      <c r="Y65" s="4"/>
      <c r="Z65" s="4"/>
      <c r="AA65" s="10" t="str">
        <f t="shared" si="3"/>
        <v/>
      </c>
      <c r="AB65" s="4"/>
    </row>
    <row r="66" spans="1:28" ht="18" customHeight="1" x14ac:dyDescent="0.45">
      <c r="A66" s="6"/>
      <c r="B66" s="6"/>
      <c r="C66" s="6"/>
      <c r="D66" s="6"/>
      <c r="E66" s="11">
        <f t="shared" si="2"/>
        <v>0</v>
      </c>
      <c r="F66" s="6"/>
      <c r="G66" s="6"/>
      <c r="H66" s="11" t="str">
        <f>IF(F66="","",IFERROR(VLOOKUP(F66,'Incident Intake'!$A:$AE,31,FALSE())-VLOOKUP(F66,'Incident Intake'!$A:$AD,30,FALSE())+1,1))</f>
        <v/>
      </c>
      <c r="I66" s="6"/>
      <c r="J66" s="6"/>
      <c r="K66" s="11" t="str">
        <f>IF(I66="","",IFERROR(VLOOKUP(I66,'Incident Intake'!$A:$AE,31,FALSE())-VLOOKUP(I66,'Incident Intake'!$A:$AD,30,FALSE())+1,1))</f>
        <v/>
      </c>
      <c r="L66" s="6"/>
      <c r="M66" s="6"/>
      <c r="N66" s="11" t="str">
        <f>IF(L66="","",IFERROR(VLOOKUP(L66,'Incident Intake'!$A:$AE,31,FALSE())-VLOOKUP(L66,'Incident Intake'!$A:$AD,30,FALSE())+1,1))</f>
        <v/>
      </c>
      <c r="O66" s="6"/>
      <c r="P66" s="6"/>
      <c r="Q66" s="11" t="str">
        <f>IF(O66="","",IFERROR(VLOOKUP(O66,'Incident Intake'!$A:$AE,31,FALSE())-VLOOKUP(O66,'Incident Intake'!$A:$AD,30,FALSE())+1,1))</f>
        <v/>
      </c>
      <c r="R66" s="6"/>
      <c r="S66" s="6"/>
      <c r="T66" s="11" t="str">
        <f>IF(R66="","",IFERROR(VLOOKUP(R66,'Incident Intake'!$A:$AE,31,FALSE())-VLOOKUP(R66,'Incident Intake'!$A:$AD,30,FALSE())+1,1))</f>
        <v/>
      </c>
      <c r="U66" s="6"/>
      <c r="V66" s="6"/>
      <c r="W66" s="6"/>
      <c r="X66" s="6"/>
      <c r="Y66" s="6"/>
      <c r="Z66" s="6"/>
      <c r="AA66" s="10" t="str">
        <f t="shared" si="3"/>
        <v/>
      </c>
      <c r="AB66" s="6"/>
    </row>
    <row r="67" spans="1:28" ht="18" customHeight="1" x14ac:dyDescent="0.45">
      <c r="A67" s="4"/>
      <c r="B67" s="4"/>
      <c r="C67" s="4"/>
      <c r="D67" s="4"/>
      <c r="E67" s="11">
        <f t="shared" si="2"/>
        <v>0</v>
      </c>
      <c r="F67" s="4"/>
      <c r="G67" s="4"/>
      <c r="H67" s="11" t="str">
        <f>IF(F67="","",IFERROR(VLOOKUP(F67,'Incident Intake'!$A:$AE,31,FALSE())-VLOOKUP(F67,'Incident Intake'!$A:$AD,30,FALSE())+1,1))</f>
        <v/>
      </c>
      <c r="I67" s="4"/>
      <c r="J67" s="4"/>
      <c r="K67" s="11" t="str">
        <f>IF(I67="","",IFERROR(VLOOKUP(I67,'Incident Intake'!$A:$AE,31,FALSE())-VLOOKUP(I67,'Incident Intake'!$A:$AD,30,FALSE())+1,1))</f>
        <v/>
      </c>
      <c r="L67" s="4"/>
      <c r="M67" s="4"/>
      <c r="N67" s="11" t="str">
        <f>IF(L67="","",IFERROR(VLOOKUP(L67,'Incident Intake'!$A:$AE,31,FALSE())-VLOOKUP(L67,'Incident Intake'!$A:$AD,30,FALSE())+1,1))</f>
        <v/>
      </c>
      <c r="O67" s="4"/>
      <c r="P67" s="4"/>
      <c r="Q67" s="11" t="str">
        <f>IF(O67="","",IFERROR(VLOOKUP(O67,'Incident Intake'!$A:$AE,31,FALSE())-VLOOKUP(O67,'Incident Intake'!$A:$AD,30,FALSE())+1,1))</f>
        <v/>
      </c>
      <c r="R67" s="4"/>
      <c r="S67" s="4"/>
      <c r="T67" s="11" t="str">
        <f>IF(R67="","",IFERROR(VLOOKUP(R67,'Incident Intake'!$A:$AE,31,FALSE())-VLOOKUP(R67,'Incident Intake'!$A:$AD,30,FALSE())+1,1))</f>
        <v/>
      </c>
      <c r="U67" s="4"/>
      <c r="V67" s="4"/>
      <c r="W67" s="4"/>
      <c r="X67" s="4"/>
      <c r="Y67" s="4"/>
      <c r="Z67" s="4"/>
      <c r="AA67" s="10" t="str">
        <f t="shared" si="3"/>
        <v/>
      </c>
      <c r="AB67" s="4"/>
    </row>
    <row r="68" spans="1:28" ht="18" customHeight="1" x14ac:dyDescent="0.45">
      <c r="A68" s="6"/>
      <c r="B68" s="6"/>
      <c r="C68" s="6"/>
      <c r="D68" s="6"/>
      <c r="E68" s="11">
        <f t="shared" si="2"/>
        <v>0</v>
      </c>
      <c r="F68" s="6"/>
      <c r="G68" s="6"/>
      <c r="H68" s="11" t="str">
        <f>IF(F68="","",IFERROR(VLOOKUP(F68,'Incident Intake'!$A:$AE,31,FALSE())-VLOOKUP(F68,'Incident Intake'!$A:$AD,30,FALSE())+1,1))</f>
        <v/>
      </c>
      <c r="I68" s="6"/>
      <c r="J68" s="6"/>
      <c r="K68" s="11" t="str">
        <f>IF(I68="","",IFERROR(VLOOKUP(I68,'Incident Intake'!$A:$AE,31,FALSE())-VLOOKUP(I68,'Incident Intake'!$A:$AD,30,FALSE())+1,1))</f>
        <v/>
      </c>
      <c r="L68" s="6"/>
      <c r="M68" s="6"/>
      <c r="N68" s="11" t="str">
        <f>IF(L68="","",IFERROR(VLOOKUP(L68,'Incident Intake'!$A:$AE,31,FALSE())-VLOOKUP(L68,'Incident Intake'!$A:$AD,30,FALSE())+1,1))</f>
        <v/>
      </c>
      <c r="O68" s="6"/>
      <c r="P68" s="6"/>
      <c r="Q68" s="11" t="str">
        <f>IF(O68="","",IFERROR(VLOOKUP(O68,'Incident Intake'!$A:$AE,31,FALSE())-VLOOKUP(O68,'Incident Intake'!$A:$AD,30,FALSE())+1,1))</f>
        <v/>
      </c>
      <c r="R68" s="6"/>
      <c r="S68" s="6"/>
      <c r="T68" s="11" t="str">
        <f>IF(R68="","",IFERROR(VLOOKUP(R68,'Incident Intake'!$A:$AE,31,FALSE())-VLOOKUP(R68,'Incident Intake'!$A:$AD,30,FALSE())+1,1))</f>
        <v/>
      </c>
      <c r="U68" s="6"/>
      <c r="V68" s="6"/>
      <c r="W68" s="6"/>
      <c r="X68" s="6"/>
      <c r="Y68" s="6"/>
      <c r="Z68" s="6"/>
      <c r="AA68" s="10" t="str">
        <f t="shared" si="3"/>
        <v/>
      </c>
      <c r="AB68" s="6"/>
    </row>
    <row r="69" spans="1:28" ht="18" customHeight="1" x14ac:dyDescent="0.45">
      <c r="A69" s="4"/>
      <c r="B69" s="4"/>
      <c r="C69" s="4"/>
      <c r="D69" s="4"/>
      <c r="E69" s="11">
        <f t="shared" ref="E69:E100" si="4">SUM(H69,K69,N69,Q69,T69)</f>
        <v>0</v>
      </c>
      <c r="F69" s="4"/>
      <c r="G69" s="4"/>
      <c r="H69" s="11" t="str">
        <f>IF(F69="","",IFERROR(VLOOKUP(F69,'Incident Intake'!$A:$AE,31,FALSE())-VLOOKUP(F69,'Incident Intake'!$A:$AD,30,FALSE())+1,1))</f>
        <v/>
      </c>
      <c r="I69" s="4"/>
      <c r="J69" s="4"/>
      <c r="K69" s="11" t="str">
        <f>IF(I69="","",IFERROR(VLOOKUP(I69,'Incident Intake'!$A:$AE,31,FALSE())-VLOOKUP(I69,'Incident Intake'!$A:$AD,30,FALSE())+1,1))</f>
        <v/>
      </c>
      <c r="L69" s="4"/>
      <c r="M69" s="4"/>
      <c r="N69" s="11" t="str">
        <f>IF(L69="","",IFERROR(VLOOKUP(L69,'Incident Intake'!$A:$AE,31,FALSE())-VLOOKUP(L69,'Incident Intake'!$A:$AD,30,FALSE())+1,1))</f>
        <v/>
      </c>
      <c r="O69" s="4"/>
      <c r="P69" s="4"/>
      <c r="Q69" s="11" t="str">
        <f>IF(O69="","",IFERROR(VLOOKUP(O69,'Incident Intake'!$A:$AE,31,FALSE())-VLOOKUP(O69,'Incident Intake'!$A:$AD,30,FALSE())+1,1))</f>
        <v/>
      </c>
      <c r="R69" s="4"/>
      <c r="S69" s="4"/>
      <c r="T69" s="11" t="str">
        <f>IF(R69="","",IFERROR(VLOOKUP(R69,'Incident Intake'!$A:$AE,31,FALSE())-VLOOKUP(R69,'Incident Intake'!$A:$AD,30,FALSE())+1,1))</f>
        <v/>
      </c>
      <c r="U69" s="4"/>
      <c r="V69" s="4"/>
      <c r="W69" s="4"/>
      <c r="X69" s="4"/>
      <c r="Y69" s="4"/>
      <c r="Z69" s="4"/>
      <c r="AA69" s="10" t="str">
        <f t="shared" ref="AA69:AA100" si="5">IF(A69="","",IF(E69&gt;=10,"🔴 EXCEEDED — MDR REQUIRED NOW",IF(E69&gt;=9,"🟠 URGENT — Day "&amp;E69&amp;" — Notify SPED Coord",IF(E69&gt;=7,"🟡 WARNING — Day "&amp;E69&amp;" — Plan MDR",IF(E69&gt;0,"✅ OK — "&amp;E69&amp;" days","✅ No removals")))))</f>
        <v/>
      </c>
      <c r="AB69" s="4"/>
    </row>
    <row r="70" spans="1:28" ht="18" customHeight="1" x14ac:dyDescent="0.45">
      <c r="A70" s="6"/>
      <c r="B70" s="6"/>
      <c r="C70" s="6"/>
      <c r="D70" s="6"/>
      <c r="E70" s="11">
        <f t="shared" si="4"/>
        <v>0</v>
      </c>
      <c r="F70" s="6"/>
      <c r="G70" s="6"/>
      <c r="H70" s="11" t="str">
        <f>IF(F70="","",IFERROR(VLOOKUP(F70,'Incident Intake'!$A:$AE,31,FALSE())-VLOOKUP(F70,'Incident Intake'!$A:$AD,30,FALSE())+1,1))</f>
        <v/>
      </c>
      <c r="I70" s="6"/>
      <c r="J70" s="6"/>
      <c r="K70" s="11" t="str">
        <f>IF(I70="","",IFERROR(VLOOKUP(I70,'Incident Intake'!$A:$AE,31,FALSE())-VLOOKUP(I70,'Incident Intake'!$A:$AD,30,FALSE())+1,1))</f>
        <v/>
      </c>
      <c r="L70" s="6"/>
      <c r="M70" s="6"/>
      <c r="N70" s="11" t="str">
        <f>IF(L70="","",IFERROR(VLOOKUP(L70,'Incident Intake'!$A:$AE,31,FALSE())-VLOOKUP(L70,'Incident Intake'!$A:$AD,30,FALSE())+1,1))</f>
        <v/>
      </c>
      <c r="O70" s="6"/>
      <c r="P70" s="6"/>
      <c r="Q70" s="11" t="str">
        <f>IF(O70="","",IFERROR(VLOOKUP(O70,'Incident Intake'!$A:$AE,31,FALSE())-VLOOKUP(O70,'Incident Intake'!$A:$AD,30,FALSE())+1,1))</f>
        <v/>
      </c>
      <c r="R70" s="6"/>
      <c r="S70" s="6"/>
      <c r="T70" s="11" t="str">
        <f>IF(R70="","",IFERROR(VLOOKUP(R70,'Incident Intake'!$A:$AE,31,FALSE())-VLOOKUP(R70,'Incident Intake'!$A:$AD,30,FALSE())+1,1))</f>
        <v/>
      </c>
      <c r="U70" s="6"/>
      <c r="V70" s="6"/>
      <c r="W70" s="6"/>
      <c r="X70" s="6"/>
      <c r="Y70" s="6"/>
      <c r="Z70" s="6"/>
      <c r="AA70" s="10" t="str">
        <f t="shared" si="5"/>
        <v/>
      </c>
      <c r="AB70" s="6"/>
    </row>
    <row r="71" spans="1:28" ht="18" customHeight="1" x14ac:dyDescent="0.45">
      <c r="A71" s="4"/>
      <c r="B71" s="4"/>
      <c r="C71" s="4"/>
      <c r="D71" s="4"/>
      <c r="E71" s="11">
        <f t="shared" si="4"/>
        <v>0</v>
      </c>
      <c r="F71" s="4"/>
      <c r="G71" s="4"/>
      <c r="H71" s="11" t="str">
        <f>IF(F71="","",IFERROR(VLOOKUP(F71,'Incident Intake'!$A:$AE,31,FALSE())-VLOOKUP(F71,'Incident Intake'!$A:$AD,30,FALSE())+1,1))</f>
        <v/>
      </c>
      <c r="I71" s="4"/>
      <c r="J71" s="4"/>
      <c r="K71" s="11" t="str">
        <f>IF(I71="","",IFERROR(VLOOKUP(I71,'Incident Intake'!$A:$AE,31,FALSE())-VLOOKUP(I71,'Incident Intake'!$A:$AD,30,FALSE())+1,1))</f>
        <v/>
      </c>
      <c r="L71" s="4"/>
      <c r="M71" s="4"/>
      <c r="N71" s="11" t="str">
        <f>IF(L71="","",IFERROR(VLOOKUP(L71,'Incident Intake'!$A:$AE,31,FALSE())-VLOOKUP(L71,'Incident Intake'!$A:$AD,30,FALSE())+1,1))</f>
        <v/>
      </c>
      <c r="O71" s="4"/>
      <c r="P71" s="4"/>
      <c r="Q71" s="11" t="str">
        <f>IF(O71="","",IFERROR(VLOOKUP(O71,'Incident Intake'!$A:$AE,31,FALSE())-VLOOKUP(O71,'Incident Intake'!$A:$AD,30,FALSE())+1,1))</f>
        <v/>
      </c>
      <c r="R71" s="4"/>
      <c r="S71" s="4"/>
      <c r="T71" s="11" t="str">
        <f>IF(R71="","",IFERROR(VLOOKUP(R71,'Incident Intake'!$A:$AE,31,FALSE())-VLOOKUP(R71,'Incident Intake'!$A:$AD,30,FALSE())+1,1))</f>
        <v/>
      </c>
      <c r="U71" s="4"/>
      <c r="V71" s="4"/>
      <c r="W71" s="4"/>
      <c r="X71" s="4"/>
      <c r="Y71" s="4"/>
      <c r="Z71" s="4"/>
      <c r="AA71" s="10" t="str">
        <f t="shared" si="5"/>
        <v/>
      </c>
      <c r="AB71" s="4"/>
    </row>
    <row r="72" spans="1:28" ht="18" customHeight="1" x14ac:dyDescent="0.45">
      <c r="A72" s="6"/>
      <c r="B72" s="6"/>
      <c r="C72" s="6"/>
      <c r="D72" s="6"/>
      <c r="E72" s="11">
        <f t="shared" si="4"/>
        <v>0</v>
      </c>
      <c r="F72" s="6"/>
      <c r="G72" s="6"/>
      <c r="H72" s="11" t="str">
        <f>IF(F72="","",IFERROR(VLOOKUP(F72,'Incident Intake'!$A:$AE,31,FALSE())-VLOOKUP(F72,'Incident Intake'!$A:$AD,30,FALSE())+1,1))</f>
        <v/>
      </c>
      <c r="I72" s="6"/>
      <c r="J72" s="6"/>
      <c r="K72" s="11" t="str">
        <f>IF(I72="","",IFERROR(VLOOKUP(I72,'Incident Intake'!$A:$AE,31,FALSE())-VLOOKUP(I72,'Incident Intake'!$A:$AD,30,FALSE())+1,1))</f>
        <v/>
      </c>
      <c r="L72" s="6"/>
      <c r="M72" s="6"/>
      <c r="N72" s="11" t="str">
        <f>IF(L72="","",IFERROR(VLOOKUP(L72,'Incident Intake'!$A:$AE,31,FALSE())-VLOOKUP(L72,'Incident Intake'!$A:$AD,30,FALSE())+1,1))</f>
        <v/>
      </c>
      <c r="O72" s="6"/>
      <c r="P72" s="6"/>
      <c r="Q72" s="11" t="str">
        <f>IF(O72="","",IFERROR(VLOOKUP(O72,'Incident Intake'!$A:$AE,31,FALSE())-VLOOKUP(O72,'Incident Intake'!$A:$AD,30,FALSE())+1,1))</f>
        <v/>
      </c>
      <c r="R72" s="6"/>
      <c r="S72" s="6"/>
      <c r="T72" s="11" t="str">
        <f>IF(R72="","",IFERROR(VLOOKUP(R72,'Incident Intake'!$A:$AE,31,FALSE())-VLOOKUP(R72,'Incident Intake'!$A:$AD,30,FALSE())+1,1))</f>
        <v/>
      </c>
      <c r="U72" s="6"/>
      <c r="V72" s="6"/>
      <c r="W72" s="6"/>
      <c r="X72" s="6"/>
      <c r="Y72" s="6"/>
      <c r="Z72" s="6"/>
      <c r="AA72" s="10" t="str">
        <f t="shared" si="5"/>
        <v/>
      </c>
      <c r="AB72" s="6"/>
    </row>
    <row r="73" spans="1:28" ht="18" customHeight="1" x14ac:dyDescent="0.45">
      <c r="A73" s="4"/>
      <c r="B73" s="4"/>
      <c r="C73" s="4"/>
      <c r="D73" s="4"/>
      <c r="E73" s="11">
        <f t="shared" si="4"/>
        <v>0</v>
      </c>
      <c r="F73" s="4"/>
      <c r="G73" s="4"/>
      <c r="H73" s="11" t="str">
        <f>IF(F73="","",IFERROR(VLOOKUP(F73,'Incident Intake'!$A:$AE,31,FALSE())-VLOOKUP(F73,'Incident Intake'!$A:$AD,30,FALSE())+1,1))</f>
        <v/>
      </c>
      <c r="I73" s="4"/>
      <c r="J73" s="4"/>
      <c r="K73" s="11" t="str">
        <f>IF(I73="","",IFERROR(VLOOKUP(I73,'Incident Intake'!$A:$AE,31,FALSE())-VLOOKUP(I73,'Incident Intake'!$A:$AD,30,FALSE())+1,1))</f>
        <v/>
      </c>
      <c r="L73" s="4"/>
      <c r="M73" s="4"/>
      <c r="N73" s="11" t="str">
        <f>IF(L73="","",IFERROR(VLOOKUP(L73,'Incident Intake'!$A:$AE,31,FALSE())-VLOOKUP(L73,'Incident Intake'!$A:$AD,30,FALSE())+1,1))</f>
        <v/>
      </c>
      <c r="O73" s="4"/>
      <c r="P73" s="4"/>
      <c r="Q73" s="11" t="str">
        <f>IF(O73="","",IFERROR(VLOOKUP(O73,'Incident Intake'!$A:$AE,31,FALSE())-VLOOKUP(O73,'Incident Intake'!$A:$AD,30,FALSE())+1,1))</f>
        <v/>
      </c>
      <c r="R73" s="4"/>
      <c r="S73" s="4"/>
      <c r="T73" s="11" t="str">
        <f>IF(R73="","",IFERROR(VLOOKUP(R73,'Incident Intake'!$A:$AE,31,FALSE())-VLOOKUP(R73,'Incident Intake'!$A:$AD,30,FALSE())+1,1))</f>
        <v/>
      </c>
      <c r="U73" s="4"/>
      <c r="V73" s="4"/>
      <c r="W73" s="4"/>
      <c r="X73" s="4"/>
      <c r="Y73" s="4"/>
      <c r="Z73" s="4"/>
      <c r="AA73" s="10" t="str">
        <f t="shared" si="5"/>
        <v/>
      </c>
      <c r="AB73" s="4"/>
    </row>
    <row r="74" spans="1:28" ht="18" customHeight="1" x14ac:dyDescent="0.45">
      <c r="A74" s="6"/>
      <c r="B74" s="6"/>
      <c r="C74" s="6"/>
      <c r="D74" s="6"/>
      <c r="E74" s="11">
        <f t="shared" si="4"/>
        <v>0</v>
      </c>
      <c r="F74" s="6"/>
      <c r="G74" s="6"/>
      <c r="H74" s="11" t="str">
        <f>IF(F74="","",IFERROR(VLOOKUP(F74,'Incident Intake'!$A:$AE,31,FALSE())-VLOOKUP(F74,'Incident Intake'!$A:$AD,30,FALSE())+1,1))</f>
        <v/>
      </c>
      <c r="I74" s="6"/>
      <c r="J74" s="6"/>
      <c r="K74" s="11" t="str">
        <f>IF(I74="","",IFERROR(VLOOKUP(I74,'Incident Intake'!$A:$AE,31,FALSE())-VLOOKUP(I74,'Incident Intake'!$A:$AD,30,FALSE())+1,1))</f>
        <v/>
      </c>
      <c r="L74" s="6"/>
      <c r="M74" s="6"/>
      <c r="N74" s="11" t="str">
        <f>IF(L74="","",IFERROR(VLOOKUP(L74,'Incident Intake'!$A:$AE,31,FALSE())-VLOOKUP(L74,'Incident Intake'!$A:$AD,30,FALSE())+1,1))</f>
        <v/>
      </c>
      <c r="O74" s="6"/>
      <c r="P74" s="6"/>
      <c r="Q74" s="11" t="str">
        <f>IF(O74="","",IFERROR(VLOOKUP(O74,'Incident Intake'!$A:$AE,31,FALSE())-VLOOKUP(O74,'Incident Intake'!$A:$AD,30,FALSE())+1,1))</f>
        <v/>
      </c>
      <c r="R74" s="6"/>
      <c r="S74" s="6"/>
      <c r="T74" s="11" t="str">
        <f>IF(R74="","",IFERROR(VLOOKUP(R74,'Incident Intake'!$A:$AE,31,FALSE())-VLOOKUP(R74,'Incident Intake'!$A:$AD,30,FALSE())+1,1))</f>
        <v/>
      </c>
      <c r="U74" s="6"/>
      <c r="V74" s="6"/>
      <c r="W74" s="6"/>
      <c r="X74" s="6"/>
      <c r="Y74" s="6"/>
      <c r="Z74" s="6"/>
      <c r="AA74" s="10" t="str">
        <f t="shared" si="5"/>
        <v/>
      </c>
      <c r="AB74" s="6"/>
    </row>
    <row r="75" spans="1:28" ht="18" customHeight="1" x14ac:dyDescent="0.45">
      <c r="A75" s="4"/>
      <c r="B75" s="4"/>
      <c r="C75" s="4"/>
      <c r="D75" s="4"/>
      <c r="E75" s="11">
        <f t="shared" si="4"/>
        <v>0</v>
      </c>
      <c r="F75" s="4"/>
      <c r="G75" s="4"/>
      <c r="H75" s="11" t="str">
        <f>IF(F75="","",IFERROR(VLOOKUP(F75,'Incident Intake'!$A:$AE,31,FALSE())-VLOOKUP(F75,'Incident Intake'!$A:$AD,30,FALSE())+1,1))</f>
        <v/>
      </c>
      <c r="I75" s="4"/>
      <c r="J75" s="4"/>
      <c r="K75" s="11" t="str">
        <f>IF(I75="","",IFERROR(VLOOKUP(I75,'Incident Intake'!$A:$AE,31,FALSE())-VLOOKUP(I75,'Incident Intake'!$A:$AD,30,FALSE())+1,1))</f>
        <v/>
      </c>
      <c r="L75" s="4"/>
      <c r="M75" s="4"/>
      <c r="N75" s="11" t="str">
        <f>IF(L75="","",IFERROR(VLOOKUP(L75,'Incident Intake'!$A:$AE,31,FALSE())-VLOOKUP(L75,'Incident Intake'!$A:$AD,30,FALSE())+1,1))</f>
        <v/>
      </c>
      <c r="O75" s="4"/>
      <c r="P75" s="4"/>
      <c r="Q75" s="11" t="str">
        <f>IF(O75="","",IFERROR(VLOOKUP(O75,'Incident Intake'!$A:$AE,31,FALSE())-VLOOKUP(O75,'Incident Intake'!$A:$AD,30,FALSE())+1,1))</f>
        <v/>
      </c>
      <c r="R75" s="4"/>
      <c r="S75" s="4"/>
      <c r="T75" s="11" t="str">
        <f>IF(R75="","",IFERROR(VLOOKUP(R75,'Incident Intake'!$A:$AE,31,FALSE())-VLOOKUP(R75,'Incident Intake'!$A:$AD,30,FALSE())+1,1))</f>
        <v/>
      </c>
      <c r="U75" s="4"/>
      <c r="V75" s="4"/>
      <c r="W75" s="4"/>
      <c r="X75" s="4"/>
      <c r="Y75" s="4"/>
      <c r="Z75" s="4"/>
      <c r="AA75" s="10" t="str">
        <f t="shared" si="5"/>
        <v/>
      </c>
      <c r="AB75" s="4"/>
    </row>
    <row r="76" spans="1:28" ht="18" customHeight="1" x14ac:dyDescent="0.45">
      <c r="A76" s="6"/>
      <c r="B76" s="6"/>
      <c r="C76" s="6"/>
      <c r="D76" s="6"/>
      <c r="E76" s="11">
        <f t="shared" si="4"/>
        <v>0</v>
      </c>
      <c r="F76" s="6"/>
      <c r="G76" s="6"/>
      <c r="H76" s="11" t="str">
        <f>IF(F76="","",IFERROR(VLOOKUP(F76,'Incident Intake'!$A:$AE,31,FALSE())-VLOOKUP(F76,'Incident Intake'!$A:$AD,30,FALSE())+1,1))</f>
        <v/>
      </c>
      <c r="I76" s="6"/>
      <c r="J76" s="6"/>
      <c r="K76" s="11" t="str">
        <f>IF(I76="","",IFERROR(VLOOKUP(I76,'Incident Intake'!$A:$AE,31,FALSE())-VLOOKUP(I76,'Incident Intake'!$A:$AD,30,FALSE())+1,1))</f>
        <v/>
      </c>
      <c r="L76" s="6"/>
      <c r="M76" s="6"/>
      <c r="N76" s="11" t="str">
        <f>IF(L76="","",IFERROR(VLOOKUP(L76,'Incident Intake'!$A:$AE,31,FALSE())-VLOOKUP(L76,'Incident Intake'!$A:$AD,30,FALSE())+1,1))</f>
        <v/>
      </c>
      <c r="O76" s="6"/>
      <c r="P76" s="6"/>
      <c r="Q76" s="11" t="str">
        <f>IF(O76="","",IFERROR(VLOOKUP(O76,'Incident Intake'!$A:$AE,31,FALSE())-VLOOKUP(O76,'Incident Intake'!$A:$AD,30,FALSE())+1,1))</f>
        <v/>
      </c>
      <c r="R76" s="6"/>
      <c r="S76" s="6"/>
      <c r="T76" s="11" t="str">
        <f>IF(R76="","",IFERROR(VLOOKUP(R76,'Incident Intake'!$A:$AE,31,FALSE())-VLOOKUP(R76,'Incident Intake'!$A:$AD,30,FALSE())+1,1))</f>
        <v/>
      </c>
      <c r="U76" s="6"/>
      <c r="V76" s="6"/>
      <c r="W76" s="6"/>
      <c r="X76" s="6"/>
      <c r="Y76" s="6"/>
      <c r="Z76" s="6"/>
      <c r="AA76" s="10" t="str">
        <f t="shared" si="5"/>
        <v/>
      </c>
      <c r="AB76" s="6"/>
    </row>
    <row r="77" spans="1:28" ht="18" customHeight="1" x14ac:dyDescent="0.45">
      <c r="A77" s="4"/>
      <c r="B77" s="4"/>
      <c r="C77" s="4"/>
      <c r="D77" s="4"/>
      <c r="E77" s="11">
        <f t="shared" si="4"/>
        <v>0</v>
      </c>
      <c r="F77" s="4"/>
      <c r="G77" s="4"/>
      <c r="H77" s="11" t="str">
        <f>IF(F77="","",IFERROR(VLOOKUP(F77,'Incident Intake'!$A:$AE,31,FALSE())-VLOOKUP(F77,'Incident Intake'!$A:$AD,30,FALSE())+1,1))</f>
        <v/>
      </c>
      <c r="I77" s="4"/>
      <c r="J77" s="4"/>
      <c r="K77" s="11" t="str">
        <f>IF(I77="","",IFERROR(VLOOKUP(I77,'Incident Intake'!$A:$AE,31,FALSE())-VLOOKUP(I77,'Incident Intake'!$A:$AD,30,FALSE())+1,1))</f>
        <v/>
      </c>
      <c r="L77" s="4"/>
      <c r="M77" s="4"/>
      <c r="N77" s="11" t="str">
        <f>IF(L77="","",IFERROR(VLOOKUP(L77,'Incident Intake'!$A:$AE,31,FALSE())-VLOOKUP(L77,'Incident Intake'!$A:$AD,30,FALSE())+1,1))</f>
        <v/>
      </c>
      <c r="O77" s="4"/>
      <c r="P77" s="4"/>
      <c r="Q77" s="11" t="str">
        <f>IF(O77="","",IFERROR(VLOOKUP(O77,'Incident Intake'!$A:$AE,31,FALSE())-VLOOKUP(O77,'Incident Intake'!$A:$AD,30,FALSE())+1,1))</f>
        <v/>
      </c>
      <c r="R77" s="4"/>
      <c r="S77" s="4"/>
      <c r="T77" s="11" t="str">
        <f>IF(R77="","",IFERROR(VLOOKUP(R77,'Incident Intake'!$A:$AE,31,FALSE())-VLOOKUP(R77,'Incident Intake'!$A:$AD,30,FALSE())+1,1))</f>
        <v/>
      </c>
      <c r="U77" s="4"/>
      <c r="V77" s="4"/>
      <c r="W77" s="4"/>
      <c r="X77" s="4"/>
      <c r="Y77" s="4"/>
      <c r="Z77" s="4"/>
      <c r="AA77" s="10" t="str">
        <f t="shared" si="5"/>
        <v/>
      </c>
      <c r="AB77" s="4"/>
    </row>
    <row r="78" spans="1:28" ht="18" customHeight="1" x14ac:dyDescent="0.45">
      <c r="A78" s="6"/>
      <c r="B78" s="6"/>
      <c r="C78" s="6"/>
      <c r="D78" s="6"/>
      <c r="E78" s="11">
        <f t="shared" si="4"/>
        <v>0</v>
      </c>
      <c r="F78" s="6"/>
      <c r="G78" s="6"/>
      <c r="H78" s="11" t="str">
        <f>IF(F78="","",IFERROR(VLOOKUP(F78,'Incident Intake'!$A:$AE,31,FALSE())-VLOOKUP(F78,'Incident Intake'!$A:$AD,30,FALSE())+1,1))</f>
        <v/>
      </c>
      <c r="I78" s="6"/>
      <c r="J78" s="6"/>
      <c r="K78" s="11" t="str">
        <f>IF(I78="","",IFERROR(VLOOKUP(I78,'Incident Intake'!$A:$AE,31,FALSE())-VLOOKUP(I78,'Incident Intake'!$A:$AD,30,FALSE())+1,1))</f>
        <v/>
      </c>
      <c r="L78" s="6"/>
      <c r="M78" s="6"/>
      <c r="N78" s="11" t="str">
        <f>IF(L78="","",IFERROR(VLOOKUP(L78,'Incident Intake'!$A:$AE,31,FALSE())-VLOOKUP(L78,'Incident Intake'!$A:$AD,30,FALSE())+1,1))</f>
        <v/>
      </c>
      <c r="O78" s="6"/>
      <c r="P78" s="6"/>
      <c r="Q78" s="11" t="str">
        <f>IF(O78="","",IFERROR(VLOOKUP(O78,'Incident Intake'!$A:$AE,31,FALSE())-VLOOKUP(O78,'Incident Intake'!$A:$AD,30,FALSE())+1,1))</f>
        <v/>
      </c>
      <c r="R78" s="6"/>
      <c r="S78" s="6"/>
      <c r="T78" s="11" t="str">
        <f>IF(R78="","",IFERROR(VLOOKUP(R78,'Incident Intake'!$A:$AE,31,FALSE())-VLOOKUP(R78,'Incident Intake'!$A:$AD,30,FALSE())+1,1))</f>
        <v/>
      </c>
      <c r="U78" s="6"/>
      <c r="V78" s="6"/>
      <c r="W78" s="6"/>
      <c r="X78" s="6"/>
      <c r="Y78" s="6"/>
      <c r="Z78" s="6"/>
      <c r="AA78" s="10" t="str">
        <f t="shared" si="5"/>
        <v/>
      </c>
      <c r="AB78" s="6"/>
    </row>
    <row r="79" spans="1:28" ht="18" customHeight="1" x14ac:dyDescent="0.45">
      <c r="A79" s="4"/>
      <c r="B79" s="4"/>
      <c r="C79" s="4"/>
      <c r="D79" s="4"/>
      <c r="E79" s="11">
        <f t="shared" si="4"/>
        <v>0</v>
      </c>
      <c r="F79" s="4"/>
      <c r="G79" s="4"/>
      <c r="H79" s="11" t="str">
        <f>IF(F79="","",IFERROR(VLOOKUP(F79,'Incident Intake'!$A:$AE,31,FALSE())-VLOOKUP(F79,'Incident Intake'!$A:$AD,30,FALSE())+1,1))</f>
        <v/>
      </c>
      <c r="I79" s="4"/>
      <c r="J79" s="4"/>
      <c r="K79" s="11" t="str">
        <f>IF(I79="","",IFERROR(VLOOKUP(I79,'Incident Intake'!$A:$AE,31,FALSE())-VLOOKUP(I79,'Incident Intake'!$A:$AD,30,FALSE())+1,1))</f>
        <v/>
      </c>
      <c r="L79" s="4"/>
      <c r="M79" s="4"/>
      <c r="N79" s="11" t="str">
        <f>IF(L79="","",IFERROR(VLOOKUP(L79,'Incident Intake'!$A:$AE,31,FALSE())-VLOOKUP(L79,'Incident Intake'!$A:$AD,30,FALSE())+1,1))</f>
        <v/>
      </c>
      <c r="O79" s="4"/>
      <c r="P79" s="4"/>
      <c r="Q79" s="11" t="str">
        <f>IF(O79="","",IFERROR(VLOOKUP(O79,'Incident Intake'!$A:$AE,31,FALSE())-VLOOKUP(O79,'Incident Intake'!$A:$AD,30,FALSE())+1,1))</f>
        <v/>
      </c>
      <c r="R79" s="4"/>
      <c r="S79" s="4"/>
      <c r="T79" s="11" t="str">
        <f>IF(R79="","",IFERROR(VLOOKUP(R79,'Incident Intake'!$A:$AE,31,FALSE())-VLOOKUP(R79,'Incident Intake'!$A:$AD,30,FALSE())+1,1))</f>
        <v/>
      </c>
      <c r="U79" s="4"/>
      <c r="V79" s="4"/>
      <c r="W79" s="4"/>
      <c r="X79" s="4"/>
      <c r="Y79" s="4"/>
      <c r="Z79" s="4"/>
      <c r="AA79" s="10" t="str">
        <f t="shared" si="5"/>
        <v/>
      </c>
      <c r="AB79" s="4"/>
    </row>
    <row r="80" spans="1:28" ht="18" customHeight="1" x14ac:dyDescent="0.45">
      <c r="A80" s="6"/>
      <c r="B80" s="6"/>
      <c r="C80" s="6"/>
      <c r="D80" s="6"/>
      <c r="E80" s="11">
        <f t="shared" si="4"/>
        <v>0</v>
      </c>
      <c r="F80" s="6"/>
      <c r="G80" s="6"/>
      <c r="H80" s="11" t="str">
        <f>IF(F80="","",IFERROR(VLOOKUP(F80,'Incident Intake'!$A:$AE,31,FALSE())-VLOOKUP(F80,'Incident Intake'!$A:$AD,30,FALSE())+1,1))</f>
        <v/>
      </c>
      <c r="I80" s="6"/>
      <c r="J80" s="6"/>
      <c r="K80" s="11" t="str">
        <f>IF(I80="","",IFERROR(VLOOKUP(I80,'Incident Intake'!$A:$AE,31,FALSE())-VLOOKUP(I80,'Incident Intake'!$A:$AD,30,FALSE())+1,1))</f>
        <v/>
      </c>
      <c r="L80" s="6"/>
      <c r="M80" s="6"/>
      <c r="N80" s="11" t="str">
        <f>IF(L80="","",IFERROR(VLOOKUP(L80,'Incident Intake'!$A:$AE,31,FALSE())-VLOOKUP(L80,'Incident Intake'!$A:$AD,30,FALSE())+1,1))</f>
        <v/>
      </c>
      <c r="O80" s="6"/>
      <c r="P80" s="6"/>
      <c r="Q80" s="11" t="str">
        <f>IF(O80="","",IFERROR(VLOOKUP(O80,'Incident Intake'!$A:$AE,31,FALSE())-VLOOKUP(O80,'Incident Intake'!$A:$AD,30,FALSE())+1,1))</f>
        <v/>
      </c>
      <c r="R80" s="6"/>
      <c r="S80" s="6"/>
      <c r="T80" s="11" t="str">
        <f>IF(R80="","",IFERROR(VLOOKUP(R80,'Incident Intake'!$A:$AE,31,FALSE())-VLOOKUP(R80,'Incident Intake'!$A:$AD,30,FALSE())+1,1))</f>
        <v/>
      </c>
      <c r="U80" s="6"/>
      <c r="V80" s="6"/>
      <c r="W80" s="6"/>
      <c r="X80" s="6"/>
      <c r="Y80" s="6"/>
      <c r="Z80" s="6"/>
      <c r="AA80" s="10" t="str">
        <f t="shared" si="5"/>
        <v/>
      </c>
      <c r="AB80" s="6"/>
    </row>
    <row r="81" spans="1:28" ht="18" customHeight="1" x14ac:dyDescent="0.45">
      <c r="A81" s="4"/>
      <c r="B81" s="4"/>
      <c r="C81" s="4"/>
      <c r="D81" s="4"/>
      <c r="E81" s="11">
        <f t="shared" si="4"/>
        <v>0</v>
      </c>
      <c r="F81" s="4"/>
      <c r="G81" s="4"/>
      <c r="H81" s="11" t="str">
        <f>IF(F81="","",IFERROR(VLOOKUP(F81,'Incident Intake'!$A:$AE,31,FALSE())-VLOOKUP(F81,'Incident Intake'!$A:$AD,30,FALSE())+1,1))</f>
        <v/>
      </c>
      <c r="I81" s="4"/>
      <c r="J81" s="4"/>
      <c r="K81" s="11" t="str">
        <f>IF(I81="","",IFERROR(VLOOKUP(I81,'Incident Intake'!$A:$AE,31,FALSE())-VLOOKUP(I81,'Incident Intake'!$A:$AD,30,FALSE())+1,1))</f>
        <v/>
      </c>
      <c r="L81" s="4"/>
      <c r="M81" s="4"/>
      <c r="N81" s="11" t="str">
        <f>IF(L81="","",IFERROR(VLOOKUP(L81,'Incident Intake'!$A:$AE,31,FALSE())-VLOOKUP(L81,'Incident Intake'!$A:$AD,30,FALSE())+1,1))</f>
        <v/>
      </c>
      <c r="O81" s="4"/>
      <c r="P81" s="4"/>
      <c r="Q81" s="11" t="str">
        <f>IF(O81="","",IFERROR(VLOOKUP(O81,'Incident Intake'!$A:$AE,31,FALSE())-VLOOKUP(O81,'Incident Intake'!$A:$AD,30,FALSE())+1,1))</f>
        <v/>
      </c>
      <c r="R81" s="4"/>
      <c r="S81" s="4"/>
      <c r="T81" s="11" t="str">
        <f>IF(R81="","",IFERROR(VLOOKUP(R81,'Incident Intake'!$A:$AE,31,FALSE())-VLOOKUP(R81,'Incident Intake'!$A:$AD,30,FALSE())+1,1))</f>
        <v/>
      </c>
      <c r="U81" s="4"/>
      <c r="V81" s="4"/>
      <c r="W81" s="4"/>
      <c r="X81" s="4"/>
      <c r="Y81" s="4"/>
      <c r="Z81" s="4"/>
      <c r="AA81" s="10" t="str">
        <f t="shared" si="5"/>
        <v/>
      </c>
      <c r="AB81" s="4"/>
    </row>
    <row r="82" spans="1:28" ht="18" customHeight="1" x14ac:dyDescent="0.45">
      <c r="A82" s="6"/>
      <c r="B82" s="6"/>
      <c r="C82" s="6"/>
      <c r="D82" s="6"/>
      <c r="E82" s="11">
        <f t="shared" si="4"/>
        <v>0</v>
      </c>
      <c r="F82" s="6"/>
      <c r="G82" s="6"/>
      <c r="H82" s="11" t="str">
        <f>IF(F82="","",IFERROR(VLOOKUP(F82,'Incident Intake'!$A:$AE,31,FALSE())-VLOOKUP(F82,'Incident Intake'!$A:$AD,30,FALSE())+1,1))</f>
        <v/>
      </c>
      <c r="I82" s="6"/>
      <c r="J82" s="6"/>
      <c r="K82" s="11" t="str">
        <f>IF(I82="","",IFERROR(VLOOKUP(I82,'Incident Intake'!$A:$AE,31,FALSE())-VLOOKUP(I82,'Incident Intake'!$A:$AD,30,FALSE())+1,1))</f>
        <v/>
      </c>
      <c r="L82" s="6"/>
      <c r="M82" s="6"/>
      <c r="N82" s="11" t="str">
        <f>IF(L82="","",IFERROR(VLOOKUP(L82,'Incident Intake'!$A:$AE,31,FALSE())-VLOOKUP(L82,'Incident Intake'!$A:$AD,30,FALSE())+1,1))</f>
        <v/>
      </c>
      <c r="O82" s="6"/>
      <c r="P82" s="6"/>
      <c r="Q82" s="11" t="str">
        <f>IF(O82="","",IFERROR(VLOOKUP(O82,'Incident Intake'!$A:$AE,31,FALSE())-VLOOKUP(O82,'Incident Intake'!$A:$AD,30,FALSE())+1,1))</f>
        <v/>
      </c>
      <c r="R82" s="6"/>
      <c r="S82" s="6"/>
      <c r="T82" s="11" t="str">
        <f>IF(R82="","",IFERROR(VLOOKUP(R82,'Incident Intake'!$A:$AE,31,FALSE())-VLOOKUP(R82,'Incident Intake'!$A:$AD,30,FALSE())+1,1))</f>
        <v/>
      </c>
      <c r="U82" s="6"/>
      <c r="V82" s="6"/>
      <c r="W82" s="6"/>
      <c r="X82" s="6"/>
      <c r="Y82" s="6"/>
      <c r="Z82" s="6"/>
      <c r="AA82" s="10" t="str">
        <f t="shared" si="5"/>
        <v/>
      </c>
      <c r="AB82" s="6"/>
    </row>
    <row r="83" spans="1:28" ht="18" customHeight="1" x14ac:dyDescent="0.45">
      <c r="A83" s="4"/>
      <c r="B83" s="4"/>
      <c r="C83" s="4"/>
      <c r="D83" s="4"/>
      <c r="E83" s="11">
        <f t="shared" si="4"/>
        <v>0</v>
      </c>
      <c r="F83" s="4"/>
      <c r="G83" s="4"/>
      <c r="H83" s="11" t="str">
        <f>IF(F83="","",IFERROR(VLOOKUP(F83,'Incident Intake'!$A:$AE,31,FALSE())-VLOOKUP(F83,'Incident Intake'!$A:$AD,30,FALSE())+1,1))</f>
        <v/>
      </c>
      <c r="I83" s="4"/>
      <c r="J83" s="4"/>
      <c r="K83" s="11" t="str">
        <f>IF(I83="","",IFERROR(VLOOKUP(I83,'Incident Intake'!$A:$AE,31,FALSE())-VLOOKUP(I83,'Incident Intake'!$A:$AD,30,FALSE())+1,1))</f>
        <v/>
      </c>
      <c r="L83" s="4"/>
      <c r="M83" s="4"/>
      <c r="N83" s="11" t="str">
        <f>IF(L83="","",IFERROR(VLOOKUP(L83,'Incident Intake'!$A:$AE,31,FALSE())-VLOOKUP(L83,'Incident Intake'!$A:$AD,30,FALSE())+1,1))</f>
        <v/>
      </c>
      <c r="O83" s="4"/>
      <c r="P83" s="4"/>
      <c r="Q83" s="11" t="str">
        <f>IF(O83="","",IFERROR(VLOOKUP(O83,'Incident Intake'!$A:$AE,31,FALSE())-VLOOKUP(O83,'Incident Intake'!$A:$AD,30,FALSE())+1,1))</f>
        <v/>
      </c>
      <c r="R83" s="4"/>
      <c r="S83" s="4"/>
      <c r="T83" s="11" t="str">
        <f>IF(R83="","",IFERROR(VLOOKUP(R83,'Incident Intake'!$A:$AE,31,FALSE())-VLOOKUP(R83,'Incident Intake'!$A:$AD,30,FALSE())+1,1))</f>
        <v/>
      </c>
      <c r="U83" s="4"/>
      <c r="V83" s="4"/>
      <c r="W83" s="4"/>
      <c r="X83" s="4"/>
      <c r="Y83" s="4"/>
      <c r="Z83" s="4"/>
      <c r="AA83" s="10" t="str">
        <f t="shared" si="5"/>
        <v/>
      </c>
      <c r="AB83" s="4"/>
    </row>
    <row r="84" spans="1:28" ht="18" customHeight="1" x14ac:dyDescent="0.45">
      <c r="A84" s="6"/>
      <c r="B84" s="6"/>
      <c r="C84" s="6"/>
      <c r="D84" s="6"/>
      <c r="E84" s="11">
        <f t="shared" si="4"/>
        <v>0</v>
      </c>
      <c r="F84" s="6"/>
      <c r="G84" s="6"/>
      <c r="H84" s="11" t="str">
        <f>IF(F84="","",IFERROR(VLOOKUP(F84,'Incident Intake'!$A:$AE,31,FALSE())-VLOOKUP(F84,'Incident Intake'!$A:$AD,30,FALSE())+1,1))</f>
        <v/>
      </c>
      <c r="I84" s="6"/>
      <c r="J84" s="6"/>
      <c r="K84" s="11" t="str">
        <f>IF(I84="","",IFERROR(VLOOKUP(I84,'Incident Intake'!$A:$AE,31,FALSE())-VLOOKUP(I84,'Incident Intake'!$A:$AD,30,FALSE())+1,1))</f>
        <v/>
      </c>
      <c r="L84" s="6"/>
      <c r="M84" s="6"/>
      <c r="N84" s="11" t="str">
        <f>IF(L84="","",IFERROR(VLOOKUP(L84,'Incident Intake'!$A:$AE,31,FALSE())-VLOOKUP(L84,'Incident Intake'!$A:$AD,30,FALSE())+1,1))</f>
        <v/>
      </c>
      <c r="O84" s="6"/>
      <c r="P84" s="6"/>
      <c r="Q84" s="11" t="str">
        <f>IF(O84="","",IFERROR(VLOOKUP(O84,'Incident Intake'!$A:$AE,31,FALSE())-VLOOKUP(O84,'Incident Intake'!$A:$AD,30,FALSE())+1,1))</f>
        <v/>
      </c>
      <c r="R84" s="6"/>
      <c r="S84" s="6"/>
      <c r="T84" s="11" t="str">
        <f>IF(R84="","",IFERROR(VLOOKUP(R84,'Incident Intake'!$A:$AE,31,FALSE())-VLOOKUP(R84,'Incident Intake'!$A:$AD,30,FALSE())+1,1))</f>
        <v/>
      </c>
      <c r="U84" s="6"/>
      <c r="V84" s="6"/>
      <c r="W84" s="6"/>
      <c r="X84" s="6"/>
      <c r="Y84" s="6"/>
      <c r="Z84" s="6"/>
      <c r="AA84" s="10" t="str">
        <f t="shared" si="5"/>
        <v/>
      </c>
      <c r="AB84" s="6"/>
    </row>
    <row r="85" spans="1:28" ht="18" customHeight="1" x14ac:dyDescent="0.45">
      <c r="A85" s="4"/>
      <c r="B85" s="4"/>
      <c r="C85" s="4"/>
      <c r="D85" s="4"/>
      <c r="E85" s="11">
        <f t="shared" si="4"/>
        <v>0</v>
      </c>
      <c r="F85" s="4"/>
      <c r="G85" s="4"/>
      <c r="H85" s="11" t="str">
        <f>IF(F85="","",IFERROR(VLOOKUP(F85,'Incident Intake'!$A:$AE,31,FALSE())-VLOOKUP(F85,'Incident Intake'!$A:$AD,30,FALSE())+1,1))</f>
        <v/>
      </c>
      <c r="I85" s="4"/>
      <c r="J85" s="4"/>
      <c r="K85" s="11" t="str">
        <f>IF(I85="","",IFERROR(VLOOKUP(I85,'Incident Intake'!$A:$AE,31,FALSE())-VLOOKUP(I85,'Incident Intake'!$A:$AD,30,FALSE())+1,1))</f>
        <v/>
      </c>
      <c r="L85" s="4"/>
      <c r="M85" s="4"/>
      <c r="N85" s="11" t="str">
        <f>IF(L85="","",IFERROR(VLOOKUP(L85,'Incident Intake'!$A:$AE,31,FALSE())-VLOOKUP(L85,'Incident Intake'!$A:$AD,30,FALSE())+1,1))</f>
        <v/>
      </c>
      <c r="O85" s="4"/>
      <c r="P85" s="4"/>
      <c r="Q85" s="11" t="str">
        <f>IF(O85="","",IFERROR(VLOOKUP(O85,'Incident Intake'!$A:$AE,31,FALSE())-VLOOKUP(O85,'Incident Intake'!$A:$AD,30,FALSE())+1,1))</f>
        <v/>
      </c>
      <c r="R85" s="4"/>
      <c r="S85" s="4"/>
      <c r="T85" s="11" t="str">
        <f>IF(R85="","",IFERROR(VLOOKUP(R85,'Incident Intake'!$A:$AE,31,FALSE())-VLOOKUP(R85,'Incident Intake'!$A:$AD,30,FALSE())+1,1))</f>
        <v/>
      </c>
      <c r="U85" s="4"/>
      <c r="V85" s="4"/>
      <c r="W85" s="4"/>
      <c r="X85" s="4"/>
      <c r="Y85" s="4"/>
      <c r="Z85" s="4"/>
      <c r="AA85" s="10" t="str">
        <f t="shared" si="5"/>
        <v/>
      </c>
      <c r="AB85" s="4"/>
    </row>
    <row r="86" spans="1:28" ht="18" customHeight="1" x14ac:dyDescent="0.45">
      <c r="A86" s="6"/>
      <c r="B86" s="6"/>
      <c r="C86" s="6"/>
      <c r="D86" s="6"/>
      <c r="E86" s="11">
        <f t="shared" si="4"/>
        <v>0</v>
      </c>
      <c r="F86" s="6"/>
      <c r="G86" s="6"/>
      <c r="H86" s="11" t="str">
        <f>IF(F86="","",IFERROR(VLOOKUP(F86,'Incident Intake'!$A:$AE,31,FALSE())-VLOOKUP(F86,'Incident Intake'!$A:$AD,30,FALSE())+1,1))</f>
        <v/>
      </c>
      <c r="I86" s="6"/>
      <c r="J86" s="6"/>
      <c r="K86" s="11" t="str">
        <f>IF(I86="","",IFERROR(VLOOKUP(I86,'Incident Intake'!$A:$AE,31,FALSE())-VLOOKUP(I86,'Incident Intake'!$A:$AD,30,FALSE())+1,1))</f>
        <v/>
      </c>
      <c r="L86" s="6"/>
      <c r="M86" s="6"/>
      <c r="N86" s="11" t="str">
        <f>IF(L86="","",IFERROR(VLOOKUP(L86,'Incident Intake'!$A:$AE,31,FALSE())-VLOOKUP(L86,'Incident Intake'!$A:$AD,30,FALSE())+1,1))</f>
        <v/>
      </c>
      <c r="O86" s="6"/>
      <c r="P86" s="6"/>
      <c r="Q86" s="11" t="str">
        <f>IF(O86="","",IFERROR(VLOOKUP(O86,'Incident Intake'!$A:$AE,31,FALSE())-VLOOKUP(O86,'Incident Intake'!$A:$AD,30,FALSE())+1,1))</f>
        <v/>
      </c>
      <c r="R86" s="6"/>
      <c r="S86" s="6"/>
      <c r="T86" s="11" t="str">
        <f>IF(R86="","",IFERROR(VLOOKUP(R86,'Incident Intake'!$A:$AE,31,FALSE())-VLOOKUP(R86,'Incident Intake'!$A:$AD,30,FALSE())+1,1))</f>
        <v/>
      </c>
      <c r="U86" s="6"/>
      <c r="V86" s="6"/>
      <c r="W86" s="6"/>
      <c r="X86" s="6"/>
      <c r="Y86" s="6"/>
      <c r="Z86" s="6"/>
      <c r="AA86" s="10" t="str">
        <f t="shared" si="5"/>
        <v/>
      </c>
      <c r="AB86" s="6"/>
    </row>
    <row r="87" spans="1:28" ht="18" customHeight="1" x14ac:dyDescent="0.45">
      <c r="A87" s="4"/>
      <c r="B87" s="4"/>
      <c r="C87" s="4"/>
      <c r="D87" s="4"/>
      <c r="E87" s="11">
        <f t="shared" si="4"/>
        <v>0</v>
      </c>
      <c r="F87" s="4"/>
      <c r="G87" s="4"/>
      <c r="H87" s="11" t="str">
        <f>IF(F87="","",IFERROR(VLOOKUP(F87,'Incident Intake'!$A:$AE,31,FALSE())-VLOOKUP(F87,'Incident Intake'!$A:$AD,30,FALSE())+1,1))</f>
        <v/>
      </c>
      <c r="I87" s="4"/>
      <c r="J87" s="4"/>
      <c r="K87" s="11" t="str">
        <f>IF(I87="","",IFERROR(VLOOKUP(I87,'Incident Intake'!$A:$AE,31,FALSE())-VLOOKUP(I87,'Incident Intake'!$A:$AD,30,FALSE())+1,1))</f>
        <v/>
      </c>
      <c r="L87" s="4"/>
      <c r="M87" s="4"/>
      <c r="N87" s="11" t="str">
        <f>IF(L87="","",IFERROR(VLOOKUP(L87,'Incident Intake'!$A:$AE,31,FALSE())-VLOOKUP(L87,'Incident Intake'!$A:$AD,30,FALSE())+1,1))</f>
        <v/>
      </c>
      <c r="O87" s="4"/>
      <c r="P87" s="4"/>
      <c r="Q87" s="11" t="str">
        <f>IF(O87="","",IFERROR(VLOOKUP(O87,'Incident Intake'!$A:$AE,31,FALSE())-VLOOKUP(O87,'Incident Intake'!$A:$AD,30,FALSE())+1,1))</f>
        <v/>
      </c>
      <c r="R87" s="4"/>
      <c r="S87" s="4"/>
      <c r="T87" s="11" t="str">
        <f>IF(R87="","",IFERROR(VLOOKUP(R87,'Incident Intake'!$A:$AE,31,FALSE())-VLOOKUP(R87,'Incident Intake'!$A:$AD,30,FALSE())+1,1))</f>
        <v/>
      </c>
      <c r="U87" s="4"/>
      <c r="V87" s="4"/>
      <c r="W87" s="4"/>
      <c r="X87" s="4"/>
      <c r="Y87" s="4"/>
      <c r="Z87" s="4"/>
      <c r="AA87" s="10" t="str">
        <f t="shared" si="5"/>
        <v/>
      </c>
      <c r="AB87" s="4"/>
    </row>
    <row r="88" spans="1:28" ht="18" customHeight="1" x14ac:dyDescent="0.45">
      <c r="A88" s="6"/>
      <c r="B88" s="6"/>
      <c r="C88" s="6"/>
      <c r="D88" s="6"/>
      <c r="E88" s="11">
        <f t="shared" si="4"/>
        <v>0</v>
      </c>
      <c r="F88" s="6"/>
      <c r="G88" s="6"/>
      <c r="H88" s="11" t="str">
        <f>IF(F88="","",IFERROR(VLOOKUP(F88,'Incident Intake'!$A:$AE,31,FALSE())-VLOOKUP(F88,'Incident Intake'!$A:$AD,30,FALSE())+1,1))</f>
        <v/>
      </c>
      <c r="I88" s="6"/>
      <c r="J88" s="6"/>
      <c r="K88" s="11" t="str">
        <f>IF(I88="","",IFERROR(VLOOKUP(I88,'Incident Intake'!$A:$AE,31,FALSE())-VLOOKUP(I88,'Incident Intake'!$A:$AD,30,FALSE())+1,1))</f>
        <v/>
      </c>
      <c r="L88" s="6"/>
      <c r="M88" s="6"/>
      <c r="N88" s="11" t="str">
        <f>IF(L88="","",IFERROR(VLOOKUP(L88,'Incident Intake'!$A:$AE,31,FALSE())-VLOOKUP(L88,'Incident Intake'!$A:$AD,30,FALSE())+1,1))</f>
        <v/>
      </c>
      <c r="O88" s="6"/>
      <c r="P88" s="6"/>
      <c r="Q88" s="11" t="str">
        <f>IF(O88="","",IFERROR(VLOOKUP(O88,'Incident Intake'!$A:$AE,31,FALSE())-VLOOKUP(O88,'Incident Intake'!$A:$AD,30,FALSE())+1,1))</f>
        <v/>
      </c>
      <c r="R88" s="6"/>
      <c r="S88" s="6"/>
      <c r="T88" s="11" t="str">
        <f>IF(R88="","",IFERROR(VLOOKUP(R88,'Incident Intake'!$A:$AE,31,FALSE())-VLOOKUP(R88,'Incident Intake'!$A:$AD,30,FALSE())+1,1))</f>
        <v/>
      </c>
      <c r="U88" s="6"/>
      <c r="V88" s="6"/>
      <c r="W88" s="6"/>
      <c r="X88" s="6"/>
      <c r="Y88" s="6"/>
      <c r="Z88" s="6"/>
      <c r="AA88" s="10" t="str">
        <f t="shared" si="5"/>
        <v/>
      </c>
      <c r="AB88" s="6"/>
    </row>
    <row r="89" spans="1:28" ht="18" customHeight="1" x14ac:dyDescent="0.45">
      <c r="A89" s="4"/>
      <c r="B89" s="4"/>
      <c r="C89" s="4"/>
      <c r="D89" s="4"/>
      <c r="E89" s="11">
        <f t="shared" si="4"/>
        <v>0</v>
      </c>
      <c r="F89" s="4"/>
      <c r="G89" s="4"/>
      <c r="H89" s="11" t="str">
        <f>IF(F89="","",IFERROR(VLOOKUP(F89,'Incident Intake'!$A:$AE,31,FALSE())-VLOOKUP(F89,'Incident Intake'!$A:$AD,30,FALSE())+1,1))</f>
        <v/>
      </c>
      <c r="I89" s="4"/>
      <c r="J89" s="4"/>
      <c r="K89" s="11" t="str">
        <f>IF(I89="","",IFERROR(VLOOKUP(I89,'Incident Intake'!$A:$AE,31,FALSE())-VLOOKUP(I89,'Incident Intake'!$A:$AD,30,FALSE())+1,1))</f>
        <v/>
      </c>
      <c r="L89" s="4"/>
      <c r="M89" s="4"/>
      <c r="N89" s="11" t="str">
        <f>IF(L89="","",IFERROR(VLOOKUP(L89,'Incident Intake'!$A:$AE,31,FALSE())-VLOOKUP(L89,'Incident Intake'!$A:$AD,30,FALSE())+1,1))</f>
        <v/>
      </c>
      <c r="O89" s="4"/>
      <c r="P89" s="4"/>
      <c r="Q89" s="11" t="str">
        <f>IF(O89="","",IFERROR(VLOOKUP(O89,'Incident Intake'!$A:$AE,31,FALSE())-VLOOKUP(O89,'Incident Intake'!$A:$AD,30,FALSE())+1,1))</f>
        <v/>
      </c>
      <c r="R89" s="4"/>
      <c r="S89" s="4"/>
      <c r="T89" s="11" t="str">
        <f>IF(R89="","",IFERROR(VLOOKUP(R89,'Incident Intake'!$A:$AE,31,FALSE())-VLOOKUP(R89,'Incident Intake'!$A:$AD,30,FALSE())+1,1))</f>
        <v/>
      </c>
      <c r="U89" s="4"/>
      <c r="V89" s="4"/>
      <c r="W89" s="4"/>
      <c r="X89" s="4"/>
      <c r="Y89" s="4"/>
      <c r="Z89" s="4"/>
      <c r="AA89" s="10" t="str">
        <f t="shared" si="5"/>
        <v/>
      </c>
      <c r="AB89" s="4"/>
    </row>
    <row r="90" spans="1:28" ht="18" customHeight="1" x14ac:dyDescent="0.45">
      <c r="A90" s="6"/>
      <c r="B90" s="6"/>
      <c r="C90" s="6"/>
      <c r="D90" s="6"/>
      <c r="E90" s="11">
        <f t="shared" si="4"/>
        <v>0</v>
      </c>
      <c r="F90" s="6"/>
      <c r="G90" s="6"/>
      <c r="H90" s="11" t="str">
        <f>IF(F90="","",IFERROR(VLOOKUP(F90,'Incident Intake'!$A:$AE,31,FALSE())-VLOOKUP(F90,'Incident Intake'!$A:$AD,30,FALSE())+1,1))</f>
        <v/>
      </c>
      <c r="I90" s="6"/>
      <c r="J90" s="6"/>
      <c r="K90" s="11" t="str">
        <f>IF(I90="","",IFERROR(VLOOKUP(I90,'Incident Intake'!$A:$AE,31,FALSE())-VLOOKUP(I90,'Incident Intake'!$A:$AD,30,FALSE())+1,1))</f>
        <v/>
      </c>
      <c r="L90" s="6"/>
      <c r="M90" s="6"/>
      <c r="N90" s="11" t="str">
        <f>IF(L90="","",IFERROR(VLOOKUP(L90,'Incident Intake'!$A:$AE,31,FALSE())-VLOOKUP(L90,'Incident Intake'!$A:$AD,30,FALSE())+1,1))</f>
        <v/>
      </c>
      <c r="O90" s="6"/>
      <c r="P90" s="6"/>
      <c r="Q90" s="11" t="str">
        <f>IF(O90="","",IFERROR(VLOOKUP(O90,'Incident Intake'!$A:$AE,31,FALSE())-VLOOKUP(O90,'Incident Intake'!$A:$AD,30,FALSE())+1,1))</f>
        <v/>
      </c>
      <c r="R90" s="6"/>
      <c r="S90" s="6"/>
      <c r="T90" s="11" t="str">
        <f>IF(R90="","",IFERROR(VLOOKUP(R90,'Incident Intake'!$A:$AE,31,FALSE())-VLOOKUP(R90,'Incident Intake'!$A:$AD,30,FALSE())+1,1))</f>
        <v/>
      </c>
      <c r="U90" s="6"/>
      <c r="V90" s="6"/>
      <c r="W90" s="6"/>
      <c r="X90" s="6"/>
      <c r="Y90" s="6"/>
      <c r="Z90" s="6"/>
      <c r="AA90" s="10" t="str">
        <f t="shared" si="5"/>
        <v/>
      </c>
      <c r="AB90" s="6"/>
    </row>
    <row r="91" spans="1:28" ht="18" customHeight="1" x14ac:dyDescent="0.45">
      <c r="A91" s="4"/>
      <c r="B91" s="4"/>
      <c r="C91" s="4"/>
      <c r="D91" s="4"/>
      <c r="E91" s="11">
        <f t="shared" si="4"/>
        <v>0</v>
      </c>
      <c r="F91" s="4"/>
      <c r="G91" s="4"/>
      <c r="H91" s="11" t="str">
        <f>IF(F91="","",IFERROR(VLOOKUP(F91,'Incident Intake'!$A:$AE,31,FALSE())-VLOOKUP(F91,'Incident Intake'!$A:$AD,30,FALSE())+1,1))</f>
        <v/>
      </c>
      <c r="I91" s="4"/>
      <c r="J91" s="4"/>
      <c r="K91" s="11" t="str">
        <f>IF(I91="","",IFERROR(VLOOKUP(I91,'Incident Intake'!$A:$AE,31,FALSE())-VLOOKUP(I91,'Incident Intake'!$A:$AD,30,FALSE())+1,1))</f>
        <v/>
      </c>
      <c r="L91" s="4"/>
      <c r="M91" s="4"/>
      <c r="N91" s="11" t="str">
        <f>IF(L91="","",IFERROR(VLOOKUP(L91,'Incident Intake'!$A:$AE,31,FALSE())-VLOOKUP(L91,'Incident Intake'!$A:$AD,30,FALSE())+1,1))</f>
        <v/>
      </c>
      <c r="O91" s="4"/>
      <c r="P91" s="4"/>
      <c r="Q91" s="11" t="str">
        <f>IF(O91="","",IFERROR(VLOOKUP(O91,'Incident Intake'!$A:$AE,31,FALSE())-VLOOKUP(O91,'Incident Intake'!$A:$AD,30,FALSE())+1,1))</f>
        <v/>
      </c>
      <c r="R91" s="4"/>
      <c r="S91" s="4"/>
      <c r="T91" s="11" t="str">
        <f>IF(R91="","",IFERROR(VLOOKUP(R91,'Incident Intake'!$A:$AE,31,FALSE())-VLOOKUP(R91,'Incident Intake'!$A:$AD,30,FALSE())+1,1))</f>
        <v/>
      </c>
      <c r="U91" s="4"/>
      <c r="V91" s="4"/>
      <c r="W91" s="4"/>
      <c r="X91" s="4"/>
      <c r="Y91" s="4"/>
      <c r="Z91" s="4"/>
      <c r="AA91" s="10" t="str">
        <f t="shared" si="5"/>
        <v/>
      </c>
      <c r="AB91" s="4"/>
    </row>
    <row r="92" spans="1:28" ht="18" customHeight="1" x14ac:dyDescent="0.45">
      <c r="A92" s="6"/>
      <c r="B92" s="6"/>
      <c r="C92" s="6"/>
      <c r="D92" s="6"/>
      <c r="E92" s="11">
        <f t="shared" si="4"/>
        <v>0</v>
      </c>
      <c r="F92" s="6"/>
      <c r="G92" s="6"/>
      <c r="H92" s="11" t="str">
        <f>IF(F92="","",IFERROR(VLOOKUP(F92,'Incident Intake'!$A:$AE,31,FALSE())-VLOOKUP(F92,'Incident Intake'!$A:$AD,30,FALSE())+1,1))</f>
        <v/>
      </c>
      <c r="I92" s="6"/>
      <c r="J92" s="6"/>
      <c r="K92" s="11" t="str">
        <f>IF(I92="","",IFERROR(VLOOKUP(I92,'Incident Intake'!$A:$AE,31,FALSE())-VLOOKUP(I92,'Incident Intake'!$A:$AD,30,FALSE())+1,1))</f>
        <v/>
      </c>
      <c r="L92" s="6"/>
      <c r="M92" s="6"/>
      <c r="N92" s="11" t="str">
        <f>IF(L92="","",IFERROR(VLOOKUP(L92,'Incident Intake'!$A:$AE,31,FALSE())-VLOOKUP(L92,'Incident Intake'!$A:$AD,30,FALSE())+1,1))</f>
        <v/>
      </c>
      <c r="O92" s="6"/>
      <c r="P92" s="6"/>
      <c r="Q92" s="11" t="str">
        <f>IF(O92="","",IFERROR(VLOOKUP(O92,'Incident Intake'!$A:$AE,31,FALSE())-VLOOKUP(O92,'Incident Intake'!$A:$AD,30,FALSE())+1,1))</f>
        <v/>
      </c>
      <c r="R92" s="6"/>
      <c r="S92" s="6"/>
      <c r="T92" s="11" t="str">
        <f>IF(R92="","",IFERROR(VLOOKUP(R92,'Incident Intake'!$A:$AE,31,FALSE())-VLOOKUP(R92,'Incident Intake'!$A:$AD,30,FALSE())+1,1))</f>
        <v/>
      </c>
      <c r="U92" s="6"/>
      <c r="V92" s="6"/>
      <c r="W92" s="6"/>
      <c r="X92" s="6"/>
      <c r="Y92" s="6"/>
      <c r="Z92" s="6"/>
      <c r="AA92" s="10" t="str">
        <f t="shared" si="5"/>
        <v/>
      </c>
      <c r="AB92" s="6"/>
    </row>
    <row r="93" spans="1:28" ht="18" customHeight="1" x14ac:dyDescent="0.45">
      <c r="A93" s="4"/>
      <c r="B93" s="4"/>
      <c r="C93" s="4"/>
      <c r="D93" s="4"/>
      <c r="E93" s="11">
        <f t="shared" si="4"/>
        <v>0</v>
      </c>
      <c r="F93" s="4"/>
      <c r="G93" s="4"/>
      <c r="H93" s="11" t="str">
        <f>IF(F93="","",IFERROR(VLOOKUP(F93,'Incident Intake'!$A:$AE,31,FALSE())-VLOOKUP(F93,'Incident Intake'!$A:$AD,30,FALSE())+1,1))</f>
        <v/>
      </c>
      <c r="I93" s="4"/>
      <c r="J93" s="4"/>
      <c r="K93" s="11" t="str">
        <f>IF(I93="","",IFERROR(VLOOKUP(I93,'Incident Intake'!$A:$AE,31,FALSE())-VLOOKUP(I93,'Incident Intake'!$A:$AD,30,FALSE())+1,1))</f>
        <v/>
      </c>
      <c r="L93" s="4"/>
      <c r="M93" s="4"/>
      <c r="N93" s="11" t="str">
        <f>IF(L93="","",IFERROR(VLOOKUP(L93,'Incident Intake'!$A:$AE,31,FALSE())-VLOOKUP(L93,'Incident Intake'!$A:$AD,30,FALSE())+1,1))</f>
        <v/>
      </c>
      <c r="O93" s="4"/>
      <c r="P93" s="4"/>
      <c r="Q93" s="11" t="str">
        <f>IF(O93="","",IFERROR(VLOOKUP(O93,'Incident Intake'!$A:$AE,31,FALSE())-VLOOKUP(O93,'Incident Intake'!$A:$AD,30,FALSE())+1,1))</f>
        <v/>
      </c>
      <c r="R93" s="4"/>
      <c r="S93" s="4"/>
      <c r="T93" s="11" t="str">
        <f>IF(R93="","",IFERROR(VLOOKUP(R93,'Incident Intake'!$A:$AE,31,FALSE())-VLOOKUP(R93,'Incident Intake'!$A:$AD,30,FALSE())+1,1))</f>
        <v/>
      </c>
      <c r="U93" s="4"/>
      <c r="V93" s="4"/>
      <c r="W93" s="4"/>
      <c r="X93" s="4"/>
      <c r="Y93" s="4"/>
      <c r="Z93" s="4"/>
      <c r="AA93" s="10" t="str">
        <f t="shared" si="5"/>
        <v/>
      </c>
      <c r="AB93" s="4"/>
    </row>
    <row r="94" spans="1:28" ht="18" customHeight="1" x14ac:dyDescent="0.45">
      <c r="A94" s="6"/>
      <c r="B94" s="6"/>
      <c r="C94" s="6"/>
      <c r="D94" s="6"/>
      <c r="E94" s="11">
        <f t="shared" si="4"/>
        <v>0</v>
      </c>
      <c r="F94" s="6"/>
      <c r="G94" s="6"/>
      <c r="H94" s="11" t="str">
        <f>IF(F94="","",IFERROR(VLOOKUP(F94,'Incident Intake'!$A:$AE,31,FALSE())-VLOOKUP(F94,'Incident Intake'!$A:$AD,30,FALSE())+1,1))</f>
        <v/>
      </c>
      <c r="I94" s="6"/>
      <c r="J94" s="6"/>
      <c r="K94" s="11" t="str">
        <f>IF(I94="","",IFERROR(VLOOKUP(I94,'Incident Intake'!$A:$AE,31,FALSE())-VLOOKUP(I94,'Incident Intake'!$A:$AD,30,FALSE())+1,1))</f>
        <v/>
      </c>
      <c r="L94" s="6"/>
      <c r="M94" s="6"/>
      <c r="N94" s="11" t="str">
        <f>IF(L94="","",IFERROR(VLOOKUP(L94,'Incident Intake'!$A:$AE,31,FALSE())-VLOOKUP(L94,'Incident Intake'!$A:$AD,30,FALSE())+1,1))</f>
        <v/>
      </c>
      <c r="O94" s="6"/>
      <c r="P94" s="6"/>
      <c r="Q94" s="11" t="str">
        <f>IF(O94="","",IFERROR(VLOOKUP(O94,'Incident Intake'!$A:$AE,31,FALSE())-VLOOKUP(O94,'Incident Intake'!$A:$AD,30,FALSE())+1,1))</f>
        <v/>
      </c>
      <c r="R94" s="6"/>
      <c r="S94" s="6"/>
      <c r="T94" s="11" t="str">
        <f>IF(R94="","",IFERROR(VLOOKUP(R94,'Incident Intake'!$A:$AE,31,FALSE())-VLOOKUP(R94,'Incident Intake'!$A:$AD,30,FALSE())+1,1))</f>
        <v/>
      </c>
      <c r="U94" s="6"/>
      <c r="V94" s="6"/>
      <c r="W94" s="6"/>
      <c r="X94" s="6"/>
      <c r="Y94" s="6"/>
      <c r="Z94" s="6"/>
      <c r="AA94" s="10" t="str">
        <f t="shared" si="5"/>
        <v/>
      </c>
      <c r="AB94" s="6"/>
    </row>
    <row r="95" spans="1:28" ht="18" customHeight="1" x14ac:dyDescent="0.45">
      <c r="A95" s="4"/>
      <c r="B95" s="4"/>
      <c r="C95" s="4"/>
      <c r="D95" s="4"/>
      <c r="E95" s="11">
        <f t="shared" si="4"/>
        <v>0</v>
      </c>
      <c r="F95" s="4"/>
      <c r="G95" s="4"/>
      <c r="H95" s="11" t="str">
        <f>IF(F95="","",IFERROR(VLOOKUP(F95,'Incident Intake'!$A:$AE,31,FALSE())-VLOOKUP(F95,'Incident Intake'!$A:$AD,30,FALSE())+1,1))</f>
        <v/>
      </c>
      <c r="I95" s="4"/>
      <c r="J95" s="4"/>
      <c r="K95" s="11" t="str">
        <f>IF(I95="","",IFERROR(VLOOKUP(I95,'Incident Intake'!$A:$AE,31,FALSE())-VLOOKUP(I95,'Incident Intake'!$A:$AD,30,FALSE())+1,1))</f>
        <v/>
      </c>
      <c r="L95" s="4"/>
      <c r="M95" s="4"/>
      <c r="N95" s="11" t="str">
        <f>IF(L95="","",IFERROR(VLOOKUP(L95,'Incident Intake'!$A:$AE,31,FALSE())-VLOOKUP(L95,'Incident Intake'!$A:$AD,30,FALSE())+1,1))</f>
        <v/>
      </c>
      <c r="O95" s="4"/>
      <c r="P95" s="4"/>
      <c r="Q95" s="11" t="str">
        <f>IF(O95="","",IFERROR(VLOOKUP(O95,'Incident Intake'!$A:$AE,31,FALSE())-VLOOKUP(O95,'Incident Intake'!$A:$AD,30,FALSE())+1,1))</f>
        <v/>
      </c>
      <c r="R95" s="4"/>
      <c r="S95" s="4"/>
      <c r="T95" s="11" t="str">
        <f>IF(R95="","",IFERROR(VLOOKUP(R95,'Incident Intake'!$A:$AE,31,FALSE())-VLOOKUP(R95,'Incident Intake'!$A:$AD,30,FALSE())+1,1))</f>
        <v/>
      </c>
      <c r="U95" s="4"/>
      <c r="V95" s="4"/>
      <c r="W95" s="4"/>
      <c r="X95" s="4"/>
      <c r="Y95" s="4"/>
      <c r="Z95" s="4"/>
      <c r="AA95" s="10" t="str">
        <f t="shared" si="5"/>
        <v/>
      </c>
      <c r="AB95" s="4"/>
    </row>
    <row r="96" spans="1:28" ht="18" customHeight="1" x14ac:dyDescent="0.45">
      <c r="A96" s="6"/>
      <c r="B96" s="6"/>
      <c r="C96" s="6"/>
      <c r="D96" s="6"/>
      <c r="E96" s="11">
        <f t="shared" si="4"/>
        <v>0</v>
      </c>
      <c r="F96" s="6"/>
      <c r="G96" s="6"/>
      <c r="H96" s="11" t="str">
        <f>IF(F96="","",IFERROR(VLOOKUP(F96,'Incident Intake'!$A:$AE,31,FALSE())-VLOOKUP(F96,'Incident Intake'!$A:$AD,30,FALSE())+1,1))</f>
        <v/>
      </c>
      <c r="I96" s="6"/>
      <c r="J96" s="6"/>
      <c r="K96" s="11" t="str">
        <f>IF(I96="","",IFERROR(VLOOKUP(I96,'Incident Intake'!$A:$AE,31,FALSE())-VLOOKUP(I96,'Incident Intake'!$A:$AD,30,FALSE())+1,1))</f>
        <v/>
      </c>
      <c r="L96" s="6"/>
      <c r="M96" s="6"/>
      <c r="N96" s="11" t="str">
        <f>IF(L96="","",IFERROR(VLOOKUP(L96,'Incident Intake'!$A:$AE,31,FALSE())-VLOOKUP(L96,'Incident Intake'!$A:$AD,30,FALSE())+1,1))</f>
        <v/>
      </c>
      <c r="O96" s="6"/>
      <c r="P96" s="6"/>
      <c r="Q96" s="11" t="str">
        <f>IF(O96="","",IFERROR(VLOOKUP(O96,'Incident Intake'!$A:$AE,31,FALSE())-VLOOKUP(O96,'Incident Intake'!$A:$AD,30,FALSE())+1,1))</f>
        <v/>
      </c>
      <c r="R96" s="6"/>
      <c r="S96" s="6"/>
      <c r="T96" s="11" t="str">
        <f>IF(R96="","",IFERROR(VLOOKUP(R96,'Incident Intake'!$A:$AE,31,FALSE())-VLOOKUP(R96,'Incident Intake'!$A:$AD,30,FALSE())+1,1))</f>
        <v/>
      </c>
      <c r="U96" s="6"/>
      <c r="V96" s="6"/>
      <c r="W96" s="6"/>
      <c r="X96" s="6"/>
      <c r="Y96" s="6"/>
      <c r="Z96" s="6"/>
      <c r="AA96" s="10" t="str">
        <f t="shared" si="5"/>
        <v/>
      </c>
      <c r="AB96" s="6"/>
    </row>
    <row r="97" spans="1:28" ht="18" customHeight="1" x14ac:dyDescent="0.45">
      <c r="A97" s="4"/>
      <c r="B97" s="4"/>
      <c r="C97" s="4"/>
      <c r="D97" s="4"/>
      <c r="E97" s="11">
        <f t="shared" si="4"/>
        <v>0</v>
      </c>
      <c r="F97" s="4"/>
      <c r="G97" s="4"/>
      <c r="H97" s="11" t="str">
        <f>IF(F97="","",IFERROR(VLOOKUP(F97,'Incident Intake'!$A:$AE,31,FALSE())-VLOOKUP(F97,'Incident Intake'!$A:$AD,30,FALSE())+1,1))</f>
        <v/>
      </c>
      <c r="I97" s="4"/>
      <c r="J97" s="4"/>
      <c r="K97" s="11" t="str">
        <f>IF(I97="","",IFERROR(VLOOKUP(I97,'Incident Intake'!$A:$AE,31,FALSE())-VLOOKUP(I97,'Incident Intake'!$A:$AD,30,FALSE())+1,1))</f>
        <v/>
      </c>
      <c r="L97" s="4"/>
      <c r="M97" s="4"/>
      <c r="N97" s="11" t="str">
        <f>IF(L97="","",IFERROR(VLOOKUP(L97,'Incident Intake'!$A:$AE,31,FALSE())-VLOOKUP(L97,'Incident Intake'!$A:$AD,30,FALSE())+1,1))</f>
        <v/>
      </c>
      <c r="O97" s="4"/>
      <c r="P97" s="4"/>
      <c r="Q97" s="11" t="str">
        <f>IF(O97="","",IFERROR(VLOOKUP(O97,'Incident Intake'!$A:$AE,31,FALSE())-VLOOKUP(O97,'Incident Intake'!$A:$AD,30,FALSE())+1,1))</f>
        <v/>
      </c>
      <c r="R97" s="4"/>
      <c r="S97" s="4"/>
      <c r="T97" s="11" t="str">
        <f>IF(R97="","",IFERROR(VLOOKUP(R97,'Incident Intake'!$A:$AE,31,FALSE())-VLOOKUP(R97,'Incident Intake'!$A:$AD,30,FALSE())+1,1))</f>
        <v/>
      </c>
      <c r="U97" s="4"/>
      <c r="V97" s="4"/>
      <c r="W97" s="4"/>
      <c r="X97" s="4"/>
      <c r="Y97" s="4"/>
      <c r="Z97" s="4"/>
      <c r="AA97" s="10" t="str">
        <f t="shared" si="5"/>
        <v/>
      </c>
      <c r="AB97" s="4"/>
    </row>
    <row r="98" spans="1:28" ht="18" customHeight="1" x14ac:dyDescent="0.45">
      <c r="A98" s="6"/>
      <c r="B98" s="6"/>
      <c r="C98" s="6"/>
      <c r="D98" s="6"/>
      <c r="E98" s="11">
        <f t="shared" si="4"/>
        <v>0</v>
      </c>
      <c r="F98" s="6"/>
      <c r="G98" s="6"/>
      <c r="H98" s="11" t="str">
        <f>IF(F98="","",IFERROR(VLOOKUP(F98,'Incident Intake'!$A:$AE,31,FALSE())-VLOOKUP(F98,'Incident Intake'!$A:$AD,30,FALSE())+1,1))</f>
        <v/>
      </c>
      <c r="I98" s="6"/>
      <c r="J98" s="6"/>
      <c r="K98" s="11" t="str">
        <f>IF(I98="","",IFERROR(VLOOKUP(I98,'Incident Intake'!$A:$AE,31,FALSE())-VLOOKUP(I98,'Incident Intake'!$A:$AD,30,FALSE())+1,1))</f>
        <v/>
      </c>
      <c r="L98" s="6"/>
      <c r="M98" s="6"/>
      <c r="N98" s="11" t="str">
        <f>IF(L98="","",IFERROR(VLOOKUP(L98,'Incident Intake'!$A:$AE,31,FALSE())-VLOOKUP(L98,'Incident Intake'!$A:$AD,30,FALSE())+1,1))</f>
        <v/>
      </c>
      <c r="O98" s="6"/>
      <c r="P98" s="6"/>
      <c r="Q98" s="11" t="str">
        <f>IF(O98="","",IFERROR(VLOOKUP(O98,'Incident Intake'!$A:$AE,31,FALSE())-VLOOKUP(O98,'Incident Intake'!$A:$AD,30,FALSE())+1,1))</f>
        <v/>
      </c>
      <c r="R98" s="6"/>
      <c r="S98" s="6"/>
      <c r="T98" s="11" t="str">
        <f>IF(R98="","",IFERROR(VLOOKUP(R98,'Incident Intake'!$A:$AE,31,FALSE())-VLOOKUP(R98,'Incident Intake'!$A:$AD,30,FALSE())+1,1))</f>
        <v/>
      </c>
      <c r="U98" s="6"/>
      <c r="V98" s="6"/>
      <c r="W98" s="6"/>
      <c r="X98" s="6"/>
      <c r="Y98" s="6"/>
      <c r="Z98" s="6"/>
      <c r="AA98" s="10" t="str">
        <f t="shared" si="5"/>
        <v/>
      </c>
      <c r="AB98" s="6"/>
    </row>
    <row r="99" spans="1:28" ht="18" customHeight="1" x14ac:dyDescent="0.45">
      <c r="A99" s="4"/>
      <c r="B99" s="4"/>
      <c r="C99" s="4"/>
      <c r="D99" s="4"/>
      <c r="E99" s="11">
        <f t="shared" si="4"/>
        <v>0</v>
      </c>
      <c r="F99" s="4"/>
      <c r="G99" s="4"/>
      <c r="H99" s="11" t="str">
        <f>IF(F99="","",IFERROR(VLOOKUP(F99,'Incident Intake'!$A:$AE,31,FALSE())-VLOOKUP(F99,'Incident Intake'!$A:$AD,30,FALSE())+1,1))</f>
        <v/>
      </c>
      <c r="I99" s="4"/>
      <c r="J99" s="4"/>
      <c r="K99" s="11" t="str">
        <f>IF(I99="","",IFERROR(VLOOKUP(I99,'Incident Intake'!$A:$AE,31,FALSE())-VLOOKUP(I99,'Incident Intake'!$A:$AD,30,FALSE())+1,1))</f>
        <v/>
      </c>
      <c r="L99" s="4"/>
      <c r="M99" s="4"/>
      <c r="N99" s="11" t="str">
        <f>IF(L99="","",IFERROR(VLOOKUP(L99,'Incident Intake'!$A:$AE,31,FALSE())-VLOOKUP(L99,'Incident Intake'!$A:$AD,30,FALSE())+1,1))</f>
        <v/>
      </c>
      <c r="O99" s="4"/>
      <c r="P99" s="4"/>
      <c r="Q99" s="11" t="str">
        <f>IF(O99="","",IFERROR(VLOOKUP(O99,'Incident Intake'!$A:$AE,31,FALSE())-VLOOKUP(O99,'Incident Intake'!$A:$AD,30,FALSE())+1,1))</f>
        <v/>
      </c>
      <c r="R99" s="4"/>
      <c r="S99" s="4"/>
      <c r="T99" s="11" t="str">
        <f>IF(R99="","",IFERROR(VLOOKUP(R99,'Incident Intake'!$A:$AE,31,FALSE())-VLOOKUP(R99,'Incident Intake'!$A:$AD,30,FALSE())+1,1))</f>
        <v/>
      </c>
      <c r="U99" s="4"/>
      <c r="V99" s="4"/>
      <c r="W99" s="4"/>
      <c r="X99" s="4"/>
      <c r="Y99" s="4"/>
      <c r="Z99" s="4"/>
      <c r="AA99" s="10" t="str">
        <f t="shared" si="5"/>
        <v/>
      </c>
      <c r="AB99" s="4"/>
    </row>
    <row r="100" spans="1:28" ht="18" customHeight="1" x14ac:dyDescent="0.45">
      <c r="A100" s="6"/>
      <c r="B100" s="6"/>
      <c r="C100" s="6"/>
      <c r="D100" s="6"/>
      <c r="E100" s="11">
        <f t="shared" si="4"/>
        <v>0</v>
      </c>
      <c r="F100" s="6"/>
      <c r="G100" s="6"/>
      <c r="H100" s="11" t="str">
        <f>IF(F100="","",IFERROR(VLOOKUP(F100,'Incident Intake'!$A:$AE,31,FALSE())-VLOOKUP(F100,'Incident Intake'!$A:$AD,30,FALSE())+1,1))</f>
        <v/>
      </c>
      <c r="I100" s="6"/>
      <c r="J100" s="6"/>
      <c r="K100" s="11" t="str">
        <f>IF(I100="","",IFERROR(VLOOKUP(I100,'Incident Intake'!$A:$AE,31,FALSE())-VLOOKUP(I100,'Incident Intake'!$A:$AD,30,FALSE())+1,1))</f>
        <v/>
      </c>
      <c r="L100" s="6"/>
      <c r="M100" s="6"/>
      <c r="N100" s="11" t="str">
        <f>IF(L100="","",IFERROR(VLOOKUP(L100,'Incident Intake'!$A:$AE,31,FALSE())-VLOOKUP(L100,'Incident Intake'!$A:$AD,30,FALSE())+1,1))</f>
        <v/>
      </c>
      <c r="O100" s="6"/>
      <c r="P100" s="6"/>
      <c r="Q100" s="11" t="str">
        <f>IF(O100="","",IFERROR(VLOOKUP(O100,'Incident Intake'!$A:$AE,31,FALSE())-VLOOKUP(O100,'Incident Intake'!$A:$AD,30,FALSE())+1,1))</f>
        <v/>
      </c>
      <c r="R100" s="6"/>
      <c r="S100" s="6"/>
      <c r="T100" s="11" t="str">
        <f>IF(R100="","",IFERROR(VLOOKUP(R100,'Incident Intake'!$A:$AE,31,FALSE())-VLOOKUP(R100,'Incident Intake'!$A:$AD,30,FALSE())+1,1))</f>
        <v/>
      </c>
      <c r="U100" s="6"/>
      <c r="V100" s="6"/>
      <c r="W100" s="6"/>
      <c r="X100" s="6"/>
      <c r="Y100" s="6"/>
      <c r="Z100" s="6"/>
      <c r="AA100" s="10" t="str">
        <f t="shared" si="5"/>
        <v/>
      </c>
      <c r="AB100" s="6"/>
    </row>
    <row r="101" spans="1:28" ht="18" customHeight="1" x14ac:dyDescent="0.45">
      <c r="A101" s="4"/>
      <c r="B101" s="4"/>
      <c r="C101" s="4"/>
      <c r="D101" s="4"/>
      <c r="E101" s="11">
        <f t="shared" ref="E101:E132" si="6">SUM(H101,K101,N101,Q101,T101)</f>
        <v>0</v>
      </c>
      <c r="F101" s="4"/>
      <c r="G101" s="4"/>
      <c r="H101" s="11" t="str">
        <f>IF(F101="","",IFERROR(VLOOKUP(F101,'Incident Intake'!$A:$AE,31,FALSE())-VLOOKUP(F101,'Incident Intake'!$A:$AD,30,FALSE())+1,1))</f>
        <v/>
      </c>
      <c r="I101" s="4"/>
      <c r="J101" s="4"/>
      <c r="K101" s="11" t="str">
        <f>IF(I101="","",IFERROR(VLOOKUP(I101,'Incident Intake'!$A:$AE,31,FALSE())-VLOOKUP(I101,'Incident Intake'!$A:$AD,30,FALSE())+1,1))</f>
        <v/>
      </c>
      <c r="L101" s="4"/>
      <c r="M101" s="4"/>
      <c r="N101" s="11" t="str">
        <f>IF(L101="","",IFERROR(VLOOKUP(L101,'Incident Intake'!$A:$AE,31,FALSE())-VLOOKUP(L101,'Incident Intake'!$A:$AD,30,FALSE())+1,1))</f>
        <v/>
      </c>
      <c r="O101" s="4"/>
      <c r="P101" s="4"/>
      <c r="Q101" s="11" t="str">
        <f>IF(O101="","",IFERROR(VLOOKUP(O101,'Incident Intake'!$A:$AE,31,FALSE())-VLOOKUP(O101,'Incident Intake'!$A:$AD,30,FALSE())+1,1))</f>
        <v/>
      </c>
      <c r="R101" s="4"/>
      <c r="S101" s="4"/>
      <c r="T101" s="11" t="str">
        <f>IF(R101="","",IFERROR(VLOOKUP(R101,'Incident Intake'!$A:$AE,31,FALSE())-VLOOKUP(R101,'Incident Intake'!$A:$AD,30,FALSE())+1,1))</f>
        <v/>
      </c>
      <c r="U101" s="4"/>
      <c r="V101" s="4"/>
      <c r="W101" s="4"/>
      <c r="X101" s="4"/>
      <c r="Y101" s="4"/>
      <c r="Z101" s="4"/>
      <c r="AA101" s="10" t="str">
        <f t="shared" ref="AA101:AA132" si="7">IF(A101="","",IF(E101&gt;=10,"🔴 EXCEEDED — MDR REQUIRED NOW",IF(E101&gt;=9,"🟠 URGENT — Day "&amp;E101&amp;" — Notify SPED Coord",IF(E101&gt;=7,"🟡 WARNING — Day "&amp;E101&amp;" — Plan MDR",IF(E101&gt;0,"✅ OK — "&amp;E101&amp;" days","✅ No removals")))))</f>
        <v/>
      </c>
      <c r="AB101" s="4"/>
    </row>
    <row r="102" spans="1:28" ht="18" customHeight="1" x14ac:dyDescent="0.45">
      <c r="A102" s="6"/>
      <c r="B102" s="6"/>
      <c r="C102" s="6"/>
      <c r="D102" s="6"/>
      <c r="E102" s="11">
        <f t="shared" si="6"/>
        <v>0</v>
      </c>
      <c r="F102" s="6"/>
      <c r="G102" s="6"/>
      <c r="H102" s="11" t="str">
        <f>IF(F102="","",IFERROR(VLOOKUP(F102,'Incident Intake'!$A:$AE,31,FALSE())-VLOOKUP(F102,'Incident Intake'!$A:$AD,30,FALSE())+1,1))</f>
        <v/>
      </c>
      <c r="I102" s="6"/>
      <c r="J102" s="6"/>
      <c r="K102" s="11" t="str">
        <f>IF(I102="","",IFERROR(VLOOKUP(I102,'Incident Intake'!$A:$AE,31,FALSE())-VLOOKUP(I102,'Incident Intake'!$A:$AD,30,FALSE())+1,1))</f>
        <v/>
      </c>
      <c r="L102" s="6"/>
      <c r="M102" s="6"/>
      <c r="N102" s="11" t="str">
        <f>IF(L102="","",IFERROR(VLOOKUP(L102,'Incident Intake'!$A:$AE,31,FALSE())-VLOOKUP(L102,'Incident Intake'!$A:$AD,30,FALSE())+1,1))</f>
        <v/>
      </c>
      <c r="O102" s="6"/>
      <c r="P102" s="6"/>
      <c r="Q102" s="11" t="str">
        <f>IF(O102="","",IFERROR(VLOOKUP(O102,'Incident Intake'!$A:$AE,31,FALSE())-VLOOKUP(O102,'Incident Intake'!$A:$AD,30,FALSE())+1,1))</f>
        <v/>
      </c>
      <c r="R102" s="6"/>
      <c r="S102" s="6"/>
      <c r="T102" s="11" t="str">
        <f>IF(R102="","",IFERROR(VLOOKUP(R102,'Incident Intake'!$A:$AE,31,FALSE())-VLOOKUP(R102,'Incident Intake'!$A:$AD,30,FALSE())+1,1))</f>
        <v/>
      </c>
      <c r="U102" s="6"/>
      <c r="V102" s="6"/>
      <c r="W102" s="6"/>
      <c r="X102" s="6"/>
      <c r="Y102" s="6"/>
      <c r="Z102" s="6"/>
      <c r="AA102" s="10" t="str">
        <f t="shared" si="7"/>
        <v/>
      </c>
      <c r="AB102" s="6"/>
    </row>
    <row r="103" spans="1:28" ht="18" customHeight="1" x14ac:dyDescent="0.45">
      <c r="A103" s="4"/>
      <c r="B103" s="4"/>
      <c r="C103" s="4"/>
      <c r="D103" s="4"/>
      <c r="E103" s="11">
        <f t="shared" si="6"/>
        <v>0</v>
      </c>
      <c r="F103" s="4"/>
      <c r="G103" s="4"/>
      <c r="H103" s="11" t="str">
        <f>IF(F103="","",IFERROR(VLOOKUP(F103,'Incident Intake'!$A:$AE,31,FALSE())-VLOOKUP(F103,'Incident Intake'!$A:$AD,30,FALSE())+1,1))</f>
        <v/>
      </c>
      <c r="I103" s="4"/>
      <c r="J103" s="4"/>
      <c r="K103" s="11" t="str">
        <f>IF(I103="","",IFERROR(VLOOKUP(I103,'Incident Intake'!$A:$AE,31,FALSE())-VLOOKUP(I103,'Incident Intake'!$A:$AD,30,FALSE())+1,1))</f>
        <v/>
      </c>
      <c r="L103" s="4"/>
      <c r="M103" s="4"/>
      <c r="N103" s="11" t="str">
        <f>IF(L103="","",IFERROR(VLOOKUP(L103,'Incident Intake'!$A:$AE,31,FALSE())-VLOOKUP(L103,'Incident Intake'!$A:$AD,30,FALSE())+1,1))</f>
        <v/>
      </c>
      <c r="O103" s="4"/>
      <c r="P103" s="4"/>
      <c r="Q103" s="11" t="str">
        <f>IF(O103="","",IFERROR(VLOOKUP(O103,'Incident Intake'!$A:$AE,31,FALSE())-VLOOKUP(O103,'Incident Intake'!$A:$AD,30,FALSE())+1,1))</f>
        <v/>
      </c>
      <c r="R103" s="4"/>
      <c r="S103" s="4"/>
      <c r="T103" s="11" t="str">
        <f>IF(R103="","",IFERROR(VLOOKUP(R103,'Incident Intake'!$A:$AE,31,FALSE())-VLOOKUP(R103,'Incident Intake'!$A:$AD,30,FALSE())+1,1))</f>
        <v/>
      </c>
      <c r="U103" s="4"/>
      <c r="V103" s="4"/>
      <c r="W103" s="4"/>
      <c r="X103" s="4"/>
      <c r="Y103" s="4"/>
      <c r="Z103" s="4"/>
      <c r="AA103" s="10" t="str">
        <f t="shared" si="7"/>
        <v/>
      </c>
      <c r="AB103" s="4"/>
    </row>
    <row r="104" spans="1:28" ht="18" customHeight="1" x14ac:dyDescent="0.45">
      <c r="A104" s="6"/>
      <c r="B104" s="6"/>
      <c r="C104" s="6"/>
      <c r="D104" s="6"/>
      <c r="E104" s="11">
        <f t="shared" si="6"/>
        <v>0</v>
      </c>
      <c r="F104" s="6"/>
      <c r="G104" s="6"/>
      <c r="H104" s="11" t="str">
        <f>IF(F104="","",IFERROR(VLOOKUP(F104,'Incident Intake'!$A:$AE,31,FALSE())-VLOOKUP(F104,'Incident Intake'!$A:$AD,30,FALSE())+1,1))</f>
        <v/>
      </c>
      <c r="I104" s="6"/>
      <c r="J104" s="6"/>
      <c r="K104" s="11" t="str">
        <f>IF(I104="","",IFERROR(VLOOKUP(I104,'Incident Intake'!$A:$AE,31,FALSE())-VLOOKUP(I104,'Incident Intake'!$A:$AD,30,FALSE())+1,1))</f>
        <v/>
      </c>
      <c r="L104" s="6"/>
      <c r="M104" s="6"/>
      <c r="N104" s="11" t="str">
        <f>IF(L104="","",IFERROR(VLOOKUP(L104,'Incident Intake'!$A:$AE,31,FALSE())-VLOOKUP(L104,'Incident Intake'!$A:$AD,30,FALSE())+1,1))</f>
        <v/>
      </c>
      <c r="O104" s="6"/>
      <c r="P104" s="6"/>
      <c r="Q104" s="11" t="str">
        <f>IF(O104="","",IFERROR(VLOOKUP(O104,'Incident Intake'!$A:$AE,31,FALSE())-VLOOKUP(O104,'Incident Intake'!$A:$AD,30,FALSE())+1,1))</f>
        <v/>
      </c>
      <c r="R104" s="6"/>
      <c r="S104" s="6"/>
      <c r="T104" s="11" t="str">
        <f>IF(R104="","",IFERROR(VLOOKUP(R104,'Incident Intake'!$A:$AE,31,FALSE())-VLOOKUP(R104,'Incident Intake'!$A:$AD,30,FALSE())+1,1))</f>
        <v/>
      </c>
      <c r="U104" s="6"/>
      <c r="V104" s="6"/>
      <c r="W104" s="6"/>
      <c r="X104" s="6"/>
      <c r="Y104" s="6"/>
      <c r="Z104" s="6"/>
      <c r="AA104" s="10" t="str">
        <f t="shared" si="7"/>
        <v/>
      </c>
      <c r="AB104" s="6"/>
    </row>
    <row r="105" spans="1:28" ht="18" customHeight="1" x14ac:dyDescent="0.45">
      <c r="A105" s="4"/>
      <c r="B105" s="4"/>
      <c r="C105" s="4"/>
      <c r="D105" s="4"/>
      <c r="E105" s="11">
        <f t="shared" si="6"/>
        <v>0</v>
      </c>
      <c r="F105" s="4"/>
      <c r="G105" s="4"/>
      <c r="H105" s="11" t="str">
        <f>IF(F105="","",IFERROR(VLOOKUP(F105,'Incident Intake'!$A:$AE,31,FALSE())-VLOOKUP(F105,'Incident Intake'!$A:$AD,30,FALSE())+1,1))</f>
        <v/>
      </c>
      <c r="I105" s="4"/>
      <c r="J105" s="4"/>
      <c r="K105" s="11" t="str">
        <f>IF(I105="","",IFERROR(VLOOKUP(I105,'Incident Intake'!$A:$AE,31,FALSE())-VLOOKUP(I105,'Incident Intake'!$A:$AD,30,FALSE())+1,1))</f>
        <v/>
      </c>
      <c r="L105" s="4"/>
      <c r="M105" s="4"/>
      <c r="N105" s="11" t="str">
        <f>IF(L105="","",IFERROR(VLOOKUP(L105,'Incident Intake'!$A:$AE,31,FALSE())-VLOOKUP(L105,'Incident Intake'!$A:$AD,30,FALSE())+1,1))</f>
        <v/>
      </c>
      <c r="O105" s="4"/>
      <c r="P105" s="4"/>
      <c r="Q105" s="11" t="str">
        <f>IF(O105="","",IFERROR(VLOOKUP(O105,'Incident Intake'!$A:$AE,31,FALSE())-VLOOKUP(O105,'Incident Intake'!$A:$AD,30,FALSE())+1,1))</f>
        <v/>
      </c>
      <c r="R105" s="4"/>
      <c r="S105" s="4"/>
      <c r="T105" s="11" t="str">
        <f>IF(R105="","",IFERROR(VLOOKUP(R105,'Incident Intake'!$A:$AE,31,FALSE())-VLOOKUP(R105,'Incident Intake'!$A:$AD,30,FALSE())+1,1))</f>
        <v/>
      </c>
      <c r="U105" s="4"/>
      <c r="V105" s="4"/>
      <c r="W105" s="4"/>
      <c r="X105" s="4"/>
      <c r="Y105" s="4"/>
      <c r="Z105" s="4"/>
      <c r="AA105" s="10" t="str">
        <f t="shared" si="7"/>
        <v/>
      </c>
      <c r="AB105" s="4"/>
    </row>
    <row r="106" spans="1:28" ht="18" customHeight="1" x14ac:dyDescent="0.45">
      <c r="A106" s="6"/>
      <c r="B106" s="6"/>
      <c r="C106" s="6"/>
      <c r="D106" s="6"/>
      <c r="E106" s="11">
        <f t="shared" si="6"/>
        <v>0</v>
      </c>
      <c r="F106" s="6"/>
      <c r="G106" s="6"/>
      <c r="H106" s="11" t="str">
        <f>IF(F106="","",IFERROR(VLOOKUP(F106,'Incident Intake'!$A:$AE,31,FALSE())-VLOOKUP(F106,'Incident Intake'!$A:$AD,30,FALSE())+1,1))</f>
        <v/>
      </c>
      <c r="I106" s="6"/>
      <c r="J106" s="6"/>
      <c r="K106" s="11" t="str">
        <f>IF(I106="","",IFERROR(VLOOKUP(I106,'Incident Intake'!$A:$AE,31,FALSE())-VLOOKUP(I106,'Incident Intake'!$A:$AD,30,FALSE())+1,1))</f>
        <v/>
      </c>
      <c r="L106" s="6"/>
      <c r="M106" s="6"/>
      <c r="N106" s="11" t="str">
        <f>IF(L106="","",IFERROR(VLOOKUP(L106,'Incident Intake'!$A:$AE,31,FALSE())-VLOOKUP(L106,'Incident Intake'!$A:$AD,30,FALSE())+1,1))</f>
        <v/>
      </c>
      <c r="O106" s="6"/>
      <c r="P106" s="6"/>
      <c r="Q106" s="11" t="str">
        <f>IF(O106="","",IFERROR(VLOOKUP(O106,'Incident Intake'!$A:$AE,31,FALSE())-VLOOKUP(O106,'Incident Intake'!$A:$AD,30,FALSE())+1,1))</f>
        <v/>
      </c>
      <c r="R106" s="6"/>
      <c r="S106" s="6"/>
      <c r="T106" s="11" t="str">
        <f>IF(R106="","",IFERROR(VLOOKUP(R106,'Incident Intake'!$A:$AE,31,FALSE())-VLOOKUP(R106,'Incident Intake'!$A:$AD,30,FALSE())+1,1))</f>
        <v/>
      </c>
      <c r="U106" s="6"/>
      <c r="V106" s="6"/>
      <c r="W106" s="6"/>
      <c r="X106" s="6"/>
      <c r="Y106" s="6"/>
      <c r="Z106" s="6"/>
      <c r="AA106" s="10" t="str">
        <f t="shared" si="7"/>
        <v/>
      </c>
      <c r="AB106" s="6"/>
    </row>
    <row r="107" spans="1:28" ht="18" customHeight="1" x14ac:dyDescent="0.45">
      <c r="A107" s="4"/>
      <c r="B107" s="4"/>
      <c r="C107" s="4"/>
      <c r="D107" s="4"/>
      <c r="E107" s="11">
        <f t="shared" si="6"/>
        <v>0</v>
      </c>
      <c r="F107" s="4"/>
      <c r="G107" s="4"/>
      <c r="H107" s="11" t="str">
        <f>IF(F107="","",IFERROR(VLOOKUP(F107,'Incident Intake'!$A:$AE,31,FALSE())-VLOOKUP(F107,'Incident Intake'!$A:$AD,30,FALSE())+1,1))</f>
        <v/>
      </c>
      <c r="I107" s="4"/>
      <c r="J107" s="4"/>
      <c r="K107" s="11" t="str">
        <f>IF(I107="","",IFERROR(VLOOKUP(I107,'Incident Intake'!$A:$AE,31,FALSE())-VLOOKUP(I107,'Incident Intake'!$A:$AD,30,FALSE())+1,1))</f>
        <v/>
      </c>
      <c r="L107" s="4"/>
      <c r="M107" s="4"/>
      <c r="N107" s="11" t="str">
        <f>IF(L107="","",IFERROR(VLOOKUP(L107,'Incident Intake'!$A:$AE,31,FALSE())-VLOOKUP(L107,'Incident Intake'!$A:$AD,30,FALSE())+1,1))</f>
        <v/>
      </c>
      <c r="O107" s="4"/>
      <c r="P107" s="4"/>
      <c r="Q107" s="11" t="str">
        <f>IF(O107="","",IFERROR(VLOOKUP(O107,'Incident Intake'!$A:$AE,31,FALSE())-VLOOKUP(O107,'Incident Intake'!$A:$AD,30,FALSE())+1,1))</f>
        <v/>
      </c>
      <c r="R107" s="4"/>
      <c r="S107" s="4"/>
      <c r="T107" s="11" t="str">
        <f>IF(R107="","",IFERROR(VLOOKUP(R107,'Incident Intake'!$A:$AE,31,FALSE())-VLOOKUP(R107,'Incident Intake'!$A:$AD,30,FALSE())+1,1))</f>
        <v/>
      </c>
      <c r="U107" s="4"/>
      <c r="V107" s="4"/>
      <c r="W107" s="4"/>
      <c r="X107" s="4"/>
      <c r="Y107" s="4"/>
      <c r="Z107" s="4"/>
      <c r="AA107" s="10" t="str">
        <f t="shared" si="7"/>
        <v/>
      </c>
      <c r="AB107" s="4"/>
    </row>
    <row r="108" spans="1:28" ht="18" customHeight="1" x14ac:dyDescent="0.45">
      <c r="A108" s="6"/>
      <c r="B108" s="6"/>
      <c r="C108" s="6"/>
      <c r="D108" s="6"/>
      <c r="E108" s="11">
        <f t="shared" si="6"/>
        <v>0</v>
      </c>
      <c r="F108" s="6"/>
      <c r="G108" s="6"/>
      <c r="H108" s="11" t="str">
        <f>IF(F108="","",IFERROR(VLOOKUP(F108,'Incident Intake'!$A:$AE,31,FALSE())-VLOOKUP(F108,'Incident Intake'!$A:$AD,30,FALSE())+1,1))</f>
        <v/>
      </c>
      <c r="I108" s="6"/>
      <c r="J108" s="6"/>
      <c r="K108" s="11" t="str">
        <f>IF(I108="","",IFERROR(VLOOKUP(I108,'Incident Intake'!$A:$AE,31,FALSE())-VLOOKUP(I108,'Incident Intake'!$A:$AD,30,FALSE())+1,1))</f>
        <v/>
      </c>
      <c r="L108" s="6"/>
      <c r="M108" s="6"/>
      <c r="N108" s="11" t="str">
        <f>IF(L108="","",IFERROR(VLOOKUP(L108,'Incident Intake'!$A:$AE,31,FALSE())-VLOOKUP(L108,'Incident Intake'!$A:$AD,30,FALSE())+1,1))</f>
        <v/>
      </c>
      <c r="O108" s="6"/>
      <c r="P108" s="6"/>
      <c r="Q108" s="11" t="str">
        <f>IF(O108="","",IFERROR(VLOOKUP(O108,'Incident Intake'!$A:$AE,31,FALSE())-VLOOKUP(O108,'Incident Intake'!$A:$AD,30,FALSE())+1,1))</f>
        <v/>
      </c>
      <c r="R108" s="6"/>
      <c r="S108" s="6"/>
      <c r="T108" s="11" t="str">
        <f>IF(R108="","",IFERROR(VLOOKUP(R108,'Incident Intake'!$A:$AE,31,FALSE())-VLOOKUP(R108,'Incident Intake'!$A:$AD,30,FALSE())+1,1))</f>
        <v/>
      </c>
      <c r="U108" s="6"/>
      <c r="V108" s="6"/>
      <c r="W108" s="6"/>
      <c r="X108" s="6"/>
      <c r="Y108" s="6"/>
      <c r="Z108" s="6"/>
      <c r="AA108" s="10" t="str">
        <f t="shared" si="7"/>
        <v/>
      </c>
      <c r="AB108" s="6"/>
    </row>
    <row r="109" spans="1:28" ht="18" customHeight="1" x14ac:dyDescent="0.45">
      <c r="A109" s="4"/>
      <c r="B109" s="4"/>
      <c r="C109" s="4"/>
      <c r="D109" s="4"/>
      <c r="E109" s="11">
        <f t="shared" si="6"/>
        <v>0</v>
      </c>
      <c r="F109" s="4"/>
      <c r="G109" s="4"/>
      <c r="H109" s="11" t="str">
        <f>IF(F109="","",IFERROR(VLOOKUP(F109,'Incident Intake'!$A:$AE,31,FALSE())-VLOOKUP(F109,'Incident Intake'!$A:$AD,30,FALSE())+1,1))</f>
        <v/>
      </c>
      <c r="I109" s="4"/>
      <c r="J109" s="4"/>
      <c r="K109" s="11" t="str">
        <f>IF(I109="","",IFERROR(VLOOKUP(I109,'Incident Intake'!$A:$AE,31,FALSE())-VLOOKUP(I109,'Incident Intake'!$A:$AD,30,FALSE())+1,1))</f>
        <v/>
      </c>
      <c r="L109" s="4"/>
      <c r="M109" s="4"/>
      <c r="N109" s="11" t="str">
        <f>IF(L109="","",IFERROR(VLOOKUP(L109,'Incident Intake'!$A:$AE,31,FALSE())-VLOOKUP(L109,'Incident Intake'!$A:$AD,30,FALSE())+1,1))</f>
        <v/>
      </c>
      <c r="O109" s="4"/>
      <c r="P109" s="4"/>
      <c r="Q109" s="11" t="str">
        <f>IF(O109="","",IFERROR(VLOOKUP(O109,'Incident Intake'!$A:$AE,31,FALSE())-VLOOKUP(O109,'Incident Intake'!$A:$AD,30,FALSE())+1,1))</f>
        <v/>
      </c>
      <c r="R109" s="4"/>
      <c r="S109" s="4"/>
      <c r="T109" s="11" t="str">
        <f>IF(R109="","",IFERROR(VLOOKUP(R109,'Incident Intake'!$A:$AE,31,FALSE())-VLOOKUP(R109,'Incident Intake'!$A:$AD,30,FALSE())+1,1))</f>
        <v/>
      </c>
      <c r="U109" s="4"/>
      <c r="V109" s="4"/>
      <c r="W109" s="4"/>
      <c r="X109" s="4"/>
      <c r="Y109" s="4"/>
      <c r="Z109" s="4"/>
      <c r="AA109" s="10" t="str">
        <f t="shared" si="7"/>
        <v/>
      </c>
      <c r="AB109" s="4"/>
    </row>
    <row r="110" spans="1:28" ht="18" customHeight="1" x14ac:dyDescent="0.45">
      <c r="A110" s="6"/>
      <c r="B110" s="6"/>
      <c r="C110" s="6"/>
      <c r="D110" s="6"/>
      <c r="E110" s="11">
        <f t="shared" si="6"/>
        <v>0</v>
      </c>
      <c r="F110" s="6"/>
      <c r="G110" s="6"/>
      <c r="H110" s="11" t="str">
        <f>IF(F110="","",IFERROR(VLOOKUP(F110,'Incident Intake'!$A:$AE,31,FALSE())-VLOOKUP(F110,'Incident Intake'!$A:$AD,30,FALSE())+1,1))</f>
        <v/>
      </c>
      <c r="I110" s="6"/>
      <c r="J110" s="6"/>
      <c r="K110" s="11" t="str">
        <f>IF(I110="","",IFERROR(VLOOKUP(I110,'Incident Intake'!$A:$AE,31,FALSE())-VLOOKUP(I110,'Incident Intake'!$A:$AD,30,FALSE())+1,1))</f>
        <v/>
      </c>
      <c r="L110" s="6"/>
      <c r="M110" s="6"/>
      <c r="N110" s="11" t="str">
        <f>IF(L110="","",IFERROR(VLOOKUP(L110,'Incident Intake'!$A:$AE,31,FALSE())-VLOOKUP(L110,'Incident Intake'!$A:$AD,30,FALSE())+1,1))</f>
        <v/>
      </c>
      <c r="O110" s="6"/>
      <c r="P110" s="6"/>
      <c r="Q110" s="11" t="str">
        <f>IF(O110="","",IFERROR(VLOOKUP(O110,'Incident Intake'!$A:$AE,31,FALSE())-VLOOKUP(O110,'Incident Intake'!$A:$AD,30,FALSE())+1,1))</f>
        <v/>
      </c>
      <c r="R110" s="6"/>
      <c r="S110" s="6"/>
      <c r="T110" s="11" t="str">
        <f>IF(R110="","",IFERROR(VLOOKUP(R110,'Incident Intake'!$A:$AE,31,FALSE())-VLOOKUP(R110,'Incident Intake'!$A:$AD,30,FALSE())+1,1))</f>
        <v/>
      </c>
      <c r="U110" s="6"/>
      <c r="V110" s="6"/>
      <c r="W110" s="6"/>
      <c r="X110" s="6"/>
      <c r="Y110" s="6"/>
      <c r="Z110" s="6"/>
      <c r="AA110" s="10" t="str">
        <f t="shared" si="7"/>
        <v/>
      </c>
      <c r="AB110" s="6"/>
    </row>
    <row r="111" spans="1:28" ht="18" customHeight="1" x14ac:dyDescent="0.45">
      <c r="A111" s="4"/>
      <c r="B111" s="4"/>
      <c r="C111" s="4"/>
      <c r="D111" s="4"/>
      <c r="E111" s="11">
        <f t="shared" si="6"/>
        <v>0</v>
      </c>
      <c r="F111" s="4"/>
      <c r="G111" s="4"/>
      <c r="H111" s="11" t="str">
        <f>IF(F111="","",IFERROR(VLOOKUP(F111,'Incident Intake'!$A:$AE,31,FALSE())-VLOOKUP(F111,'Incident Intake'!$A:$AD,30,FALSE())+1,1))</f>
        <v/>
      </c>
      <c r="I111" s="4"/>
      <c r="J111" s="4"/>
      <c r="K111" s="11" t="str">
        <f>IF(I111="","",IFERROR(VLOOKUP(I111,'Incident Intake'!$A:$AE,31,FALSE())-VLOOKUP(I111,'Incident Intake'!$A:$AD,30,FALSE())+1,1))</f>
        <v/>
      </c>
      <c r="L111" s="4"/>
      <c r="M111" s="4"/>
      <c r="N111" s="11" t="str">
        <f>IF(L111="","",IFERROR(VLOOKUP(L111,'Incident Intake'!$A:$AE,31,FALSE())-VLOOKUP(L111,'Incident Intake'!$A:$AD,30,FALSE())+1,1))</f>
        <v/>
      </c>
      <c r="O111" s="4"/>
      <c r="P111" s="4"/>
      <c r="Q111" s="11" t="str">
        <f>IF(O111="","",IFERROR(VLOOKUP(O111,'Incident Intake'!$A:$AE,31,FALSE())-VLOOKUP(O111,'Incident Intake'!$A:$AD,30,FALSE())+1,1))</f>
        <v/>
      </c>
      <c r="R111" s="4"/>
      <c r="S111" s="4"/>
      <c r="T111" s="11" t="str">
        <f>IF(R111="","",IFERROR(VLOOKUP(R111,'Incident Intake'!$A:$AE,31,FALSE())-VLOOKUP(R111,'Incident Intake'!$A:$AD,30,FALSE())+1,1))</f>
        <v/>
      </c>
      <c r="U111" s="4"/>
      <c r="V111" s="4"/>
      <c r="W111" s="4"/>
      <c r="X111" s="4"/>
      <c r="Y111" s="4"/>
      <c r="Z111" s="4"/>
      <c r="AA111" s="10" t="str">
        <f t="shared" si="7"/>
        <v/>
      </c>
      <c r="AB111" s="4"/>
    </row>
    <row r="112" spans="1:28" ht="18" customHeight="1" x14ac:dyDescent="0.45">
      <c r="A112" s="6"/>
      <c r="B112" s="6"/>
      <c r="C112" s="6"/>
      <c r="D112" s="6"/>
      <c r="E112" s="11">
        <f t="shared" si="6"/>
        <v>0</v>
      </c>
      <c r="F112" s="6"/>
      <c r="G112" s="6"/>
      <c r="H112" s="11" t="str">
        <f>IF(F112="","",IFERROR(VLOOKUP(F112,'Incident Intake'!$A:$AE,31,FALSE())-VLOOKUP(F112,'Incident Intake'!$A:$AD,30,FALSE())+1,1))</f>
        <v/>
      </c>
      <c r="I112" s="6"/>
      <c r="J112" s="6"/>
      <c r="K112" s="11" t="str">
        <f>IF(I112="","",IFERROR(VLOOKUP(I112,'Incident Intake'!$A:$AE,31,FALSE())-VLOOKUP(I112,'Incident Intake'!$A:$AD,30,FALSE())+1,1))</f>
        <v/>
      </c>
      <c r="L112" s="6"/>
      <c r="M112" s="6"/>
      <c r="N112" s="11" t="str">
        <f>IF(L112="","",IFERROR(VLOOKUP(L112,'Incident Intake'!$A:$AE,31,FALSE())-VLOOKUP(L112,'Incident Intake'!$A:$AD,30,FALSE())+1,1))</f>
        <v/>
      </c>
      <c r="O112" s="6"/>
      <c r="P112" s="6"/>
      <c r="Q112" s="11" t="str">
        <f>IF(O112="","",IFERROR(VLOOKUP(O112,'Incident Intake'!$A:$AE,31,FALSE())-VLOOKUP(O112,'Incident Intake'!$A:$AD,30,FALSE())+1,1))</f>
        <v/>
      </c>
      <c r="R112" s="6"/>
      <c r="S112" s="6"/>
      <c r="T112" s="11" t="str">
        <f>IF(R112="","",IFERROR(VLOOKUP(R112,'Incident Intake'!$A:$AE,31,FALSE())-VLOOKUP(R112,'Incident Intake'!$A:$AD,30,FALSE())+1,1))</f>
        <v/>
      </c>
      <c r="U112" s="6"/>
      <c r="V112" s="6"/>
      <c r="W112" s="6"/>
      <c r="X112" s="6"/>
      <c r="Y112" s="6"/>
      <c r="Z112" s="6"/>
      <c r="AA112" s="10" t="str">
        <f t="shared" si="7"/>
        <v/>
      </c>
      <c r="AB112" s="6"/>
    </row>
    <row r="113" spans="1:28" ht="18" customHeight="1" x14ac:dyDescent="0.45">
      <c r="A113" s="4"/>
      <c r="B113" s="4"/>
      <c r="C113" s="4"/>
      <c r="D113" s="4"/>
      <c r="E113" s="11">
        <f t="shared" si="6"/>
        <v>0</v>
      </c>
      <c r="F113" s="4"/>
      <c r="G113" s="4"/>
      <c r="H113" s="11" t="str">
        <f>IF(F113="","",IFERROR(VLOOKUP(F113,'Incident Intake'!$A:$AE,31,FALSE())-VLOOKUP(F113,'Incident Intake'!$A:$AD,30,FALSE())+1,1))</f>
        <v/>
      </c>
      <c r="I113" s="4"/>
      <c r="J113" s="4"/>
      <c r="K113" s="11" t="str">
        <f>IF(I113="","",IFERROR(VLOOKUP(I113,'Incident Intake'!$A:$AE,31,FALSE())-VLOOKUP(I113,'Incident Intake'!$A:$AD,30,FALSE())+1,1))</f>
        <v/>
      </c>
      <c r="L113" s="4"/>
      <c r="M113" s="4"/>
      <c r="N113" s="11" t="str">
        <f>IF(L113="","",IFERROR(VLOOKUP(L113,'Incident Intake'!$A:$AE,31,FALSE())-VLOOKUP(L113,'Incident Intake'!$A:$AD,30,FALSE())+1,1))</f>
        <v/>
      </c>
      <c r="O113" s="4"/>
      <c r="P113" s="4"/>
      <c r="Q113" s="11" t="str">
        <f>IF(O113="","",IFERROR(VLOOKUP(O113,'Incident Intake'!$A:$AE,31,FALSE())-VLOOKUP(O113,'Incident Intake'!$A:$AD,30,FALSE())+1,1))</f>
        <v/>
      </c>
      <c r="R113" s="4"/>
      <c r="S113" s="4"/>
      <c r="T113" s="11" t="str">
        <f>IF(R113="","",IFERROR(VLOOKUP(R113,'Incident Intake'!$A:$AE,31,FALSE())-VLOOKUP(R113,'Incident Intake'!$A:$AD,30,FALSE())+1,1))</f>
        <v/>
      </c>
      <c r="U113" s="4"/>
      <c r="V113" s="4"/>
      <c r="W113" s="4"/>
      <c r="X113" s="4"/>
      <c r="Y113" s="4"/>
      <c r="Z113" s="4"/>
      <c r="AA113" s="10" t="str">
        <f t="shared" si="7"/>
        <v/>
      </c>
      <c r="AB113" s="4"/>
    </row>
    <row r="114" spans="1:28" ht="18" customHeight="1" x14ac:dyDescent="0.45">
      <c r="A114" s="6"/>
      <c r="B114" s="6"/>
      <c r="C114" s="6"/>
      <c r="D114" s="6"/>
      <c r="E114" s="11">
        <f t="shared" si="6"/>
        <v>0</v>
      </c>
      <c r="F114" s="6"/>
      <c r="G114" s="6"/>
      <c r="H114" s="11" t="str">
        <f>IF(F114="","",IFERROR(VLOOKUP(F114,'Incident Intake'!$A:$AE,31,FALSE())-VLOOKUP(F114,'Incident Intake'!$A:$AD,30,FALSE())+1,1))</f>
        <v/>
      </c>
      <c r="I114" s="6"/>
      <c r="J114" s="6"/>
      <c r="K114" s="11" t="str">
        <f>IF(I114="","",IFERROR(VLOOKUP(I114,'Incident Intake'!$A:$AE,31,FALSE())-VLOOKUP(I114,'Incident Intake'!$A:$AD,30,FALSE())+1,1))</f>
        <v/>
      </c>
      <c r="L114" s="6"/>
      <c r="M114" s="6"/>
      <c r="N114" s="11" t="str">
        <f>IF(L114="","",IFERROR(VLOOKUP(L114,'Incident Intake'!$A:$AE,31,FALSE())-VLOOKUP(L114,'Incident Intake'!$A:$AD,30,FALSE())+1,1))</f>
        <v/>
      </c>
      <c r="O114" s="6"/>
      <c r="P114" s="6"/>
      <c r="Q114" s="11" t="str">
        <f>IF(O114="","",IFERROR(VLOOKUP(O114,'Incident Intake'!$A:$AE,31,FALSE())-VLOOKUP(O114,'Incident Intake'!$A:$AD,30,FALSE())+1,1))</f>
        <v/>
      </c>
      <c r="R114" s="6"/>
      <c r="S114" s="6"/>
      <c r="T114" s="11" t="str">
        <f>IF(R114="","",IFERROR(VLOOKUP(R114,'Incident Intake'!$A:$AE,31,FALSE())-VLOOKUP(R114,'Incident Intake'!$A:$AD,30,FALSE())+1,1))</f>
        <v/>
      </c>
      <c r="U114" s="6"/>
      <c r="V114" s="6"/>
      <c r="W114" s="6"/>
      <c r="X114" s="6"/>
      <c r="Y114" s="6"/>
      <c r="Z114" s="6"/>
      <c r="AA114" s="10" t="str">
        <f t="shared" si="7"/>
        <v/>
      </c>
      <c r="AB114" s="6"/>
    </row>
    <row r="115" spans="1:28" ht="18" customHeight="1" x14ac:dyDescent="0.45">
      <c r="A115" s="4"/>
      <c r="B115" s="4"/>
      <c r="C115" s="4"/>
      <c r="D115" s="4"/>
      <c r="E115" s="11">
        <f t="shared" si="6"/>
        <v>0</v>
      </c>
      <c r="F115" s="4"/>
      <c r="G115" s="4"/>
      <c r="H115" s="11" t="str">
        <f>IF(F115="","",IFERROR(VLOOKUP(F115,'Incident Intake'!$A:$AE,31,FALSE())-VLOOKUP(F115,'Incident Intake'!$A:$AD,30,FALSE())+1,1))</f>
        <v/>
      </c>
      <c r="I115" s="4"/>
      <c r="J115" s="4"/>
      <c r="K115" s="11" t="str">
        <f>IF(I115="","",IFERROR(VLOOKUP(I115,'Incident Intake'!$A:$AE,31,FALSE())-VLOOKUP(I115,'Incident Intake'!$A:$AD,30,FALSE())+1,1))</f>
        <v/>
      </c>
      <c r="L115" s="4"/>
      <c r="M115" s="4"/>
      <c r="N115" s="11" t="str">
        <f>IF(L115="","",IFERROR(VLOOKUP(L115,'Incident Intake'!$A:$AE,31,FALSE())-VLOOKUP(L115,'Incident Intake'!$A:$AD,30,FALSE())+1,1))</f>
        <v/>
      </c>
      <c r="O115" s="4"/>
      <c r="P115" s="4"/>
      <c r="Q115" s="11" t="str">
        <f>IF(O115="","",IFERROR(VLOOKUP(O115,'Incident Intake'!$A:$AE,31,FALSE())-VLOOKUP(O115,'Incident Intake'!$A:$AD,30,FALSE())+1,1))</f>
        <v/>
      </c>
      <c r="R115" s="4"/>
      <c r="S115" s="4"/>
      <c r="T115" s="11" t="str">
        <f>IF(R115="","",IFERROR(VLOOKUP(R115,'Incident Intake'!$A:$AE,31,FALSE())-VLOOKUP(R115,'Incident Intake'!$A:$AD,30,FALSE())+1,1))</f>
        <v/>
      </c>
      <c r="U115" s="4"/>
      <c r="V115" s="4"/>
      <c r="W115" s="4"/>
      <c r="X115" s="4"/>
      <c r="Y115" s="4"/>
      <c r="Z115" s="4"/>
      <c r="AA115" s="10" t="str">
        <f t="shared" si="7"/>
        <v/>
      </c>
      <c r="AB115" s="4"/>
    </row>
    <row r="116" spans="1:28" ht="18" customHeight="1" x14ac:dyDescent="0.45">
      <c r="A116" s="6"/>
      <c r="B116" s="6"/>
      <c r="C116" s="6"/>
      <c r="D116" s="6"/>
      <c r="E116" s="11">
        <f t="shared" si="6"/>
        <v>0</v>
      </c>
      <c r="F116" s="6"/>
      <c r="G116" s="6"/>
      <c r="H116" s="11" t="str">
        <f>IF(F116="","",IFERROR(VLOOKUP(F116,'Incident Intake'!$A:$AE,31,FALSE())-VLOOKUP(F116,'Incident Intake'!$A:$AD,30,FALSE())+1,1))</f>
        <v/>
      </c>
      <c r="I116" s="6"/>
      <c r="J116" s="6"/>
      <c r="K116" s="11" t="str">
        <f>IF(I116="","",IFERROR(VLOOKUP(I116,'Incident Intake'!$A:$AE,31,FALSE())-VLOOKUP(I116,'Incident Intake'!$A:$AD,30,FALSE())+1,1))</f>
        <v/>
      </c>
      <c r="L116" s="6"/>
      <c r="M116" s="6"/>
      <c r="N116" s="11" t="str">
        <f>IF(L116="","",IFERROR(VLOOKUP(L116,'Incident Intake'!$A:$AE,31,FALSE())-VLOOKUP(L116,'Incident Intake'!$A:$AD,30,FALSE())+1,1))</f>
        <v/>
      </c>
      <c r="O116" s="6"/>
      <c r="P116" s="6"/>
      <c r="Q116" s="11" t="str">
        <f>IF(O116="","",IFERROR(VLOOKUP(O116,'Incident Intake'!$A:$AE,31,FALSE())-VLOOKUP(O116,'Incident Intake'!$A:$AD,30,FALSE())+1,1))</f>
        <v/>
      </c>
      <c r="R116" s="6"/>
      <c r="S116" s="6"/>
      <c r="T116" s="11" t="str">
        <f>IF(R116="","",IFERROR(VLOOKUP(R116,'Incident Intake'!$A:$AE,31,FALSE())-VLOOKUP(R116,'Incident Intake'!$A:$AD,30,FALSE())+1,1))</f>
        <v/>
      </c>
      <c r="U116" s="6"/>
      <c r="V116" s="6"/>
      <c r="W116" s="6"/>
      <c r="X116" s="6"/>
      <c r="Y116" s="6"/>
      <c r="Z116" s="6"/>
      <c r="AA116" s="10" t="str">
        <f t="shared" si="7"/>
        <v/>
      </c>
      <c r="AB116" s="6"/>
    </row>
    <row r="117" spans="1:28" ht="18" customHeight="1" x14ac:dyDescent="0.45">
      <c r="A117" s="4"/>
      <c r="B117" s="4"/>
      <c r="C117" s="4"/>
      <c r="D117" s="4"/>
      <c r="E117" s="11">
        <f t="shared" si="6"/>
        <v>0</v>
      </c>
      <c r="F117" s="4"/>
      <c r="G117" s="4"/>
      <c r="H117" s="11" t="str">
        <f>IF(F117="","",IFERROR(VLOOKUP(F117,'Incident Intake'!$A:$AE,31,FALSE())-VLOOKUP(F117,'Incident Intake'!$A:$AD,30,FALSE())+1,1))</f>
        <v/>
      </c>
      <c r="I117" s="4"/>
      <c r="J117" s="4"/>
      <c r="K117" s="11" t="str">
        <f>IF(I117="","",IFERROR(VLOOKUP(I117,'Incident Intake'!$A:$AE,31,FALSE())-VLOOKUP(I117,'Incident Intake'!$A:$AD,30,FALSE())+1,1))</f>
        <v/>
      </c>
      <c r="L117" s="4"/>
      <c r="M117" s="4"/>
      <c r="N117" s="11" t="str">
        <f>IF(L117="","",IFERROR(VLOOKUP(L117,'Incident Intake'!$A:$AE,31,FALSE())-VLOOKUP(L117,'Incident Intake'!$A:$AD,30,FALSE())+1,1))</f>
        <v/>
      </c>
      <c r="O117" s="4"/>
      <c r="P117" s="4"/>
      <c r="Q117" s="11" t="str">
        <f>IF(O117="","",IFERROR(VLOOKUP(O117,'Incident Intake'!$A:$AE,31,FALSE())-VLOOKUP(O117,'Incident Intake'!$A:$AD,30,FALSE())+1,1))</f>
        <v/>
      </c>
      <c r="R117" s="4"/>
      <c r="S117" s="4"/>
      <c r="T117" s="11" t="str">
        <f>IF(R117="","",IFERROR(VLOOKUP(R117,'Incident Intake'!$A:$AE,31,FALSE())-VLOOKUP(R117,'Incident Intake'!$A:$AD,30,FALSE())+1,1))</f>
        <v/>
      </c>
      <c r="U117" s="4"/>
      <c r="V117" s="4"/>
      <c r="W117" s="4"/>
      <c r="X117" s="4"/>
      <c r="Y117" s="4"/>
      <c r="Z117" s="4"/>
      <c r="AA117" s="10" t="str">
        <f t="shared" si="7"/>
        <v/>
      </c>
      <c r="AB117" s="4"/>
    </row>
    <row r="118" spans="1:28" ht="18" customHeight="1" x14ac:dyDescent="0.45">
      <c r="A118" s="6"/>
      <c r="B118" s="6"/>
      <c r="C118" s="6"/>
      <c r="D118" s="6"/>
      <c r="E118" s="11">
        <f t="shared" si="6"/>
        <v>0</v>
      </c>
      <c r="F118" s="6"/>
      <c r="G118" s="6"/>
      <c r="H118" s="11" t="str">
        <f>IF(F118="","",IFERROR(VLOOKUP(F118,'Incident Intake'!$A:$AE,31,FALSE())-VLOOKUP(F118,'Incident Intake'!$A:$AD,30,FALSE())+1,1))</f>
        <v/>
      </c>
      <c r="I118" s="6"/>
      <c r="J118" s="6"/>
      <c r="K118" s="11" t="str">
        <f>IF(I118="","",IFERROR(VLOOKUP(I118,'Incident Intake'!$A:$AE,31,FALSE())-VLOOKUP(I118,'Incident Intake'!$A:$AD,30,FALSE())+1,1))</f>
        <v/>
      </c>
      <c r="L118" s="6"/>
      <c r="M118" s="6"/>
      <c r="N118" s="11" t="str">
        <f>IF(L118="","",IFERROR(VLOOKUP(L118,'Incident Intake'!$A:$AE,31,FALSE())-VLOOKUP(L118,'Incident Intake'!$A:$AD,30,FALSE())+1,1))</f>
        <v/>
      </c>
      <c r="O118" s="6"/>
      <c r="P118" s="6"/>
      <c r="Q118" s="11" t="str">
        <f>IF(O118="","",IFERROR(VLOOKUP(O118,'Incident Intake'!$A:$AE,31,FALSE())-VLOOKUP(O118,'Incident Intake'!$A:$AD,30,FALSE())+1,1))</f>
        <v/>
      </c>
      <c r="R118" s="6"/>
      <c r="S118" s="6"/>
      <c r="T118" s="11" t="str">
        <f>IF(R118="","",IFERROR(VLOOKUP(R118,'Incident Intake'!$A:$AE,31,FALSE())-VLOOKUP(R118,'Incident Intake'!$A:$AD,30,FALSE())+1,1))</f>
        <v/>
      </c>
      <c r="U118" s="6"/>
      <c r="V118" s="6"/>
      <c r="W118" s="6"/>
      <c r="X118" s="6"/>
      <c r="Y118" s="6"/>
      <c r="Z118" s="6"/>
      <c r="AA118" s="10" t="str">
        <f t="shared" si="7"/>
        <v/>
      </c>
      <c r="AB118" s="6"/>
    </row>
    <row r="119" spans="1:28" ht="18" customHeight="1" x14ac:dyDescent="0.45">
      <c r="A119" s="4"/>
      <c r="B119" s="4"/>
      <c r="C119" s="4"/>
      <c r="D119" s="4"/>
      <c r="E119" s="11">
        <f t="shared" si="6"/>
        <v>0</v>
      </c>
      <c r="F119" s="4"/>
      <c r="G119" s="4"/>
      <c r="H119" s="11" t="str">
        <f>IF(F119="","",IFERROR(VLOOKUP(F119,'Incident Intake'!$A:$AE,31,FALSE())-VLOOKUP(F119,'Incident Intake'!$A:$AD,30,FALSE())+1,1))</f>
        <v/>
      </c>
      <c r="I119" s="4"/>
      <c r="J119" s="4"/>
      <c r="K119" s="11" t="str">
        <f>IF(I119="","",IFERROR(VLOOKUP(I119,'Incident Intake'!$A:$AE,31,FALSE())-VLOOKUP(I119,'Incident Intake'!$A:$AD,30,FALSE())+1,1))</f>
        <v/>
      </c>
      <c r="L119" s="4"/>
      <c r="M119" s="4"/>
      <c r="N119" s="11" t="str">
        <f>IF(L119="","",IFERROR(VLOOKUP(L119,'Incident Intake'!$A:$AE,31,FALSE())-VLOOKUP(L119,'Incident Intake'!$A:$AD,30,FALSE())+1,1))</f>
        <v/>
      </c>
      <c r="O119" s="4"/>
      <c r="P119" s="4"/>
      <c r="Q119" s="11" t="str">
        <f>IF(O119="","",IFERROR(VLOOKUP(O119,'Incident Intake'!$A:$AE,31,FALSE())-VLOOKUP(O119,'Incident Intake'!$A:$AD,30,FALSE())+1,1))</f>
        <v/>
      </c>
      <c r="R119" s="4"/>
      <c r="S119" s="4"/>
      <c r="T119" s="11" t="str">
        <f>IF(R119="","",IFERROR(VLOOKUP(R119,'Incident Intake'!$A:$AE,31,FALSE())-VLOOKUP(R119,'Incident Intake'!$A:$AD,30,FALSE())+1,1))</f>
        <v/>
      </c>
      <c r="U119" s="4"/>
      <c r="V119" s="4"/>
      <c r="W119" s="4"/>
      <c r="X119" s="4"/>
      <c r="Y119" s="4"/>
      <c r="Z119" s="4"/>
      <c r="AA119" s="10" t="str">
        <f t="shared" si="7"/>
        <v/>
      </c>
      <c r="AB119" s="4"/>
    </row>
    <row r="120" spans="1:28" ht="18" customHeight="1" x14ac:dyDescent="0.45">
      <c r="A120" s="6"/>
      <c r="B120" s="6"/>
      <c r="C120" s="6"/>
      <c r="D120" s="6"/>
      <c r="E120" s="11">
        <f t="shared" si="6"/>
        <v>0</v>
      </c>
      <c r="F120" s="6"/>
      <c r="G120" s="6"/>
      <c r="H120" s="11" t="str">
        <f>IF(F120="","",IFERROR(VLOOKUP(F120,'Incident Intake'!$A:$AE,31,FALSE())-VLOOKUP(F120,'Incident Intake'!$A:$AD,30,FALSE())+1,1))</f>
        <v/>
      </c>
      <c r="I120" s="6"/>
      <c r="J120" s="6"/>
      <c r="K120" s="11" t="str">
        <f>IF(I120="","",IFERROR(VLOOKUP(I120,'Incident Intake'!$A:$AE,31,FALSE())-VLOOKUP(I120,'Incident Intake'!$A:$AD,30,FALSE())+1,1))</f>
        <v/>
      </c>
      <c r="L120" s="6"/>
      <c r="M120" s="6"/>
      <c r="N120" s="11" t="str">
        <f>IF(L120="","",IFERROR(VLOOKUP(L120,'Incident Intake'!$A:$AE,31,FALSE())-VLOOKUP(L120,'Incident Intake'!$A:$AD,30,FALSE())+1,1))</f>
        <v/>
      </c>
      <c r="O120" s="6"/>
      <c r="P120" s="6"/>
      <c r="Q120" s="11" t="str">
        <f>IF(O120="","",IFERROR(VLOOKUP(O120,'Incident Intake'!$A:$AE,31,FALSE())-VLOOKUP(O120,'Incident Intake'!$A:$AD,30,FALSE())+1,1))</f>
        <v/>
      </c>
      <c r="R120" s="6"/>
      <c r="S120" s="6"/>
      <c r="T120" s="11" t="str">
        <f>IF(R120="","",IFERROR(VLOOKUP(R120,'Incident Intake'!$A:$AE,31,FALSE())-VLOOKUP(R120,'Incident Intake'!$A:$AD,30,FALSE())+1,1))</f>
        <v/>
      </c>
      <c r="U120" s="6"/>
      <c r="V120" s="6"/>
      <c r="W120" s="6"/>
      <c r="X120" s="6"/>
      <c r="Y120" s="6"/>
      <c r="Z120" s="6"/>
      <c r="AA120" s="10" t="str">
        <f t="shared" si="7"/>
        <v/>
      </c>
      <c r="AB120" s="6"/>
    </row>
    <row r="121" spans="1:28" ht="18" customHeight="1" x14ac:dyDescent="0.45">
      <c r="A121" s="4"/>
      <c r="B121" s="4"/>
      <c r="C121" s="4"/>
      <c r="D121" s="4"/>
      <c r="E121" s="11">
        <f t="shared" si="6"/>
        <v>0</v>
      </c>
      <c r="F121" s="4"/>
      <c r="G121" s="4"/>
      <c r="H121" s="11" t="str">
        <f>IF(F121="","",IFERROR(VLOOKUP(F121,'Incident Intake'!$A:$AE,31,FALSE())-VLOOKUP(F121,'Incident Intake'!$A:$AD,30,FALSE())+1,1))</f>
        <v/>
      </c>
      <c r="I121" s="4"/>
      <c r="J121" s="4"/>
      <c r="K121" s="11" t="str">
        <f>IF(I121="","",IFERROR(VLOOKUP(I121,'Incident Intake'!$A:$AE,31,FALSE())-VLOOKUP(I121,'Incident Intake'!$A:$AD,30,FALSE())+1,1))</f>
        <v/>
      </c>
      <c r="L121" s="4"/>
      <c r="M121" s="4"/>
      <c r="N121" s="11" t="str">
        <f>IF(L121="","",IFERROR(VLOOKUP(L121,'Incident Intake'!$A:$AE,31,FALSE())-VLOOKUP(L121,'Incident Intake'!$A:$AD,30,FALSE())+1,1))</f>
        <v/>
      </c>
      <c r="O121" s="4"/>
      <c r="P121" s="4"/>
      <c r="Q121" s="11" t="str">
        <f>IF(O121="","",IFERROR(VLOOKUP(O121,'Incident Intake'!$A:$AE,31,FALSE())-VLOOKUP(O121,'Incident Intake'!$A:$AD,30,FALSE())+1,1))</f>
        <v/>
      </c>
      <c r="R121" s="4"/>
      <c r="S121" s="4"/>
      <c r="T121" s="11" t="str">
        <f>IF(R121="","",IFERROR(VLOOKUP(R121,'Incident Intake'!$A:$AE,31,FALSE())-VLOOKUP(R121,'Incident Intake'!$A:$AD,30,FALSE())+1,1))</f>
        <v/>
      </c>
      <c r="U121" s="4"/>
      <c r="V121" s="4"/>
      <c r="W121" s="4"/>
      <c r="X121" s="4"/>
      <c r="Y121" s="4"/>
      <c r="Z121" s="4"/>
      <c r="AA121" s="10" t="str">
        <f t="shared" si="7"/>
        <v/>
      </c>
      <c r="AB121" s="4"/>
    </row>
    <row r="122" spans="1:28" ht="18" customHeight="1" x14ac:dyDescent="0.45">
      <c r="A122" s="6"/>
      <c r="B122" s="6"/>
      <c r="C122" s="6"/>
      <c r="D122" s="6"/>
      <c r="E122" s="11">
        <f t="shared" si="6"/>
        <v>0</v>
      </c>
      <c r="F122" s="6"/>
      <c r="G122" s="6"/>
      <c r="H122" s="11" t="str">
        <f>IF(F122="","",IFERROR(VLOOKUP(F122,'Incident Intake'!$A:$AE,31,FALSE())-VLOOKUP(F122,'Incident Intake'!$A:$AD,30,FALSE())+1,1))</f>
        <v/>
      </c>
      <c r="I122" s="6"/>
      <c r="J122" s="6"/>
      <c r="K122" s="11" t="str">
        <f>IF(I122="","",IFERROR(VLOOKUP(I122,'Incident Intake'!$A:$AE,31,FALSE())-VLOOKUP(I122,'Incident Intake'!$A:$AD,30,FALSE())+1,1))</f>
        <v/>
      </c>
      <c r="L122" s="6"/>
      <c r="M122" s="6"/>
      <c r="N122" s="11" t="str">
        <f>IF(L122="","",IFERROR(VLOOKUP(L122,'Incident Intake'!$A:$AE,31,FALSE())-VLOOKUP(L122,'Incident Intake'!$A:$AD,30,FALSE())+1,1))</f>
        <v/>
      </c>
      <c r="O122" s="6"/>
      <c r="P122" s="6"/>
      <c r="Q122" s="11" t="str">
        <f>IF(O122="","",IFERROR(VLOOKUP(O122,'Incident Intake'!$A:$AE,31,FALSE())-VLOOKUP(O122,'Incident Intake'!$A:$AD,30,FALSE())+1,1))</f>
        <v/>
      </c>
      <c r="R122" s="6"/>
      <c r="S122" s="6"/>
      <c r="T122" s="11" t="str">
        <f>IF(R122="","",IFERROR(VLOOKUP(R122,'Incident Intake'!$A:$AE,31,FALSE())-VLOOKUP(R122,'Incident Intake'!$A:$AD,30,FALSE())+1,1))</f>
        <v/>
      </c>
      <c r="U122" s="6"/>
      <c r="V122" s="6"/>
      <c r="W122" s="6"/>
      <c r="X122" s="6"/>
      <c r="Y122" s="6"/>
      <c r="Z122" s="6"/>
      <c r="AA122" s="10" t="str">
        <f t="shared" si="7"/>
        <v/>
      </c>
      <c r="AB122" s="6"/>
    </row>
    <row r="123" spans="1:28" ht="18" customHeight="1" x14ac:dyDescent="0.45">
      <c r="A123" s="4"/>
      <c r="B123" s="4"/>
      <c r="C123" s="4"/>
      <c r="D123" s="4"/>
      <c r="E123" s="11">
        <f t="shared" si="6"/>
        <v>0</v>
      </c>
      <c r="F123" s="4"/>
      <c r="G123" s="4"/>
      <c r="H123" s="11" t="str">
        <f>IF(F123="","",IFERROR(VLOOKUP(F123,'Incident Intake'!$A:$AE,31,FALSE())-VLOOKUP(F123,'Incident Intake'!$A:$AD,30,FALSE())+1,1))</f>
        <v/>
      </c>
      <c r="I123" s="4"/>
      <c r="J123" s="4"/>
      <c r="K123" s="11" t="str">
        <f>IF(I123="","",IFERROR(VLOOKUP(I123,'Incident Intake'!$A:$AE,31,FALSE())-VLOOKUP(I123,'Incident Intake'!$A:$AD,30,FALSE())+1,1))</f>
        <v/>
      </c>
      <c r="L123" s="4"/>
      <c r="M123" s="4"/>
      <c r="N123" s="11" t="str">
        <f>IF(L123="","",IFERROR(VLOOKUP(L123,'Incident Intake'!$A:$AE,31,FALSE())-VLOOKUP(L123,'Incident Intake'!$A:$AD,30,FALSE())+1,1))</f>
        <v/>
      </c>
      <c r="O123" s="4"/>
      <c r="P123" s="4"/>
      <c r="Q123" s="11" t="str">
        <f>IF(O123="","",IFERROR(VLOOKUP(O123,'Incident Intake'!$A:$AE,31,FALSE())-VLOOKUP(O123,'Incident Intake'!$A:$AD,30,FALSE())+1,1))</f>
        <v/>
      </c>
      <c r="R123" s="4"/>
      <c r="S123" s="4"/>
      <c r="T123" s="11" t="str">
        <f>IF(R123="","",IFERROR(VLOOKUP(R123,'Incident Intake'!$A:$AE,31,FALSE())-VLOOKUP(R123,'Incident Intake'!$A:$AD,30,FALSE())+1,1))</f>
        <v/>
      </c>
      <c r="U123" s="4"/>
      <c r="V123" s="4"/>
      <c r="W123" s="4"/>
      <c r="X123" s="4"/>
      <c r="Y123" s="4"/>
      <c r="Z123" s="4"/>
      <c r="AA123" s="10" t="str">
        <f t="shared" si="7"/>
        <v/>
      </c>
      <c r="AB123" s="4"/>
    </row>
    <row r="124" spans="1:28" ht="18" customHeight="1" x14ac:dyDescent="0.45">
      <c r="A124" s="6"/>
      <c r="B124" s="6"/>
      <c r="C124" s="6"/>
      <c r="D124" s="6"/>
      <c r="E124" s="11">
        <f t="shared" si="6"/>
        <v>0</v>
      </c>
      <c r="F124" s="6"/>
      <c r="G124" s="6"/>
      <c r="H124" s="11" t="str">
        <f>IF(F124="","",IFERROR(VLOOKUP(F124,'Incident Intake'!$A:$AE,31,FALSE())-VLOOKUP(F124,'Incident Intake'!$A:$AD,30,FALSE())+1,1))</f>
        <v/>
      </c>
      <c r="I124" s="6"/>
      <c r="J124" s="6"/>
      <c r="K124" s="11" t="str">
        <f>IF(I124="","",IFERROR(VLOOKUP(I124,'Incident Intake'!$A:$AE,31,FALSE())-VLOOKUP(I124,'Incident Intake'!$A:$AD,30,FALSE())+1,1))</f>
        <v/>
      </c>
      <c r="L124" s="6"/>
      <c r="M124" s="6"/>
      <c r="N124" s="11" t="str">
        <f>IF(L124="","",IFERROR(VLOOKUP(L124,'Incident Intake'!$A:$AE,31,FALSE())-VLOOKUP(L124,'Incident Intake'!$A:$AD,30,FALSE())+1,1))</f>
        <v/>
      </c>
      <c r="O124" s="6"/>
      <c r="P124" s="6"/>
      <c r="Q124" s="11" t="str">
        <f>IF(O124="","",IFERROR(VLOOKUP(O124,'Incident Intake'!$A:$AE,31,FALSE())-VLOOKUP(O124,'Incident Intake'!$A:$AD,30,FALSE())+1,1))</f>
        <v/>
      </c>
      <c r="R124" s="6"/>
      <c r="S124" s="6"/>
      <c r="T124" s="11" t="str">
        <f>IF(R124="","",IFERROR(VLOOKUP(R124,'Incident Intake'!$A:$AE,31,FALSE())-VLOOKUP(R124,'Incident Intake'!$A:$AD,30,FALSE())+1,1))</f>
        <v/>
      </c>
      <c r="U124" s="6"/>
      <c r="V124" s="6"/>
      <c r="W124" s="6"/>
      <c r="X124" s="6"/>
      <c r="Y124" s="6"/>
      <c r="Z124" s="6"/>
      <c r="AA124" s="10" t="str">
        <f t="shared" si="7"/>
        <v/>
      </c>
      <c r="AB124" s="6"/>
    </row>
    <row r="125" spans="1:28" ht="18" customHeight="1" x14ac:dyDescent="0.45">
      <c r="A125" s="4"/>
      <c r="B125" s="4"/>
      <c r="C125" s="4"/>
      <c r="D125" s="4"/>
      <c r="E125" s="11">
        <f t="shared" si="6"/>
        <v>0</v>
      </c>
      <c r="F125" s="4"/>
      <c r="G125" s="4"/>
      <c r="H125" s="11" t="str">
        <f>IF(F125="","",IFERROR(VLOOKUP(F125,'Incident Intake'!$A:$AE,31,FALSE())-VLOOKUP(F125,'Incident Intake'!$A:$AD,30,FALSE())+1,1))</f>
        <v/>
      </c>
      <c r="I125" s="4"/>
      <c r="J125" s="4"/>
      <c r="K125" s="11" t="str">
        <f>IF(I125="","",IFERROR(VLOOKUP(I125,'Incident Intake'!$A:$AE,31,FALSE())-VLOOKUP(I125,'Incident Intake'!$A:$AD,30,FALSE())+1,1))</f>
        <v/>
      </c>
      <c r="L125" s="4"/>
      <c r="M125" s="4"/>
      <c r="N125" s="11" t="str">
        <f>IF(L125="","",IFERROR(VLOOKUP(L125,'Incident Intake'!$A:$AE,31,FALSE())-VLOOKUP(L125,'Incident Intake'!$A:$AD,30,FALSE())+1,1))</f>
        <v/>
      </c>
      <c r="O125" s="4"/>
      <c r="P125" s="4"/>
      <c r="Q125" s="11" t="str">
        <f>IF(O125="","",IFERROR(VLOOKUP(O125,'Incident Intake'!$A:$AE,31,FALSE())-VLOOKUP(O125,'Incident Intake'!$A:$AD,30,FALSE())+1,1))</f>
        <v/>
      </c>
      <c r="R125" s="4"/>
      <c r="S125" s="4"/>
      <c r="T125" s="11" t="str">
        <f>IF(R125="","",IFERROR(VLOOKUP(R125,'Incident Intake'!$A:$AE,31,FALSE())-VLOOKUP(R125,'Incident Intake'!$A:$AD,30,FALSE())+1,1))</f>
        <v/>
      </c>
      <c r="U125" s="4"/>
      <c r="V125" s="4"/>
      <c r="W125" s="4"/>
      <c r="X125" s="4"/>
      <c r="Y125" s="4"/>
      <c r="Z125" s="4"/>
      <c r="AA125" s="10" t="str">
        <f t="shared" si="7"/>
        <v/>
      </c>
      <c r="AB125" s="4"/>
    </row>
    <row r="126" spans="1:28" ht="18" customHeight="1" x14ac:dyDescent="0.45">
      <c r="A126" s="6"/>
      <c r="B126" s="6"/>
      <c r="C126" s="6"/>
      <c r="D126" s="6"/>
      <c r="E126" s="11">
        <f t="shared" si="6"/>
        <v>0</v>
      </c>
      <c r="F126" s="6"/>
      <c r="G126" s="6"/>
      <c r="H126" s="11" t="str">
        <f>IF(F126="","",IFERROR(VLOOKUP(F126,'Incident Intake'!$A:$AE,31,FALSE())-VLOOKUP(F126,'Incident Intake'!$A:$AD,30,FALSE())+1,1))</f>
        <v/>
      </c>
      <c r="I126" s="6"/>
      <c r="J126" s="6"/>
      <c r="K126" s="11" t="str">
        <f>IF(I126="","",IFERROR(VLOOKUP(I126,'Incident Intake'!$A:$AE,31,FALSE())-VLOOKUP(I126,'Incident Intake'!$A:$AD,30,FALSE())+1,1))</f>
        <v/>
      </c>
      <c r="L126" s="6"/>
      <c r="M126" s="6"/>
      <c r="N126" s="11" t="str">
        <f>IF(L126="","",IFERROR(VLOOKUP(L126,'Incident Intake'!$A:$AE,31,FALSE())-VLOOKUP(L126,'Incident Intake'!$A:$AD,30,FALSE())+1,1))</f>
        <v/>
      </c>
      <c r="O126" s="6"/>
      <c r="P126" s="6"/>
      <c r="Q126" s="11" t="str">
        <f>IF(O126="","",IFERROR(VLOOKUP(O126,'Incident Intake'!$A:$AE,31,FALSE())-VLOOKUP(O126,'Incident Intake'!$A:$AD,30,FALSE())+1,1))</f>
        <v/>
      </c>
      <c r="R126" s="6"/>
      <c r="S126" s="6"/>
      <c r="T126" s="11" t="str">
        <f>IF(R126="","",IFERROR(VLOOKUP(R126,'Incident Intake'!$A:$AE,31,FALSE())-VLOOKUP(R126,'Incident Intake'!$A:$AD,30,FALSE())+1,1))</f>
        <v/>
      </c>
      <c r="U126" s="6"/>
      <c r="V126" s="6"/>
      <c r="W126" s="6"/>
      <c r="X126" s="6"/>
      <c r="Y126" s="6"/>
      <c r="Z126" s="6"/>
      <c r="AA126" s="10" t="str">
        <f t="shared" si="7"/>
        <v/>
      </c>
      <c r="AB126" s="6"/>
    </row>
    <row r="127" spans="1:28" ht="18" customHeight="1" x14ac:dyDescent="0.45">
      <c r="A127" s="4"/>
      <c r="B127" s="4"/>
      <c r="C127" s="4"/>
      <c r="D127" s="4"/>
      <c r="E127" s="11">
        <f t="shared" si="6"/>
        <v>0</v>
      </c>
      <c r="F127" s="4"/>
      <c r="G127" s="4"/>
      <c r="H127" s="11" t="str">
        <f>IF(F127="","",IFERROR(VLOOKUP(F127,'Incident Intake'!$A:$AE,31,FALSE())-VLOOKUP(F127,'Incident Intake'!$A:$AD,30,FALSE())+1,1))</f>
        <v/>
      </c>
      <c r="I127" s="4"/>
      <c r="J127" s="4"/>
      <c r="K127" s="11" t="str">
        <f>IF(I127="","",IFERROR(VLOOKUP(I127,'Incident Intake'!$A:$AE,31,FALSE())-VLOOKUP(I127,'Incident Intake'!$A:$AD,30,FALSE())+1,1))</f>
        <v/>
      </c>
      <c r="L127" s="4"/>
      <c r="M127" s="4"/>
      <c r="N127" s="11" t="str">
        <f>IF(L127="","",IFERROR(VLOOKUP(L127,'Incident Intake'!$A:$AE,31,FALSE())-VLOOKUP(L127,'Incident Intake'!$A:$AD,30,FALSE())+1,1))</f>
        <v/>
      </c>
      <c r="O127" s="4"/>
      <c r="P127" s="4"/>
      <c r="Q127" s="11" t="str">
        <f>IF(O127="","",IFERROR(VLOOKUP(O127,'Incident Intake'!$A:$AE,31,FALSE())-VLOOKUP(O127,'Incident Intake'!$A:$AD,30,FALSE())+1,1))</f>
        <v/>
      </c>
      <c r="R127" s="4"/>
      <c r="S127" s="4"/>
      <c r="T127" s="11" t="str">
        <f>IF(R127="","",IFERROR(VLOOKUP(R127,'Incident Intake'!$A:$AE,31,FALSE())-VLOOKUP(R127,'Incident Intake'!$A:$AD,30,FALSE())+1,1))</f>
        <v/>
      </c>
      <c r="U127" s="4"/>
      <c r="V127" s="4"/>
      <c r="W127" s="4"/>
      <c r="X127" s="4"/>
      <c r="Y127" s="4"/>
      <c r="Z127" s="4"/>
      <c r="AA127" s="10" t="str">
        <f t="shared" si="7"/>
        <v/>
      </c>
      <c r="AB127" s="4"/>
    </row>
    <row r="128" spans="1:28" ht="18" customHeight="1" x14ac:dyDescent="0.45">
      <c r="A128" s="6"/>
      <c r="B128" s="6"/>
      <c r="C128" s="6"/>
      <c r="D128" s="6"/>
      <c r="E128" s="11">
        <f t="shared" si="6"/>
        <v>0</v>
      </c>
      <c r="F128" s="6"/>
      <c r="G128" s="6"/>
      <c r="H128" s="11" t="str">
        <f>IF(F128="","",IFERROR(VLOOKUP(F128,'Incident Intake'!$A:$AE,31,FALSE())-VLOOKUP(F128,'Incident Intake'!$A:$AD,30,FALSE())+1,1))</f>
        <v/>
      </c>
      <c r="I128" s="6"/>
      <c r="J128" s="6"/>
      <c r="K128" s="11" t="str">
        <f>IF(I128="","",IFERROR(VLOOKUP(I128,'Incident Intake'!$A:$AE,31,FALSE())-VLOOKUP(I128,'Incident Intake'!$A:$AD,30,FALSE())+1,1))</f>
        <v/>
      </c>
      <c r="L128" s="6"/>
      <c r="M128" s="6"/>
      <c r="N128" s="11" t="str">
        <f>IF(L128="","",IFERROR(VLOOKUP(L128,'Incident Intake'!$A:$AE,31,FALSE())-VLOOKUP(L128,'Incident Intake'!$A:$AD,30,FALSE())+1,1))</f>
        <v/>
      </c>
      <c r="O128" s="6"/>
      <c r="P128" s="6"/>
      <c r="Q128" s="11" t="str">
        <f>IF(O128="","",IFERROR(VLOOKUP(O128,'Incident Intake'!$A:$AE,31,FALSE())-VLOOKUP(O128,'Incident Intake'!$A:$AD,30,FALSE())+1,1))</f>
        <v/>
      </c>
      <c r="R128" s="6"/>
      <c r="S128" s="6"/>
      <c r="T128" s="11" t="str">
        <f>IF(R128="","",IFERROR(VLOOKUP(R128,'Incident Intake'!$A:$AE,31,FALSE())-VLOOKUP(R128,'Incident Intake'!$A:$AD,30,FALSE())+1,1))</f>
        <v/>
      </c>
      <c r="U128" s="6"/>
      <c r="V128" s="6"/>
      <c r="W128" s="6"/>
      <c r="X128" s="6"/>
      <c r="Y128" s="6"/>
      <c r="Z128" s="6"/>
      <c r="AA128" s="10" t="str">
        <f t="shared" si="7"/>
        <v/>
      </c>
      <c r="AB128" s="6"/>
    </row>
    <row r="129" spans="1:28" ht="18" customHeight="1" x14ac:dyDescent="0.45">
      <c r="A129" s="4"/>
      <c r="B129" s="4"/>
      <c r="C129" s="4"/>
      <c r="D129" s="4"/>
      <c r="E129" s="11">
        <f t="shared" si="6"/>
        <v>0</v>
      </c>
      <c r="F129" s="4"/>
      <c r="G129" s="4"/>
      <c r="H129" s="11" t="str">
        <f>IF(F129="","",IFERROR(VLOOKUP(F129,'Incident Intake'!$A:$AE,31,FALSE())-VLOOKUP(F129,'Incident Intake'!$A:$AD,30,FALSE())+1,1))</f>
        <v/>
      </c>
      <c r="I129" s="4"/>
      <c r="J129" s="4"/>
      <c r="K129" s="11" t="str">
        <f>IF(I129="","",IFERROR(VLOOKUP(I129,'Incident Intake'!$A:$AE,31,FALSE())-VLOOKUP(I129,'Incident Intake'!$A:$AD,30,FALSE())+1,1))</f>
        <v/>
      </c>
      <c r="L129" s="4"/>
      <c r="M129" s="4"/>
      <c r="N129" s="11" t="str">
        <f>IF(L129="","",IFERROR(VLOOKUP(L129,'Incident Intake'!$A:$AE,31,FALSE())-VLOOKUP(L129,'Incident Intake'!$A:$AD,30,FALSE())+1,1))</f>
        <v/>
      </c>
      <c r="O129" s="4"/>
      <c r="P129" s="4"/>
      <c r="Q129" s="11" t="str">
        <f>IF(O129="","",IFERROR(VLOOKUP(O129,'Incident Intake'!$A:$AE,31,FALSE())-VLOOKUP(O129,'Incident Intake'!$A:$AD,30,FALSE())+1,1))</f>
        <v/>
      </c>
      <c r="R129" s="4"/>
      <c r="S129" s="4"/>
      <c r="T129" s="11" t="str">
        <f>IF(R129="","",IFERROR(VLOOKUP(R129,'Incident Intake'!$A:$AE,31,FALSE())-VLOOKUP(R129,'Incident Intake'!$A:$AD,30,FALSE())+1,1))</f>
        <v/>
      </c>
      <c r="U129" s="4"/>
      <c r="V129" s="4"/>
      <c r="W129" s="4"/>
      <c r="X129" s="4"/>
      <c r="Y129" s="4"/>
      <c r="Z129" s="4"/>
      <c r="AA129" s="10" t="str">
        <f t="shared" si="7"/>
        <v/>
      </c>
      <c r="AB129" s="4"/>
    </row>
    <row r="130" spans="1:28" ht="18" customHeight="1" x14ac:dyDescent="0.45">
      <c r="A130" s="6"/>
      <c r="B130" s="6"/>
      <c r="C130" s="6"/>
      <c r="D130" s="6"/>
      <c r="E130" s="11">
        <f t="shared" si="6"/>
        <v>0</v>
      </c>
      <c r="F130" s="6"/>
      <c r="G130" s="6"/>
      <c r="H130" s="11" t="str">
        <f>IF(F130="","",IFERROR(VLOOKUP(F130,'Incident Intake'!$A:$AE,31,FALSE())-VLOOKUP(F130,'Incident Intake'!$A:$AD,30,FALSE())+1,1))</f>
        <v/>
      </c>
      <c r="I130" s="6"/>
      <c r="J130" s="6"/>
      <c r="K130" s="11" t="str">
        <f>IF(I130="","",IFERROR(VLOOKUP(I130,'Incident Intake'!$A:$AE,31,FALSE())-VLOOKUP(I130,'Incident Intake'!$A:$AD,30,FALSE())+1,1))</f>
        <v/>
      </c>
      <c r="L130" s="6"/>
      <c r="M130" s="6"/>
      <c r="N130" s="11" t="str">
        <f>IF(L130="","",IFERROR(VLOOKUP(L130,'Incident Intake'!$A:$AE,31,FALSE())-VLOOKUP(L130,'Incident Intake'!$A:$AD,30,FALSE())+1,1))</f>
        <v/>
      </c>
      <c r="O130" s="6"/>
      <c r="P130" s="6"/>
      <c r="Q130" s="11" t="str">
        <f>IF(O130="","",IFERROR(VLOOKUP(O130,'Incident Intake'!$A:$AE,31,FALSE())-VLOOKUP(O130,'Incident Intake'!$A:$AD,30,FALSE())+1,1))</f>
        <v/>
      </c>
      <c r="R130" s="6"/>
      <c r="S130" s="6"/>
      <c r="T130" s="11" t="str">
        <f>IF(R130="","",IFERROR(VLOOKUP(R130,'Incident Intake'!$A:$AE,31,FALSE())-VLOOKUP(R130,'Incident Intake'!$A:$AD,30,FALSE())+1,1))</f>
        <v/>
      </c>
      <c r="U130" s="6"/>
      <c r="V130" s="6"/>
      <c r="W130" s="6"/>
      <c r="X130" s="6"/>
      <c r="Y130" s="6"/>
      <c r="Z130" s="6"/>
      <c r="AA130" s="10" t="str">
        <f t="shared" si="7"/>
        <v/>
      </c>
      <c r="AB130" s="6"/>
    </row>
    <row r="131" spans="1:28" ht="18" customHeight="1" x14ac:dyDescent="0.45">
      <c r="A131" s="4"/>
      <c r="B131" s="4"/>
      <c r="C131" s="4"/>
      <c r="D131" s="4"/>
      <c r="E131" s="11">
        <f t="shared" si="6"/>
        <v>0</v>
      </c>
      <c r="F131" s="4"/>
      <c r="G131" s="4"/>
      <c r="H131" s="11" t="str">
        <f>IF(F131="","",IFERROR(VLOOKUP(F131,'Incident Intake'!$A:$AE,31,FALSE())-VLOOKUP(F131,'Incident Intake'!$A:$AD,30,FALSE())+1,1))</f>
        <v/>
      </c>
      <c r="I131" s="4"/>
      <c r="J131" s="4"/>
      <c r="K131" s="11" t="str">
        <f>IF(I131="","",IFERROR(VLOOKUP(I131,'Incident Intake'!$A:$AE,31,FALSE())-VLOOKUP(I131,'Incident Intake'!$A:$AD,30,FALSE())+1,1))</f>
        <v/>
      </c>
      <c r="L131" s="4"/>
      <c r="M131" s="4"/>
      <c r="N131" s="11" t="str">
        <f>IF(L131="","",IFERROR(VLOOKUP(L131,'Incident Intake'!$A:$AE,31,FALSE())-VLOOKUP(L131,'Incident Intake'!$A:$AD,30,FALSE())+1,1))</f>
        <v/>
      </c>
      <c r="O131" s="4"/>
      <c r="P131" s="4"/>
      <c r="Q131" s="11" t="str">
        <f>IF(O131="","",IFERROR(VLOOKUP(O131,'Incident Intake'!$A:$AE,31,FALSE())-VLOOKUP(O131,'Incident Intake'!$A:$AD,30,FALSE())+1,1))</f>
        <v/>
      </c>
      <c r="R131" s="4"/>
      <c r="S131" s="4"/>
      <c r="T131" s="11" t="str">
        <f>IF(R131="","",IFERROR(VLOOKUP(R131,'Incident Intake'!$A:$AE,31,FALSE())-VLOOKUP(R131,'Incident Intake'!$A:$AD,30,FALSE())+1,1))</f>
        <v/>
      </c>
      <c r="U131" s="4"/>
      <c r="V131" s="4"/>
      <c r="W131" s="4"/>
      <c r="X131" s="4"/>
      <c r="Y131" s="4"/>
      <c r="Z131" s="4"/>
      <c r="AA131" s="10" t="str">
        <f t="shared" si="7"/>
        <v/>
      </c>
      <c r="AB131" s="4"/>
    </row>
    <row r="132" spans="1:28" ht="18" customHeight="1" x14ac:dyDescent="0.45">
      <c r="A132" s="6"/>
      <c r="B132" s="6"/>
      <c r="C132" s="6"/>
      <c r="D132" s="6"/>
      <c r="E132" s="11">
        <f t="shared" si="6"/>
        <v>0</v>
      </c>
      <c r="F132" s="6"/>
      <c r="G132" s="6"/>
      <c r="H132" s="11" t="str">
        <f>IF(F132="","",IFERROR(VLOOKUP(F132,'Incident Intake'!$A:$AE,31,FALSE())-VLOOKUP(F132,'Incident Intake'!$A:$AD,30,FALSE())+1,1))</f>
        <v/>
      </c>
      <c r="I132" s="6"/>
      <c r="J132" s="6"/>
      <c r="K132" s="11" t="str">
        <f>IF(I132="","",IFERROR(VLOOKUP(I132,'Incident Intake'!$A:$AE,31,FALSE())-VLOOKUP(I132,'Incident Intake'!$A:$AD,30,FALSE())+1,1))</f>
        <v/>
      </c>
      <c r="L132" s="6"/>
      <c r="M132" s="6"/>
      <c r="N132" s="11" t="str">
        <f>IF(L132="","",IFERROR(VLOOKUP(L132,'Incident Intake'!$A:$AE,31,FALSE())-VLOOKUP(L132,'Incident Intake'!$A:$AD,30,FALSE())+1,1))</f>
        <v/>
      </c>
      <c r="O132" s="6"/>
      <c r="P132" s="6"/>
      <c r="Q132" s="11" t="str">
        <f>IF(O132="","",IFERROR(VLOOKUP(O132,'Incident Intake'!$A:$AE,31,FALSE())-VLOOKUP(O132,'Incident Intake'!$A:$AD,30,FALSE())+1,1))</f>
        <v/>
      </c>
      <c r="R132" s="6"/>
      <c r="S132" s="6"/>
      <c r="T132" s="11" t="str">
        <f>IF(R132="","",IFERROR(VLOOKUP(R132,'Incident Intake'!$A:$AE,31,FALSE())-VLOOKUP(R132,'Incident Intake'!$A:$AD,30,FALSE())+1,1))</f>
        <v/>
      </c>
      <c r="U132" s="6"/>
      <c r="V132" s="6"/>
      <c r="W132" s="6"/>
      <c r="X132" s="6"/>
      <c r="Y132" s="6"/>
      <c r="Z132" s="6"/>
      <c r="AA132" s="10" t="str">
        <f t="shared" si="7"/>
        <v/>
      </c>
      <c r="AB132" s="6"/>
    </row>
    <row r="133" spans="1:28" ht="18" customHeight="1" x14ac:dyDescent="0.45">
      <c r="A133" s="4"/>
      <c r="B133" s="4"/>
      <c r="C133" s="4"/>
      <c r="D133" s="4"/>
      <c r="E133" s="11">
        <f t="shared" ref="E133:E154" si="8">SUM(H133,K133,N133,Q133,T133)</f>
        <v>0</v>
      </c>
      <c r="F133" s="4"/>
      <c r="G133" s="4"/>
      <c r="H133" s="11" t="str">
        <f>IF(F133="","",IFERROR(VLOOKUP(F133,'Incident Intake'!$A:$AE,31,FALSE())-VLOOKUP(F133,'Incident Intake'!$A:$AD,30,FALSE())+1,1))</f>
        <v/>
      </c>
      <c r="I133" s="4"/>
      <c r="J133" s="4"/>
      <c r="K133" s="11" t="str">
        <f>IF(I133="","",IFERROR(VLOOKUP(I133,'Incident Intake'!$A:$AE,31,FALSE())-VLOOKUP(I133,'Incident Intake'!$A:$AD,30,FALSE())+1,1))</f>
        <v/>
      </c>
      <c r="L133" s="4"/>
      <c r="M133" s="4"/>
      <c r="N133" s="11" t="str">
        <f>IF(L133="","",IFERROR(VLOOKUP(L133,'Incident Intake'!$A:$AE,31,FALSE())-VLOOKUP(L133,'Incident Intake'!$A:$AD,30,FALSE())+1,1))</f>
        <v/>
      </c>
      <c r="O133" s="4"/>
      <c r="P133" s="4"/>
      <c r="Q133" s="11" t="str">
        <f>IF(O133="","",IFERROR(VLOOKUP(O133,'Incident Intake'!$A:$AE,31,FALSE())-VLOOKUP(O133,'Incident Intake'!$A:$AD,30,FALSE())+1,1))</f>
        <v/>
      </c>
      <c r="R133" s="4"/>
      <c r="S133" s="4"/>
      <c r="T133" s="11" t="str">
        <f>IF(R133="","",IFERROR(VLOOKUP(R133,'Incident Intake'!$A:$AE,31,FALSE())-VLOOKUP(R133,'Incident Intake'!$A:$AD,30,FALSE())+1,1))</f>
        <v/>
      </c>
      <c r="U133" s="4"/>
      <c r="V133" s="4"/>
      <c r="W133" s="4"/>
      <c r="X133" s="4"/>
      <c r="Y133" s="4"/>
      <c r="Z133" s="4"/>
      <c r="AA133" s="10" t="str">
        <f t="shared" ref="AA133:AA154" si="9">IF(A133="","",IF(E133&gt;=10,"🔴 EXCEEDED — MDR REQUIRED NOW",IF(E133&gt;=9,"🟠 URGENT — Day "&amp;E133&amp;" — Notify SPED Coord",IF(E133&gt;=7,"🟡 WARNING — Day "&amp;E133&amp;" — Plan MDR",IF(E133&gt;0,"✅ OK — "&amp;E133&amp;" days","✅ No removals")))))</f>
        <v/>
      </c>
      <c r="AB133" s="4"/>
    </row>
    <row r="134" spans="1:28" ht="18" customHeight="1" x14ac:dyDescent="0.45">
      <c r="A134" s="6"/>
      <c r="B134" s="6"/>
      <c r="C134" s="6"/>
      <c r="D134" s="6"/>
      <c r="E134" s="11">
        <f t="shared" si="8"/>
        <v>0</v>
      </c>
      <c r="F134" s="6"/>
      <c r="G134" s="6"/>
      <c r="H134" s="11" t="str">
        <f>IF(F134="","",IFERROR(VLOOKUP(F134,'Incident Intake'!$A:$AE,31,FALSE())-VLOOKUP(F134,'Incident Intake'!$A:$AD,30,FALSE())+1,1))</f>
        <v/>
      </c>
      <c r="I134" s="6"/>
      <c r="J134" s="6"/>
      <c r="K134" s="11" t="str">
        <f>IF(I134="","",IFERROR(VLOOKUP(I134,'Incident Intake'!$A:$AE,31,FALSE())-VLOOKUP(I134,'Incident Intake'!$A:$AD,30,FALSE())+1,1))</f>
        <v/>
      </c>
      <c r="L134" s="6"/>
      <c r="M134" s="6"/>
      <c r="N134" s="11" t="str">
        <f>IF(L134="","",IFERROR(VLOOKUP(L134,'Incident Intake'!$A:$AE,31,FALSE())-VLOOKUP(L134,'Incident Intake'!$A:$AD,30,FALSE())+1,1))</f>
        <v/>
      </c>
      <c r="O134" s="6"/>
      <c r="P134" s="6"/>
      <c r="Q134" s="11" t="str">
        <f>IF(O134="","",IFERROR(VLOOKUP(O134,'Incident Intake'!$A:$AE,31,FALSE())-VLOOKUP(O134,'Incident Intake'!$A:$AD,30,FALSE())+1,1))</f>
        <v/>
      </c>
      <c r="R134" s="6"/>
      <c r="S134" s="6"/>
      <c r="T134" s="11" t="str">
        <f>IF(R134="","",IFERROR(VLOOKUP(R134,'Incident Intake'!$A:$AE,31,FALSE())-VLOOKUP(R134,'Incident Intake'!$A:$AD,30,FALSE())+1,1))</f>
        <v/>
      </c>
      <c r="U134" s="6"/>
      <c r="V134" s="6"/>
      <c r="W134" s="6"/>
      <c r="X134" s="6"/>
      <c r="Y134" s="6"/>
      <c r="Z134" s="6"/>
      <c r="AA134" s="10" t="str">
        <f t="shared" si="9"/>
        <v/>
      </c>
      <c r="AB134" s="6"/>
    </row>
    <row r="135" spans="1:28" ht="18" customHeight="1" x14ac:dyDescent="0.45">
      <c r="A135" s="4"/>
      <c r="B135" s="4"/>
      <c r="C135" s="4"/>
      <c r="D135" s="4"/>
      <c r="E135" s="11">
        <f t="shared" si="8"/>
        <v>0</v>
      </c>
      <c r="F135" s="4"/>
      <c r="G135" s="4"/>
      <c r="H135" s="11" t="str">
        <f>IF(F135="","",IFERROR(VLOOKUP(F135,'Incident Intake'!$A:$AE,31,FALSE())-VLOOKUP(F135,'Incident Intake'!$A:$AD,30,FALSE())+1,1))</f>
        <v/>
      </c>
      <c r="I135" s="4"/>
      <c r="J135" s="4"/>
      <c r="K135" s="11" t="str">
        <f>IF(I135="","",IFERROR(VLOOKUP(I135,'Incident Intake'!$A:$AE,31,FALSE())-VLOOKUP(I135,'Incident Intake'!$A:$AD,30,FALSE())+1,1))</f>
        <v/>
      </c>
      <c r="L135" s="4"/>
      <c r="M135" s="4"/>
      <c r="N135" s="11" t="str">
        <f>IF(L135="","",IFERROR(VLOOKUP(L135,'Incident Intake'!$A:$AE,31,FALSE())-VLOOKUP(L135,'Incident Intake'!$A:$AD,30,FALSE())+1,1))</f>
        <v/>
      </c>
      <c r="O135" s="4"/>
      <c r="P135" s="4"/>
      <c r="Q135" s="11" t="str">
        <f>IF(O135="","",IFERROR(VLOOKUP(O135,'Incident Intake'!$A:$AE,31,FALSE())-VLOOKUP(O135,'Incident Intake'!$A:$AD,30,FALSE())+1,1))</f>
        <v/>
      </c>
      <c r="R135" s="4"/>
      <c r="S135" s="4"/>
      <c r="T135" s="11" t="str">
        <f>IF(R135="","",IFERROR(VLOOKUP(R135,'Incident Intake'!$A:$AE,31,FALSE())-VLOOKUP(R135,'Incident Intake'!$A:$AD,30,FALSE())+1,1))</f>
        <v/>
      </c>
      <c r="U135" s="4"/>
      <c r="V135" s="4"/>
      <c r="W135" s="4"/>
      <c r="X135" s="4"/>
      <c r="Y135" s="4"/>
      <c r="Z135" s="4"/>
      <c r="AA135" s="10" t="str">
        <f t="shared" si="9"/>
        <v/>
      </c>
      <c r="AB135" s="4"/>
    </row>
    <row r="136" spans="1:28" ht="18" customHeight="1" x14ac:dyDescent="0.45">
      <c r="A136" s="6"/>
      <c r="B136" s="6"/>
      <c r="C136" s="6"/>
      <c r="D136" s="6"/>
      <c r="E136" s="11">
        <f t="shared" si="8"/>
        <v>0</v>
      </c>
      <c r="F136" s="6"/>
      <c r="G136" s="6"/>
      <c r="H136" s="11" t="str">
        <f>IF(F136="","",IFERROR(VLOOKUP(F136,'Incident Intake'!$A:$AE,31,FALSE())-VLOOKUP(F136,'Incident Intake'!$A:$AD,30,FALSE())+1,1))</f>
        <v/>
      </c>
      <c r="I136" s="6"/>
      <c r="J136" s="6"/>
      <c r="K136" s="11" t="str">
        <f>IF(I136="","",IFERROR(VLOOKUP(I136,'Incident Intake'!$A:$AE,31,FALSE())-VLOOKUP(I136,'Incident Intake'!$A:$AD,30,FALSE())+1,1))</f>
        <v/>
      </c>
      <c r="L136" s="6"/>
      <c r="M136" s="6"/>
      <c r="N136" s="11" t="str">
        <f>IF(L136="","",IFERROR(VLOOKUP(L136,'Incident Intake'!$A:$AE,31,FALSE())-VLOOKUP(L136,'Incident Intake'!$A:$AD,30,FALSE())+1,1))</f>
        <v/>
      </c>
      <c r="O136" s="6"/>
      <c r="P136" s="6"/>
      <c r="Q136" s="11" t="str">
        <f>IF(O136="","",IFERROR(VLOOKUP(O136,'Incident Intake'!$A:$AE,31,FALSE())-VLOOKUP(O136,'Incident Intake'!$A:$AD,30,FALSE())+1,1))</f>
        <v/>
      </c>
      <c r="R136" s="6"/>
      <c r="S136" s="6"/>
      <c r="T136" s="11" t="str">
        <f>IF(R136="","",IFERROR(VLOOKUP(R136,'Incident Intake'!$A:$AE,31,FALSE())-VLOOKUP(R136,'Incident Intake'!$A:$AD,30,FALSE())+1,1))</f>
        <v/>
      </c>
      <c r="U136" s="6"/>
      <c r="V136" s="6"/>
      <c r="W136" s="6"/>
      <c r="X136" s="6"/>
      <c r="Y136" s="6"/>
      <c r="Z136" s="6"/>
      <c r="AA136" s="10" t="str">
        <f t="shared" si="9"/>
        <v/>
      </c>
      <c r="AB136" s="6"/>
    </row>
    <row r="137" spans="1:28" ht="18" customHeight="1" x14ac:dyDescent="0.45">
      <c r="A137" s="4"/>
      <c r="B137" s="4"/>
      <c r="C137" s="4"/>
      <c r="D137" s="4"/>
      <c r="E137" s="11">
        <f t="shared" si="8"/>
        <v>0</v>
      </c>
      <c r="F137" s="4"/>
      <c r="G137" s="4"/>
      <c r="H137" s="11" t="str">
        <f>IF(F137="","",IFERROR(VLOOKUP(F137,'Incident Intake'!$A:$AE,31,FALSE())-VLOOKUP(F137,'Incident Intake'!$A:$AD,30,FALSE())+1,1))</f>
        <v/>
      </c>
      <c r="I137" s="4"/>
      <c r="J137" s="4"/>
      <c r="K137" s="11" t="str">
        <f>IF(I137="","",IFERROR(VLOOKUP(I137,'Incident Intake'!$A:$AE,31,FALSE())-VLOOKUP(I137,'Incident Intake'!$A:$AD,30,FALSE())+1,1))</f>
        <v/>
      </c>
      <c r="L137" s="4"/>
      <c r="M137" s="4"/>
      <c r="N137" s="11" t="str">
        <f>IF(L137="","",IFERROR(VLOOKUP(L137,'Incident Intake'!$A:$AE,31,FALSE())-VLOOKUP(L137,'Incident Intake'!$A:$AD,30,FALSE())+1,1))</f>
        <v/>
      </c>
      <c r="O137" s="4"/>
      <c r="P137" s="4"/>
      <c r="Q137" s="11" t="str">
        <f>IF(O137="","",IFERROR(VLOOKUP(O137,'Incident Intake'!$A:$AE,31,FALSE())-VLOOKUP(O137,'Incident Intake'!$A:$AD,30,FALSE())+1,1))</f>
        <v/>
      </c>
      <c r="R137" s="4"/>
      <c r="S137" s="4"/>
      <c r="T137" s="11" t="str">
        <f>IF(R137="","",IFERROR(VLOOKUP(R137,'Incident Intake'!$A:$AE,31,FALSE())-VLOOKUP(R137,'Incident Intake'!$A:$AD,30,FALSE())+1,1))</f>
        <v/>
      </c>
      <c r="U137" s="4"/>
      <c r="V137" s="4"/>
      <c r="W137" s="4"/>
      <c r="X137" s="4"/>
      <c r="Y137" s="4"/>
      <c r="Z137" s="4"/>
      <c r="AA137" s="10" t="str">
        <f t="shared" si="9"/>
        <v/>
      </c>
      <c r="AB137" s="4"/>
    </row>
    <row r="138" spans="1:28" ht="18" customHeight="1" x14ac:dyDescent="0.45">
      <c r="A138" s="6"/>
      <c r="B138" s="6"/>
      <c r="C138" s="6"/>
      <c r="D138" s="6"/>
      <c r="E138" s="11">
        <f t="shared" si="8"/>
        <v>0</v>
      </c>
      <c r="F138" s="6"/>
      <c r="G138" s="6"/>
      <c r="H138" s="11" t="str">
        <f>IF(F138="","",IFERROR(VLOOKUP(F138,'Incident Intake'!$A:$AE,31,FALSE())-VLOOKUP(F138,'Incident Intake'!$A:$AD,30,FALSE())+1,1))</f>
        <v/>
      </c>
      <c r="I138" s="6"/>
      <c r="J138" s="6"/>
      <c r="K138" s="11" t="str">
        <f>IF(I138="","",IFERROR(VLOOKUP(I138,'Incident Intake'!$A:$AE,31,FALSE())-VLOOKUP(I138,'Incident Intake'!$A:$AD,30,FALSE())+1,1))</f>
        <v/>
      </c>
      <c r="L138" s="6"/>
      <c r="M138" s="6"/>
      <c r="N138" s="11" t="str">
        <f>IF(L138="","",IFERROR(VLOOKUP(L138,'Incident Intake'!$A:$AE,31,FALSE())-VLOOKUP(L138,'Incident Intake'!$A:$AD,30,FALSE())+1,1))</f>
        <v/>
      </c>
      <c r="O138" s="6"/>
      <c r="P138" s="6"/>
      <c r="Q138" s="11" t="str">
        <f>IF(O138="","",IFERROR(VLOOKUP(O138,'Incident Intake'!$A:$AE,31,FALSE())-VLOOKUP(O138,'Incident Intake'!$A:$AD,30,FALSE())+1,1))</f>
        <v/>
      </c>
      <c r="R138" s="6"/>
      <c r="S138" s="6"/>
      <c r="T138" s="11" t="str">
        <f>IF(R138="","",IFERROR(VLOOKUP(R138,'Incident Intake'!$A:$AE,31,FALSE())-VLOOKUP(R138,'Incident Intake'!$A:$AD,30,FALSE())+1,1))</f>
        <v/>
      </c>
      <c r="U138" s="6"/>
      <c r="V138" s="6"/>
      <c r="W138" s="6"/>
      <c r="X138" s="6"/>
      <c r="Y138" s="6"/>
      <c r="Z138" s="6"/>
      <c r="AA138" s="10" t="str">
        <f t="shared" si="9"/>
        <v/>
      </c>
      <c r="AB138" s="6"/>
    </row>
    <row r="139" spans="1:28" ht="18" customHeight="1" x14ac:dyDescent="0.45">
      <c r="A139" s="4"/>
      <c r="B139" s="4"/>
      <c r="C139" s="4"/>
      <c r="D139" s="4"/>
      <c r="E139" s="11">
        <f t="shared" si="8"/>
        <v>0</v>
      </c>
      <c r="F139" s="4"/>
      <c r="G139" s="4"/>
      <c r="H139" s="11" t="str">
        <f>IF(F139="","",IFERROR(VLOOKUP(F139,'Incident Intake'!$A:$AE,31,FALSE())-VLOOKUP(F139,'Incident Intake'!$A:$AD,30,FALSE())+1,1))</f>
        <v/>
      </c>
      <c r="I139" s="4"/>
      <c r="J139" s="4"/>
      <c r="K139" s="11" t="str">
        <f>IF(I139="","",IFERROR(VLOOKUP(I139,'Incident Intake'!$A:$AE,31,FALSE())-VLOOKUP(I139,'Incident Intake'!$A:$AD,30,FALSE())+1,1))</f>
        <v/>
      </c>
      <c r="L139" s="4"/>
      <c r="M139" s="4"/>
      <c r="N139" s="11" t="str">
        <f>IF(L139="","",IFERROR(VLOOKUP(L139,'Incident Intake'!$A:$AE,31,FALSE())-VLOOKUP(L139,'Incident Intake'!$A:$AD,30,FALSE())+1,1))</f>
        <v/>
      </c>
      <c r="O139" s="4"/>
      <c r="P139" s="4"/>
      <c r="Q139" s="11" t="str">
        <f>IF(O139="","",IFERROR(VLOOKUP(O139,'Incident Intake'!$A:$AE,31,FALSE())-VLOOKUP(O139,'Incident Intake'!$A:$AD,30,FALSE())+1,1))</f>
        <v/>
      </c>
      <c r="R139" s="4"/>
      <c r="S139" s="4"/>
      <c r="T139" s="11" t="str">
        <f>IF(R139="","",IFERROR(VLOOKUP(R139,'Incident Intake'!$A:$AE,31,FALSE())-VLOOKUP(R139,'Incident Intake'!$A:$AD,30,FALSE())+1,1))</f>
        <v/>
      </c>
      <c r="U139" s="4"/>
      <c r="V139" s="4"/>
      <c r="W139" s="4"/>
      <c r="X139" s="4"/>
      <c r="Y139" s="4"/>
      <c r="Z139" s="4"/>
      <c r="AA139" s="10" t="str">
        <f t="shared" si="9"/>
        <v/>
      </c>
      <c r="AB139" s="4"/>
    </row>
    <row r="140" spans="1:28" ht="18" customHeight="1" x14ac:dyDescent="0.45">
      <c r="A140" s="6"/>
      <c r="B140" s="6"/>
      <c r="C140" s="6"/>
      <c r="D140" s="6"/>
      <c r="E140" s="11">
        <f t="shared" si="8"/>
        <v>0</v>
      </c>
      <c r="F140" s="6"/>
      <c r="G140" s="6"/>
      <c r="H140" s="11" t="str">
        <f>IF(F140="","",IFERROR(VLOOKUP(F140,'Incident Intake'!$A:$AE,31,FALSE())-VLOOKUP(F140,'Incident Intake'!$A:$AD,30,FALSE())+1,1))</f>
        <v/>
      </c>
      <c r="I140" s="6"/>
      <c r="J140" s="6"/>
      <c r="K140" s="11" t="str">
        <f>IF(I140="","",IFERROR(VLOOKUP(I140,'Incident Intake'!$A:$AE,31,FALSE())-VLOOKUP(I140,'Incident Intake'!$A:$AD,30,FALSE())+1,1))</f>
        <v/>
      </c>
      <c r="L140" s="6"/>
      <c r="M140" s="6"/>
      <c r="N140" s="11" t="str">
        <f>IF(L140="","",IFERROR(VLOOKUP(L140,'Incident Intake'!$A:$AE,31,FALSE())-VLOOKUP(L140,'Incident Intake'!$A:$AD,30,FALSE())+1,1))</f>
        <v/>
      </c>
      <c r="O140" s="6"/>
      <c r="P140" s="6"/>
      <c r="Q140" s="11" t="str">
        <f>IF(O140="","",IFERROR(VLOOKUP(O140,'Incident Intake'!$A:$AE,31,FALSE())-VLOOKUP(O140,'Incident Intake'!$A:$AD,30,FALSE())+1,1))</f>
        <v/>
      </c>
      <c r="R140" s="6"/>
      <c r="S140" s="6"/>
      <c r="T140" s="11" t="str">
        <f>IF(R140="","",IFERROR(VLOOKUP(R140,'Incident Intake'!$A:$AE,31,FALSE())-VLOOKUP(R140,'Incident Intake'!$A:$AD,30,FALSE())+1,1))</f>
        <v/>
      </c>
      <c r="U140" s="6"/>
      <c r="V140" s="6"/>
      <c r="W140" s="6"/>
      <c r="X140" s="6"/>
      <c r="Y140" s="6"/>
      <c r="Z140" s="6"/>
      <c r="AA140" s="10" t="str">
        <f t="shared" si="9"/>
        <v/>
      </c>
      <c r="AB140" s="6"/>
    </row>
    <row r="141" spans="1:28" ht="18" customHeight="1" x14ac:dyDescent="0.45">
      <c r="A141" s="4"/>
      <c r="B141" s="4"/>
      <c r="C141" s="4"/>
      <c r="D141" s="4"/>
      <c r="E141" s="11">
        <f t="shared" si="8"/>
        <v>0</v>
      </c>
      <c r="F141" s="4"/>
      <c r="G141" s="4"/>
      <c r="H141" s="11" t="str">
        <f>IF(F141="","",IFERROR(VLOOKUP(F141,'Incident Intake'!$A:$AE,31,FALSE())-VLOOKUP(F141,'Incident Intake'!$A:$AD,30,FALSE())+1,1))</f>
        <v/>
      </c>
      <c r="I141" s="4"/>
      <c r="J141" s="4"/>
      <c r="K141" s="11" t="str">
        <f>IF(I141="","",IFERROR(VLOOKUP(I141,'Incident Intake'!$A:$AE,31,FALSE())-VLOOKUP(I141,'Incident Intake'!$A:$AD,30,FALSE())+1,1))</f>
        <v/>
      </c>
      <c r="L141" s="4"/>
      <c r="M141" s="4"/>
      <c r="N141" s="11" t="str">
        <f>IF(L141="","",IFERROR(VLOOKUP(L141,'Incident Intake'!$A:$AE,31,FALSE())-VLOOKUP(L141,'Incident Intake'!$A:$AD,30,FALSE())+1,1))</f>
        <v/>
      </c>
      <c r="O141" s="4"/>
      <c r="P141" s="4"/>
      <c r="Q141" s="11" t="str">
        <f>IF(O141="","",IFERROR(VLOOKUP(O141,'Incident Intake'!$A:$AE,31,FALSE())-VLOOKUP(O141,'Incident Intake'!$A:$AD,30,FALSE())+1,1))</f>
        <v/>
      </c>
      <c r="R141" s="4"/>
      <c r="S141" s="4"/>
      <c r="T141" s="11" t="str">
        <f>IF(R141="","",IFERROR(VLOOKUP(R141,'Incident Intake'!$A:$AE,31,FALSE())-VLOOKUP(R141,'Incident Intake'!$A:$AD,30,FALSE())+1,1))</f>
        <v/>
      </c>
      <c r="U141" s="4"/>
      <c r="V141" s="4"/>
      <c r="W141" s="4"/>
      <c r="X141" s="4"/>
      <c r="Y141" s="4"/>
      <c r="Z141" s="4"/>
      <c r="AA141" s="10" t="str">
        <f t="shared" si="9"/>
        <v/>
      </c>
      <c r="AB141" s="4"/>
    </row>
    <row r="142" spans="1:28" ht="18" customHeight="1" x14ac:dyDescent="0.45">
      <c r="A142" s="6"/>
      <c r="B142" s="6"/>
      <c r="C142" s="6"/>
      <c r="D142" s="6"/>
      <c r="E142" s="11">
        <f t="shared" si="8"/>
        <v>0</v>
      </c>
      <c r="F142" s="6"/>
      <c r="G142" s="6"/>
      <c r="H142" s="11" t="str">
        <f>IF(F142="","",IFERROR(VLOOKUP(F142,'Incident Intake'!$A:$AE,31,FALSE())-VLOOKUP(F142,'Incident Intake'!$A:$AD,30,FALSE())+1,1))</f>
        <v/>
      </c>
      <c r="I142" s="6"/>
      <c r="J142" s="6"/>
      <c r="K142" s="11" t="str">
        <f>IF(I142="","",IFERROR(VLOOKUP(I142,'Incident Intake'!$A:$AE,31,FALSE())-VLOOKUP(I142,'Incident Intake'!$A:$AD,30,FALSE())+1,1))</f>
        <v/>
      </c>
      <c r="L142" s="6"/>
      <c r="M142" s="6"/>
      <c r="N142" s="11" t="str">
        <f>IF(L142="","",IFERROR(VLOOKUP(L142,'Incident Intake'!$A:$AE,31,FALSE())-VLOOKUP(L142,'Incident Intake'!$A:$AD,30,FALSE())+1,1))</f>
        <v/>
      </c>
      <c r="O142" s="6"/>
      <c r="P142" s="6"/>
      <c r="Q142" s="11" t="str">
        <f>IF(O142="","",IFERROR(VLOOKUP(O142,'Incident Intake'!$A:$AE,31,FALSE())-VLOOKUP(O142,'Incident Intake'!$A:$AD,30,FALSE())+1,1))</f>
        <v/>
      </c>
      <c r="R142" s="6"/>
      <c r="S142" s="6"/>
      <c r="T142" s="11" t="str">
        <f>IF(R142="","",IFERROR(VLOOKUP(R142,'Incident Intake'!$A:$AE,31,FALSE())-VLOOKUP(R142,'Incident Intake'!$A:$AD,30,FALSE())+1,1))</f>
        <v/>
      </c>
      <c r="U142" s="6"/>
      <c r="V142" s="6"/>
      <c r="W142" s="6"/>
      <c r="X142" s="6"/>
      <c r="Y142" s="6"/>
      <c r="Z142" s="6"/>
      <c r="AA142" s="10" t="str">
        <f t="shared" si="9"/>
        <v/>
      </c>
      <c r="AB142" s="6"/>
    </row>
    <row r="143" spans="1:28" ht="18" customHeight="1" x14ac:dyDescent="0.45">
      <c r="A143" s="4"/>
      <c r="B143" s="4"/>
      <c r="C143" s="4"/>
      <c r="D143" s="4"/>
      <c r="E143" s="11">
        <f t="shared" si="8"/>
        <v>0</v>
      </c>
      <c r="F143" s="4"/>
      <c r="G143" s="4"/>
      <c r="H143" s="11" t="str">
        <f>IF(F143="","",IFERROR(VLOOKUP(F143,'Incident Intake'!$A:$AE,31,FALSE())-VLOOKUP(F143,'Incident Intake'!$A:$AD,30,FALSE())+1,1))</f>
        <v/>
      </c>
      <c r="I143" s="4"/>
      <c r="J143" s="4"/>
      <c r="K143" s="11" t="str">
        <f>IF(I143="","",IFERROR(VLOOKUP(I143,'Incident Intake'!$A:$AE,31,FALSE())-VLOOKUP(I143,'Incident Intake'!$A:$AD,30,FALSE())+1,1))</f>
        <v/>
      </c>
      <c r="L143" s="4"/>
      <c r="M143" s="4"/>
      <c r="N143" s="11" t="str">
        <f>IF(L143="","",IFERROR(VLOOKUP(L143,'Incident Intake'!$A:$AE,31,FALSE())-VLOOKUP(L143,'Incident Intake'!$A:$AD,30,FALSE())+1,1))</f>
        <v/>
      </c>
      <c r="O143" s="4"/>
      <c r="P143" s="4"/>
      <c r="Q143" s="11" t="str">
        <f>IF(O143="","",IFERROR(VLOOKUP(O143,'Incident Intake'!$A:$AE,31,FALSE())-VLOOKUP(O143,'Incident Intake'!$A:$AD,30,FALSE())+1,1))</f>
        <v/>
      </c>
      <c r="R143" s="4"/>
      <c r="S143" s="4"/>
      <c r="T143" s="11" t="str">
        <f>IF(R143="","",IFERROR(VLOOKUP(R143,'Incident Intake'!$A:$AE,31,FALSE())-VLOOKUP(R143,'Incident Intake'!$A:$AD,30,FALSE())+1,1))</f>
        <v/>
      </c>
      <c r="U143" s="4"/>
      <c r="V143" s="4"/>
      <c r="W143" s="4"/>
      <c r="X143" s="4"/>
      <c r="Y143" s="4"/>
      <c r="Z143" s="4"/>
      <c r="AA143" s="10" t="str">
        <f t="shared" si="9"/>
        <v/>
      </c>
      <c r="AB143" s="4"/>
    </row>
    <row r="144" spans="1:28" ht="18" customHeight="1" x14ac:dyDescent="0.45">
      <c r="A144" s="6"/>
      <c r="B144" s="6"/>
      <c r="C144" s="6"/>
      <c r="D144" s="6"/>
      <c r="E144" s="11">
        <f t="shared" si="8"/>
        <v>0</v>
      </c>
      <c r="F144" s="6"/>
      <c r="G144" s="6"/>
      <c r="H144" s="11" t="str">
        <f>IF(F144="","",IFERROR(VLOOKUP(F144,'Incident Intake'!$A:$AE,31,FALSE())-VLOOKUP(F144,'Incident Intake'!$A:$AD,30,FALSE())+1,1))</f>
        <v/>
      </c>
      <c r="I144" s="6"/>
      <c r="J144" s="6"/>
      <c r="K144" s="11" t="str">
        <f>IF(I144="","",IFERROR(VLOOKUP(I144,'Incident Intake'!$A:$AE,31,FALSE())-VLOOKUP(I144,'Incident Intake'!$A:$AD,30,FALSE())+1,1))</f>
        <v/>
      </c>
      <c r="L144" s="6"/>
      <c r="M144" s="6"/>
      <c r="N144" s="11" t="str">
        <f>IF(L144="","",IFERROR(VLOOKUP(L144,'Incident Intake'!$A:$AE,31,FALSE())-VLOOKUP(L144,'Incident Intake'!$A:$AD,30,FALSE())+1,1))</f>
        <v/>
      </c>
      <c r="O144" s="6"/>
      <c r="P144" s="6"/>
      <c r="Q144" s="11" t="str">
        <f>IF(O144="","",IFERROR(VLOOKUP(O144,'Incident Intake'!$A:$AE,31,FALSE())-VLOOKUP(O144,'Incident Intake'!$A:$AD,30,FALSE())+1,1))</f>
        <v/>
      </c>
      <c r="R144" s="6"/>
      <c r="S144" s="6"/>
      <c r="T144" s="11" t="str">
        <f>IF(R144="","",IFERROR(VLOOKUP(R144,'Incident Intake'!$A:$AE,31,FALSE())-VLOOKUP(R144,'Incident Intake'!$A:$AD,30,FALSE())+1,1))</f>
        <v/>
      </c>
      <c r="U144" s="6"/>
      <c r="V144" s="6"/>
      <c r="W144" s="6"/>
      <c r="X144" s="6"/>
      <c r="Y144" s="6"/>
      <c r="Z144" s="6"/>
      <c r="AA144" s="10" t="str">
        <f t="shared" si="9"/>
        <v/>
      </c>
      <c r="AB144" s="6"/>
    </row>
    <row r="145" spans="1:28" ht="18" customHeight="1" x14ac:dyDescent="0.45">
      <c r="A145" s="4"/>
      <c r="B145" s="4"/>
      <c r="C145" s="4"/>
      <c r="D145" s="4"/>
      <c r="E145" s="11">
        <f t="shared" si="8"/>
        <v>0</v>
      </c>
      <c r="F145" s="4"/>
      <c r="G145" s="4"/>
      <c r="H145" s="11" t="str">
        <f>IF(F145="","",IFERROR(VLOOKUP(F145,'Incident Intake'!$A:$AE,31,FALSE())-VLOOKUP(F145,'Incident Intake'!$A:$AD,30,FALSE())+1,1))</f>
        <v/>
      </c>
      <c r="I145" s="4"/>
      <c r="J145" s="4"/>
      <c r="K145" s="11" t="str">
        <f>IF(I145="","",IFERROR(VLOOKUP(I145,'Incident Intake'!$A:$AE,31,FALSE())-VLOOKUP(I145,'Incident Intake'!$A:$AD,30,FALSE())+1,1))</f>
        <v/>
      </c>
      <c r="L145" s="4"/>
      <c r="M145" s="4"/>
      <c r="N145" s="11" t="str">
        <f>IF(L145="","",IFERROR(VLOOKUP(L145,'Incident Intake'!$A:$AE,31,FALSE())-VLOOKUP(L145,'Incident Intake'!$A:$AD,30,FALSE())+1,1))</f>
        <v/>
      </c>
      <c r="O145" s="4"/>
      <c r="P145" s="4"/>
      <c r="Q145" s="11" t="str">
        <f>IF(O145="","",IFERROR(VLOOKUP(O145,'Incident Intake'!$A:$AE,31,FALSE())-VLOOKUP(O145,'Incident Intake'!$A:$AD,30,FALSE())+1,1))</f>
        <v/>
      </c>
      <c r="R145" s="4"/>
      <c r="S145" s="4"/>
      <c r="T145" s="11" t="str">
        <f>IF(R145="","",IFERROR(VLOOKUP(R145,'Incident Intake'!$A:$AE,31,FALSE())-VLOOKUP(R145,'Incident Intake'!$A:$AD,30,FALSE())+1,1))</f>
        <v/>
      </c>
      <c r="U145" s="4"/>
      <c r="V145" s="4"/>
      <c r="W145" s="4"/>
      <c r="X145" s="4"/>
      <c r="Y145" s="4"/>
      <c r="Z145" s="4"/>
      <c r="AA145" s="10" t="str">
        <f t="shared" si="9"/>
        <v/>
      </c>
      <c r="AB145" s="4"/>
    </row>
    <row r="146" spans="1:28" ht="18" customHeight="1" x14ac:dyDescent="0.45">
      <c r="A146" s="6"/>
      <c r="B146" s="6"/>
      <c r="C146" s="6"/>
      <c r="D146" s="6"/>
      <c r="E146" s="11">
        <f t="shared" si="8"/>
        <v>0</v>
      </c>
      <c r="F146" s="6"/>
      <c r="G146" s="6"/>
      <c r="H146" s="11" t="str">
        <f>IF(F146="","",IFERROR(VLOOKUP(F146,'Incident Intake'!$A:$AE,31,FALSE())-VLOOKUP(F146,'Incident Intake'!$A:$AD,30,FALSE())+1,1))</f>
        <v/>
      </c>
      <c r="I146" s="6"/>
      <c r="J146" s="6"/>
      <c r="K146" s="11" t="str">
        <f>IF(I146="","",IFERROR(VLOOKUP(I146,'Incident Intake'!$A:$AE,31,FALSE())-VLOOKUP(I146,'Incident Intake'!$A:$AD,30,FALSE())+1,1))</f>
        <v/>
      </c>
      <c r="L146" s="6"/>
      <c r="M146" s="6"/>
      <c r="N146" s="11" t="str">
        <f>IF(L146="","",IFERROR(VLOOKUP(L146,'Incident Intake'!$A:$AE,31,FALSE())-VLOOKUP(L146,'Incident Intake'!$A:$AD,30,FALSE())+1,1))</f>
        <v/>
      </c>
      <c r="O146" s="6"/>
      <c r="P146" s="6"/>
      <c r="Q146" s="11" t="str">
        <f>IF(O146="","",IFERROR(VLOOKUP(O146,'Incident Intake'!$A:$AE,31,FALSE())-VLOOKUP(O146,'Incident Intake'!$A:$AD,30,FALSE())+1,1))</f>
        <v/>
      </c>
      <c r="R146" s="6"/>
      <c r="S146" s="6"/>
      <c r="T146" s="11" t="str">
        <f>IF(R146="","",IFERROR(VLOOKUP(R146,'Incident Intake'!$A:$AE,31,FALSE())-VLOOKUP(R146,'Incident Intake'!$A:$AD,30,FALSE())+1,1))</f>
        <v/>
      </c>
      <c r="U146" s="6"/>
      <c r="V146" s="6"/>
      <c r="W146" s="6"/>
      <c r="X146" s="6"/>
      <c r="Y146" s="6"/>
      <c r="Z146" s="6"/>
      <c r="AA146" s="10" t="str">
        <f t="shared" si="9"/>
        <v/>
      </c>
      <c r="AB146" s="6"/>
    </row>
    <row r="147" spans="1:28" ht="18" customHeight="1" x14ac:dyDescent="0.45">
      <c r="A147" s="4"/>
      <c r="B147" s="4"/>
      <c r="C147" s="4"/>
      <c r="D147" s="4"/>
      <c r="E147" s="11">
        <f t="shared" si="8"/>
        <v>0</v>
      </c>
      <c r="F147" s="4"/>
      <c r="G147" s="4"/>
      <c r="H147" s="11" t="str">
        <f>IF(F147="","",IFERROR(VLOOKUP(F147,'Incident Intake'!$A:$AE,31,FALSE())-VLOOKUP(F147,'Incident Intake'!$A:$AD,30,FALSE())+1,1))</f>
        <v/>
      </c>
      <c r="I147" s="4"/>
      <c r="J147" s="4"/>
      <c r="K147" s="11" t="str">
        <f>IF(I147="","",IFERROR(VLOOKUP(I147,'Incident Intake'!$A:$AE,31,FALSE())-VLOOKUP(I147,'Incident Intake'!$A:$AD,30,FALSE())+1,1))</f>
        <v/>
      </c>
      <c r="L147" s="4"/>
      <c r="M147" s="4"/>
      <c r="N147" s="11" t="str">
        <f>IF(L147="","",IFERROR(VLOOKUP(L147,'Incident Intake'!$A:$AE,31,FALSE())-VLOOKUP(L147,'Incident Intake'!$A:$AD,30,FALSE())+1,1))</f>
        <v/>
      </c>
      <c r="O147" s="4"/>
      <c r="P147" s="4"/>
      <c r="Q147" s="11" t="str">
        <f>IF(O147="","",IFERROR(VLOOKUP(O147,'Incident Intake'!$A:$AE,31,FALSE())-VLOOKUP(O147,'Incident Intake'!$A:$AD,30,FALSE())+1,1))</f>
        <v/>
      </c>
      <c r="R147" s="4"/>
      <c r="S147" s="4"/>
      <c r="T147" s="11" t="str">
        <f>IF(R147="","",IFERROR(VLOOKUP(R147,'Incident Intake'!$A:$AE,31,FALSE())-VLOOKUP(R147,'Incident Intake'!$A:$AD,30,FALSE())+1,1))</f>
        <v/>
      </c>
      <c r="U147" s="4"/>
      <c r="V147" s="4"/>
      <c r="W147" s="4"/>
      <c r="X147" s="4"/>
      <c r="Y147" s="4"/>
      <c r="Z147" s="4"/>
      <c r="AA147" s="10" t="str">
        <f t="shared" si="9"/>
        <v/>
      </c>
      <c r="AB147" s="4"/>
    </row>
    <row r="148" spans="1:28" ht="18" customHeight="1" x14ac:dyDescent="0.45">
      <c r="A148" s="6"/>
      <c r="B148" s="6"/>
      <c r="C148" s="6"/>
      <c r="D148" s="6"/>
      <c r="E148" s="11">
        <f t="shared" si="8"/>
        <v>0</v>
      </c>
      <c r="F148" s="6"/>
      <c r="G148" s="6"/>
      <c r="H148" s="11" t="str">
        <f>IF(F148="","",IFERROR(VLOOKUP(F148,'Incident Intake'!$A:$AE,31,FALSE())-VLOOKUP(F148,'Incident Intake'!$A:$AD,30,FALSE())+1,1))</f>
        <v/>
      </c>
      <c r="I148" s="6"/>
      <c r="J148" s="6"/>
      <c r="K148" s="11" t="str">
        <f>IF(I148="","",IFERROR(VLOOKUP(I148,'Incident Intake'!$A:$AE,31,FALSE())-VLOOKUP(I148,'Incident Intake'!$A:$AD,30,FALSE())+1,1))</f>
        <v/>
      </c>
      <c r="L148" s="6"/>
      <c r="M148" s="6"/>
      <c r="N148" s="11" t="str">
        <f>IF(L148="","",IFERROR(VLOOKUP(L148,'Incident Intake'!$A:$AE,31,FALSE())-VLOOKUP(L148,'Incident Intake'!$A:$AD,30,FALSE())+1,1))</f>
        <v/>
      </c>
      <c r="O148" s="6"/>
      <c r="P148" s="6"/>
      <c r="Q148" s="11" t="str">
        <f>IF(O148="","",IFERROR(VLOOKUP(O148,'Incident Intake'!$A:$AE,31,FALSE())-VLOOKUP(O148,'Incident Intake'!$A:$AD,30,FALSE())+1,1))</f>
        <v/>
      </c>
      <c r="R148" s="6"/>
      <c r="S148" s="6"/>
      <c r="T148" s="11" t="str">
        <f>IF(R148="","",IFERROR(VLOOKUP(R148,'Incident Intake'!$A:$AE,31,FALSE())-VLOOKUP(R148,'Incident Intake'!$A:$AD,30,FALSE())+1,1))</f>
        <v/>
      </c>
      <c r="U148" s="6"/>
      <c r="V148" s="6"/>
      <c r="W148" s="6"/>
      <c r="X148" s="6"/>
      <c r="Y148" s="6"/>
      <c r="Z148" s="6"/>
      <c r="AA148" s="10" t="str">
        <f t="shared" si="9"/>
        <v/>
      </c>
      <c r="AB148" s="6"/>
    </row>
    <row r="149" spans="1:28" ht="18" customHeight="1" x14ac:dyDescent="0.45">
      <c r="A149" s="4"/>
      <c r="B149" s="4"/>
      <c r="C149" s="4"/>
      <c r="D149" s="4"/>
      <c r="E149" s="11">
        <f t="shared" si="8"/>
        <v>0</v>
      </c>
      <c r="F149" s="4"/>
      <c r="G149" s="4"/>
      <c r="H149" s="11" t="str">
        <f>IF(F149="","",IFERROR(VLOOKUP(F149,'Incident Intake'!$A:$AE,31,FALSE())-VLOOKUP(F149,'Incident Intake'!$A:$AD,30,FALSE())+1,1))</f>
        <v/>
      </c>
      <c r="I149" s="4"/>
      <c r="J149" s="4"/>
      <c r="K149" s="11" t="str">
        <f>IF(I149="","",IFERROR(VLOOKUP(I149,'Incident Intake'!$A:$AE,31,FALSE())-VLOOKUP(I149,'Incident Intake'!$A:$AD,30,FALSE())+1,1))</f>
        <v/>
      </c>
      <c r="L149" s="4"/>
      <c r="M149" s="4"/>
      <c r="N149" s="11" t="str">
        <f>IF(L149="","",IFERROR(VLOOKUP(L149,'Incident Intake'!$A:$AE,31,FALSE())-VLOOKUP(L149,'Incident Intake'!$A:$AD,30,FALSE())+1,1))</f>
        <v/>
      </c>
      <c r="O149" s="4"/>
      <c r="P149" s="4"/>
      <c r="Q149" s="11" t="str">
        <f>IF(O149="","",IFERROR(VLOOKUP(O149,'Incident Intake'!$A:$AE,31,FALSE())-VLOOKUP(O149,'Incident Intake'!$A:$AD,30,FALSE())+1,1))</f>
        <v/>
      </c>
      <c r="R149" s="4"/>
      <c r="S149" s="4"/>
      <c r="T149" s="11" t="str">
        <f>IF(R149="","",IFERROR(VLOOKUP(R149,'Incident Intake'!$A:$AE,31,FALSE())-VLOOKUP(R149,'Incident Intake'!$A:$AD,30,FALSE())+1,1))</f>
        <v/>
      </c>
      <c r="U149" s="4"/>
      <c r="V149" s="4"/>
      <c r="W149" s="4"/>
      <c r="X149" s="4"/>
      <c r="Y149" s="4"/>
      <c r="Z149" s="4"/>
      <c r="AA149" s="10" t="str">
        <f t="shared" si="9"/>
        <v/>
      </c>
      <c r="AB149" s="4"/>
    </row>
    <row r="150" spans="1:28" ht="18" customHeight="1" x14ac:dyDescent="0.45">
      <c r="A150" s="6"/>
      <c r="B150" s="6"/>
      <c r="C150" s="6"/>
      <c r="D150" s="6"/>
      <c r="E150" s="11">
        <f t="shared" si="8"/>
        <v>0</v>
      </c>
      <c r="F150" s="6"/>
      <c r="G150" s="6"/>
      <c r="H150" s="11" t="str">
        <f>IF(F150="","",IFERROR(VLOOKUP(F150,'Incident Intake'!$A:$AE,31,FALSE())-VLOOKUP(F150,'Incident Intake'!$A:$AD,30,FALSE())+1,1))</f>
        <v/>
      </c>
      <c r="I150" s="6"/>
      <c r="J150" s="6"/>
      <c r="K150" s="11" t="str">
        <f>IF(I150="","",IFERROR(VLOOKUP(I150,'Incident Intake'!$A:$AE,31,FALSE())-VLOOKUP(I150,'Incident Intake'!$A:$AD,30,FALSE())+1,1))</f>
        <v/>
      </c>
      <c r="L150" s="6"/>
      <c r="M150" s="6"/>
      <c r="N150" s="11" t="str">
        <f>IF(L150="","",IFERROR(VLOOKUP(L150,'Incident Intake'!$A:$AE,31,FALSE())-VLOOKUP(L150,'Incident Intake'!$A:$AD,30,FALSE())+1,1))</f>
        <v/>
      </c>
      <c r="O150" s="6"/>
      <c r="P150" s="6"/>
      <c r="Q150" s="11" t="str">
        <f>IF(O150="","",IFERROR(VLOOKUP(O150,'Incident Intake'!$A:$AE,31,FALSE())-VLOOKUP(O150,'Incident Intake'!$A:$AD,30,FALSE())+1,1))</f>
        <v/>
      </c>
      <c r="R150" s="6"/>
      <c r="S150" s="6"/>
      <c r="T150" s="11" t="str">
        <f>IF(R150="","",IFERROR(VLOOKUP(R150,'Incident Intake'!$A:$AE,31,FALSE())-VLOOKUP(R150,'Incident Intake'!$A:$AD,30,FALSE())+1,1))</f>
        <v/>
      </c>
      <c r="U150" s="6"/>
      <c r="V150" s="6"/>
      <c r="W150" s="6"/>
      <c r="X150" s="6"/>
      <c r="Y150" s="6"/>
      <c r="Z150" s="6"/>
      <c r="AA150" s="10" t="str">
        <f t="shared" si="9"/>
        <v/>
      </c>
      <c r="AB150" s="6"/>
    </row>
    <row r="151" spans="1:28" ht="18" customHeight="1" x14ac:dyDescent="0.45">
      <c r="A151" s="4"/>
      <c r="B151" s="4"/>
      <c r="C151" s="4"/>
      <c r="D151" s="4"/>
      <c r="E151" s="11">
        <f t="shared" si="8"/>
        <v>0</v>
      </c>
      <c r="F151" s="4"/>
      <c r="G151" s="4"/>
      <c r="H151" s="11" t="str">
        <f>IF(F151="","",IFERROR(VLOOKUP(F151,'Incident Intake'!$A:$AE,31,FALSE())-VLOOKUP(F151,'Incident Intake'!$A:$AD,30,FALSE())+1,1))</f>
        <v/>
      </c>
      <c r="I151" s="4"/>
      <c r="J151" s="4"/>
      <c r="K151" s="11" t="str">
        <f>IF(I151="","",IFERROR(VLOOKUP(I151,'Incident Intake'!$A:$AE,31,FALSE())-VLOOKUP(I151,'Incident Intake'!$A:$AD,30,FALSE())+1,1))</f>
        <v/>
      </c>
      <c r="L151" s="4"/>
      <c r="M151" s="4"/>
      <c r="N151" s="11" t="str">
        <f>IF(L151="","",IFERROR(VLOOKUP(L151,'Incident Intake'!$A:$AE,31,FALSE())-VLOOKUP(L151,'Incident Intake'!$A:$AD,30,FALSE())+1,1))</f>
        <v/>
      </c>
      <c r="O151" s="4"/>
      <c r="P151" s="4"/>
      <c r="Q151" s="11" t="str">
        <f>IF(O151="","",IFERROR(VLOOKUP(O151,'Incident Intake'!$A:$AE,31,FALSE())-VLOOKUP(O151,'Incident Intake'!$A:$AD,30,FALSE())+1,1))</f>
        <v/>
      </c>
      <c r="R151" s="4"/>
      <c r="S151" s="4"/>
      <c r="T151" s="11" t="str">
        <f>IF(R151="","",IFERROR(VLOOKUP(R151,'Incident Intake'!$A:$AE,31,FALSE())-VLOOKUP(R151,'Incident Intake'!$A:$AD,30,FALSE())+1,1))</f>
        <v/>
      </c>
      <c r="U151" s="4"/>
      <c r="V151" s="4"/>
      <c r="W151" s="4"/>
      <c r="X151" s="4"/>
      <c r="Y151" s="4"/>
      <c r="Z151" s="4"/>
      <c r="AA151" s="10" t="str">
        <f t="shared" si="9"/>
        <v/>
      </c>
      <c r="AB151" s="4"/>
    </row>
    <row r="152" spans="1:28" ht="18" customHeight="1" x14ac:dyDescent="0.45">
      <c r="A152" s="6"/>
      <c r="B152" s="6"/>
      <c r="C152" s="6"/>
      <c r="D152" s="6"/>
      <c r="E152" s="11">
        <f t="shared" si="8"/>
        <v>0</v>
      </c>
      <c r="F152" s="6"/>
      <c r="G152" s="6"/>
      <c r="H152" s="11" t="str">
        <f>IF(F152="","",IFERROR(VLOOKUP(F152,'Incident Intake'!$A:$AE,31,FALSE())-VLOOKUP(F152,'Incident Intake'!$A:$AD,30,FALSE())+1,1))</f>
        <v/>
      </c>
      <c r="I152" s="6"/>
      <c r="J152" s="6"/>
      <c r="K152" s="11" t="str">
        <f>IF(I152="","",IFERROR(VLOOKUP(I152,'Incident Intake'!$A:$AE,31,FALSE())-VLOOKUP(I152,'Incident Intake'!$A:$AD,30,FALSE())+1,1))</f>
        <v/>
      </c>
      <c r="L152" s="6"/>
      <c r="M152" s="6"/>
      <c r="N152" s="11" t="str">
        <f>IF(L152="","",IFERROR(VLOOKUP(L152,'Incident Intake'!$A:$AE,31,FALSE())-VLOOKUP(L152,'Incident Intake'!$A:$AD,30,FALSE())+1,1))</f>
        <v/>
      </c>
      <c r="O152" s="6"/>
      <c r="P152" s="6"/>
      <c r="Q152" s="11" t="str">
        <f>IF(O152="","",IFERROR(VLOOKUP(O152,'Incident Intake'!$A:$AE,31,FALSE())-VLOOKUP(O152,'Incident Intake'!$A:$AD,30,FALSE())+1,1))</f>
        <v/>
      </c>
      <c r="R152" s="6"/>
      <c r="S152" s="6"/>
      <c r="T152" s="11" t="str">
        <f>IF(R152="","",IFERROR(VLOOKUP(R152,'Incident Intake'!$A:$AE,31,FALSE())-VLOOKUP(R152,'Incident Intake'!$A:$AD,30,FALSE())+1,1))</f>
        <v/>
      </c>
      <c r="U152" s="6"/>
      <c r="V152" s="6"/>
      <c r="W152" s="6"/>
      <c r="X152" s="6"/>
      <c r="Y152" s="6"/>
      <c r="Z152" s="6"/>
      <c r="AA152" s="10" t="str">
        <f t="shared" si="9"/>
        <v/>
      </c>
      <c r="AB152" s="6"/>
    </row>
    <row r="153" spans="1:28" ht="18" customHeight="1" x14ac:dyDescent="0.45">
      <c r="A153" s="4"/>
      <c r="B153" s="4"/>
      <c r="C153" s="4"/>
      <c r="D153" s="4"/>
      <c r="E153" s="11">
        <f t="shared" si="8"/>
        <v>0</v>
      </c>
      <c r="F153" s="4"/>
      <c r="G153" s="4"/>
      <c r="H153" s="11" t="str">
        <f>IF(F153="","",IFERROR(VLOOKUP(F153,'Incident Intake'!$A:$AE,31,FALSE())-VLOOKUP(F153,'Incident Intake'!$A:$AD,30,FALSE())+1,1))</f>
        <v/>
      </c>
      <c r="I153" s="4"/>
      <c r="J153" s="4"/>
      <c r="K153" s="11" t="str">
        <f>IF(I153="","",IFERROR(VLOOKUP(I153,'Incident Intake'!$A:$AE,31,FALSE())-VLOOKUP(I153,'Incident Intake'!$A:$AD,30,FALSE())+1,1))</f>
        <v/>
      </c>
      <c r="L153" s="4"/>
      <c r="M153" s="4"/>
      <c r="N153" s="11" t="str">
        <f>IF(L153="","",IFERROR(VLOOKUP(L153,'Incident Intake'!$A:$AE,31,FALSE())-VLOOKUP(L153,'Incident Intake'!$A:$AD,30,FALSE())+1,1))</f>
        <v/>
      </c>
      <c r="O153" s="4"/>
      <c r="P153" s="4"/>
      <c r="Q153" s="11" t="str">
        <f>IF(O153="","",IFERROR(VLOOKUP(O153,'Incident Intake'!$A:$AE,31,FALSE())-VLOOKUP(O153,'Incident Intake'!$A:$AD,30,FALSE())+1,1))</f>
        <v/>
      </c>
      <c r="R153" s="4"/>
      <c r="S153" s="4"/>
      <c r="T153" s="11" t="str">
        <f>IF(R153="","",IFERROR(VLOOKUP(R153,'Incident Intake'!$A:$AE,31,FALSE())-VLOOKUP(R153,'Incident Intake'!$A:$AD,30,FALSE())+1,1))</f>
        <v/>
      </c>
      <c r="U153" s="4"/>
      <c r="V153" s="4"/>
      <c r="W153" s="4"/>
      <c r="X153" s="4"/>
      <c r="Y153" s="4"/>
      <c r="Z153" s="4"/>
      <c r="AA153" s="10" t="str">
        <f t="shared" si="9"/>
        <v/>
      </c>
      <c r="AB153" s="4"/>
    </row>
    <row r="154" spans="1:28" ht="18" customHeight="1" x14ac:dyDescent="0.45">
      <c r="A154" s="6"/>
      <c r="B154" s="6"/>
      <c r="C154" s="6"/>
      <c r="D154" s="6"/>
      <c r="E154" s="11">
        <f t="shared" si="8"/>
        <v>0</v>
      </c>
      <c r="F154" s="6"/>
      <c r="G154" s="6"/>
      <c r="H154" s="11" t="str">
        <f>IF(F154="","",IFERROR(VLOOKUP(F154,'Incident Intake'!$A:$AE,31,FALSE())-VLOOKUP(F154,'Incident Intake'!$A:$AD,30,FALSE())+1,1))</f>
        <v/>
      </c>
      <c r="I154" s="6"/>
      <c r="J154" s="6"/>
      <c r="K154" s="11" t="str">
        <f>IF(I154="","",IFERROR(VLOOKUP(I154,'Incident Intake'!$A:$AE,31,FALSE())-VLOOKUP(I154,'Incident Intake'!$A:$AD,30,FALSE())+1,1))</f>
        <v/>
      </c>
      <c r="L154" s="6"/>
      <c r="M154" s="6"/>
      <c r="N154" s="11" t="str">
        <f>IF(L154="","",IFERROR(VLOOKUP(L154,'Incident Intake'!$A:$AE,31,FALSE())-VLOOKUP(L154,'Incident Intake'!$A:$AD,30,FALSE())+1,1))</f>
        <v/>
      </c>
      <c r="O154" s="6"/>
      <c r="P154" s="6"/>
      <c r="Q154" s="11" t="str">
        <f>IF(O154="","",IFERROR(VLOOKUP(O154,'Incident Intake'!$A:$AE,31,FALSE())-VLOOKUP(O154,'Incident Intake'!$A:$AD,30,FALSE())+1,1))</f>
        <v/>
      </c>
      <c r="R154" s="6"/>
      <c r="S154" s="6"/>
      <c r="T154" s="11" t="str">
        <f>IF(R154="","",IFERROR(VLOOKUP(R154,'Incident Intake'!$A:$AE,31,FALSE())-VLOOKUP(R154,'Incident Intake'!$A:$AD,30,FALSE())+1,1))</f>
        <v/>
      </c>
      <c r="U154" s="6"/>
      <c r="V154" s="6"/>
      <c r="W154" s="6"/>
      <c r="X154" s="6"/>
      <c r="Y154" s="6"/>
      <c r="Z154" s="6"/>
      <c r="AA154" s="10" t="str">
        <f t="shared" si="9"/>
        <v/>
      </c>
      <c r="AB154" s="6"/>
    </row>
    <row r="155" spans="1:28" ht="19.5" customHeight="1" x14ac:dyDescent="0.45">
      <c r="A155" s="87" t="s">
        <v>72</v>
      </c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</row>
  </sheetData>
  <mergeCells count="4">
    <mergeCell ref="A3:AB3"/>
    <mergeCell ref="A2:AB2"/>
    <mergeCell ref="A1:AB1"/>
    <mergeCell ref="A155:AB155"/>
  </mergeCells>
  <conditionalFormatting sqref="A5:AB154">
    <cfRule type="expression" dxfId="22" priority="2">
      <formula>ISNUMBER(SEARCH("EXCEEDED",$AA5))</formula>
    </cfRule>
    <cfRule type="expression" dxfId="21" priority="3">
      <formula>ISNUMBER(SEARCH("URGENT",$AA5))</formula>
    </cfRule>
    <cfRule type="expression" dxfId="20" priority="4">
      <formula>ISNUMBER(SEARCH("WARNING",$AA5))</formula>
    </cfRule>
    <cfRule type="expression" dxfId="19" priority="5">
      <formula>ISNUMBER(SEARCH("✅",$AA5))</formula>
    </cfRule>
  </conditionalFormatting>
  <conditionalFormatting sqref="AA5:AA154">
    <cfRule type="expression" dxfId="18" priority="6">
      <formula>ISNUMBER(SEARCH("EXCEEDED",$AA5))</formula>
    </cfRule>
    <cfRule type="expression" dxfId="17" priority="7">
      <formula>ISNUMBER(SEARCH("URGENT",$AA5))</formula>
    </cfRule>
    <cfRule type="expression" dxfId="16" priority="8">
      <formula>ISNUMBER(SEARCH("WARNING",$AA5))</formula>
    </cfRule>
    <cfRule type="expression" dxfId="15" priority="9">
      <formula>ISNUMBER(SEARCH("✅",$AA5))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Lists!$I$2:$I$6</xm:f>
          </x14:formula1>
          <xm:sqref>U5:U154</xm:sqref>
        </x14:dataValidation>
        <x14:dataValidation type="list" allowBlank="1" xr:uid="{00000000-0002-0000-0400-000001000000}">
          <x14:formula1>
            <xm:f>Lists!$F$2:$F$3</xm:f>
          </x14:formula1>
          <xm:sqref>V5:V154 X5:X154 Z5:Z154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B2D7F"/>
  </sheetPr>
  <dimension ref="A1:V30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12" customWidth="1"/>
    <col min="2" max="2" width="14" customWidth="1"/>
    <col min="3" max="3" width="22" customWidth="1"/>
    <col min="4" max="4" width="28" customWidth="1"/>
    <col min="5" max="5" width="13" customWidth="1"/>
    <col min="6" max="6" width="11" customWidth="1"/>
    <col min="7" max="7" width="20" customWidth="1"/>
    <col min="8" max="8" width="28" customWidth="1"/>
    <col min="9" max="9" width="40" customWidth="1"/>
    <col min="10" max="10" width="24" customWidth="1"/>
    <col min="11" max="11" width="20" customWidth="1"/>
    <col min="12" max="13" width="22" customWidth="1"/>
    <col min="14" max="14" width="20" customWidth="1"/>
    <col min="15" max="15" width="13" customWidth="1"/>
    <col min="16" max="16" width="28" customWidth="1"/>
    <col min="17" max="17" width="18" customWidth="1"/>
    <col min="18" max="18" width="13" customWidth="1"/>
    <col min="19" max="19" width="12" customWidth="1"/>
    <col min="20" max="20" width="20" customWidth="1"/>
    <col min="21" max="21" width="18" customWidth="1"/>
    <col min="22" max="22" width="28" customWidth="1"/>
  </cols>
  <sheetData>
    <row r="1" spans="1:22" ht="43.5" customHeight="1" x14ac:dyDescent="0.45">
      <c r="A1" s="86" t="s">
        <v>179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ht="21.75" customHeight="1" x14ac:dyDescent="0.45">
      <c r="A2" s="85" t="s">
        <v>180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2" ht="18" customHeight="1" x14ac:dyDescent="0.45">
      <c r="A3" s="104" t="s">
        <v>181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</row>
    <row r="4" spans="1:22" ht="36" customHeight="1" x14ac:dyDescent="0.45">
      <c r="A4" s="7" t="s">
        <v>182</v>
      </c>
      <c r="B4" s="7" t="s">
        <v>38</v>
      </c>
      <c r="C4" s="7" t="s">
        <v>121</v>
      </c>
      <c r="D4" s="7" t="s">
        <v>122</v>
      </c>
      <c r="E4" s="7" t="s">
        <v>183</v>
      </c>
      <c r="F4" s="7" t="s">
        <v>184</v>
      </c>
      <c r="G4" s="7" t="s">
        <v>185</v>
      </c>
      <c r="H4" s="7" t="s">
        <v>186</v>
      </c>
      <c r="I4" s="7" t="s">
        <v>187</v>
      </c>
      <c r="J4" s="7" t="s">
        <v>188</v>
      </c>
      <c r="K4" s="7" t="s">
        <v>189</v>
      </c>
      <c r="L4" s="7" t="s">
        <v>190</v>
      </c>
      <c r="M4" s="7" t="s">
        <v>191</v>
      </c>
      <c r="N4" s="7" t="s">
        <v>192</v>
      </c>
      <c r="O4" s="7" t="s">
        <v>193</v>
      </c>
      <c r="P4" s="7" t="s">
        <v>194</v>
      </c>
      <c r="Q4" s="7" t="s">
        <v>195</v>
      </c>
      <c r="R4" s="7" t="s">
        <v>196</v>
      </c>
      <c r="S4" s="7" t="s">
        <v>197</v>
      </c>
      <c r="T4" s="7" t="s">
        <v>198</v>
      </c>
      <c r="U4" s="7" t="s">
        <v>199</v>
      </c>
      <c r="V4" s="7" t="s">
        <v>71</v>
      </c>
    </row>
    <row r="5" spans="1:22" ht="18" customHeight="1" x14ac:dyDescent="0.45">
      <c r="A5" s="4"/>
      <c r="B5" s="4"/>
      <c r="C5" s="10" t="str">
        <f>IFERROR(VLOOKUP(B5,'Incident Intake'!$A:$G,7,FALSE())&amp;" "&amp;VLOOKUP(B5,'Incident Intake'!$A:$F,6,FALSE()),"")</f>
        <v/>
      </c>
      <c r="D5" s="10" t="str">
        <f>IFERROR(VLOOKUP(B5,'Incident Intake'!$A:$J,10,FALSE()),"")</f>
        <v/>
      </c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8"/>
      <c r="Q5" s="4"/>
      <c r="R5" s="8"/>
      <c r="S5" s="4"/>
      <c r="T5" s="10" t="str">
        <f t="shared" ref="T5:T68" si="0">IF(S5="Yes","🔴 LEGAL HOLD — DO NOT DESTROY","")</f>
        <v/>
      </c>
      <c r="U5" s="4"/>
      <c r="V5" s="4"/>
    </row>
    <row r="6" spans="1:22" ht="18" customHeight="1" x14ac:dyDescent="0.45">
      <c r="A6" s="6"/>
      <c r="B6" s="6"/>
      <c r="C6" s="10" t="str">
        <f>IFERROR(VLOOKUP(B6,'Incident Intake'!$A:$G,7,FALSE())&amp;" "&amp;VLOOKUP(B6,'Incident Intake'!$A:$F,6,FALSE()),"")</f>
        <v/>
      </c>
      <c r="D6" s="10" t="str">
        <f>IFERROR(VLOOKUP(B6,'Incident Intake'!$A:$J,10,FALSE()),"")</f>
        <v/>
      </c>
      <c r="E6" s="12"/>
      <c r="F6" s="6"/>
      <c r="G6" s="6"/>
      <c r="H6" s="6"/>
      <c r="I6" s="6"/>
      <c r="J6" s="6"/>
      <c r="K6" s="6"/>
      <c r="L6" s="6"/>
      <c r="M6" s="6"/>
      <c r="N6" s="6"/>
      <c r="O6" s="6"/>
      <c r="P6" s="12"/>
      <c r="Q6" s="6"/>
      <c r="R6" s="12"/>
      <c r="S6" s="6"/>
      <c r="T6" s="10" t="str">
        <f t="shared" si="0"/>
        <v/>
      </c>
      <c r="U6" s="6"/>
      <c r="V6" s="6"/>
    </row>
    <row r="7" spans="1:22" ht="18" customHeight="1" x14ac:dyDescent="0.45">
      <c r="A7" s="4"/>
      <c r="B7" s="4"/>
      <c r="C7" s="10" t="str">
        <f>IFERROR(VLOOKUP(B7,'Incident Intake'!$A:$G,7,FALSE())&amp;" "&amp;VLOOKUP(B7,'Incident Intake'!$A:$F,6,FALSE()),"")</f>
        <v/>
      </c>
      <c r="D7" s="10" t="str">
        <f>IFERROR(VLOOKUP(B7,'Incident Intake'!$A:$J,10,FALSE()),"")</f>
        <v/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8"/>
      <c r="Q7" s="4"/>
      <c r="R7" s="8"/>
      <c r="S7" s="4"/>
      <c r="T7" s="10" t="str">
        <f t="shared" si="0"/>
        <v/>
      </c>
      <c r="U7" s="4"/>
      <c r="V7" s="4"/>
    </row>
    <row r="8" spans="1:22" ht="18" customHeight="1" x14ac:dyDescent="0.45">
      <c r="A8" s="6"/>
      <c r="B8" s="6"/>
      <c r="C8" s="10" t="str">
        <f>IFERROR(VLOOKUP(B8,'Incident Intake'!$A:$G,7,FALSE())&amp;" "&amp;VLOOKUP(B8,'Incident Intake'!$A:$F,6,FALSE()),"")</f>
        <v/>
      </c>
      <c r="D8" s="10" t="str">
        <f>IFERROR(VLOOKUP(B8,'Incident Intake'!$A:$J,10,FALSE()),"")</f>
        <v/>
      </c>
      <c r="E8" s="12"/>
      <c r="F8" s="6"/>
      <c r="G8" s="6"/>
      <c r="H8" s="6"/>
      <c r="I8" s="6"/>
      <c r="J8" s="6"/>
      <c r="K8" s="6"/>
      <c r="L8" s="6"/>
      <c r="M8" s="6"/>
      <c r="N8" s="6"/>
      <c r="O8" s="6"/>
      <c r="P8" s="12"/>
      <c r="Q8" s="6"/>
      <c r="R8" s="12"/>
      <c r="S8" s="6"/>
      <c r="T8" s="10" t="str">
        <f t="shared" si="0"/>
        <v/>
      </c>
      <c r="U8" s="6"/>
      <c r="V8" s="6"/>
    </row>
    <row r="9" spans="1:22" ht="18" customHeight="1" x14ac:dyDescent="0.45">
      <c r="A9" s="4"/>
      <c r="B9" s="4"/>
      <c r="C9" s="10" t="str">
        <f>IFERROR(VLOOKUP(B9,'Incident Intake'!$A:$G,7,FALSE())&amp;" "&amp;VLOOKUP(B9,'Incident Intake'!$A:$F,6,FALSE()),"")</f>
        <v/>
      </c>
      <c r="D9" s="10" t="str">
        <f>IFERROR(VLOOKUP(B9,'Incident Intake'!$A:$J,10,FALSE()),"")</f>
        <v/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8"/>
      <c r="Q9" s="4"/>
      <c r="R9" s="8"/>
      <c r="S9" s="4"/>
      <c r="T9" s="10" t="str">
        <f t="shared" si="0"/>
        <v/>
      </c>
      <c r="U9" s="4"/>
      <c r="V9" s="4"/>
    </row>
    <row r="10" spans="1:22" ht="18" customHeight="1" x14ac:dyDescent="0.45">
      <c r="A10" s="6"/>
      <c r="B10" s="6"/>
      <c r="C10" s="10" t="str">
        <f>IFERROR(VLOOKUP(B10,'Incident Intake'!$A:$G,7,FALSE())&amp;" "&amp;VLOOKUP(B10,'Incident Intake'!$A:$F,6,FALSE()),"")</f>
        <v/>
      </c>
      <c r="D10" s="10" t="str">
        <f>IFERROR(VLOOKUP(B10,'Incident Intake'!$A:$J,10,FALSE()),"")</f>
        <v/>
      </c>
      <c r="E10" s="12"/>
      <c r="F10" s="6"/>
      <c r="G10" s="6"/>
      <c r="H10" s="6"/>
      <c r="I10" s="6"/>
      <c r="J10" s="6"/>
      <c r="K10" s="6"/>
      <c r="L10" s="6"/>
      <c r="M10" s="6"/>
      <c r="N10" s="6"/>
      <c r="O10" s="6"/>
      <c r="P10" s="12"/>
      <c r="Q10" s="6"/>
      <c r="R10" s="12"/>
      <c r="S10" s="6"/>
      <c r="T10" s="10" t="str">
        <f t="shared" si="0"/>
        <v/>
      </c>
      <c r="U10" s="6"/>
      <c r="V10" s="6"/>
    </row>
    <row r="11" spans="1:22" ht="18" customHeight="1" x14ac:dyDescent="0.45">
      <c r="A11" s="4"/>
      <c r="B11" s="4"/>
      <c r="C11" s="10" t="str">
        <f>IFERROR(VLOOKUP(B11,'Incident Intake'!$A:$G,7,FALSE())&amp;" "&amp;VLOOKUP(B11,'Incident Intake'!$A:$F,6,FALSE()),"")</f>
        <v/>
      </c>
      <c r="D11" s="10" t="str">
        <f>IFERROR(VLOOKUP(B11,'Incident Intake'!$A:$J,10,FALSE()),"")</f>
        <v/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8"/>
      <c r="Q11" s="4"/>
      <c r="R11" s="8"/>
      <c r="S11" s="4"/>
      <c r="T11" s="10" t="str">
        <f t="shared" si="0"/>
        <v/>
      </c>
      <c r="U11" s="4"/>
      <c r="V11" s="4"/>
    </row>
    <row r="12" spans="1:22" ht="18" customHeight="1" x14ac:dyDescent="0.45">
      <c r="A12" s="6"/>
      <c r="B12" s="6"/>
      <c r="C12" s="10" t="str">
        <f>IFERROR(VLOOKUP(B12,'Incident Intake'!$A:$G,7,FALSE())&amp;" "&amp;VLOOKUP(B12,'Incident Intake'!$A:$F,6,FALSE()),"")</f>
        <v/>
      </c>
      <c r="D12" s="10" t="str">
        <f>IFERROR(VLOOKUP(B12,'Incident Intake'!$A:$J,10,FALSE()),"")</f>
        <v/>
      </c>
      <c r="E12" s="12"/>
      <c r="F12" s="6"/>
      <c r="G12" s="6"/>
      <c r="H12" s="6"/>
      <c r="I12" s="6"/>
      <c r="J12" s="6"/>
      <c r="K12" s="6"/>
      <c r="L12" s="6"/>
      <c r="M12" s="6"/>
      <c r="N12" s="6"/>
      <c r="O12" s="6"/>
      <c r="P12" s="12"/>
      <c r="Q12" s="6"/>
      <c r="R12" s="12"/>
      <c r="S12" s="6"/>
      <c r="T12" s="10" t="str">
        <f t="shared" si="0"/>
        <v/>
      </c>
      <c r="U12" s="6"/>
      <c r="V12" s="6"/>
    </row>
    <row r="13" spans="1:22" ht="18" customHeight="1" x14ac:dyDescent="0.45">
      <c r="A13" s="4"/>
      <c r="B13" s="4"/>
      <c r="C13" s="10" t="str">
        <f>IFERROR(VLOOKUP(B13,'Incident Intake'!$A:$G,7,FALSE())&amp;" "&amp;VLOOKUP(B13,'Incident Intake'!$A:$F,6,FALSE()),"")</f>
        <v/>
      </c>
      <c r="D13" s="10" t="str">
        <f>IFERROR(VLOOKUP(B13,'Incident Intake'!$A:$J,10,FALSE()),"")</f>
        <v/>
      </c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8"/>
      <c r="Q13" s="4"/>
      <c r="R13" s="8"/>
      <c r="S13" s="4"/>
      <c r="T13" s="10" t="str">
        <f t="shared" si="0"/>
        <v/>
      </c>
      <c r="U13" s="4"/>
      <c r="V13" s="4"/>
    </row>
    <row r="14" spans="1:22" ht="18" customHeight="1" x14ac:dyDescent="0.45">
      <c r="A14" s="6"/>
      <c r="B14" s="6"/>
      <c r="C14" s="10" t="str">
        <f>IFERROR(VLOOKUP(B14,'Incident Intake'!$A:$G,7,FALSE())&amp;" "&amp;VLOOKUP(B14,'Incident Intake'!$A:$F,6,FALSE()),"")</f>
        <v/>
      </c>
      <c r="D14" s="10" t="str">
        <f>IFERROR(VLOOKUP(B14,'Incident Intake'!$A:$J,10,FALSE()),"")</f>
        <v/>
      </c>
      <c r="E14" s="12"/>
      <c r="F14" s="6"/>
      <c r="G14" s="6"/>
      <c r="H14" s="6"/>
      <c r="I14" s="6"/>
      <c r="J14" s="6"/>
      <c r="K14" s="6"/>
      <c r="L14" s="6"/>
      <c r="M14" s="6"/>
      <c r="N14" s="6"/>
      <c r="O14" s="6"/>
      <c r="P14" s="12"/>
      <c r="Q14" s="6"/>
      <c r="R14" s="12"/>
      <c r="S14" s="6"/>
      <c r="T14" s="10" t="str">
        <f t="shared" si="0"/>
        <v/>
      </c>
      <c r="U14" s="6"/>
      <c r="V14" s="6"/>
    </row>
    <row r="15" spans="1:22" ht="18" customHeight="1" x14ac:dyDescent="0.45">
      <c r="A15" s="4"/>
      <c r="B15" s="4"/>
      <c r="C15" s="10" t="str">
        <f>IFERROR(VLOOKUP(B15,'Incident Intake'!$A:$G,7,FALSE())&amp;" "&amp;VLOOKUP(B15,'Incident Intake'!$A:$F,6,FALSE()),"")</f>
        <v/>
      </c>
      <c r="D15" s="10" t="str">
        <f>IFERROR(VLOOKUP(B15,'Incident Intake'!$A:$J,10,FALSE()),"")</f>
        <v/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8"/>
      <c r="Q15" s="4"/>
      <c r="R15" s="8"/>
      <c r="S15" s="4"/>
      <c r="T15" s="10" t="str">
        <f t="shared" si="0"/>
        <v/>
      </c>
      <c r="U15" s="4"/>
      <c r="V15" s="4"/>
    </row>
    <row r="16" spans="1:22" ht="18" customHeight="1" x14ac:dyDescent="0.45">
      <c r="A16" s="6"/>
      <c r="B16" s="6"/>
      <c r="C16" s="10" t="str">
        <f>IFERROR(VLOOKUP(B16,'Incident Intake'!$A:$G,7,FALSE())&amp;" "&amp;VLOOKUP(B16,'Incident Intake'!$A:$F,6,FALSE()),"")</f>
        <v/>
      </c>
      <c r="D16" s="10" t="str">
        <f>IFERROR(VLOOKUP(B16,'Incident Intake'!$A:$J,10,FALSE()),"")</f>
        <v/>
      </c>
      <c r="E16" s="12"/>
      <c r="F16" s="6"/>
      <c r="G16" s="6"/>
      <c r="H16" s="6"/>
      <c r="I16" s="6"/>
      <c r="J16" s="6"/>
      <c r="K16" s="6"/>
      <c r="L16" s="6"/>
      <c r="M16" s="6"/>
      <c r="N16" s="6"/>
      <c r="O16" s="6"/>
      <c r="P16" s="12"/>
      <c r="Q16" s="6"/>
      <c r="R16" s="12"/>
      <c r="S16" s="6"/>
      <c r="T16" s="10" t="str">
        <f t="shared" si="0"/>
        <v/>
      </c>
      <c r="U16" s="6"/>
      <c r="V16" s="6"/>
    </row>
    <row r="17" spans="1:22" ht="18" customHeight="1" x14ac:dyDescent="0.45">
      <c r="A17" s="4"/>
      <c r="B17" s="4"/>
      <c r="C17" s="10" t="str">
        <f>IFERROR(VLOOKUP(B17,'Incident Intake'!$A:$G,7,FALSE())&amp;" "&amp;VLOOKUP(B17,'Incident Intake'!$A:$F,6,FALSE()),"")</f>
        <v/>
      </c>
      <c r="D17" s="10" t="str">
        <f>IFERROR(VLOOKUP(B17,'Incident Intake'!$A:$J,10,FALSE()),"")</f>
        <v/>
      </c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8"/>
      <c r="Q17" s="4"/>
      <c r="R17" s="8"/>
      <c r="S17" s="4"/>
      <c r="T17" s="10" t="str">
        <f t="shared" si="0"/>
        <v/>
      </c>
      <c r="U17" s="4"/>
      <c r="V17" s="4"/>
    </row>
    <row r="18" spans="1:22" ht="18" customHeight="1" x14ac:dyDescent="0.45">
      <c r="A18" s="6"/>
      <c r="B18" s="6"/>
      <c r="C18" s="10" t="str">
        <f>IFERROR(VLOOKUP(B18,'Incident Intake'!$A:$G,7,FALSE())&amp;" "&amp;VLOOKUP(B18,'Incident Intake'!$A:$F,6,FALSE()),"")</f>
        <v/>
      </c>
      <c r="D18" s="10" t="str">
        <f>IFERROR(VLOOKUP(B18,'Incident Intake'!$A:$J,10,FALSE()),"")</f>
        <v/>
      </c>
      <c r="E18" s="12"/>
      <c r="F18" s="6"/>
      <c r="G18" s="6"/>
      <c r="H18" s="6"/>
      <c r="I18" s="6"/>
      <c r="J18" s="6"/>
      <c r="K18" s="6"/>
      <c r="L18" s="6"/>
      <c r="M18" s="6"/>
      <c r="N18" s="6"/>
      <c r="O18" s="6"/>
      <c r="P18" s="12"/>
      <c r="Q18" s="6"/>
      <c r="R18" s="12"/>
      <c r="S18" s="6"/>
      <c r="T18" s="10" t="str">
        <f t="shared" si="0"/>
        <v/>
      </c>
      <c r="U18" s="6"/>
      <c r="V18" s="6"/>
    </row>
    <row r="19" spans="1:22" ht="18" customHeight="1" x14ac:dyDescent="0.45">
      <c r="A19" s="4"/>
      <c r="B19" s="4"/>
      <c r="C19" s="10" t="str">
        <f>IFERROR(VLOOKUP(B19,'Incident Intake'!$A:$G,7,FALSE())&amp;" "&amp;VLOOKUP(B19,'Incident Intake'!$A:$F,6,FALSE()),"")</f>
        <v/>
      </c>
      <c r="D19" s="10" t="str">
        <f>IFERROR(VLOOKUP(B19,'Incident Intake'!$A:$J,10,FALSE()),"")</f>
        <v/>
      </c>
      <c r="E19" s="8"/>
      <c r="F19" s="4"/>
      <c r="G19" s="4"/>
      <c r="H19" s="4"/>
      <c r="I19" s="4"/>
      <c r="J19" s="4"/>
      <c r="K19" s="4"/>
      <c r="L19" s="4"/>
      <c r="M19" s="4"/>
      <c r="N19" s="4"/>
      <c r="O19" s="4"/>
      <c r="P19" s="8"/>
      <c r="Q19" s="4"/>
      <c r="R19" s="8"/>
      <c r="S19" s="4"/>
      <c r="T19" s="10" t="str">
        <f t="shared" si="0"/>
        <v/>
      </c>
      <c r="U19" s="4"/>
      <c r="V19" s="4"/>
    </row>
    <row r="20" spans="1:22" ht="18" customHeight="1" x14ac:dyDescent="0.45">
      <c r="A20" s="6"/>
      <c r="B20" s="6"/>
      <c r="C20" s="10" t="str">
        <f>IFERROR(VLOOKUP(B20,'Incident Intake'!$A:$G,7,FALSE())&amp;" "&amp;VLOOKUP(B20,'Incident Intake'!$A:$F,6,FALSE()),"")</f>
        <v/>
      </c>
      <c r="D20" s="10" t="str">
        <f>IFERROR(VLOOKUP(B20,'Incident Intake'!$A:$J,10,FALSE()),"")</f>
        <v/>
      </c>
      <c r="E20" s="12"/>
      <c r="F20" s="6"/>
      <c r="G20" s="6"/>
      <c r="H20" s="6"/>
      <c r="I20" s="6"/>
      <c r="J20" s="6"/>
      <c r="K20" s="6"/>
      <c r="L20" s="6"/>
      <c r="M20" s="6"/>
      <c r="N20" s="6"/>
      <c r="O20" s="6"/>
      <c r="P20" s="12"/>
      <c r="Q20" s="6"/>
      <c r="R20" s="12"/>
      <c r="S20" s="6"/>
      <c r="T20" s="10" t="str">
        <f t="shared" si="0"/>
        <v/>
      </c>
      <c r="U20" s="6"/>
      <c r="V20" s="6"/>
    </row>
    <row r="21" spans="1:22" ht="18" customHeight="1" x14ac:dyDescent="0.45">
      <c r="A21" s="4"/>
      <c r="B21" s="4"/>
      <c r="C21" s="10" t="str">
        <f>IFERROR(VLOOKUP(B21,'Incident Intake'!$A:$G,7,FALSE())&amp;" "&amp;VLOOKUP(B21,'Incident Intake'!$A:$F,6,FALSE()),"")</f>
        <v/>
      </c>
      <c r="D21" s="10" t="str">
        <f>IFERROR(VLOOKUP(B21,'Incident Intake'!$A:$J,10,FALSE()),"")</f>
        <v/>
      </c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8"/>
      <c r="Q21" s="4"/>
      <c r="R21" s="8"/>
      <c r="S21" s="4"/>
      <c r="T21" s="10" t="str">
        <f t="shared" si="0"/>
        <v/>
      </c>
      <c r="U21" s="4"/>
      <c r="V21" s="4"/>
    </row>
    <row r="22" spans="1:22" ht="18" customHeight="1" x14ac:dyDescent="0.45">
      <c r="A22" s="6"/>
      <c r="B22" s="6"/>
      <c r="C22" s="10" t="str">
        <f>IFERROR(VLOOKUP(B22,'Incident Intake'!$A:$G,7,FALSE())&amp;" "&amp;VLOOKUP(B22,'Incident Intake'!$A:$F,6,FALSE()),"")</f>
        <v/>
      </c>
      <c r="D22" s="10" t="str">
        <f>IFERROR(VLOOKUP(B22,'Incident Intake'!$A:$J,10,FALSE()),"")</f>
        <v/>
      </c>
      <c r="E22" s="12"/>
      <c r="F22" s="6"/>
      <c r="G22" s="6"/>
      <c r="H22" s="6"/>
      <c r="I22" s="6"/>
      <c r="J22" s="6"/>
      <c r="K22" s="6"/>
      <c r="L22" s="6"/>
      <c r="M22" s="6"/>
      <c r="N22" s="6"/>
      <c r="O22" s="6"/>
      <c r="P22" s="12"/>
      <c r="Q22" s="6"/>
      <c r="R22" s="12"/>
      <c r="S22" s="6"/>
      <c r="T22" s="10" t="str">
        <f t="shared" si="0"/>
        <v/>
      </c>
      <c r="U22" s="6"/>
      <c r="V22" s="6"/>
    </row>
    <row r="23" spans="1:22" ht="18" customHeight="1" x14ac:dyDescent="0.45">
      <c r="A23" s="4"/>
      <c r="B23" s="4"/>
      <c r="C23" s="10" t="str">
        <f>IFERROR(VLOOKUP(B23,'Incident Intake'!$A:$G,7,FALSE())&amp;" "&amp;VLOOKUP(B23,'Incident Intake'!$A:$F,6,FALSE()),"")</f>
        <v/>
      </c>
      <c r="D23" s="10" t="str">
        <f>IFERROR(VLOOKUP(B23,'Incident Intake'!$A:$J,10,FALSE()),"")</f>
        <v/>
      </c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8"/>
      <c r="Q23" s="4"/>
      <c r="R23" s="8"/>
      <c r="S23" s="4"/>
      <c r="T23" s="10" t="str">
        <f t="shared" si="0"/>
        <v/>
      </c>
      <c r="U23" s="4"/>
      <c r="V23" s="4"/>
    </row>
    <row r="24" spans="1:22" ht="18" customHeight="1" x14ac:dyDescent="0.45">
      <c r="A24" s="6"/>
      <c r="B24" s="6"/>
      <c r="C24" s="10" t="str">
        <f>IFERROR(VLOOKUP(B24,'Incident Intake'!$A:$G,7,FALSE())&amp;" "&amp;VLOOKUP(B24,'Incident Intake'!$A:$F,6,FALSE()),"")</f>
        <v/>
      </c>
      <c r="D24" s="10" t="str">
        <f>IFERROR(VLOOKUP(B24,'Incident Intake'!$A:$J,10,FALSE()),"")</f>
        <v/>
      </c>
      <c r="E24" s="12"/>
      <c r="F24" s="6"/>
      <c r="G24" s="6"/>
      <c r="H24" s="6"/>
      <c r="I24" s="6"/>
      <c r="J24" s="6"/>
      <c r="K24" s="6"/>
      <c r="L24" s="6"/>
      <c r="M24" s="6"/>
      <c r="N24" s="6"/>
      <c r="O24" s="6"/>
      <c r="P24" s="12"/>
      <c r="Q24" s="6"/>
      <c r="R24" s="12"/>
      <c r="S24" s="6"/>
      <c r="T24" s="10" t="str">
        <f t="shared" si="0"/>
        <v/>
      </c>
      <c r="U24" s="6"/>
      <c r="V24" s="6"/>
    </row>
    <row r="25" spans="1:22" ht="18" customHeight="1" x14ac:dyDescent="0.45">
      <c r="A25" s="4"/>
      <c r="B25" s="4"/>
      <c r="C25" s="10" t="str">
        <f>IFERROR(VLOOKUP(B25,'Incident Intake'!$A:$G,7,FALSE())&amp;" "&amp;VLOOKUP(B25,'Incident Intake'!$A:$F,6,FALSE()),"")</f>
        <v/>
      </c>
      <c r="D25" s="10" t="str">
        <f>IFERROR(VLOOKUP(B25,'Incident Intake'!$A:$J,10,FALSE()),"")</f>
        <v/>
      </c>
      <c r="E25" s="8"/>
      <c r="F25" s="4"/>
      <c r="G25" s="4"/>
      <c r="H25" s="4"/>
      <c r="I25" s="4"/>
      <c r="J25" s="4"/>
      <c r="K25" s="4"/>
      <c r="L25" s="4"/>
      <c r="M25" s="4"/>
      <c r="N25" s="4"/>
      <c r="O25" s="4"/>
      <c r="P25" s="8"/>
      <c r="Q25" s="4"/>
      <c r="R25" s="8"/>
      <c r="S25" s="4"/>
      <c r="T25" s="10" t="str">
        <f t="shared" si="0"/>
        <v/>
      </c>
      <c r="U25" s="4"/>
      <c r="V25" s="4"/>
    </row>
    <row r="26" spans="1:22" ht="18" customHeight="1" x14ac:dyDescent="0.45">
      <c r="A26" s="6"/>
      <c r="B26" s="6"/>
      <c r="C26" s="10" t="str">
        <f>IFERROR(VLOOKUP(B26,'Incident Intake'!$A:$G,7,FALSE())&amp;" "&amp;VLOOKUP(B26,'Incident Intake'!$A:$F,6,FALSE()),"")</f>
        <v/>
      </c>
      <c r="D26" s="10" t="str">
        <f>IFERROR(VLOOKUP(B26,'Incident Intake'!$A:$J,10,FALSE()),"")</f>
        <v/>
      </c>
      <c r="E26" s="12"/>
      <c r="F26" s="6"/>
      <c r="G26" s="6"/>
      <c r="H26" s="6"/>
      <c r="I26" s="6"/>
      <c r="J26" s="6"/>
      <c r="K26" s="6"/>
      <c r="L26" s="6"/>
      <c r="M26" s="6"/>
      <c r="N26" s="6"/>
      <c r="O26" s="6"/>
      <c r="P26" s="12"/>
      <c r="Q26" s="6"/>
      <c r="R26" s="12"/>
      <c r="S26" s="6"/>
      <c r="T26" s="10" t="str">
        <f t="shared" si="0"/>
        <v/>
      </c>
      <c r="U26" s="6"/>
      <c r="V26" s="6"/>
    </row>
    <row r="27" spans="1:22" ht="18" customHeight="1" x14ac:dyDescent="0.45">
      <c r="A27" s="4"/>
      <c r="B27" s="4"/>
      <c r="C27" s="10" t="str">
        <f>IFERROR(VLOOKUP(B27,'Incident Intake'!$A:$G,7,FALSE())&amp;" "&amp;VLOOKUP(B27,'Incident Intake'!$A:$F,6,FALSE()),"")</f>
        <v/>
      </c>
      <c r="D27" s="10" t="str">
        <f>IFERROR(VLOOKUP(B27,'Incident Intake'!$A:$J,10,FALSE()),"")</f>
        <v/>
      </c>
      <c r="E27" s="8"/>
      <c r="F27" s="4"/>
      <c r="G27" s="4"/>
      <c r="H27" s="4"/>
      <c r="I27" s="4"/>
      <c r="J27" s="4"/>
      <c r="K27" s="4"/>
      <c r="L27" s="4"/>
      <c r="M27" s="4"/>
      <c r="N27" s="4"/>
      <c r="O27" s="4"/>
      <c r="P27" s="8"/>
      <c r="Q27" s="4"/>
      <c r="R27" s="8"/>
      <c r="S27" s="4"/>
      <c r="T27" s="10" t="str">
        <f t="shared" si="0"/>
        <v/>
      </c>
      <c r="U27" s="4"/>
      <c r="V27" s="4"/>
    </row>
    <row r="28" spans="1:22" ht="18" customHeight="1" x14ac:dyDescent="0.45">
      <c r="A28" s="6"/>
      <c r="B28" s="6"/>
      <c r="C28" s="10" t="str">
        <f>IFERROR(VLOOKUP(B28,'Incident Intake'!$A:$G,7,FALSE())&amp;" "&amp;VLOOKUP(B28,'Incident Intake'!$A:$F,6,FALSE()),"")</f>
        <v/>
      </c>
      <c r="D28" s="10" t="str">
        <f>IFERROR(VLOOKUP(B28,'Incident Intake'!$A:$J,10,FALSE()),"")</f>
        <v/>
      </c>
      <c r="E28" s="12"/>
      <c r="F28" s="6"/>
      <c r="G28" s="6"/>
      <c r="H28" s="6"/>
      <c r="I28" s="6"/>
      <c r="J28" s="6"/>
      <c r="K28" s="6"/>
      <c r="L28" s="6"/>
      <c r="M28" s="6"/>
      <c r="N28" s="6"/>
      <c r="O28" s="6"/>
      <c r="P28" s="12"/>
      <c r="Q28" s="6"/>
      <c r="R28" s="12"/>
      <c r="S28" s="6"/>
      <c r="T28" s="10" t="str">
        <f t="shared" si="0"/>
        <v/>
      </c>
      <c r="U28" s="6"/>
      <c r="V28" s="6"/>
    </row>
    <row r="29" spans="1:22" ht="18" customHeight="1" x14ac:dyDescent="0.45">
      <c r="A29" s="4"/>
      <c r="B29" s="4"/>
      <c r="C29" s="10" t="str">
        <f>IFERROR(VLOOKUP(B29,'Incident Intake'!$A:$G,7,FALSE())&amp;" "&amp;VLOOKUP(B29,'Incident Intake'!$A:$F,6,FALSE()),"")</f>
        <v/>
      </c>
      <c r="D29" s="10" t="str">
        <f>IFERROR(VLOOKUP(B29,'Incident Intake'!$A:$J,10,FALSE()),"")</f>
        <v/>
      </c>
      <c r="E29" s="8"/>
      <c r="F29" s="4"/>
      <c r="G29" s="4"/>
      <c r="H29" s="4"/>
      <c r="I29" s="4"/>
      <c r="J29" s="4"/>
      <c r="K29" s="4"/>
      <c r="L29" s="4"/>
      <c r="M29" s="4"/>
      <c r="N29" s="4"/>
      <c r="O29" s="4"/>
      <c r="P29" s="8"/>
      <c r="Q29" s="4"/>
      <c r="R29" s="8"/>
      <c r="S29" s="4"/>
      <c r="T29" s="10" t="str">
        <f t="shared" si="0"/>
        <v/>
      </c>
      <c r="U29" s="4"/>
      <c r="V29" s="4"/>
    </row>
    <row r="30" spans="1:22" ht="18" customHeight="1" x14ac:dyDescent="0.45">
      <c r="A30" s="6"/>
      <c r="B30" s="6"/>
      <c r="C30" s="10" t="str">
        <f>IFERROR(VLOOKUP(B30,'Incident Intake'!$A:$G,7,FALSE())&amp;" "&amp;VLOOKUP(B30,'Incident Intake'!$A:$F,6,FALSE()),"")</f>
        <v/>
      </c>
      <c r="D30" s="10" t="str">
        <f>IFERROR(VLOOKUP(B30,'Incident Intake'!$A:$J,10,FALSE()),"")</f>
        <v/>
      </c>
      <c r="E30" s="12"/>
      <c r="F30" s="6"/>
      <c r="G30" s="6"/>
      <c r="H30" s="6"/>
      <c r="I30" s="6"/>
      <c r="J30" s="6"/>
      <c r="K30" s="6"/>
      <c r="L30" s="6"/>
      <c r="M30" s="6"/>
      <c r="N30" s="6"/>
      <c r="O30" s="6"/>
      <c r="P30" s="12"/>
      <c r="Q30" s="6"/>
      <c r="R30" s="12"/>
      <c r="S30" s="6"/>
      <c r="T30" s="10" t="str">
        <f t="shared" si="0"/>
        <v/>
      </c>
      <c r="U30" s="6"/>
      <c r="V30" s="6"/>
    </row>
    <row r="31" spans="1:22" ht="18" customHeight="1" x14ac:dyDescent="0.45">
      <c r="A31" s="4"/>
      <c r="B31" s="4"/>
      <c r="C31" s="10" t="str">
        <f>IFERROR(VLOOKUP(B31,'Incident Intake'!$A:$G,7,FALSE())&amp;" "&amp;VLOOKUP(B31,'Incident Intake'!$A:$F,6,FALSE()),"")</f>
        <v/>
      </c>
      <c r="D31" s="10" t="str">
        <f>IFERROR(VLOOKUP(B31,'Incident Intake'!$A:$J,10,FALSE()),"")</f>
        <v/>
      </c>
      <c r="E31" s="8"/>
      <c r="F31" s="4"/>
      <c r="G31" s="4"/>
      <c r="H31" s="4"/>
      <c r="I31" s="4"/>
      <c r="J31" s="4"/>
      <c r="K31" s="4"/>
      <c r="L31" s="4"/>
      <c r="M31" s="4"/>
      <c r="N31" s="4"/>
      <c r="O31" s="4"/>
      <c r="P31" s="8"/>
      <c r="Q31" s="4"/>
      <c r="R31" s="8"/>
      <c r="S31" s="4"/>
      <c r="T31" s="10" t="str">
        <f t="shared" si="0"/>
        <v/>
      </c>
      <c r="U31" s="4"/>
      <c r="V31" s="4"/>
    </row>
    <row r="32" spans="1:22" ht="18" customHeight="1" x14ac:dyDescent="0.45">
      <c r="A32" s="6"/>
      <c r="B32" s="6"/>
      <c r="C32" s="10" t="str">
        <f>IFERROR(VLOOKUP(B32,'Incident Intake'!$A:$G,7,FALSE())&amp;" "&amp;VLOOKUP(B32,'Incident Intake'!$A:$F,6,FALSE()),"")</f>
        <v/>
      </c>
      <c r="D32" s="10" t="str">
        <f>IFERROR(VLOOKUP(B32,'Incident Intake'!$A:$J,10,FALSE()),"")</f>
        <v/>
      </c>
      <c r="E32" s="12"/>
      <c r="F32" s="6"/>
      <c r="G32" s="6"/>
      <c r="H32" s="6"/>
      <c r="I32" s="6"/>
      <c r="J32" s="6"/>
      <c r="K32" s="6"/>
      <c r="L32" s="6"/>
      <c r="M32" s="6"/>
      <c r="N32" s="6"/>
      <c r="O32" s="6"/>
      <c r="P32" s="12"/>
      <c r="Q32" s="6"/>
      <c r="R32" s="12"/>
      <c r="S32" s="6"/>
      <c r="T32" s="10" t="str">
        <f t="shared" si="0"/>
        <v/>
      </c>
      <c r="U32" s="6"/>
      <c r="V32" s="6"/>
    </row>
    <row r="33" spans="1:22" ht="18" customHeight="1" x14ac:dyDescent="0.45">
      <c r="A33" s="4"/>
      <c r="B33" s="4"/>
      <c r="C33" s="10" t="str">
        <f>IFERROR(VLOOKUP(B33,'Incident Intake'!$A:$G,7,FALSE())&amp;" "&amp;VLOOKUP(B33,'Incident Intake'!$A:$F,6,FALSE()),"")</f>
        <v/>
      </c>
      <c r="D33" s="10" t="str">
        <f>IFERROR(VLOOKUP(B33,'Incident Intake'!$A:$J,10,FALSE()),"")</f>
        <v/>
      </c>
      <c r="E33" s="8"/>
      <c r="F33" s="4"/>
      <c r="G33" s="4"/>
      <c r="H33" s="4"/>
      <c r="I33" s="4"/>
      <c r="J33" s="4"/>
      <c r="K33" s="4"/>
      <c r="L33" s="4"/>
      <c r="M33" s="4"/>
      <c r="N33" s="4"/>
      <c r="O33" s="4"/>
      <c r="P33" s="8"/>
      <c r="Q33" s="4"/>
      <c r="R33" s="8"/>
      <c r="S33" s="4"/>
      <c r="T33" s="10" t="str">
        <f t="shared" si="0"/>
        <v/>
      </c>
      <c r="U33" s="4"/>
      <c r="V33" s="4"/>
    </row>
    <row r="34" spans="1:22" ht="18" customHeight="1" x14ac:dyDescent="0.45">
      <c r="A34" s="6"/>
      <c r="B34" s="6"/>
      <c r="C34" s="10" t="str">
        <f>IFERROR(VLOOKUP(B34,'Incident Intake'!$A:$G,7,FALSE())&amp;" "&amp;VLOOKUP(B34,'Incident Intake'!$A:$F,6,FALSE()),"")</f>
        <v/>
      </c>
      <c r="D34" s="10" t="str">
        <f>IFERROR(VLOOKUP(B34,'Incident Intake'!$A:$J,10,FALSE()),"")</f>
        <v/>
      </c>
      <c r="E34" s="12"/>
      <c r="F34" s="6"/>
      <c r="G34" s="6"/>
      <c r="H34" s="6"/>
      <c r="I34" s="6"/>
      <c r="J34" s="6"/>
      <c r="K34" s="6"/>
      <c r="L34" s="6"/>
      <c r="M34" s="6"/>
      <c r="N34" s="6"/>
      <c r="O34" s="6"/>
      <c r="P34" s="12"/>
      <c r="Q34" s="6"/>
      <c r="R34" s="12"/>
      <c r="S34" s="6"/>
      <c r="T34" s="10" t="str">
        <f t="shared" si="0"/>
        <v/>
      </c>
      <c r="U34" s="6"/>
      <c r="V34" s="6"/>
    </row>
    <row r="35" spans="1:22" ht="18" customHeight="1" x14ac:dyDescent="0.45">
      <c r="A35" s="4"/>
      <c r="B35" s="4"/>
      <c r="C35" s="10" t="str">
        <f>IFERROR(VLOOKUP(B35,'Incident Intake'!$A:$G,7,FALSE())&amp;" "&amp;VLOOKUP(B35,'Incident Intake'!$A:$F,6,FALSE()),"")</f>
        <v/>
      </c>
      <c r="D35" s="10" t="str">
        <f>IFERROR(VLOOKUP(B35,'Incident Intake'!$A:$J,10,FALSE()),"")</f>
        <v/>
      </c>
      <c r="E35" s="8"/>
      <c r="F35" s="4"/>
      <c r="G35" s="4"/>
      <c r="H35" s="4"/>
      <c r="I35" s="4"/>
      <c r="J35" s="4"/>
      <c r="K35" s="4"/>
      <c r="L35" s="4"/>
      <c r="M35" s="4"/>
      <c r="N35" s="4"/>
      <c r="O35" s="4"/>
      <c r="P35" s="8"/>
      <c r="Q35" s="4"/>
      <c r="R35" s="8"/>
      <c r="S35" s="4"/>
      <c r="T35" s="10" t="str">
        <f t="shared" si="0"/>
        <v/>
      </c>
      <c r="U35" s="4"/>
      <c r="V35" s="4"/>
    </row>
    <row r="36" spans="1:22" ht="18" customHeight="1" x14ac:dyDescent="0.45">
      <c r="A36" s="6"/>
      <c r="B36" s="6"/>
      <c r="C36" s="10" t="str">
        <f>IFERROR(VLOOKUP(B36,'Incident Intake'!$A:$G,7,FALSE())&amp;" "&amp;VLOOKUP(B36,'Incident Intake'!$A:$F,6,FALSE()),"")</f>
        <v/>
      </c>
      <c r="D36" s="10" t="str">
        <f>IFERROR(VLOOKUP(B36,'Incident Intake'!$A:$J,10,FALSE()),"")</f>
        <v/>
      </c>
      <c r="E36" s="12"/>
      <c r="F36" s="6"/>
      <c r="G36" s="6"/>
      <c r="H36" s="6"/>
      <c r="I36" s="6"/>
      <c r="J36" s="6"/>
      <c r="K36" s="6"/>
      <c r="L36" s="6"/>
      <c r="M36" s="6"/>
      <c r="N36" s="6"/>
      <c r="O36" s="6"/>
      <c r="P36" s="12"/>
      <c r="Q36" s="6"/>
      <c r="R36" s="12"/>
      <c r="S36" s="6"/>
      <c r="T36" s="10" t="str">
        <f t="shared" si="0"/>
        <v/>
      </c>
      <c r="U36" s="6"/>
      <c r="V36" s="6"/>
    </row>
    <row r="37" spans="1:22" ht="18" customHeight="1" x14ac:dyDescent="0.45">
      <c r="A37" s="4"/>
      <c r="B37" s="4"/>
      <c r="C37" s="10" t="str">
        <f>IFERROR(VLOOKUP(B37,'Incident Intake'!$A:$G,7,FALSE())&amp;" "&amp;VLOOKUP(B37,'Incident Intake'!$A:$F,6,FALSE()),"")</f>
        <v/>
      </c>
      <c r="D37" s="10" t="str">
        <f>IFERROR(VLOOKUP(B37,'Incident Intake'!$A:$J,10,FALSE()),"")</f>
        <v/>
      </c>
      <c r="E37" s="8"/>
      <c r="F37" s="4"/>
      <c r="G37" s="4"/>
      <c r="H37" s="4"/>
      <c r="I37" s="4"/>
      <c r="J37" s="4"/>
      <c r="K37" s="4"/>
      <c r="L37" s="4"/>
      <c r="M37" s="4"/>
      <c r="N37" s="4"/>
      <c r="O37" s="4"/>
      <c r="P37" s="8"/>
      <c r="Q37" s="4"/>
      <c r="R37" s="8"/>
      <c r="S37" s="4"/>
      <c r="T37" s="10" t="str">
        <f t="shared" si="0"/>
        <v/>
      </c>
      <c r="U37" s="4"/>
      <c r="V37" s="4"/>
    </row>
    <row r="38" spans="1:22" ht="18" customHeight="1" x14ac:dyDescent="0.45">
      <c r="A38" s="6"/>
      <c r="B38" s="6"/>
      <c r="C38" s="10" t="str">
        <f>IFERROR(VLOOKUP(B38,'Incident Intake'!$A:$G,7,FALSE())&amp;" "&amp;VLOOKUP(B38,'Incident Intake'!$A:$F,6,FALSE()),"")</f>
        <v/>
      </c>
      <c r="D38" s="10" t="str">
        <f>IFERROR(VLOOKUP(B38,'Incident Intake'!$A:$J,10,FALSE()),"")</f>
        <v/>
      </c>
      <c r="E38" s="12"/>
      <c r="F38" s="6"/>
      <c r="G38" s="6"/>
      <c r="H38" s="6"/>
      <c r="I38" s="6"/>
      <c r="J38" s="6"/>
      <c r="K38" s="6"/>
      <c r="L38" s="6"/>
      <c r="M38" s="6"/>
      <c r="N38" s="6"/>
      <c r="O38" s="6"/>
      <c r="P38" s="12"/>
      <c r="Q38" s="6"/>
      <c r="R38" s="12"/>
      <c r="S38" s="6"/>
      <c r="T38" s="10" t="str">
        <f t="shared" si="0"/>
        <v/>
      </c>
      <c r="U38" s="6"/>
      <c r="V38" s="6"/>
    </row>
    <row r="39" spans="1:22" ht="18" customHeight="1" x14ac:dyDescent="0.45">
      <c r="A39" s="4"/>
      <c r="B39" s="4"/>
      <c r="C39" s="10" t="str">
        <f>IFERROR(VLOOKUP(B39,'Incident Intake'!$A:$G,7,FALSE())&amp;" "&amp;VLOOKUP(B39,'Incident Intake'!$A:$F,6,FALSE()),"")</f>
        <v/>
      </c>
      <c r="D39" s="10" t="str">
        <f>IFERROR(VLOOKUP(B39,'Incident Intake'!$A:$J,10,FALSE()),"")</f>
        <v/>
      </c>
      <c r="E39" s="8"/>
      <c r="F39" s="4"/>
      <c r="G39" s="4"/>
      <c r="H39" s="4"/>
      <c r="I39" s="4"/>
      <c r="J39" s="4"/>
      <c r="K39" s="4"/>
      <c r="L39" s="4"/>
      <c r="M39" s="4"/>
      <c r="N39" s="4"/>
      <c r="O39" s="4"/>
      <c r="P39" s="8"/>
      <c r="Q39" s="4"/>
      <c r="R39" s="8"/>
      <c r="S39" s="4"/>
      <c r="T39" s="10" t="str">
        <f t="shared" si="0"/>
        <v/>
      </c>
      <c r="U39" s="4"/>
      <c r="V39" s="4"/>
    </row>
    <row r="40" spans="1:22" ht="18" customHeight="1" x14ac:dyDescent="0.45">
      <c r="A40" s="6"/>
      <c r="B40" s="6"/>
      <c r="C40" s="10" t="str">
        <f>IFERROR(VLOOKUP(B40,'Incident Intake'!$A:$G,7,FALSE())&amp;" "&amp;VLOOKUP(B40,'Incident Intake'!$A:$F,6,FALSE()),"")</f>
        <v/>
      </c>
      <c r="D40" s="10" t="str">
        <f>IFERROR(VLOOKUP(B40,'Incident Intake'!$A:$J,10,FALSE()),"")</f>
        <v/>
      </c>
      <c r="E40" s="12"/>
      <c r="F40" s="6"/>
      <c r="G40" s="6"/>
      <c r="H40" s="6"/>
      <c r="I40" s="6"/>
      <c r="J40" s="6"/>
      <c r="K40" s="6"/>
      <c r="L40" s="6"/>
      <c r="M40" s="6"/>
      <c r="N40" s="6"/>
      <c r="O40" s="6"/>
      <c r="P40" s="12"/>
      <c r="Q40" s="6"/>
      <c r="R40" s="12"/>
      <c r="S40" s="6"/>
      <c r="T40" s="10" t="str">
        <f t="shared" si="0"/>
        <v/>
      </c>
      <c r="U40" s="6"/>
      <c r="V40" s="6"/>
    </row>
    <row r="41" spans="1:22" ht="18" customHeight="1" x14ac:dyDescent="0.45">
      <c r="A41" s="4"/>
      <c r="B41" s="4"/>
      <c r="C41" s="10" t="str">
        <f>IFERROR(VLOOKUP(B41,'Incident Intake'!$A:$G,7,FALSE())&amp;" "&amp;VLOOKUP(B41,'Incident Intake'!$A:$F,6,FALSE()),"")</f>
        <v/>
      </c>
      <c r="D41" s="10" t="str">
        <f>IFERROR(VLOOKUP(B41,'Incident Intake'!$A:$J,10,FALSE()),"")</f>
        <v/>
      </c>
      <c r="E41" s="8"/>
      <c r="F41" s="4"/>
      <c r="G41" s="4"/>
      <c r="H41" s="4"/>
      <c r="I41" s="4"/>
      <c r="J41" s="4"/>
      <c r="K41" s="4"/>
      <c r="L41" s="4"/>
      <c r="M41" s="4"/>
      <c r="N41" s="4"/>
      <c r="O41" s="4"/>
      <c r="P41" s="8"/>
      <c r="Q41" s="4"/>
      <c r="R41" s="8"/>
      <c r="S41" s="4"/>
      <c r="T41" s="10" t="str">
        <f t="shared" si="0"/>
        <v/>
      </c>
      <c r="U41" s="4"/>
      <c r="V41" s="4"/>
    </row>
    <row r="42" spans="1:22" ht="18" customHeight="1" x14ac:dyDescent="0.45">
      <c r="A42" s="6"/>
      <c r="B42" s="6"/>
      <c r="C42" s="10" t="str">
        <f>IFERROR(VLOOKUP(B42,'Incident Intake'!$A:$G,7,FALSE())&amp;" "&amp;VLOOKUP(B42,'Incident Intake'!$A:$F,6,FALSE()),"")</f>
        <v/>
      </c>
      <c r="D42" s="10" t="str">
        <f>IFERROR(VLOOKUP(B42,'Incident Intake'!$A:$J,10,FALSE()),"")</f>
        <v/>
      </c>
      <c r="E42" s="12"/>
      <c r="F42" s="6"/>
      <c r="G42" s="6"/>
      <c r="H42" s="6"/>
      <c r="I42" s="6"/>
      <c r="J42" s="6"/>
      <c r="K42" s="6"/>
      <c r="L42" s="6"/>
      <c r="M42" s="6"/>
      <c r="N42" s="6"/>
      <c r="O42" s="6"/>
      <c r="P42" s="12"/>
      <c r="Q42" s="6"/>
      <c r="R42" s="12"/>
      <c r="S42" s="6"/>
      <c r="T42" s="10" t="str">
        <f t="shared" si="0"/>
        <v/>
      </c>
      <c r="U42" s="6"/>
      <c r="V42" s="6"/>
    </row>
    <row r="43" spans="1:22" ht="18" customHeight="1" x14ac:dyDescent="0.45">
      <c r="A43" s="4"/>
      <c r="B43" s="4"/>
      <c r="C43" s="10" t="str">
        <f>IFERROR(VLOOKUP(B43,'Incident Intake'!$A:$G,7,FALSE())&amp;" "&amp;VLOOKUP(B43,'Incident Intake'!$A:$F,6,FALSE()),"")</f>
        <v/>
      </c>
      <c r="D43" s="10" t="str">
        <f>IFERROR(VLOOKUP(B43,'Incident Intake'!$A:$J,10,FALSE()),"")</f>
        <v/>
      </c>
      <c r="E43" s="8"/>
      <c r="F43" s="4"/>
      <c r="G43" s="4"/>
      <c r="H43" s="4"/>
      <c r="I43" s="4"/>
      <c r="J43" s="4"/>
      <c r="K43" s="4"/>
      <c r="L43" s="4"/>
      <c r="M43" s="4"/>
      <c r="N43" s="4"/>
      <c r="O43" s="4"/>
      <c r="P43" s="8"/>
      <c r="Q43" s="4"/>
      <c r="R43" s="8"/>
      <c r="S43" s="4"/>
      <c r="T43" s="10" t="str">
        <f t="shared" si="0"/>
        <v/>
      </c>
      <c r="U43" s="4"/>
      <c r="V43" s="4"/>
    </row>
    <row r="44" spans="1:22" ht="18" customHeight="1" x14ac:dyDescent="0.45">
      <c r="A44" s="6"/>
      <c r="B44" s="6"/>
      <c r="C44" s="10" t="str">
        <f>IFERROR(VLOOKUP(B44,'Incident Intake'!$A:$G,7,FALSE())&amp;" "&amp;VLOOKUP(B44,'Incident Intake'!$A:$F,6,FALSE()),"")</f>
        <v/>
      </c>
      <c r="D44" s="10" t="str">
        <f>IFERROR(VLOOKUP(B44,'Incident Intake'!$A:$J,10,FALSE()),"")</f>
        <v/>
      </c>
      <c r="E44" s="12"/>
      <c r="F44" s="6"/>
      <c r="G44" s="6"/>
      <c r="H44" s="6"/>
      <c r="I44" s="6"/>
      <c r="J44" s="6"/>
      <c r="K44" s="6"/>
      <c r="L44" s="6"/>
      <c r="M44" s="6"/>
      <c r="N44" s="6"/>
      <c r="O44" s="6"/>
      <c r="P44" s="12"/>
      <c r="Q44" s="6"/>
      <c r="R44" s="12"/>
      <c r="S44" s="6"/>
      <c r="T44" s="10" t="str">
        <f t="shared" si="0"/>
        <v/>
      </c>
      <c r="U44" s="6"/>
      <c r="V44" s="6"/>
    </row>
    <row r="45" spans="1:22" ht="18" customHeight="1" x14ac:dyDescent="0.45">
      <c r="A45" s="4"/>
      <c r="B45" s="4"/>
      <c r="C45" s="10" t="str">
        <f>IFERROR(VLOOKUP(B45,'Incident Intake'!$A:$G,7,FALSE())&amp;" "&amp;VLOOKUP(B45,'Incident Intake'!$A:$F,6,FALSE()),"")</f>
        <v/>
      </c>
      <c r="D45" s="10" t="str">
        <f>IFERROR(VLOOKUP(B45,'Incident Intake'!$A:$J,10,FALSE()),"")</f>
        <v/>
      </c>
      <c r="E45" s="8"/>
      <c r="F45" s="4"/>
      <c r="G45" s="4"/>
      <c r="H45" s="4"/>
      <c r="I45" s="4"/>
      <c r="J45" s="4"/>
      <c r="K45" s="4"/>
      <c r="L45" s="4"/>
      <c r="M45" s="4"/>
      <c r="N45" s="4"/>
      <c r="O45" s="4"/>
      <c r="P45" s="8"/>
      <c r="Q45" s="4"/>
      <c r="R45" s="8"/>
      <c r="S45" s="4"/>
      <c r="T45" s="10" t="str">
        <f t="shared" si="0"/>
        <v/>
      </c>
      <c r="U45" s="4"/>
      <c r="V45" s="4"/>
    </row>
    <row r="46" spans="1:22" ht="18" customHeight="1" x14ac:dyDescent="0.45">
      <c r="A46" s="6"/>
      <c r="B46" s="6"/>
      <c r="C46" s="10" t="str">
        <f>IFERROR(VLOOKUP(B46,'Incident Intake'!$A:$G,7,FALSE())&amp;" "&amp;VLOOKUP(B46,'Incident Intake'!$A:$F,6,FALSE()),"")</f>
        <v/>
      </c>
      <c r="D46" s="10" t="str">
        <f>IFERROR(VLOOKUP(B46,'Incident Intake'!$A:$J,10,FALSE()),"")</f>
        <v/>
      </c>
      <c r="E46" s="12"/>
      <c r="F46" s="6"/>
      <c r="G46" s="6"/>
      <c r="H46" s="6"/>
      <c r="I46" s="6"/>
      <c r="J46" s="6"/>
      <c r="K46" s="6"/>
      <c r="L46" s="6"/>
      <c r="M46" s="6"/>
      <c r="N46" s="6"/>
      <c r="O46" s="6"/>
      <c r="P46" s="12"/>
      <c r="Q46" s="6"/>
      <c r="R46" s="12"/>
      <c r="S46" s="6"/>
      <c r="T46" s="10" t="str">
        <f t="shared" si="0"/>
        <v/>
      </c>
      <c r="U46" s="6"/>
      <c r="V46" s="6"/>
    </row>
    <row r="47" spans="1:22" ht="18" customHeight="1" x14ac:dyDescent="0.45">
      <c r="A47" s="4"/>
      <c r="B47" s="4"/>
      <c r="C47" s="10" t="str">
        <f>IFERROR(VLOOKUP(B47,'Incident Intake'!$A:$G,7,FALSE())&amp;" "&amp;VLOOKUP(B47,'Incident Intake'!$A:$F,6,FALSE()),"")</f>
        <v/>
      </c>
      <c r="D47" s="10" t="str">
        <f>IFERROR(VLOOKUP(B47,'Incident Intake'!$A:$J,10,FALSE()),"")</f>
        <v/>
      </c>
      <c r="E47" s="8"/>
      <c r="F47" s="4"/>
      <c r="G47" s="4"/>
      <c r="H47" s="4"/>
      <c r="I47" s="4"/>
      <c r="J47" s="4"/>
      <c r="K47" s="4"/>
      <c r="L47" s="4"/>
      <c r="M47" s="4"/>
      <c r="N47" s="4"/>
      <c r="O47" s="4"/>
      <c r="P47" s="8"/>
      <c r="Q47" s="4"/>
      <c r="R47" s="8"/>
      <c r="S47" s="4"/>
      <c r="T47" s="10" t="str">
        <f t="shared" si="0"/>
        <v/>
      </c>
      <c r="U47" s="4"/>
      <c r="V47" s="4"/>
    </row>
    <row r="48" spans="1:22" ht="18" customHeight="1" x14ac:dyDescent="0.45">
      <c r="A48" s="6"/>
      <c r="B48" s="6"/>
      <c r="C48" s="10" t="str">
        <f>IFERROR(VLOOKUP(B48,'Incident Intake'!$A:$G,7,FALSE())&amp;" "&amp;VLOOKUP(B48,'Incident Intake'!$A:$F,6,FALSE()),"")</f>
        <v/>
      </c>
      <c r="D48" s="10" t="str">
        <f>IFERROR(VLOOKUP(B48,'Incident Intake'!$A:$J,10,FALSE()),"")</f>
        <v/>
      </c>
      <c r="E48" s="12"/>
      <c r="F48" s="6"/>
      <c r="G48" s="6"/>
      <c r="H48" s="6"/>
      <c r="I48" s="6"/>
      <c r="J48" s="6"/>
      <c r="K48" s="6"/>
      <c r="L48" s="6"/>
      <c r="M48" s="6"/>
      <c r="N48" s="6"/>
      <c r="O48" s="6"/>
      <c r="P48" s="12"/>
      <c r="Q48" s="6"/>
      <c r="R48" s="12"/>
      <c r="S48" s="6"/>
      <c r="T48" s="10" t="str">
        <f t="shared" si="0"/>
        <v/>
      </c>
      <c r="U48" s="6"/>
      <c r="V48" s="6"/>
    </row>
    <row r="49" spans="1:22" ht="18" customHeight="1" x14ac:dyDescent="0.45">
      <c r="A49" s="4"/>
      <c r="B49" s="4"/>
      <c r="C49" s="10" t="str">
        <f>IFERROR(VLOOKUP(B49,'Incident Intake'!$A:$G,7,FALSE())&amp;" "&amp;VLOOKUP(B49,'Incident Intake'!$A:$F,6,FALSE()),"")</f>
        <v/>
      </c>
      <c r="D49" s="10" t="str">
        <f>IFERROR(VLOOKUP(B49,'Incident Intake'!$A:$J,10,FALSE()),"")</f>
        <v/>
      </c>
      <c r="E49" s="8"/>
      <c r="F49" s="4"/>
      <c r="G49" s="4"/>
      <c r="H49" s="4"/>
      <c r="I49" s="4"/>
      <c r="J49" s="4"/>
      <c r="K49" s="4"/>
      <c r="L49" s="4"/>
      <c r="M49" s="4"/>
      <c r="N49" s="4"/>
      <c r="O49" s="4"/>
      <c r="P49" s="8"/>
      <c r="Q49" s="4"/>
      <c r="R49" s="8"/>
      <c r="S49" s="4"/>
      <c r="T49" s="10" t="str">
        <f t="shared" si="0"/>
        <v/>
      </c>
      <c r="U49" s="4"/>
      <c r="V49" s="4"/>
    </row>
    <row r="50" spans="1:22" ht="18" customHeight="1" x14ac:dyDescent="0.45">
      <c r="A50" s="6"/>
      <c r="B50" s="6"/>
      <c r="C50" s="10" t="str">
        <f>IFERROR(VLOOKUP(B50,'Incident Intake'!$A:$G,7,FALSE())&amp;" "&amp;VLOOKUP(B50,'Incident Intake'!$A:$F,6,FALSE()),"")</f>
        <v/>
      </c>
      <c r="D50" s="10" t="str">
        <f>IFERROR(VLOOKUP(B50,'Incident Intake'!$A:$J,10,FALSE()),"")</f>
        <v/>
      </c>
      <c r="E50" s="12"/>
      <c r="F50" s="6"/>
      <c r="G50" s="6"/>
      <c r="H50" s="6"/>
      <c r="I50" s="6"/>
      <c r="J50" s="6"/>
      <c r="K50" s="6"/>
      <c r="L50" s="6"/>
      <c r="M50" s="6"/>
      <c r="N50" s="6"/>
      <c r="O50" s="6"/>
      <c r="P50" s="12"/>
      <c r="Q50" s="6"/>
      <c r="R50" s="12"/>
      <c r="S50" s="6"/>
      <c r="T50" s="10" t="str">
        <f t="shared" si="0"/>
        <v/>
      </c>
      <c r="U50" s="6"/>
      <c r="V50" s="6"/>
    </row>
    <row r="51" spans="1:22" ht="18" customHeight="1" x14ac:dyDescent="0.45">
      <c r="A51" s="4"/>
      <c r="B51" s="4"/>
      <c r="C51" s="10" t="str">
        <f>IFERROR(VLOOKUP(B51,'Incident Intake'!$A:$G,7,FALSE())&amp;" "&amp;VLOOKUP(B51,'Incident Intake'!$A:$F,6,FALSE()),"")</f>
        <v/>
      </c>
      <c r="D51" s="10" t="str">
        <f>IFERROR(VLOOKUP(B51,'Incident Intake'!$A:$J,10,FALSE()),"")</f>
        <v/>
      </c>
      <c r="E51" s="8"/>
      <c r="F51" s="4"/>
      <c r="G51" s="4"/>
      <c r="H51" s="4"/>
      <c r="I51" s="4"/>
      <c r="J51" s="4"/>
      <c r="K51" s="4"/>
      <c r="L51" s="4"/>
      <c r="M51" s="4"/>
      <c r="N51" s="4"/>
      <c r="O51" s="4"/>
      <c r="P51" s="8"/>
      <c r="Q51" s="4"/>
      <c r="R51" s="8"/>
      <c r="S51" s="4"/>
      <c r="T51" s="10" t="str">
        <f t="shared" si="0"/>
        <v/>
      </c>
      <c r="U51" s="4"/>
      <c r="V51" s="4"/>
    </row>
    <row r="52" spans="1:22" ht="18" customHeight="1" x14ac:dyDescent="0.45">
      <c r="A52" s="6"/>
      <c r="B52" s="6"/>
      <c r="C52" s="10" t="str">
        <f>IFERROR(VLOOKUP(B52,'Incident Intake'!$A:$G,7,FALSE())&amp;" "&amp;VLOOKUP(B52,'Incident Intake'!$A:$F,6,FALSE()),"")</f>
        <v/>
      </c>
      <c r="D52" s="10" t="str">
        <f>IFERROR(VLOOKUP(B52,'Incident Intake'!$A:$J,10,FALSE()),"")</f>
        <v/>
      </c>
      <c r="E52" s="12"/>
      <c r="F52" s="6"/>
      <c r="G52" s="6"/>
      <c r="H52" s="6"/>
      <c r="I52" s="6"/>
      <c r="J52" s="6"/>
      <c r="K52" s="6"/>
      <c r="L52" s="6"/>
      <c r="M52" s="6"/>
      <c r="N52" s="6"/>
      <c r="O52" s="6"/>
      <c r="P52" s="12"/>
      <c r="Q52" s="6"/>
      <c r="R52" s="12"/>
      <c r="S52" s="6"/>
      <c r="T52" s="10" t="str">
        <f t="shared" si="0"/>
        <v/>
      </c>
      <c r="U52" s="6"/>
      <c r="V52" s="6"/>
    </row>
    <row r="53" spans="1:22" ht="18" customHeight="1" x14ac:dyDescent="0.45">
      <c r="A53" s="4"/>
      <c r="B53" s="4"/>
      <c r="C53" s="10" t="str">
        <f>IFERROR(VLOOKUP(B53,'Incident Intake'!$A:$G,7,FALSE())&amp;" "&amp;VLOOKUP(B53,'Incident Intake'!$A:$F,6,FALSE()),"")</f>
        <v/>
      </c>
      <c r="D53" s="10" t="str">
        <f>IFERROR(VLOOKUP(B53,'Incident Intake'!$A:$J,10,FALSE()),"")</f>
        <v/>
      </c>
      <c r="E53" s="8"/>
      <c r="F53" s="4"/>
      <c r="G53" s="4"/>
      <c r="H53" s="4"/>
      <c r="I53" s="4"/>
      <c r="J53" s="4"/>
      <c r="K53" s="4"/>
      <c r="L53" s="4"/>
      <c r="M53" s="4"/>
      <c r="N53" s="4"/>
      <c r="O53" s="4"/>
      <c r="P53" s="8"/>
      <c r="Q53" s="4"/>
      <c r="R53" s="8"/>
      <c r="S53" s="4"/>
      <c r="T53" s="10" t="str">
        <f t="shared" si="0"/>
        <v/>
      </c>
      <c r="U53" s="4"/>
      <c r="V53" s="4"/>
    </row>
    <row r="54" spans="1:22" ht="18" customHeight="1" x14ac:dyDescent="0.45">
      <c r="A54" s="6"/>
      <c r="B54" s="6"/>
      <c r="C54" s="10" t="str">
        <f>IFERROR(VLOOKUP(B54,'Incident Intake'!$A:$G,7,FALSE())&amp;" "&amp;VLOOKUP(B54,'Incident Intake'!$A:$F,6,FALSE()),"")</f>
        <v/>
      </c>
      <c r="D54" s="10" t="str">
        <f>IFERROR(VLOOKUP(B54,'Incident Intake'!$A:$J,10,FALSE()),"")</f>
        <v/>
      </c>
      <c r="E54" s="12"/>
      <c r="F54" s="6"/>
      <c r="G54" s="6"/>
      <c r="H54" s="6"/>
      <c r="I54" s="6"/>
      <c r="J54" s="6"/>
      <c r="K54" s="6"/>
      <c r="L54" s="6"/>
      <c r="M54" s="6"/>
      <c r="N54" s="6"/>
      <c r="O54" s="6"/>
      <c r="P54" s="12"/>
      <c r="Q54" s="6"/>
      <c r="R54" s="12"/>
      <c r="S54" s="6"/>
      <c r="T54" s="10" t="str">
        <f t="shared" si="0"/>
        <v/>
      </c>
      <c r="U54" s="6"/>
      <c r="V54" s="6"/>
    </row>
    <row r="55" spans="1:22" ht="18" customHeight="1" x14ac:dyDescent="0.45">
      <c r="A55" s="4"/>
      <c r="B55" s="4"/>
      <c r="C55" s="10" t="str">
        <f>IFERROR(VLOOKUP(B55,'Incident Intake'!$A:$G,7,FALSE())&amp;" "&amp;VLOOKUP(B55,'Incident Intake'!$A:$F,6,FALSE()),"")</f>
        <v/>
      </c>
      <c r="D55" s="10" t="str">
        <f>IFERROR(VLOOKUP(B55,'Incident Intake'!$A:$J,10,FALSE()),"")</f>
        <v/>
      </c>
      <c r="E55" s="8"/>
      <c r="F55" s="4"/>
      <c r="G55" s="4"/>
      <c r="H55" s="4"/>
      <c r="I55" s="4"/>
      <c r="J55" s="4"/>
      <c r="K55" s="4"/>
      <c r="L55" s="4"/>
      <c r="M55" s="4"/>
      <c r="N55" s="4"/>
      <c r="O55" s="4"/>
      <c r="P55" s="8"/>
      <c r="Q55" s="4"/>
      <c r="R55" s="8"/>
      <c r="S55" s="4"/>
      <c r="T55" s="10" t="str">
        <f t="shared" si="0"/>
        <v/>
      </c>
      <c r="U55" s="4"/>
      <c r="V55" s="4"/>
    </row>
    <row r="56" spans="1:22" ht="18" customHeight="1" x14ac:dyDescent="0.45">
      <c r="A56" s="6"/>
      <c r="B56" s="6"/>
      <c r="C56" s="10" t="str">
        <f>IFERROR(VLOOKUP(B56,'Incident Intake'!$A:$G,7,FALSE())&amp;" "&amp;VLOOKUP(B56,'Incident Intake'!$A:$F,6,FALSE()),"")</f>
        <v/>
      </c>
      <c r="D56" s="10" t="str">
        <f>IFERROR(VLOOKUP(B56,'Incident Intake'!$A:$J,10,FALSE()),"")</f>
        <v/>
      </c>
      <c r="E56" s="12"/>
      <c r="F56" s="6"/>
      <c r="G56" s="6"/>
      <c r="H56" s="6"/>
      <c r="I56" s="6"/>
      <c r="J56" s="6"/>
      <c r="K56" s="6"/>
      <c r="L56" s="6"/>
      <c r="M56" s="6"/>
      <c r="N56" s="6"/>
      <c r="O56" s="6"/>
      <c r="P56" s="12"/>
      <c r="Q56" s="6"/>
      <c r="R56" s="12"/>
      <c r="S56" s="6"/>
      <c r="T56" s="10" t="str">
        <f t="shared" si="0"/>
        <v/>
      </c>
      <c r="U56" s="6"/>
      <c r="V56" s="6"/>
    </row>
    <row r="57" spans="1:22" ht="18" customHeight="1" x14ac:dyDescent="0.45">
      <c r="A57" s="4"/>
      <c r="B57" s="4"/>
      <c r="C57" s="10" t="str">
        <f>IFERROR(VLOOKUP(B57,'Incident Intake'!$A:$G,7,FALSE())&amp;" "&amp;VLOOKUP(B57,'Incident Intake'!$A:$F,6,FALSE()),"")</f>
        <v/>
      </c>
      <c r="D57" s="10" t="str">
        <f>IFERROR(VLOOKUP(B57,'Incident Intake'!$A:$J,10,FALSE()),"")</f>
        <v/>
      </c>
      <c r="E57" s="8"/>
      <c r="F57" s="4"/>
      <c r="G57" s="4"/>
      <c r="H57" s="4"/>
      <c r="I57" s="4"/>
      <c r="J57" s="4"/>
      <c r="K57" s="4"/>
      <c r="L57" s="4"/>
      <c r="M57" s="4"/>
      <c r="N57" s="4"/>
      <c r="O57" s="4"/>
      <c r="P57" s="8"/>
      <c r="Q57" s="4"/>
      <c r="R57" s="8"/>
      <c r="S57" s="4"/>
      <c r="T57" s="10" t="str">
        <f t="shared" si="0"/>
        <v/>
      </c>
      <c r="U57" s="4"/>
      <c r="V57" s="4"/>
    </row>
    <row r="58" spans="1:22" ht="18" customHeight="1" x14ac:dyDescent="0.45">
      <c r="A58" s="6"/>
      <c r="B58" s="6"/>
      <c r="C58" s="10" t="str">
        <f>IFERROR(VLOOKUP(B58,'Incident Intake'!$A:$G,7,FALSE())&amp;" "&amp;VLOOKUP(B58,'Incident Intake'!$A:$F,6,FALSE()),"")</f>
        <v/>
      </c>
      <c r="D58" s="10" t="str">
        <f>IFERROR(VLOOKUP(B58,'Incident Intake'!$A:$J,10,FALSE()),"")</f>
        <v/>
      </c>
      <c r="E58" s="12"/>
      <c r="F58" s="6"/>
      <c r="G58" s="6"/>
      <c r="H58" s="6"/>
      <c r="I58" s="6"/>
      <c r="J58" s="6"/>
      <c r="K58" s="6"/>
      <c r="L58" s="6"/>
      <c r="M58" s="6"/>
      <c r="N58" s="6"/>
      <c r="O58" s="6"/>
      <c r="P58" s="12"/>
      <c r="Q58" s="6"/>
      <c r="R58" s="12"/>
      <c r="S58" s="6"/>
      <c r="T58" s="10" t="str">
        <f t="shared" si="0"/>
        <v/>
      </c>
      <c r="U58" s="6"/>
      <c r="V58" s="6"/>
    </row>
    <row r="59" spans="1:22" ht="18" customHeight="1" x14ac:dyDescent="0.45">
      <c r="A59" s="4"/>
      <c r="B59" s="4"/>
      <c r="C59" s="10" t="str">
        <f>IFERROR(VLOOKUP(B59,'Incident Intake'!$A:$G,7,FALSE())&amp;" "&amp;VLOOKUP(B59,'Incident Intake'!$A:$F,6,FALSE()),"")</f>
        <v/>
      </c>
      <c r="D59" s="10" t="str">
        <f>IFERROR(VLOOKUP(B59,'Incident Intake'!$A:$J,10,FALSE()),"")</f>
        <v/>
      </c>
      <c r="E59" s="8"/>
      <c r="F59" s="4"/>
      <c r="G59" s="4"/>
      <c r="H59" s="4"/>
      <c r="I59" s="4"/>
      <c r="J59" s="4"/>
      <c r="K59" s="4"/>
      <c r="L59" s="4"/>
      <c r="M59" s="4"/>
      <c r="N59" s="4"/>
      <c r="O59" s="4"/>
      <c r="P59" s="8"/>
      <c r="Q59" s="4"/>
      <c r="R59" s="8"/>
      <c r="S59" s="4"/>
      <c r="T59" s="10" t="str">
        <f t="shared" si="0"/>
        <v/>
      </c>
      <c r="U59" s="4"/>
      <c r="V59" s="4"/>
    </row>
    <row r="60" spans="1:22" ht="18" customHeight="1" x14ac:dyDescent="0.45">
      <c r="A60" s="6"/>
      <c r="B60" s="6"/>
      <c r="C60" s="10" t="str">
        <f>IFERROR(VLOOKUP(B60,'Incident Intake'!$A:$G,7,FALSE())&amp;" "&amp;VLOOKUP(B60,'Incident Intake'!$A:$F,6,FALSE()),"")</f>
        <v/>
      </c>
      <c r="D60" s="10" t="str">
        <f>IFERROR(VLOOKUP(B60,'Incident Intake'!$A:$J,10,FALSE()),"")</f>
        <v/>
      </c>
      <c r="E60" s="12"/>
      <c r="F60" s="6"/>
      <c r="G60" s="6"/>
      <c r="H60" s="6"/>
      <c r="I60" s="6"/>
      <c r="J60" s="6"/>
      <c r="K60" s="6"/>
      <c r="L60" s="6"/>
      <c r="M60" s="6"/>
      <c r="N60" s="6"/>
      <c r="O60" s="6"/>
      <c r="P60" s="12"/>
      <c r="Q60" s="6"/>
      <c r="R60" s="12"/>
      <c r="S60" s="6"/>
      <c r="T60" s="10" t="str">
        <f t="shared" si="0"/>
        <v/>
      </c>
      <c r="U60" s="6"/>
      <c r="V60" s="6"/>
    </row>
    <row r="61" spans="1:22" ht="18" customHeight="1" x14ac:dyDescent="0.45">
      <c r="A61" s="4"/>
      <c r="B61" s="4"/>
      <c r="C61" s="10" t="str">
        <f>IFERROR(VLOOKUP(B61,'Incident Intake'!$A:$G,7,FALSE())&amp;" "&amp;VLOOKUP(B61,'Incident Intake'!$A:$F,6,FALSE()),"")</f>
        <v/>
      </c>
      <c r="D61" s="10" t="str">
        <f>IFERROR(VLOOKUP(B61,'Incident Intake'!$A:$J,10,FALSE()),"")</f>
        <v/>
      </c>
      <c r="E61" s="8"/>
      <c r="F61" s="4"/>
      <c r="G61" s="4"/>
      <c r="H61" s="4"/>
      <c r="I61" s="4"/>
      <c r="J61" s="4"/>
      <c r="K61" s="4"/>
      <c r="L61" s="4"/>
      <c r="M61" s="4"/>
      <c r="N61" s="4"/>
      <c r="O61" s="4"/>
      <c r="P61" s="8"/>
      <c r="Q61" s="4"/>
      <c r="R61" s="8"/>
      <c r="S61" s="4"/>
      <c r="T61" s="10" t="str">
        <f t="shared" si="0"/>
        <v/>
      </c>
      <c r="U61" s="4"/>
      <c r="V61" s="4"/>
    </row>
    <row r="62" spans="1:22" ht="18" customHeight="1" x14ac:dyDescent="0.45">
      <c r="A62" s="6"/>
      <c r="B62" s="6"/>
      <c r="C62" s="10" t="str">
        <f>IFERROR(VLOOKUP(B62,'Incident Intake'!$A:$G,7,FALSE())&amp;" "&amp;VLOOKUP(B62,'Incident Intake'!$A:$F,6,FALSE()),"")</f>
        <v/>
      </c>
      <c r="D62" s="10" t="str">
        <f>IFERROR(VLOOKUP(B62,'Incident Intake'!$A:$J,10,FALSE()),"")</f>
        <v/>
      </c>
      <c r="E62" s="12"/>
      <c r="F62" s="6"/>
      <c r="G62" s="6"/>
      <c r="H62" s="6"/>
      <c r="I62" s="6"/>
      <c r="J62" s="6"/>
      <c r="K62" s="6"/>
      <c r="L62" s="6"/>
      <c r="M62" s="6"/>
      <c r="N62" s="6"/>
      <c r="O62" s="6"/>
      <c r="P62" s="12"/>
      <c r="Q62" s="6"/>
      <c r="R62" s="12"/>
      <c r="S62" s="6"/>
      <c r="T62" s="10" t="str">
        <f t="shared" si="0"/>
        <v/>
      </c>
      <c r="U62" s="6"/>
      <c r="V62" s="6"/>
    </row>
    <row r="63" spans="1:22" ht="18" customHeight="1" x14ac:dyDescent="0.45">
      <c r="A63" s="4"/>
      <c r="B63" s="4"/>
      <c r="C63" s="10" t="str">
        <f>IFERROR(VLOOKUP(B63,'Incident Intake'!$A:$G,7,FALSE())&amp;" "&amp;VLOOKUP(B63,'Incident Intake'!$A:$F,6,FALSE()),"")</f>
        <v/>
      </c>
      <c r="D63" s="10" t="str">
        <f>IFERROR(VLOOKUP(B63,'Incident Intake'!$A:$J,10,FALSE()),"")</f>
        <v/>
      </c>
      <c r="E63" s="8"/>
      <c r="F63" s="4"/>
      <c r="G63" s="4"/>
      <c r="H63" s="4"/>
      <c r="I63" s="4"/>
      <c r="J63" s="4"/>
      <c r="K63" s="4"/>
      <c r="L63" s="4"/>
      <c r="M63" s="4"/>
      <c r="N63" s="4"/>
      <c r="O63" s="4"/>
      <c r="P63" s="8"/>
      <c r="Q63" s="4"/>
      <c r="R63" s="8"/>
      <c r="S63" s="4"/>
      <c r="T63" s="10" t="str">
        <f t="shared" si="0"/>
        <v/>
      </c>
      <c r="U63" s="4"/>
      <c r="V63" s="4"/>
    </row>
    <row r="64" spans="1:22" ht="18" customHeight="1" x14ac:dyDescent="0.45">
      <c r="A64" s="6"/>
      <c r="B64" s="6"/>
      <c r="C64" s="10" t="str">
        <f>IFERROR(VLOOKUP(B64,'Incident Intake'!$A:$G,7,FALSE())&amp;" "&amp;VLOOKUP(B64,'Incident Intake'!$A:$F,6,FALSE()),"")</f>
        <v/>
      </c>
      <c r="D64" s="10" t="str">
        <f>IFERROR(VLOOKUP(B64,'Incident Intake'!$A:$J,10,FALSE()),"")</f>
        <v/>
      </c>
      <c r="E64" s="12"/>
      <c r="F64" s="6"/>
      <c r="G64" s="6"/>
      <c r="H64" s="6"/>
      <c r="I64" s="6"/>
      <c r="J64" s="6"/>
      <c r="K64" s="6"/>
      <c r="L64" s="6"/>
      <c r="M64" s="6"/>
      <c r="N64" s="6"/>
      <c r="O64" s="6"/>
      <c r="P64" s="12"/>
      <c r="Q64" s="6"/>
      <c r="R64" s="12"/>
      <c r="S64" s="6"/>
      <c r="T64" s="10" t="str">
        <f t="shared" si="0"/>
        <v/>
      </c>
      <c r="U64" s="6"/>
      <c r="V64" s="6"/>
    </row>
    <row r="65" spans="1:22" ht="18" customHeight="1" x14ac:dyDescent="0.45">
      <c r="A65" s="4"/>
      <c r="B65" s="4"/>
      <c r="C65" s="10" t="str">
        <f>IFERROR(VLOOKUP(B65,'Incident Intake'!$A:$G,7,FALSE())&amp;" "&amp;VLOOKUP(B65,'Incident Intake'!$A:$F,6,FALSE()),"")</f>
        <v/>
      </c>
      <c r="D65" s="10" t="str">
        <f>IFERROR(VLOOKUP(B65,'Incident Intake'!$A:$J,10,FALSE()),"")</f>
        <v/>
      </c>
      <c r="E65" s="8"/>
      <c r="F65" s="4"/>
      <c r="G65" s="4"/>
      <c r="H65" s="4"/>
      <c r="I65" s="4"/>
      <c r="J65" s="4"/>
      <c r="K65" s="4"/>
      <c r="L65" s="4"/>
      <c r="M65" s="4"/>
      <c r="N65" s="4"/>
      <c r="O65" s="4"/>
      <c r="P65" s="8"/>
      <c r="Q65" s="4"/>
      <c r="R65" s="8"/>
      <c r="S65" s="4"/>
      <c r="T65" s="10" t="str">
        <f t="shared" si="0"/>
        <v/>
      </c>
      <c r="U65" s="4"/>
      <c r="V65" s="4"/>
    </row>
    <row r="66" spans="1:22" ht="18" customHeight="1" x14ac:dyDescent="0.45">
      <c r="A66" s="6"/>
      <c r="B66" s="6"/>
      <c r="C66" s="10" t="str">
        <f>IFERROR(VLOOKUP(B66,'Incident Intake'!$A:$G,7,FALSE())&amp;" "&amp;VLOOKUP(B66,'Incident Intake'!$A:$F,6,FALSE()),"")</f>
        <v/>
      </c>
      <c r="D66" s="10" t="str">
        <f>IFERROR(VLOOKUP(B66,'Incident Intake'!$A:$J,10,FALSE()),"")</f>
        <v/>
      </c>
      <c r="E66" s="12"/>
      <c r="F66" s="6"/>
      <c r="G66" s="6"/>
      <c r="H66" s="6"/>
      <c r="I66" s="6"/>
      <c r="J66" s="6"/>
      <c r="K66" s="6"/>
      <c r="L66" s="6"/>
      <c r="M66" s="6"/>
      <c r="N66" s="6"/>
      <c r="O66" s="6"/>
      <c r="P66" s="12"/>
      <c r="Q66" s="6"/>
      <c r="R66" s="12"/>
      <c r="S66" s="6"/>
      <c r="T66" s="10" t="str">
        <f t="shared" si="0"/>
        <v/>
      </c>
      <c r="U66" s="6"/>
      <c r="V66" s="6"/>
    </row>
    <row r="67" spans="1:22" ht="18" customHeight="1" x14ac:dyDescent="0.45">
      <c r="A67" s="4"/>
      <c r="B67" s="4"/>
      <c r="C67" s="10" t="str">
        <f>IFERROR(VLOOKUP(B67,'Incident Intake'!$A:$G,7,FALSE())&amp;" "&amp;VLOOKUP(B67,'Incident Intake'!$A:$F,6,FALSE()),"")</f>
        <v/>
      </c>
      <c r="D67" s="10" t="str">
        <f>IFERROR(VLOOKUP(B67,'Incident Intake'!$A:$J,10,FALSE()),"")</f>
        <v/>
      </c>
      <c r="E67" s="8"/>
      <c r="F67" s="4"/>
      <c r="G67" s="4"/>
      <c r="H67" s="4"/>
      <c r="I67" s="4"/>
      <c r="J67" s="4"/>
      <c r="K67" s="4"/>
      <c r="L67" s="4"/>
      <c r="M67" s="4"/>
      <c r="N67" s="4"/>
      <c r="O67" s="4"/>
      <c r="P67" s="8"/>
      <c r="Q67" s="4"/>
      <c r="R67" s="8"/>
      <c r="S67" s="4"/>
      <c r="T67" s="10" t="str">
        <f t="shared" si="0"/>
        <v/>
      </c>
      <c r="U67" s="4"/>
      <c r="V67" s="4"/>
    </row>
    <row r="68" spans="1:22" ht="18" customHeight="1" x14ac:dyDescent="0.45">
      <c r="A68" s="6"/>
      <c r="B68" s="6"/>
      <c r="C68" s="10" t="str">
        <f>IFERROR(VLOOKUP(B68,'Incident Intake'!$A:$G,7,FALSE())&amp;" "&amp;VLOOKUP(B68,'Incident Intake'!$A:$F,6,FALSE()),"")</f>
        <v/>
      </c>
      <c r="D68" s="10" t="str">
        <f>IFERROR(VLOOKUP(B68,'Incident Intake'!$A:$J,10,FALSE()),"")</f>
        <v/>
      </c>
      <c r="E68" s="12"/>
      <c r="F68" s="6"/>
      <c r="G68" s="6"/>
      <c r="H68" s="6"/>
      <c r="I68" s="6"/>
      <c r="J68" s="6"/>
      <c r="K68" s="6"/>
      <c r="L68" s="6"/>
      <c r="M68" s="6"/>
      <c r="N68" s="6"/>
      <c r="O68" s="6"/>
      <c r="P68" s="12"/>
      <c r="Q68" s="6"/>
      <c r="R68" s="12"/>
      <c r="S68" s="6"/>
      <c r="T68" s="10" t="str">
        <f t="shared" si="0"/>
        <v/>
      </c>
      <c r="U68" s="6"/>
      <c r="V68" s="6"/>
    </row>
    <row r="69" spans="1:22" ht="18" customHeight="1" x14ac:dyDescent="0.45">
      <c r="A69" s="4"/>
      <c r="B69" s="4"/>
      <c r="C69" s="10" t="str">
        <f>IFERROR(VLOOKUP(B69,'Incident Intake'!$A:$G,7,FALSE())&amp;" "&amp;VLOOKUP(B69,'Incident Intake'!$A:$F,6,FALSE()),"")</f>
        <v/>
      </c>
      <c r="D69" s="10" t="str">
        <f>IFERROR(VLOOKUP(B69,'Incident Intake'!$A:$J,10,FALSE()),"")</f>
        <v/>
      </c>
      <c r="E69" s="8"/>
      <c r="F69" s="4"/>
      <c r="G69" s="4"/>
      <c r="H69" s="4"/>
      <c r="I69" s="4"/>
      <c r="J69" s="4"/>
      <c r="K69" s="4"/>
      <c r="L69" s="4"/>
      <c r="M69" s="4"/>
      <c r="N69" s="4"/>
      <c r="O69" s="4"/>
      <c r="P69" s="8"/>
      <c r="Q69" s="4"/>
      <c r="R69" s="8"/>
      <c r="S69" s="4"/>
      <c r="T69" s="10" t="str">
        <f t="shared" ref="T69:T132" si="1">IF(S69="Yes","🔴 LEGAL HOLD — DO NOT DESTROY","")</f>
        <v/>
      </c>
      <c r="U69" s="4"/>
      <c r="V69" s="4"/>
    </row>
    <row r="70" spans="1:22" ht="18" customHeight="1" x14ac:dyDescent="0.45">
      <c r="A70" s="6"/>
      <c r="B70" s="6"/>
      <c r="C70" s="10" t="str">
        <f>IFERROR(VLOOKUP(B70,'Incident Intake'!$A:$G,7,FALSE())&amp;" "&amp;VLOOKUP(B70,'Incident Intake'!$A:$F,6,FALSE()),"")</f>
        <v/>
      </c>
      <c r="D70" s="10" t="str">
        <f>IFERROR(VLOOKUP(B70,'Incident Intake'!$A:$J,10,FALSE()),"")</f>
        <v/>
      </c>
      <c r="E70" s="12"/>
      <c r="F70" s="6"/>
      <c r="G70" s="6"/>
      <c r="H70" s="6"/>
      <c r="I70" s="6"/>
      <c r="J70" s="6"/>
      <c r="K70" s="6"/>
      <c r="L70" s="6"/>
      <c r="M70" s="6"/>
      <c r="N70" s="6"/>
      <c r="O70" s="6"/>
      <c r="P70" s="12"/>
      <c r="Q70" s="6"/>
      <c r="R70" s="12"/>
      <c r="S70" s="6"/>
      <c r="T70" s="10" t="str">
        <f t="shared" si="1"/>
        <v/>
      </c>
      <c r="U70" s="6"/>
      <c r="V70" s="6"/>
    </row>
    <row r="71" spans="1:22" ht="18" customHeight="1" x14ac:dyDescent="0.45">
      <c r="A71" s="4"/>
      <c r="B71" s="4"/>
      <c r="C71" s="10" t="str">
        <f>IFERROR(VLOOKUP(B71,'Incident Intake'!$A:$G,7,FALSE())&amp;" "&amp;VLOOKUP(B71,'Incident Intake'!$A:$F,6,FALSE()),"")</f>
        <v/>
      </c>
      <c r="D71" s="10" t="str">
        <f>IFERROR(VLOOKUP(B71,'Incident Intake'!$A:$J,10,FALSE()),"")</f>
        <v/>
      </c>
      <c r="E71" s="8"/>
      <c r="F71" s="4"/>
      <c r="G71" s="4"/>
      <c r="H71" s="4"/>
      <c r="I71" s="4"/>
      <c r="J71" s="4"/>
      <c r="K71" s="4"/>
      <c r="L71" s="4"/>
      <c r="M71" s="4"/>
      <c r="N71" s="4"/>
      <c r="O71" s="4"/>
      <c r="P71" s="8"/>
      <c r="Q71" s="4"/>
      <c r="R71" s="8"/>
      <c r="S71" s="4"/>
      <c r="T71" s="10" t="str">
        <f t="shared" si="1"/>
        <v/>
      </c>
      <c r="U71" s="4"/>
      <c r="V71" s="4"/>
    </row>
    <row r="72" spans="1:22" ht="18" customHeight="1" x14ac:dyDescent="0.45">
      <c r="A72" s="6"/>
      <c r="B72" s="6"/>
      <c r="C72" s="10" t="str">
        <f>IFERROR(VLOOKUP(B72,'Incident Intake'!$A:$G,7,FALSE())&amp;" "&amp;VLOOKUP(B72,'Incident Intake'!$A:$F,6,FALSE()),"")</f>
        <v/>
      </c>
      <c r="D72" s="10" t="str">
        <f>IFERROR(VLOOKUP(B72,'Incident Intake'!$A:$J,10,FALSE()),"")</f>
        <v/>
      </c>
      <c r="E72" s="12"/>
      <c r="F72" s="6"/>
      <c r="G72" s="6"/>
      <c r="H72" s="6"/>
      <c r="I72" s="6"/>
      <c r="J72" s="6"/>
      <c r="K72" s="6"/>
      <c r="L72" s="6"/>
      <c r="M72" s="6"/>
      <c r="N72" s="6"/>
      <c r="O72" s="6"/>
      <c r="P72" s="12"/>
      <c r="Q72" s="6"/>
      <c r="R72" s="12"/>
      <c r="S72" s="6"/>
      <c r="T72" s="10" t="str">
        <f t="shared" si="1"/>
        <v/>
      </c>
      <c r="U72" s="6"/>
      <c r="V72" s="6"/>
    </row>
    <row r="73" spans="1:22" ht="18" customHeight="1" x14ac:dyDescent="0.45">
      <c r="A73" s="4"/>
      <c r="B73" s="4"/>
      <c r="C73" s="10" t="str">
        <f>IFERROR(VLOOKUP(B73,'Incident Intake'!$A:$G,7,FALSE())&amp;" "&amp;VLOOKUP(B73,'Incident Intake'!$A:$F,6,FALSE()),"")</f>
        <v/>
      </c>
      <c r="D73" s="10" t="str">
        <f>IFERROR(VLOOKUP(B73,'Incident Intake'!$A:$J,10,FALSE()),"")</f>
        <v/>
      </c>
      <c r="E73" s="8"/>
      <c r="F73" s="4"/>
      <c r="G73" s="4"/>
      <c r="H73" s="4"/>
      <c r="I73" s="4"/>
      <c r="J73" s="4"/>
      <c r="K73" s="4"/>
      <c r="L73" s="4"/>
      <c r="M73" s="4"/>
      <c r="N73" s="4"/>
      <c r="O73" s="4"/>
      <c r="P73" s="8"/>
      <c r="Q73" s="4"/>
      <c r="R73" s="8"/>
      <c r="S73" s="4"/>
      <c r="T73" s="10" t="str">
        <f t="shared" si="1"/>
        <v/>
      </c>
      <c r="U73" s="4"/>
      <c r="V73" s="4"/>
    </row>
    <row r="74" spans="1:22" ht="18" customHeight="1" x14ac:dyDescent="0.45">
      <c r="A74" s="6"/>
      <c r="B74" s="6"/>
      <c r="C74" s="10" t="str">
        <f>IFERROR(VLOOKUP(B74,'Incident Intake'!$A:$G,7,FALSE())&amp;" "&amp;VLOOKUP(B74,'Incident Intake'!$A:$F,6,FALSE()),"")</f>
        <v/>
      </c>
      <c r="D74" s="10" t="str">
        <f>IFERROR(VLOOKUP(B74,'Incident Intake'!$A:$J,10,FALSE()),"")</f>
        <v/>
      </c>
      <c r="E74" s="12"/>
      <c r="F74" s="6"/>
      <c r="G74" s="6"/>
      <c r="H74" s="6"/>
      <c r="I74" s="6"/>
      <c r="J74" s="6"/>
      <c r="K74" s="6"/>
      <c r="L74" s="6"/>
      <c r="M74" s="6"/>
      <c r="N74" s="6"/>
      <c r="O74" s="6"/>
      <c r="P74" s="12"/>
      <c r="Q74" s="6"/>
      <c r="R74" s="12"/>
      <c r="S74" s="6"/>
      <c r="T74" s="10" t="str">
        <f t="shared" si="1"/>
        <v/>
      </c>
      <c r="U74" s="6"/>
      <c r="V74" s="6"/>
    </row>
    <row r="75" spans="1:22" ht="18" customHeight="1" x14ac:dyDescent="0.45">
      <c r="A75" s="4"/>
      <c r="B75" s="4"/>
      <c r="C75" s="10" t="str">
        <f>IFERROR(VLOOKUP(B75,'Incident Intake'!$A:$G,7,FALSE())&amp;" "&amp;VLOOKUP(B75,'Incident Intake'!$A:$F,6,FALSE()),"")</f>
        <v/>
      </c>
      <c r="D75" s="10" t="str">
        <f>IFERROR(VLOOKUP(B75,'Incident Intake'!$A:$J,10,FALSE()),"")</f>
        <v/>
      </c>
      <c r="E75" s="8"/>
      <c r="F75" s="4"/>
      <c r="G75" s="4"/>
      <c r="H75" s="4"/>
      <c r="I75" s="4"/>
      <c r="J75" s="4"/>
      <c r="K75" s="4"/>
      <c r="L75" s="4"/>
      <c r="M75" s="4"/>
      <c r="N75" s="4"/>
      <c r="O75" s="4"/>
      <c r="P75" s="8"/>
      <c r="Q75" s="4"/>
      <c r="R75" s="8"/>
      <c r="S75" s="4"/>
      <c r="T75" s="10" t="str">
        <f t="shared" si="1"/>
        <v/>
      </c>
      <c r="U75" s="4"/>
      <c r="V75" s="4"/>
    </row>
    <row r="76" spans="1:22" ht="18" customHeight="1" x14ac:dyDescent="0.45">
      <c r="A76" s="6"/>
      <c r="B76" s="6"/>
      <c r="C76" s="10" t="str">
        <f>IFERROR(VLOOKUP(B76,'Incident Intake'!$A:$G,7,FALSE())&amp;" "&amp;VLOOKUP(B76,'Incident Intake'!$A:$F,6,FALSE()),"")</f>
        <v/>
      </c>
      <c r="D76" s="10" t="str">
        <f>IFERROR(VLOOKUP(B76,'Incident Intake'!$A:$J,10,FALSE()),"")</f>
        <v/>
      </c>
      <c r="E76" s="12"/>
      <c r="F76" s="6"/>
      <c r="G76" s="6"/>
      <c r="H76" s="6"/>
      <c r="I76" s="6"/>
      <c r="J76" s="6"/>
      <c r="K76" s="6"/>
      <c r="L76" s="6"/>
      <c r="M76" s="6"/>
      <c r="N76" s="6"/>
      <c r="O76" s="6"/>
      <c r="P76" s="12"/>
      <c r="Q76" s="6"/>
      <c r="R76" s="12"/>
      <c r="S76" s="6"/>
      <c r="T76" s="10" t="str">
        <f t="shared" si="1"/>
        <v/>
      </c>
      <c r="U76" s="6"/>
      <c r="V76" s="6"/>
    </row>
    <row r="77" spans="1:22" ht="18" customHeight="1" x14ac:dyDescent="0.45">
      <c r="A77" s="4"/>
      <c r="B77" s="4"/>
      <c r="C77" s="10" t="str">
        <f>IFERROR(VLOOKUP(B77,'Incident Intake'!$A:$G,7,FALSE())&amp;" "&amp;VLOOKUP(B77,'Incident Intake'!$A:$F,6,FALSE()),"")</f>
        <v/>
      </c>
      <c r="D77" s="10" t="str">
        <f>IFERROR(VLOOKUP(B77,'Incident Intake'!$A:$J,10,FALSE()),"")</f>
        <v/>
      </c>
      <c r="E77" s="8"/>
      <c r="F77" s="4"/>
      <c r="G77" s="4"/>
      <c r="H77" s="4"/>
      <c r="I77" s="4"/>
      <c r="J77" s="4"/>
      <c r="K77" s="4"/>
      <c r="L77" s="4"/>
      <c r="M77" s="4"/>
      <c r="N77" s="4"/>
      <c r="O77" s="4"/>
      <c r="P77" s="8"/>
      <c r="Q77" s="4"/>
      <c r="R77" s="8"/>
      <c r="S77" s="4"/>
      <c r="T77" s="10" t="str">
        <f t="shared" si="1"/>
        <v/>
      </c>
      <c r="U77" s="4"/>
      <c r="V77" s="4"/>
    </row>
    <row r="78" spans="1:22" ht="18" customHeight="1" x14ac:dyDescent="0.45">
      <c r="A78" s="6"/>
      <c r="B78" s="6"/>
      <c r="C78" s="10" t="str">
        <f>IFERROR(VLOOKUP(B78,'Incident Intake'!$A:$G,7,FALSE())&amp;" "&amp;VLOOKUP(B78,'Incident Intake'!$A:$F,6,FALSE()),"")</f>
        <v/>
      </c>
      <c r="D78" s="10" t="str">
        <f>IFERROR(VLOOKUP(B78,'Incident Intake'!$A:$J,10,FALSE()),"")</f>
        <v/>
      </c>
      <c r="E78" s="12"/>
      <c r="F78" s="6"/>
      <c r="G78" s="6"/>
      <c r="H78" s="6"/>
      <c r="I78" s="6"/>
      <c r="J78" s="6"/>
      <c r="K78" s="6"/>
      <c r="L78" s="6"/>
      <c r="M78" s="6"/>
      <c r="N78" s="6"/>
      <c r="O78" s="6"/>
      <c r="P78" s="12"/>
      <c r="Q78" s="6"/>
      <c r="R78" s="12"/>
      <c r="S78" s="6"/>
      <c r="T78" s="10" t="str">
        <f t="shared" si="1"/>
        <v/>
      </c>
      <c r="U78" s="6"/>
      <c r="V78" s="6"/>
    </row>
    <row r="79" spans="1:22" ht="18" customHeight="1" x14ac:dyDescent="0.45">
      <c r="A79" s="4"/>
      <c r="B79" s="4"/>
      <c r="C79" s="10" t="str">
        <f>IFERROR(VLOOKUP(B79,'Incident Intake'!$A:$G,7,FALSE())&amp;" "&amp;VLOOKUP(B79,'Incident Intake'!$A:$F,6,FALSE()),"")</f>
        <v/>
      </c>
      <c r="D79" s="10" t="str">
        <f>IFERROR(VLOOKUP(B79,'Incident Intake'!$A:$J,10,FALSE()),"")</f>
        <v/>
      </c>
      <c r="E79" s="8"/>
      <c r="F79" s="4"/>
      <c r="G79" s="4"/>
      <c r="H79" s="4"/>
      <c r="I79" s="4"/>
      <c r="J79" s="4"/>
      <c r="K79" s="4"/>
      <c r="L79" s="4"/>
      <c r="M79" s="4"/>
      <c r="N79" s="4"/>
      <c r="O79" s="4"/>
      <c r="P79" s="8"/>
      <c r="Q79" s="4"/>
      <c r="R79" s="8"/>
      <c r="S79" s="4"/>
      <c r="T79" s="10" t="str">
        <f t="shared" si="1"/>
        <v/>
      </c>
      <c r="U79" s="4"/>
      <c r="V79" s="4"/>
    </row>
    <row r="80" spans="1:22" ht="18" customHeight="1" x14ac:dyDescent="0.45">
      <c r="A80" s="6"/>
      <c r="B80" s="6"/>
      <c r="C80" s="10" t="str">
        <f>IFERROR(VLOOKUP(B80,'Incident Intake'!$A:$G,7,FALSE())&amp;" "&amp;VLOOKUP(B80,'Incident Intake'!$A:$F,6,FALSE()),"")</f>
        <v/>
      </c>
      <c r="D80" s="10" t="str">
        <f>IFERROR(VLOOKUP(B80,'Incident Intake'!$A:$J,10,FALSE()),"")</f>
        <v/>
      </c>
      <c r="E80" s="12"/>
      <c r="F80" s="6"/>
      <c r="G80" s="6"/>
      <c r="H80" s="6"/>
      <c r="I80" s="6"/>
      <c r="J80" s="6"/>
      <c r="K80" s="6"/>
      <c r="L80" s="6"/>
      <c r="M80" s="6"/>
      <c r="N80" s="6"/>
      <c r="O80" s="6"/>
      <c r="P80" s="12"/>
      <c r="Q80" s="6"/>
      <c r="R80" s="12"/>
      <c r="S80" s="6"/>
      <c r="T80" s="10" t="str">
        <f t="shared" si="1"/>
        <v/>
      </c>
      <c r="U80" s="6"/>
      <c r="V80" s="6"/>
    </row>
    <row r="81" spans="1:22" ht="18" customHeight="1" x14ac:dyDescent="0.45">
      <c r="A81" s="4"/>
      <c r="B81" s="4"/>
      <c r="C81" s="10" t="str">
        <f>IFERROR(VLOOKUP(B81,'Incident Intake'!$A:$G,7,FALSE())&amp;" "&amp;VLOOKUP(B81,'Incident Intake'!$A:$F,6,FALSE()),"")</f>
        <v/>
      </c>
      <c r="D81" s="10" t="str">
        <f>IFERROR(VLOOKUP(B81,'Incident Intake'!$A:$J,10,FALSE()),"")</f>
        <v/>
      </c>
      <c r="E81" s="8"/>
      <c r="F81" s="4"/>
      <c r="G81" s="4"/>
      <c r="H81" s="4"/>
      <c r="I81" s="4"/>
      <c r="J81" s="4"/>
      <c r="K81" s="4"/>
      <c r="L81" s="4"/>
      <c r="M81" s="4"/>
      <c r="N81" s="4"/>
      <c r="O81" s="4"/>
      <c r="P81" s="8"/>
      <c r="Q81" s="4"/>
      <c r="R81" s="8"/>
      <c r="S81" s="4"/>
      <c r="T81" s="10" t="str">
        <f t="shared" si="1"/>
        <v/>
      </c>
      <c r="U81" s="4"/>
      <c r="V81" s="4"/>
    </row>
    <row r="82" spans="1:22" ht="18" customHeight="1" x14ac:dyDescent="0.45">
      <c r="A82" s="6"/>
      <c r="B82" s="6"/>
      <c r="C82" s="10" t="str">
        <f>IFERROR(VLOOKUP(B82,'Incident Intake'!$A:$G,7,FALSE())&amp;" "&amp;VLOOKUP(B82,'Incident Intake'!$A:$F,6,FALSE()),"")</f>
        <v/>
      </c>
      <c r="D82" s="10" t="str">
        <f>IFERROR(VLOOKUP(B82,'Incident Intake'!$A:$J,10,FALSE()),"")</f>
        <v/>
      </c>
      <c r="E82" s="12"/>
      <c r="F82" s="6"/>
      <c r="G82" s="6"/>
      <c r="H82" s="6"/>
      <c r="I82" s="6"/>
      <c r="J82" s="6"/>
      <c r="K82" s="6"/>
      <c r="L82" s="6"/>
      <c r="M82" s="6"/>
      <c r="N82" s="6"/>
      <c r="O82" s="6"/>
      <c r="P82" s="12"/>
      <c r="Q82" s="6"/>
      <c r="R82" s="12"/>
      <c r="S82" s="6"/>
      <c r="T82" s="10" t="str">
        <f t="shared" si="1"/>
        <v/>
      </c>
      <c r="U82" s="6"/>
      <c r="V82" s="6"/>
    </row>
    <row r="83" spans="1:22" ht="18" customHeight="1" x14ac:dyDescent="0.45">
      <c r="A83" s="4"/>
      <c r="B83" s="4"/>
      <c r="C83" s="10" t="str">
        <f>IFERROR(VLOOKUP(B83,'Incident Intake'!$A:$G,7,FALSE())&amp;" "&amp;VLOOKUP(B83,'Incident Intake'!$A:$F,6,FALSE()),"")</f>
        <v/>
      </c>
      <c r="D83" s="10" t="str">
        <f>IFERROR(VLOOKUP(B83,'Incident Intake'!$A:$J,10,FALSE()),"")</f>
        <v/>
      </c>
      <c r="E83" s="8"/>
      <c r="F83" s="4"/>
      <c r="G83" s="4"/>
      <c r="H83" s="4"/>
      <c r="I83" s="4"/>
      <c r="J83" s="4"/>
      <c r="K83" s="4"/>
      <c r="L83" s="4"/>
      <c r="M83" s="4"/>
      <c r="N83" s="4"/>
      <c r="O83" s="4"/>
      <c r="P83" s="8"/>
      <c r="Q83" s="4"/>
      <c r="R83" s="8"/>
      <c r="S83" s="4"/>
      <c r="T83" s="10" t="str">
        <f t="shared" si="1"/>
        <v/>
      </c>
      <c r="U83" s="4"/>
      <c r="V83" s="4"/>
    </row>
    <row r="84" spans="1:22" ht="18" customHeight="1" x14ac:dyDescent="0.45">
      <c r="A84" s="6"/>
      <c r="B84" s="6"/>
      <c r="C84" s="10" t="str">
        <f>IFERROR(VLOOKUP(B84,'Incident Intake'!$A:$G,7,FALSE())&amp;" "&amp;VLOOKUP(B84,'Incident Intake'!$A:$F,6,FALSE()),"")</f>
        <v/>
      </c>
      <c r="D84" s="10" t="str">
        <f>IFERROR(VLOOKUP(B84,'Incident Intake'!$A:$J,10,FALSE()),"")</f>
        <v/>
      </c>
      <c r="E84" s="12"/>
      <c r="F84" s="6"/>
      <c r="G84" s="6"/>
      <c r="H84" s="6"/>
      <c r="I84" s="6"/>
      <c r="J84" s="6"/>
      <c r="K84" s="6"/>
      <c r="L84" s="6"/>
      <c r="M84" s="6"/>
      <c r="N84" s="6"/>
      <c r="O84" s="6"/>
      <c r="P84" s="12"/>
      <c r="Q84" s="6"/>
      <c r="R84" s="12"/>
      <c r="S84" s="6"/>
      <c r="T84" s="10" t="str">
        <f t="shared" si="1"/>
        <v/>
      </c>
      <c r="U84" s="6"/>
      <c r="V84" s="6"/>
    </row>
    <row r="85" spans="1:22" ht="18" customHeight="1" x14ac:dyDescent="0.45">
      <c r="A85" s="4"/>
      <c r="B85" s="4"/>
      <c r="C85" s="10" t="str">
        <f>IFERROR(VLOOKUP(B85,'Incident Intake'!$A:$G,7,FALSE())&amp;" "&amp;VLOOKUP(B85,'Incident Intake'!$A:$F,6,FALSE()),"")</f>
        <v/>
      </c>
      <c r="D85" s="10" t="str">
        <f>IFERROR(VLOOKUP(B85,'Incident Intake'!$A:$J,10,FALSE()),"")</f>
        <v/>
      </c>
      <c r="E85" s="8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4"/>
      <c r="R85" s="8"/>
      <c r="S85" s="4"/>
      <c r="T85" s="10" t="str">
        <f t="shared" si="1"/>
        <v/>
      </c>
      <c r="U85" s="4"/>
      <c r="V85" s="4"/>
    </row>
    <row r="86" spans="1:22" ht="18" customHeight="1" x14ac:dyDescent="0.45">
      <c r="A86" s="6"/>
      <c r="B86" s="6"/>
      <c r="C86" s="10" t="str">
        <f>IFERROR(VLOOKUP(B86,'Incident Intake'!$A:$G,7,FALSE())&amp;" "&amp;VLOOKUP(B86,'Incident Intake'!$A:$F,6,FALSE()),"")</f>
        <v/>
      </c>
      <c r="D86" s="10" t="str">
        <f>IFERROR(VLOOKUP(B86,'Incident Intake'!$A:$J,10,FALSE()),"")</f>
        <v/>
      </c>
      <c r="E86" s="12"/>
      <c r="F86" s="6"/>
      <c r="G86" s="6"/>
      <c r="H86" s="6"/>
      <c r="I86" s="6"/>
      <c r="J86" s="6"/>
      <c r="K86" s="6"/>
      <c r="L86" s="6"/>
      <c r="M86" s="6"/>
      <c r="N86" s="6"/>
      <c r="O86" s="6"/>
      <c r="P86" s="12"/>
      <c r="Q86" s="6"/>
      <c r="R86" s="12"/>
      <c r="S86" s="6"/>
      <c r="T86" s="10" t="str">
        <f t="shared" si="1"/>
        <v/>
      </c>
      <c r="U86" s="6"/>
      <c r="V86" s="6"/>
    </row>
    <row r="87" spans="1:22" ht="18" customHeight="1" x14ac:dyDescent="0.45">
      <c r="A87" s="4"/>
      <c r="B87" s="4"/>
      <c r="C87" s="10" t="str">
        <f>IFERROR(VLOOKUP(B87,'Incident Intake'!$A:$G,7,FALSE())&amp;" "&amp;VLOOKUP(B87,'Incident Intake'!$A:$F,6,FALSE()),"")</f>
        <v/>
      </c>
      <c r="D87" s="10" t="str">
        <f>IFERROR(VLOOKUP(B87,'Incident Intake'!$A:$J,10,FALSE()),"")</f>
        <v/>
      </c>
      <c r="E87" s="8"/>
      <c r="F87" s="4"/>
      <c r="G87" s="4"/>
      <c r="H87" s="4"/>
      <c r="I87" s="4"/>
      <c r="J87" s="4"/>
      <c r="K87" s="4"/>
      <c r="L87" s="4"/>
      <c r="M87" s="4"/>
      <c r="N87" s="4"/>
      <c r="O87" s="4"/>
      <c r="P87" s="8"/>
      <c r="Q87" s="4"/>
      <c r="R87" s="8"/>
      <c r="S87" s="4"/>
      <c r="T87" s="10" t="str">
        <f t="shared" si="1"/>
        <v/>
      </c>
      <c r="U87" s="4"/>
      <c r="V87" s="4"/>
    </row>
    <row r="88" spans="1:22" ht="18" customHeight="1" x14ac:dyDescent="0.45">
      <c r="A88" s="6"/>
      <c r="B88" s="6"/>
      <c r="C88" s="10" t="str">
        <f>IFERROR(VLOOKUP(B88,'Incident Intake'!$A:$G,7,FALSE())&amp;" "&amp;VLOOKUP(B88,'Incident Intake'!$A:$F,6,FALSE()),"")</f>
        <v/>
      </c>
      <c r="D88" s="10" t="str">
        <f>IFERROR(VLOOKUP(B88,'Incident Intake'!$A:$J,10,FALSE()),"")</f>
        <v/>
      </c>
      <c r="E88" s="12"/>
      <c r="F88" s="6"/>
      <c r="G88" s="6"/>
      <c r="H88" s="6"/>
      <c r="I88" s="6"/>
      <c r="J88" s="6"/>
      <c r="K88" s="6"/>
      <c r="L88" s="6"/>
      <c r="M88" s="6"/>
      <c r="N88" s="6"/>
      <c r="O88" s="6"/>
      <c r="P88" s="12"/>
      <c r="Q88" s="6"/>
      <c r="R88" s="12"/>
      <c r="S88" s="6"/>
      <c r="T88" s="10" t="str">
        <f t="shared" si="1"/>
        <v/>
      </c>
      <c r="U88" s="6"/>
      <c r="V88" s="6"/>
    </row>
    <row r="89" spans="1:22" ht="18" customHeight="1" x14ac:dyDescent="0.45">
      <c r="A89" s="4"/>
      <c r="B89" s="4"/>
      <c r="C89" s="10" t="str">
        <f>IFERROR(VLOOKUP(B89,'Incident Intake'!$A:$G,7,FALSE())&amp;" "&amp;VLOOKUP(B89,'Incident Intake'!$A:$F,6,FALSE()),"")</f>
        <v/>
      </c>
      <c r="D89" s="10" t="str">
        <f>IFERROR(VLOOKUP(B89,'Incident Intake'!$A:$J,10,FALSE()),"")</f>
        <v/>
      </c>
      <c r="E89" s="8"/>
      <c r="F89" s="4"/>
      <c r="G89" s="4"/>
      <c r="H89" s="4"/>
      <c r="I89" s="4"/>
      <c r="J89" s="4"/>
      <c r="K89" s="4"/>
      <c r="L89" s="4"/>
      <c r="M89" s="4"/>
      <c r="N89" s="4"/>
      <c r="O89" s="4"/>
      <c r="P89" s="8"/>
      <c r="Q89" s="4"/>
      <c r="R89" s="8"/>
      <c r="S89" s="4"/>
      <c r="T89" s="10" t="str">
        <f t="shared" si="1"/>
        <v/>
      </c>
      <c r="U89" s="4"/>
      <c r="V89" s="4"/>
    </row>
    <row r="90" spans="1:22" ht="18" customHeight="1" x14ac:dyDescent="0.45">
      <c r="A90" s="6"/>
      <c r="B90" s="6"/>
      <c r="C90" s="10" t="str">
        <f>IFERROR(VLOOKUP(B90,'Incident Intake'!$A:$G,7,FALSE())&amp;" "&amp;VLOOKUP(B90,'Incident Intake'!$A:$F,6,FALSE()),"")</f>
        <v/>
      </c>
      <c r="D90" s="10" t="str">
        <f>IFERROR(VLOOKUP(B90,'Incident Intake'!$A:$J,10,FALSE()),"")</f>
        <v/>
      </c>
      <c r="E90" s="12"/>
      <c r="F90" s="6"/>
      <c r="G90" s="6"/>
      <c r="H90" s="6"/>
      <c r="I90" s="6"/>
      <c r="J90" s="6"/>
      <c r="K90" s="6"/>
      <c r="L90" s="6"/>
      <c r="M90" s="6"/>
      <c r="N90" s="6"/>
      <c r="O90" s="6"/>
      <c r="P90" s="12"/>
      <c r="Q90" s="6"/>
      <c r="R90" s="12"/>
      <c r="S90" s="6"/>
      <c r="T90" s="10" t="str">
        <f t="shared" si="1"/>
        <v/>
      </c>
      <c r="U90" s="6"/>
      <c r="V90" s="6"/>
    </row>
    <row r="91" spans="1:22" ht="18" customHeight="1" x14ac:dyDescent="0.45">
      <c r="A91" s="4"/>
      <c r="B91" s="4"/>
      <c r="C91" s="10" t="str">
        <f>IFERROR(VLOOKUP(B91,'Incident Intake'!$A:$G,7,FALSE())&amp;" "&amp;VLOOKUP(B91,'Incident Intake'!$A:$F,6,FALSE()),"")</f>
        <v/>
      </c>
      <c r="D91" s="10" t="str">
        <f>IFERROR(VLOOKUP(B91,'Incident Intake'!$A:$J,10,FALSE()),"")</f>
        <v/>
      </c>
      <c r="E91" s="8"/>
      <c r="F91" s="4"/>
      <c r="G91" s="4"/>
      <c r="H91" s="4"/>
      <c r="I91" s="4"/>
      <c r="J91" s="4"/>
      <c r="K91" s="4"/>
      <c r="L91" s="4"/>
      <c r="M91" s="4"/>
      <c r="N91" s="4"/>
      <c r="O91" s="4"/>
      <c r="P91" s="8"/>
      <c r="Q91" s="4"/>
      <c r="R91" s="8"/>
      <c r="S91" s="4"/>
      <c r="T91" s="10" t="str">
        <f t="shared" si="1"/>
        <v/>
      </c>
      <c r="U91" s="4"/>
      <c r="V91" s="4"/>
    </row>
    <row r="92" spans="1:22" ht="18" customHeight="1" x14ac:dyDescent="0.45">
      <c r="A92" s="6"/>
      <c r="B92" s="6"/>
      <c r="C92" s="10" t="str">
        <f>IFERROR(VLOOKUP(B92,'Incident Intake'!$A:$G,7,FALSE())&amp;" "&amp;VLOOKUP(B92,'Incident Intake'!$A:$F,6,FALSE()),"")</f>
        <v/>
      </c>
      <c r="D92" s="10" t="str">
        <f>IFERROR(VLOOKUP(B92,'Incident Intake'!$A:$J,10,FALSE()),"")</f>
        <v/>
      </c>
      <c r="E92" s="12"/>
      <c r="F92" s="6"/>
      <c r="G92" s="6"/>
      <c r="H92" s="6"/>
      <c r="I92" s="6"/>
      <c r="J92" s="6"/>
      <c r="K92" s="6"/>
      <c r="L92" s="6"/>
      <c r="M92" s="6"/>
      <c r="N92" s="6"/>
      <c r="O92" s="6"/>
      <c r="P92" s="12"/>
      <c r="Q92" s="6"/>
      <c r="R92" s="12"/>
      <c r="S92" s="6"/>
      <c r="T92" s="10" t="str">
        <f t="shared" si="1"/>
        <v/>
      </c>
      <c r="U92" s="6"/>
      <c r="V92" s="6"/>
    </row>
    <row r="93" spans="1:22" ht="18" customHeight="1" x14ac:dyDescent="0.45">
      <c r="A93" s="4"/>
      <c r="B93" s="4"/>
      <c r="C93" s="10" t="str">
        <f>IFERROR(VLOOKUP(B93,'Incident Intake'!$A:$G,7,FALSE())&amp;" "&amp;VLOOKUP(B93,'Incident Intake'!$A:$F,6,FALSE()),"")</f>
        <v/>
      </c>
      <c r="D93" s="10" t="str">
        <f>IFERROR(VLOOKUP(B93,'Incident Intake'!$A:$J,10,FALSE()),"")</f>
        <v/>
      </c>
      <c r="E93" s="8"/>
      <c r="F93" s="4"/>
      <c r="G93" s="4"/>
      <c r="H93" s="4"/>
      <c r="I93" s="4"/>
      <c r="J93" s="4"/>
      <c r="K93" s="4"/>
      <c r="L93" s="4"/>
      <c r="M93" s="4"/>
      <c r="N93" s="4"/>
      <c r="O93" s="4"/>
      <c r="P93" s="8"/>
      <c r="Q93" s="4"/>
      <c r="R93" s="8"/>
      <c r="S93" s="4"/>
      <c r="T93" s="10" t="str">
        <f t="shared" si="1"/>
        <v/>
      </c>
      <c r="U93" s="4"/>
      <c r="V93" s="4"/>
    </row>
    <row r="94" spans="1:22" ht="18" customHeight="1" x14ac:dyDescent="0.45">
      <c r="A94" s="6"/>
      <c r="B94" s="6"/>
      <c r="C94" s="10" t="str">
        <f>IFERROR(VLOOKUP(B94,'Incident Intake'!$A:$G,7,FALSE())&amp;" "&amp;VLOOKUP(B94,'Incident Intake'!$A:$F,6,FALSE()),"")</f>
        <v/>
      </c>
      <c r="D94" s="10" t="str">
        <f>IFERROR(VLOOKUP(B94,'Incident Intake'!$A:$J,10,FALSE()),"")</f>
        <v/>
      </c>
      <c r="E94" s="12"/>
      <c r="F94" s="6"/>
      <c r="G94" s="6"/>
      <c r="H94" s="6"/>
      <c r="I94" s="6"/>
      <c r="J94" s="6"/>
      <c r="K94" s="6"/>
      <c r="L94" s="6"/>
      <c r="M94" s="6"/>
      <c r="N94" s="6"/>
      <c r="O94" s="6"/>
      <c r="P94" s="12"/>
      <c r="Q94" s="6"/>
      <c r="R94" s="12"/>
      <c r="S94" s="6"/>
      <c r="T94" s="10" t="str">
        <f t="shared" si="1"/>
        <v/>
      </c>
      <c r="U94" s="6"/>
      <c r="V94" s="6"/>
    </row>
    <row r="95" spans="1:22" ht="18" customHeight="1" x14ac:dyDescent="0.45">
      <c r="A95" s="4"/>
      <c r="B95" s="4"/>
      <c r="C95" s="10" t="str">
        <f>IFERROR(VLOOKUP(B95,'Incident Intake'!$A:$G,7,FALSE())&amp;" "&amp;VLOOKUP(B95,'Incident Intake'!$A:$F,6,FALSE()),"")</f>
        <v/>
      </c>
      <c r="D95" s="10" t="str">
        <f>IFERROR(VLOOKUP(B95,'Incident Intake'!$A:$J,10,FALSE()),"")</f>
        <v/>
      </c>
      <c r="E95" s="8"/>
      <c r="F95" s="4"/>
      <c r="G95" s="4"/>
      <c r="H95" s="4"/>
      <c r="I95" s="4"/>
      <c r="J95" s="4"/>
      <c r="K95" s="4"/>
      <c r="L95" s="4"/>
      <c r="M95" s="4"/>
      <c r="N95" s="4"/>
      <c r="O95" s="4"/>
      <c r="P95" s="8"/>
      <c r="Q95" s="4"/>
      <c r="R95" s="8"/>
      <c r="S95" s="4"/>
      <c r="T95" s="10" t="str">
        <f t="shared" si="1"/>
        <v/>
      </c>
      <c r="U95" s="4"/>
      <c r="V95" s="4"/>
    </row>
    <row r="96" spans="1:22" ht="18" customHeight="1" x14ac:dyDescent="0.45">
      <c r="A96" s="6"/>
      <c r="B96" s="6"/>
      <c r="C96" s="10" t="str">
        <f>IFERROR(VLOOKUP(B96,'Incident Intake'!$A:$G,7,FALSE())&amp;" "&amp;VLOOKUP(B96,'Incident Intake'!$A:$F,6,FALSE()),"")</f>
        <v/>
      </c>
      <c r="D96" s="10" t="str">
        <f>IFERROR(VLOOKUP(B96,'Incident Intake'!$A:$J,10,FALSE()),"")</f>
        <v/>
      </c>
      <c r="E96" s="12"/>
      <c r="F96" s="6"/>
      <c r="G96" s="6"/>
      <c r="H96" s="6"/>
      <c r="I96" s="6"/>
      <c r="J96" s="6"/>
      <c r="K96" s="6"/>
      <c r="L96" s="6"/>
      <c r="M96" s="6"/>
      <c r="N96" s="6"/>
      <c r="O96" s="6"/>
      <c r="P96" s="12"/>
      <c r="Q96" s="6"/>
      <c r="R96" s="12"/>
      <c r="S96" s="6"/>
      <c r="T96" s="10" t="str">
        <f t="shared" si="1"/>
        <v/>
      </c>
      <c r="U96" s="6"/>
      <c r="V96" s="6"/>
    </row>
    <row r="97" spans="1:22" ht="18" customHeight="1" x14ac:dyDescent="0.45">
      <c r="A97" s="4"/>
      <c r="B97" s="4"/>
      <c r="C97" s="10" t="str">
        <f>IFERROR(VLOOKUP(B97,'Incident Intake'!$A:$G,7,FALSE())&amp;" "&amp;VLOOKUP(B97,'Incident Intake'!$A:$F,6,FALSE()),"")</f>
        <v/>
      </c>
      <c r="D97" s="10" t="str">
        <f>IFERROR(VLOOKUP(B97,'Incident Intake'!$A:$J,10,FALSE()),"")</f>
        <v/>
      </c>
      <c r="E97" s="8"/>
      <c r="F97" s="4"/>
      <c r="G97" s="4"/>
      <c r="H97" s="4"/>
      <c r="I97" s="4"/>
      <c r="J97" s="4"/>
      <c r="K97" s="4"/>
      <c r="L97" s="4"/>
      <c r="M97" s="4"/>
      <c r="N97" s="4"/>
      <c r="O97" s="4"/>
      <c r="P97" s="8"/>
      <c r="Q97" s="4"/>
      <c r="R97" s="8"/>
      <c r="S97" s="4"/>
      <c r="T97" s="10" t="str">
        <f t="shared" si="1"/>
        <v/>
      </c>
      <c r="U97" s="4"/>
      <c r="V97" s="4"/>
    </row>
    <row r="98" spans="1:22" ht="18" customHeight="1" x14ac:dyDescent="0.45">
      <c r="A98" s="6"/>
      <c r="B98" s="6"/>
      <c r="C98" s="10" t="str">
        <f>IFERROR(VLOOKUP(B98,'Incident Intake'!$A:$G,7,FALSE())&amp;" "&amp;VLOOKUP(B98,'Incident Intake'!$A:$F,6,FALSE()),"")</f>
        <v/>
      </c>
      <c r="D98" s="10" t="str">
        <f>IFERROR(VLOOKUP(B98,'Incident Intake'!$A:$J,10,FALSE()),"")</f>
        <v/>
      </c>
      <c r="E98" s="12"/>
      <c r="F98" s="6"/>
      <c r="G98" s="6"/>
      <c r="H98" s="6"/>
      <c r="I98" s="6"/>
      <c r="J98" s="6"/>
      <c r="K98" s="6"/>
      <c r="L98" s="6"/>
      <c r="M98" s="6"/>
      <c r="N98" s="6"/>
      <c r="O98" s="6"/>
      <c r="P98" s="12"/>
      <c r="Q98" s="6"/>
      <c r="R98" s="12"/>
      <c r="S98" s="6"/>
      <c r="T98" s="10" t="str">
        <f t="shared" si="1"/>
        <v/>
      </c>
      <c r="U98" s="6"/>
      <c r="V98" s="6"/>
    </row>
    <row r="99" spans="1:22" ht="18" customHeight="1" x14ac:dyDescent="0.45">
      <c r="A99" s="4"/>
      <c r="B99" s="4"/>
      <c r="C99" s="10" t="str">
        <f>IFERROR(VLOOKUP(B99,'Incident Intake'!$A:$G,7,FALSE())&amp;" "&amp;VLOOKUP(B99,'Incident Intake'!$A:$F,6,FALSE()),"")</f>
        <v/>
      </c>
      <c r="D99" s="10" t="str">
        <f>IFERROR(VLOOKUP(B99,'Incident Intake'!$A:$J,10,FALSE()),"")</f>
        <v/>
      </c>
      <c r="E99" s="8"/>
      <c r="F99" s="4"/>
      <c r="G99" s="4"/>
      <c r="H99" s="4"/>
      <c r="I99" s="4"/>
      <c r="J99" s="4"/>
      <c r="K99" s="4"/>
      <c r="L99" s="4"/>
      <c r="M99" s="4"/>
      <c r="N99" s="4"/>
      <c r="O99" s="4"/>
      <c r="P99" s="8"/>
      <c r="Q99" s="4"/>
      <c r="R99" s="8"/>
      <c r="S99" s="4"/>
      <c r="T99" s="10" t="str">
        <f t="shared" si="1"/>
        <v/>
      </c>
      <c r="U99" s="4"/>
      <c r="V99" s="4"/>
    </row>
    <row r="100" spans="1:22" ht="18" customHeight="1" x14ac:dyDescent="0.45">
      <c r="A100" s="6"/>
      <c r="B100" s="6"/>
      <c r="C100" s="10" t="str">
        <f>IFERROR(VLOOKUP(B100,'Incident Intake'!$A:$G,7,FALSE())&amp;" "&amp;VLOOKUP(B100,'Incident Intake'!$A:$F,6,FALSE()),"")</f>
        <v/>
      </c>
      <c r="D100" s="10" t="str">
        <f>IFERROR(VLOOKUP(B100,'Incident Intake'!$A:$J,10,FALSE()),"")</f>
        <v/>
      </c>
      <c r="E100" s="1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12"/>
      <c r="Q100" s="6"/>
      <c r="R100" s="12"/>
      <c r="S100" s="6"/>
      <c r="T100" s="10" t="str">
        <f t="shared" si="1"/>
        <v/>
      </c>
      <c r="U100" s="6"/>
      <c r="V100" s="6"/>
    </row>
    <row r="101" spans="1:22" ht="18" customHeight="1" x14ac:dyDescent="0.45">
      <c r="A101" s="4"/>
      <c r="B101" s="4"/>
      <c r="C101" s="10" t="str">
        <f>IFERROR(VLOOKUP(B101,'Incident Intake'!$A:$G,7,FALSE())&amp;" "&amp;VLOOKUP(B101,'Incident Intake'!$A:$F,6,FALSE()),"")</f>
        <v/>
      </c>
      <c r="D101" s="10" t="str">
        <f>IFERROR(VLOOKUP(B101,'Incident Intake'!$A:$J,10,FALSE()),"")</f>
        <v/>
      </c>
      <c r="E101" s="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8"/>
      <c r="Q101" s="4"/>
      <c r="R101" s="8"/>
      <c r="S101" s="4"/>
      <c r="T101" s="10" t="str">
        <f t="shared" si="1"/>
        <v/>
      </c>
      <c r="U101" s="4"/>
      <c r="V101" s="4"/>
    </row>
    <row r="102" spans="1:22" ht="18" customHeight="1" x14ac:dyDescent="0.45">
      <c r="A102" s="6"/>
      <c r="B102" s="6"/>
      <c r="C102" s="10" t="str">
        <f>IFERROR(VLOOKUP(B102,'Incident Intake'!$A:$G,7,FALSE())&amp;" "&amp;VLOOKUP(B102,'Incident Intake'!$A:$F,6,FALSE()),"")</f>
        <v/>
      </c>
      <c r="D102" s="10" t="str">
        <f>IFERROR(VLOOKUP(B102,'Incident Intake'!$A:$J,10,FALSE()),"")</f>
        <v/>
      </c>
      <c r="E102" s="1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12"/>
      <c r="Q102" s="6"/>
      <c r="R102" s="12"/>
      <c r="S102" s="6"/>
      <c r="T102" s="10" t="str">
        <f t="shared" si="1"/>
        <v/>
      </c>
      <c r="U102" s="6"/>
      <c r="V102" s="6"/>
    </row>
    <row r="103" spans="1:22" ht="18" customHeight="1" x14ac:dyDescent="0.45">
      <c r="A103" s="4"/>
      <c r="B103" s="4"/>
      <c r="C103" s="10" t="str">
        <f>IFERROR(VLOOKUP(B103,'Incident Intake'!$A:$G,7,FALSE())&amp;" "&amp;VLOOKUP(B103,'Incident Intake'!$A:$F,6,FALSE()),"")</f>
        <v/>
      </c>
      <c r="D103" s="10" t="str">
        <f>IFERROR(VLOOKUP(B103,'Incident Intake'!$A:$J,10,FALSE()),"")</f>
        <v/>
      </c>
      <c r="E103" s="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8"/>
      <c r="Q103" s="4"/>
      <c r="R103" s="8"/>
      <c r="S103" s="4"/>
      <c r="T103" s="10" t="str">
        <f t="shared" si="1"/>
        <v/>
      </c>
      <c r="U103" s="4"/>
      <c r="V103" s="4"/>
    </row>
    <row r="104" spans="1:22" ht="18" customHeight="1" x14ac:dyDescent="0.45">
      <c r="A104" s="6"/>
      <c r="B104" s="6"/>
      <c r="C104" s="10" t="str">
        <f>IFERROR(VLOOKUP(B104,'Incident Intake'!$A:$G,7,FALSE())&amp;" "&amp;VLOOKUP(B104,'Incident Intake'!$A:$F,6,FALSE()),"")</f>
        <v/>
      </c>
      <c r="D104" s="10" t="str">
        <f>IFERROR(VLOOKUP(B104,'Incident Intake'!$A:$J,10,FALSE()),"")</f>
        <v/>
      </c>
      <c r="E104" s="12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12"/>
      <c r="Q104" s="6"/>
      <c r="R104" s="12"/>
      <c r="S104" s="6"/>
      <c r="T104" s="10" t="str">
        <f t="shared" si="1"/>
        <v/>
      </c>
      <c r="U104" s="6"/>
      <c r="V104" s="6"/>
    </row>
    <row r="105" spans="1:22" ht="18" customHeight="1" x14ac:dyDescent="0.45">
      <c r="A105" s="4"/>
      <c r="B105" s="4"/>
      <c r="C105" s="10" t="str">
        <f>IFERROR(VLOOKUP(B105,'Incident Intake'!$A:$G,7,FALSE())&amp;" "&amp;VLOOKUP(B105,'Incident Intake'!$A:$F,6,FALSE()),"")</f>
        <v/>
      </c>
      <c r="D105" s="10" t="str">
        <f>IFERROR(VLOOKUP(B105,'Incident Intake'!$A:$J,10,FALSE()),"")</f>
        <v/>
      </c>
      <c r="E105" s="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8"/>
      <c r="Q105" s="4"/>
      <c r="R105" s="8"/>
      <c r="S105" s="4"/>
      <c r="T105" s="10" t="str">
        <f t="shared" si="1"/>
        <v/>
      </c>
      <c r="U105" s="4"/>
      <c r="V105" s="4"/>
    </row>
    <row r="106" spans="1:22" ht="18" customHeight="1" x14ac:dyDescent="0.45">
      <c r="A106" s="6"/>
      <c r="B106" s="6"/>
      <c r="C106" s="10" t="str">
        <f>IFERROR(VLOOKUP(B106,'Incident Intake'!$A:$G,7,FALSE())&amp;" "&amp;VLOOKUP(B106,'Incident Intake'!$A:$F,6,FALSE()),"")</f>
        <v/>
      </c>
      <c r="D106" s="10" t="str">
        <f>IFERROR(VLOOKUP(B106,'Incident Intake'!$A:$J,10,FALSE()),"")</f>
        <v/>
      </c>
      <c r="E106" s="12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12"/>
      <c r="Q106" s="6"/>
      <c r="R106" s="12"/>
      <c r="S106" s="6"/>
      <c r="T106" s="10" t="str">
        <f t="shared" si="1"/>
        <v/>
      </c>
      <c r="U106" s="6"/>
      <c r="V106" s="6"/>
    </row>
    <row r="107" spans="1:22" ht="18" customHeight="1" x14ac:dyDescent="0.45">
      <c r="A107" s="4"/>
      <c r="B107" s="4"/>
      <c r="C107" s="10" t="str">
        <f>IFERROR(VLOOKUP(B107,'Incident Intake'!$A:$G,7,FALSE())&amp;" "&amp;VLOOKUP(B107,'Incident Intake'!$A:$F,6,FALSE()),"")</f>
        <v/>
      </c>
      <c r="D107" s="10" t="str">
        <f>IFERROR(VLOOKUP(B107,'Incident Intake'!$A:$J,10,FALSE()),"")</f>
        <v/>
      </c>
      <c r="E107" s="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8"/>
      <c r="Q107" s="4"/>
      <c r="R107" s="8"/>
      <c r="S107" s="4"/>
      <c r="T107" s="10" t="str">
        <f t="shared" si="1"/>
        <v/>
      </c>
      <c r="U107" s="4"/>
      <c r="V107" s="4"/>
    </row>
    <row r="108" spans="1:22" ht="18" customHeight="1" x14ac:dyDescent="0.45">
      <c r="A108" s="6"/>
      <c r="B108" s="6"/>
      <c r="C108" s="10" t="str">
        <f>IFERROR(VLOOKUP(B108,'Incident Intake'!$A:$G,7,FALSE())&amp;" "&amp;VLOOKUP(B108,'Incident Intake'!$A:$F,6,FALSE()),"")</f>
        <v/>
      </c>
      <c r="D108" s="10" t="str">
        <f>IFERROR(VLOOKUP(B108,'Incident Intake'!$A:$J,10,FALSE()),"")</f>
        <v/>
      </c>
      <c r="E108" s="12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12"/>
      <c r="Q108" s="6"/>
      <c r="R108" s="12"/>
      <c r="S108" s="6"/>
      <c r="T108" s="10" t="str">
        <f t="shared" si="1"/>
        <v/>
      </c>
      <c r="U108" s="6"/>
      <c r="V108" s="6"/>
    </row>
    <row r="109" spans="1:22" ht="18" customHeight="1" x14ac:dyDescent="0.45">
      <c r="A109" s="4"/>
      <c r="B109" s="4"/>
      <c r="C109" s="10" t="str">
        <f>IFERROR(VLOOKUP(B109,'Incident Intake'!$A:$G,7,FALSE())&amp;" "&amp;VLOOKUP(B109,'Incident Intake'!$A:$F,6,FALSE()),"")</f>
        <v/>
      </c>
      <c r="D109" s="10" t="str">
        <f>IFERROR(VLOOKUP(B109,'Incident Intake'!$A:$J,10,FALSE()),"")</f>
        <v/>
      </c>
      <c r="E109" s="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8"/>
      <c r="Q109" s="4"/>
      <c r="R109" s="8"/>
      <c r="S109" s="4"/>
      <c r="T109" s="10" t="str">
        <f t="shared" si="1"/>
        <v/>
      </c>
      <c r="U109" s="4"/>
      <c r="V109" s="4"/>
    </row>
    <row r="110" spans="1:22" ht="18" customHeight="1" x14ac:dyDescent="0.45">
      <c r="A110" s="6"/>
      <c r="B110" s="6"/>
      <c r="C110" s="10" t="str">
        <f>IFERROR(VLOOKUP(B110,'Incident Intake'!$A:$G,7,FALSE())&amp;" "&amp;VLOOKUP(B110,'Incident Intake'!$A:$F,6,FALSE()),"")</f>
        <v/>
      </c>
      <c r="D110" s="10" t="str">
        <f>IFERROR(VLOOKUP(B110,'Incident Intake'!$A:$J,10,FALSE()),"")</f>
        <v/>
      </c>
      <c r="E110" s="12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12"/>
      <c r="Q110" s="6"/>
      <c r="R110" s="12"/>
      <c r="S110" s="6"/>
      <c r="T110" s="10" t="str">
        <f t="shared" si="1"/>
        <v/>
      </c>
      <c r="U110" s="6"/>
      <c r="V110" s="6"/>
    </row>
    <row r="111" spans="1:22" ht="18" customHeight="1" x14ac:dyDescent="0.45">
      <c r="A111" s="4"/>
      <c r="B111" s="4"/>
      <c r="C111" s="10" t="str">
        <f>IFERROR(VLOOKUP(B111,'Incident Intake'!$A:$G,7,FALSE())&amp;" "&amp;VLOOKUP(B111,'Incident Intake'!$A:$F,6,FALSE()),"")</f>
        <v/>
      </c>
      <c r="D111" s="10" t="str">
        <f>IFERROR(VLOOKUP(B111,'Incident Intake'!$A:$J,10,FALSE()),"")</f>
        <v/>
      </c>
      <c r="E111" s="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8"/>
      <c r="Q111" s="4"/>
      <c r="R111" s="8"/>
      <c r="S111" s="4"/>
      <c r="T111" s="10" t="str">
        <f t="shared" si="1"/>
        <v/>
      </c>
      <c r="U111" s="4"/>
      <c r="V111" s="4"/>
    </row>
    <row r="112" spans="1:22" ht="18" customHeight="1" x14ac:dyDescent="0.45">
      <c r="A112" s="6"/>
      <c r="B112" s="6"/>
      <c r="C112" s="10" t="str">
        <f>IFERROR(VLOOKUP(B112,'Incident Intake'!$A:$G,7,FALSE())&amp;" "&amp;VLOOKUP(B112,'Incident Intake'!$A:$F,6,FALSE()),"")</f>
        <v/>
      </c>
      <c r="D112" s="10" t="str">
        <f>IFERROR(VLOOKUP(B112,'Incident Intake'!$A:$J,10,FALSE()),"")</f>
        <v/>
      </c>
      <c r="E112" s="12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12"/>
      <c r="Q112" s="6"/>
      <c r="R112" s="12"/>
      <c r="S112" s="6"/>
      <c r="T112" s="10" t="str">
        <f t="shared" si="1"/>
        <v/>
      </c>
      <c r="U112" s="6"/>
      <c r="V112" s="6"/>
    </row>
    <row r="113" spans="1:22" ht="18" customHeight="1" x14ac:dyDescent="0.45">
      <c r="A113" s="4"/>
      <c r="B113" s="4"/>
      <c r="C113" s="10" t="str">
        <f>IFERROR(VLOOKUP(B113,'Incident Intake'!$A:$G,7,FALSE())&amp;" "&amp;VLOOKUP(B113,'Incident Intake'!$A:$F,6,FALSE()),"")</f>
        <v/>
      </c>
      <c r="D113" s="10" t="str">
        <f>IFERROR(VLOOKUP(B113,'Incident Intake'!$A:$J,10,FALSE()),"")</f>
        <v/>
      </c>
      <c r="E113" s="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8"/>
      <c r="Q113" s="4"/>
      <c r="R113" s="8"/>
      <c r="S113" s="4"/>
      <c r="T113" s="10" t="str">
        <f t="shared" si="1"/>
        <v/>
      </c>
      <c r="U113" s="4"/>
      <c r="V113" s="4"/>
    </row>
    <row r="114" spans="1:22" ht="18" customHeight="1" x14ac:dyDescent="0.45">
      <c r="A114" s="6"/>
      <c r="B114" s="6"/>
      <c r="C114" s="10" t="str">
        <f>IFERROR(VLOOKUP(B114,'Incident Intake'!$A:$G,7,FALSE())&amp;" "&amp;VLOOKUP(B114,'Incident Intake'!$A:$F,6,FALSE()),"")</f>
        <v/>
      </c>
      <c r="D114" s="10" t="str">
        <f>IFERROR(VLOOKUP(B114,'Incident Intake'!$A:$J,10,FALSE()),"")</f>
        <v/>
      </c>
      <c r="E114" s="12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12"/>
      <c r="Q114" s="6"/>
      <c r="R114" s="12"/>
      <c r="S114" s="6"/>
      <c r="T114" s="10" t="str">
        <f t="shared" si="1"/>
        <v/>
      </c>
      <c r="U114" s="6"/>
      <c r="V114" s="6"/>
    </row>
    <row r="115" spans="1:22" ht="18" customHeight="1" x14ac:dyDescent="0.45">
      <c r="A115" s="4"/>
      <c r="B115" s="4"/>
      <c r="C115" s="10" t="str">
        <f>IFERROR(VLOOKUP(B115,'Incident Intake'!$A:$G,7,FALSE())&amp;" "&amp;VLOOKUP(B115,'Incident Intake'!$A:$F,6,FALSE()),"")</f>
        <v/>
      </c>
      <c r="D115" s="10" t="str">
        <f>IFERROR(VLOOKUP(B115,'Incident Intake'!$A:$J,10,FALSE()),"")</f>
        <v/>
      </c>
      <c r="E115" s="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8"/>
      <c r="Q115" s="4"/>
      <c r="R115" s="8"/>
      <c r="S115" s="4"/>
      <c r="T115" s="10" t="str">
        <f t="shared" si="1"/>
        <v/>
      </c>
      <c r="U115" s="4"/>
      <c r="V115" s="4"/>
    </row>
    <row r="116" spans="1:22" ht="18" customHeight="1" x14ac:dyDescent="0.45">
      <c r="A116" s="6"/>
      <c r="B116" s="6"/>
      <c r="C116" s="10" t="str">
        <f>IFERROR(VLOOKUP(B116,'Incident Intake'!$A:$G,7,FALSE())&amp;" "&amp;VLOOKUP(B116,'Incident Intake'!$A:$F,6,FALSE()),"")</f>
        <v/>
      </c>
      <c r="D116" s="10" t="str">
        <f>IFERROR(VLOOKUP(B116,'Incident Intake'!$A:$J,10,FALSE()),"")</f>
        <v/>
      </c>
      <c r="E116" s="12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12"/>
      <c r="Q116" s="6"/>
      <c r="R116" s="12"/>
      <c r="S116" s="6"/>
      <c r="T116" s="10" t="str">
        <f t="shared" si="1"/>
        <v/>
      </c>
      <c r="U116" s="6"/>
      <c r="V116" s="6"/>
    </row>
    <row r="117" spans="1:22" ht="18" customHeight="1" x14ac:dyDescent="0.45">
      <c r="A117" s="4"/>
      <c r="B117" s="4"/>
      <c r="C117" s="10" t="str">
        <f>IFERROR(VLOOKUP(B117,'Incident Intake'!$A:$G,7,FALSE())&amp;" "&amp;VLOOKUP(B117,'Incident Intake'!$A:$F,6,FALSE()),"")</f>
        <v/>
      </c>
      <c r="D117" s="10" t="str">
        <f>IFERROR(VLOOKUP(B117,'Incident Intake'!$A:$J,10,FALSE()),"")</f>
        <v/>
      </c>
      <c r="E117" s="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8"/>
      <c r="Q117" s="4"/>
      <c r="R117" s="8"/>
      <c r="S117" s="4"/>
      <c r="T117" s="10" t="str">
        <f t="shared" si="1"/>
        <v/>
      </c>
      <c r="U117" s="4"/>
      <c r="V117" s="4"/>
    </row>
    <row r="118" spans="1:22" ht="18" customHeight="1" x14ac:dyDescent="0.45">
      <c r="A118" s="6"/>
      <c r="B118" s="6"/>
      <c r="C118" s="10" t="str">
        <f>IFERROR(VLOOKUP(B118,'Incident Intake'!$A:$G,7,FALSE())&amp;" "&amp;VLOOKUP(B118,'Incident Intake'!$A:$F,6,FALSE()),"")</f>
        <v/>
      </c>
      <c r="D118" s="10" t="str">
        <f>IFERROR(VLOOKUP(B118,'Incident Intake'!$A:$J,10,FALSE()),"")</f>
        <v/>
      </c>
      <c r="E118" s="12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12"/>
      <c r="Q118" s="6"/>
      <c r="R118" s="12"/>
      <c r="S118" s="6"/>
      <c r="T118" s="10" t="str">
        <f t="shared" si="1"/>
        <v/>
      </c>
      <c r="U118" s="6"/>
      <c r="V118" s="6"/>
    </row>
    <row r="119" spans="1:22" ht="18" customHeight="1" x14ac:dyDescent="0.45">
      <c r="A119" s="4"/>
      <c r="B119" s="4"/>
      <c r="C119" s="10" t="str">
        <f>IFERROR(VLOOKUP(B119,'Incident Intake'!$A:$G,7,FALSE())&amp;" "&amp;VLOOKUP(B119,'Incident Intake'!$A:$F,6,FALSE()),"")</f>
        <v/>
      </c>
      <c r="D119" s="10" t="str">
        <f>IFERROR(VLOOKUP(B119,'Incident Intake'!$A:$J,10,FALSE()),"")</f>
        <v/>
      </c>
      <c r="E119" s="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8"/>
      <c r="Q119" s="4"/>
      <c r="R119" s="8"/>
      <c r="S119" s="4"/>
      <c r="T119" s="10" t="str">
        <f t="shared" si="1"/>
        <v/>
      </c>
      <c r="U119" s="4"/>
      <c r="V119" s="4"/>
    </row>
    <row r="120" spans="1:22" ht="18" customHeight="1" x14ac:dyDescent="0.45">
      <c r="A120" s="6"/>
      <c r="B120" s="6"/>
      <c r="C120" s="10" t="str">
        <f>IFERROR(VLOOKUP(B120,'Incident Intake'!$A:$G,7,FALSE())&amp;" "&amp;VLOOKUP(B120,'Incident Intake'!$A:$F,6,FALSE()),"")</f>
        <v/>
      </c>
      <c r="D120" s="10" t="str">
        <f>IFERROR(VLOOKUP(B120,'Incident Intake'!$A:$J,10,FALSE()),"")</f>
        <v/>
      </c>
      <c r="E120" s="12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12"/>
      <c r="Q120" s="6"/>
      <c r="R120" s="12"/>
      <c r="S120" s="6"/>
      <c r="T120" s="10" t="str">
        <f t="shared" si="1"/>
        <v/>
      </c>
      <c r="U120" s="6"/>
      <c r="V120" s="6"/>
    </row>
    <row r="121" spans="1:22" ht="18" customHeight="1" x14ac:dyDescent="0.45">
      <c r="A121" s="4"/>
      <c r="B121" s="4"/>
      <c r="C121" s="10" t="str">
        <f>IFERROR(VLOOKUP(B121,'Incident Intake'!$A:$G,7,FALSE())&amp;" "&amp;VLOOKUP(B121,'Incident Intake'!$A:$F,6,FALSE()),"")</f>
        <v/>
      </c>
      <c r="D121" s="10" t="str">
        <f>IFERROR(VLOOKUP(B121,'Incident Intake'!$A:$J,10,FALSE()),"")</f>
        <v/>
      </c>
      <c r="E121" s="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8"/>
      <c r="Q121" s="4"/>
      <c r="R121" s="8"/>
      <c r="S121" s="4"/>
      <c r="T121" s="10" t="str">
        <f t="shared" si="1"/>
        <v/>
      </c>
      <c r="U121" s="4"/>
      <c r="V121" s="4"/>
    </row>
    <row r="122" spans="1:22" ht="18" customHeight="1" x14ac:dyDescent="0.45">
      <c r="A122" s="6"/>
      <c r="B122" s="6"/>
      <c r="C122" s="10" t="str">
        <f>IFERROR(VLOOKUP(B122,'Incident Intake'!$A:$G,7,FALSE())&amp;" "&amp;VLOOKUP(B122,'Incident Intake'!$A:$F,6,FALSE()),"")</f>
        <v/>
      </c>
      <c r="D122" s="10" t="str">
        <f>IFERROR(VLOOKUP(B122,'Incident Intake'!$A:$J,10,FALSE()),"")</f>
        <v/>
      </c>
      <c r="E122" s="12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12"/>
      <c r="Q122" s="6"/>
      <c r="R122" s="12"/>
      <c r="S122" s="6"/>
      <c r="T122" s="10" t="str">
        <f t="shared" si="1"/>
        <v/>
      </c>
      <c r="U122" s="6"/>
      <c r="V122" s="6"/>
    </row>
    <row r="123" spans="1:22" ht="18" customHeight="1" x14ac:dyDescent="0.45">
      <c r="A123" s="4"/>
      <c r="B123" s="4"/>
      <c r="C123" s="10" t="str">
        <f>IFERROR(VLOOKUP(B123,'Incident Intake'!$A:$G,7,FALSE())&amp;" "&amp;VLOOKUP(B123,'Incident Intake'!$A:$F,6,FALSE()),"")</f>
        <v/>
      </c>
      <c r="D123" s="10" t="str">
        <f>IFERROR(VLOOKUP(B123,'Incident Intake'!$A:$J,10,FALSE()),"")</f>
        <v/>
      </c>
      <c r="E123" s="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8"/>
      <c r="Q123" s="4"/>
      <c r="R123" s="8"/>
      <c r="S123" s="4"/>
      <c r="T123" s="10" t="str">
        <f t="shared" si="1"/>
        <v/>
      </c>
      <c r="U123" s="4"/>
      <c r="V123" s="4"/>
    </row>
    <row r="124" spans="1:22" ht="18" customHeight="1" x14ac:dyDescent="0.45">
      <c r="A124" s="6"/>
      <c r="B124" s="6"/>
      <c r="C124" s="10" t="str">
        <f>IFERROR(VLOOKUP(B124,'Incident Intake'!$A:$G,7,FALSE())&amp;" "&amp;VLOOKUP(B124,'Incident Intake'!$A:$F,6,FALSE()),"")</f>
        <v/>
      </c>
      <c r="D124" s="10" t="str">
        <f>IFERROR(VLOOKUP(B124,'Incident Intake'!$A:$J,10,FALSE()),"")</f>
        <v/>
      </c>
      <c r="E124" s="12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12"/>
      <c r="Q124" s="6"/>
      <c r="R124" s="12"/>
      <c r="S124" s="6"/>
      <c r="T124" s="10" t="str">
        <f t="shared" si="1"/>
        <v/>
      </c>
      <c r="U124" s="6"/>
      <c r="V124" s="6"/>
    </row>
    <row r="125" spans="1:22" ht="18" customHeight="1" x14ac:dyDescent="0.45">
      <c r="A125" s="4"/>
      <c r="B125" s="4"/>
      <c r="C125" s="10" t="str">
        <f>IFERROR(VLOOKUP(B125,'Incident Intake'!$A:$G,7,FALSE())&amp;" "&amp;VLOOKUP(B125,'Incident Intake'!$A:$F,6,FALSE()),"")</f>
        <v/>
      </c>
      <c r="D125" s="10" t="str">
        <f>IFERROR(VLOOKUP(B125,'Incident Intake'!$A:$J,10,FALSE()),"")</f>
        <v/>
      </c>
      <c r="E125" s="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8"/>
      <c r="Q125" s="4"/>
      <c r="R125" s="8"/>
      <c r="S125" s="4"/>
      <c r="T125" s="10" t="str">
        <f t="shared" si="1"/>
        <v/>
      </c>
      <c r="U125" s="4"/>
      <c r="V125" s="4"/>
    </row>
    <row r="126" spans="1:22" ht="18" customHeight="1" x14ac:dyDescent="0.45">
      <c r="A126" s="6"/>
      <c r="B126" s="6"/>
      <c r="C126" s="10" t="str">
        <f>IFERROR(VLOOKUP(B126,'Incident Intake'!$A:$G,7,FALSE())&amp;" "&amp;VLOOKUP(B126,'Incident Intake'!$A:$F,6,FALSE()),"")</f>
        <v/>
      </c>
      <c r="D126" s="10" t="str">
        <f>IFERROR(VLOOKUP(B126,'Incident Intake'!$A:$J,10,FALSE()),"")</f>
        <v/>
      </c>
      <c r="E126" s="12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12"/>
      <c r="Q126" s="6"/>
      <c r="R126" s="12"/>
      <c r="S126" s="6"/>
      <c r="T126" s="10" t="str">
        <f t="shared" si="1"/>
        <v/>
      </c>
      <c r="U126" s="6"/>
      <c r="V126" s="6"/>
    </row>
    <row r="127" spans="1:22" ht="18" customHeight="1" x14ac:dyDescent="0.45">
      <c r="A127" s="4"/>
      <c r="B127" s="4"/>
      <c r="C127" s="10" t="str">
        <f>IFERROR(VLOOKUP(B127,'Incident Intake'!$A:$G,7,FALSE())&amp;" "&amp;VLOOKUP(B127,'Incident Intake'!$A:$F,6,FALSE()),"")</f>
        <v/>
      </c>
      <c r="D127" s="10" t="str">
        <f>IFERROR(VLOOKUP(B127,'Incident Intake'!$A:$J,10,FALSE()),"")</f>
        <v/>
      </c>
      <c r="E127" s="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8"/>
      <c r="Q127" s="4"/>
      <c r="R127" s="8"/>
      <c r="S127" s="4"/>
      <c r="T127" s="10" t="str">
        <f t="shared" si="1"/>
        <v/>
      </c>
      <c r="U127" s="4"/>
      <c r="V127" s="4"/>
    </row>
    <row r="128" spans="1:22" ht="18" customHeight="1" x14ac:dyDescent="0.45">
      <c r="A128" s="6"/>
      <c r="B128" s="6"/>
      <c r="C128" s="10" t="str">
        <f>IFERROR(VLOOKUP(B128,'Incident Intake'!$A:$G,7,FALSE())&amp;" "&amp;VLOOKUP(B128,'Incident Intake'!$A:$F,6,FALSE()),"")</f>
        <v/>
      </c>
      <c r="D128" s="10" t="str">
        <f>IFERROR(VLOOKUP(B128,'Incident Intake'!$A:$J,10,FALSE()),"")</f>
        <v/>
      </c>
      <c r="E128" s="12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12"/>
      <c r="Q128" s="6"/>
      <c r="R128" s="12"/>
      <c r="S128" s="6"/>
      <c r="T128" s="10" t="str">
        <f t="shared" si="1"/>
        <v/>
      </c>
      <c r="U128" s="6"/>
      <c r="V128" s="6"/>
    </row>
    <row r="129" spans="1:22" ht="18" customHeight="1" x14ac:dyDescent="0.45">
      <c r="A129" s="4"/>
      <c r="B129" s="4"/>
      <c r="C129" s="10" t="str">
        <f>IFERROR(VLOOKUP(B129,'Incident Intake'!$A:$G,7,FALSE())&amp;" "&amp;VLOOKUP(B129,'Incident Intake'!$A:$F,6,FALSE()),"")</f>
        <v/>
      </c>
      <c r="D129" s="10" t="str">
        <f>IFERROR(VLOOKUP(B129,'Incident Intake'!$A:$J,10,FALSE()),"")</f>
        <v/>
      </c>
      <c r="E129" s="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8"/>
      <c r="Q129" s="4"/>
      <c r="R129" s="8"/>
      <c r="S129" s="4"/>
      <c r="T129" s="10" t="str">
        <f t="shared" si="1"/>
        <v/>
      </c>
      <c r="U129" s="4"/>
      <c r="V129" s="4"/>
    </row>
    <row r="130" spans="1:22" ht="18" customHeight="1" x14ac:dyDescent="0.45">
      <c r="A130" s="6"/>
      <c r="B130" s="6"/>
      <c r="C130" s="10" t="str">
        <f>IFERROR(VLOOKUP(B130,'Incident Intake'!$A:$G,7,FALSE())&amp;" "&amp;VLOOKUP(B130,'Incident Intake'!$A:$F,6,FALSE()),"")</f>
        <v/>
      </c>
      <c r="D130" s="10" t="str">
        <f>IFERROR(VLOOKUP(B130,'Incident Intake'!$A:$J,10,FALSE()),"")</f>
        <v/>
      </c>
      <c r="E130" s="12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12"/>
      <c r="Q130" s="6"/>
      <c r="R130" s="12"/>
      <c r="S130" s="6"/>
      <c r="T130" s="10" t="str">
        <f t="shared" si="1"/>
        <v/>
      </c>
      <c r="U130" s="6"/>
      <c r="V130" s="6"/>
    </row>
    <row r="131" spans="1:22" ht="18" customHeight="1" x14ac:dyDescent="0.45">
      <c r="A131" s="4"/>
      <c r="B131" s="4"/>
      <c r="C131" s="10" t="str">
        <f>IFERROR(VLOOKUP(B131,'Incident Intake'!$A:$G,7,FALSE())&amp;" "&amp;VLOOKUP(B131,'Incident Intake'!$A:$F,6,FALSE()),"")</f>
        <v/>
      </c>
      <c r="D131" s="10" t="str">
        <f>IFERROR(VLOOKUP(B131,'Incident Intake'!$A:$J,10,FALSE()),"")</f>
        <v/>
      </c>
      <c r="E131" s="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8"/>
      <c r="Q131" s="4"/>
      <c r="R131" s="8"/>
      <c r="S131" s="4"/>
      <c r="T131" s="10" t="str">
        <f t="shared" si="1"/>
        <v/>
      </c>
      <c r="U131" s="4"/>
      <c r="V131" s="4"/>
    </row>
    <row r="132" spans="1:22" ht="18" customHeight="1" x14ac:dyDescent="0.45">
      <c r="A132" s="6"/>
      <c r="B132" s="6"/>
      <c r="C132" s="10" t="str">
        <f>IFERROR(VLOOKUP(B132,'Incident Intake'!$A:$G,7,FALSE())&amp;" "&amp;VLOOKUP(B132,'Incident Intake'!$A:$F,6,FALSE()),"")</f>
        <v/>
      </c>
      <c r="D132" s="10" t="str">
        <f>IFERROR(VLOOKUP(B132,'Incident Intake'!$A:$J,10,FALSE()),"")</f>
        <v/>
      </c>
      <c r="E132" s="12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12"/>
      <c r="Q132" s="6"/>
      <c r="R132" s="12"/>
      <c r="S132" s="6"/>
      <c r="T132" s="10" t="str">
        <f t="shared" si="1"/>
        <v/>
      </c>
      <c r="U132" s="6"/>
      <c r="V132" s="6"/>
    </row>
    <row r="133" spans="1:22" ht="18" customHeight="1" x14ac:dyDescent="0.45">
      <c r="A133" s="4"/>
      <c r="B133" s="4"/>
      <c r="C133" s="10" t="str">
        <f>IFERROR(VLOOKUP(B133,'Incident Intake'!$A:$G,7,FALSE())&amp;" "&amp;VLOOKUP(B133,'Incident Intake'!$A:$F,6,FALSE()),"")</f>
        <v/>
      </c>
      <c r="D133" s="10" t="str">
        <f>IFERROR(VLOOKUP(B133,'Incident Intake'!$A:$J,10,FALSE()),"")</f>
        <v/>
      </c>
      <c r="E133" s="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8"/>
      <c r="Q133" s="4"/>
      <c r="R133" s="8"/>
      <c r="S133" s="4"/>
      <c r="T133" s="10" t="str">
        <f t="shared" ref="T133:T196" si="2">IF(S133="Yes","🔴 LEGAL HOLD — DO NOT DESTROY","")</f>
        <v/>
      </c>
      <c r="U133" s="4"/>
      <c r="V133" s="4"/>
    </row>
    <row r="134" spans="1:22" ht="18" customHeight="1" x14ac:dyDescent="0.45">
      <c r="A134" s="6"/>
      <c r="B134" s="6"/>
      <c r="C134" s="10" t="str">
        <f>IFERROR(VLOOKUP(B134,'Incident Intake'!$A:$G,7,FALSE())&amp;" "&amp;VLOOKUP(B134,'Incident Intake'!$A:$F,6,FALSE()),"")</f>
        <v/>
      </c>
      <c r="D134" s="10" t="str">
        <f>IFERROR(VLOOKUP(B134,'Incident Intake'!$A:$J,10,FALSE()),"")</f>
        <v/>
      </c>
      <c r="E134" s="12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12"/>
      <c r="Q134" s="6"/>
      <c r="R134" s="12"/>
      <c r="S134" s="6"/>
      <c r="T134" s="10" t="str">
        <f t="shared" si="2"/>
        <v/>
      </c>
      <c r="U134" s="6"/>
      <c r="V134" s="6"/>
    </row>
    <row r="135" spans="1:22" ht="18" customHeight="1" x14ac:dyDescent="0.45">
      <c r="A135" s="4"/>
      <c r="B135" s="4"/>
      <c r="C135" s="10" t="str">
        <f>IFERROR(VLOOKUP(B135,'Incident Intake'!$A:$G,7,FALSE())&amp;" "&amp;VLOOKUP(B135,'Incident Intake'!$A:$F,6,FALSE()),"")</f>
        <v/>
      </c>
      <c r="D135" s="10" t="str">
        <f>IFERROR(VLOOKUP(B135,'Incident Intake'!$A:$J,10,FALSE()),"")</f>
        <v/>
      </c>
      <c r="E135" s="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8"/>
      <c r="Q135" s="4"/>
      <c r="R135" s="8"/>
      <c r="S135" s="4"/>
      <c r="T135" s="10" t="str">
        <f t="shared" si="2"/>
        <v/>
      </c>
      <c r="U135" s="4"/>
      <c r="V135" s="4"/>
    </row>
    <row r="136" spans="1:22" ht="18" customHeight="1" x14ac:dyDescent="0.45">
      <c r="A136" s="6"/>
      <c r="B136" s="6"/>
      <c r="C136" s="10" t="str">
        <f>IFERROR(VLOOKUP(B136,'Incident Intake'!$A:$G,7,FALSE())&amp;" "&amp;VLOOKUP(B136,'Incident Intake'!$A:$F,6,FALSE()),"")</f>
        <v/>
      </c>
      <c r="D136" s="10" t="str">
        <f>IFERROR(VLOOKUP(B136,'Incident Intake'!$A:$J,10,FALSE()),"")</f>
        <v/>
      </c>
      <c r="E136" s="12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12"/>
      <c r="Q136" s="6"/>
      <c r="R136" s="12"/>
      <c r="S136" s="6"/>
      <c r="T136" s="10" t="str">
        <f t="shared" si="2"/>
        <v/>
      </c>
      <c r="U136" s="6"/>
      <c r="V136" s="6"/>
    </row>
    <row r="137" spans="1:22" ht="18" customHeight="1" x14ac:dyDescent="0.45">
      <c r="A137" s="4"/>
      <c r="B137" s="4"/>
      <c r="C137" s="10" t="str">
        <f>IFERROR(VLOOKUP(B137,'Incident Intake'!$A:$G,7,FALSE())&amp;" "&amp;VLOOKUP(B137,'Incident Intake'!$A:$F,6,FALSE()),"")</f>
        <v/>
      </c>
      <c r="D137" s="10" t="str">
        <f>IFERROR(VLOOKUP(B137,'Incident Intake'!$A:$J,10,FALSE()),"")</f>
        <v/>
      </c>
      <c r="E137" s="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8"/>
      <c r="Q137" s="4"/>
      <c r="R137" s="8"/>
      <c r="S137" s="4"/>
      <c r="T137" s="10" t="str">
        <f t="shared" si="2"/>
        <v/>
      </c>
      <c r="U137" s="4"/>
      <c r="V137" s="4"/>
    </row>
    <row r="138" spans="1:22" ht="18" customHeight="1" x14ac:dyDescent="0.45">
      <c r="A138" s="6"/>
      <c r="B138" s="6"/>
      <c r="C138" s="10" t="str">
        <f>IFERROR(VLOOKUP(B138,'Incident Intake'!$A:$G,7,FALSE())&amp;" "&amp;VLOOKUP(B138,'Incident Intake'!$A:$F,6,FALSE()),"")</f>
        <v/>
      </c>
      <c r="D138" s="10" t="str">
        <f>IFERROR(VLOOKUP(B138,'Incident Intake'!$A:$J,10,FALSE()),"")</f>
        <v/>
      </c>
      <c r="E138" s="12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12"/>
      <c r="Q138" s="6"/>
      <c r="R138" s="12"/>
      <c r="S138" s="6"/>
      <c r="T138" s="10" t="str">
        <f t="shared" si="2"/>
        <v/>
      </c>
      <c r="U138" s="6"/>
      <c r="V138" s="6"/>
    </row>
    <row r="139" spans="1:22" ht="18" customHeight="1" x14ac:dyDescent="0.45">
      <c r="A139" s="4"/>
      <c r="B139" s="4"/>
      <c r="C139" s="10" t="str">
        <f>IFERROR(VLOOKUP(B139,'Incident Intake'!$A:$G,7,FALSE())&amp;" "&amp;VLOOKUP(B139,'Incident Intake'!$A:$F,6,FALSE()),"")</f>
        <v/>
      </c>
      <c r="D139" s="10" t="str">
        <f>IFERROR(VLOOKUP(B139,'Incident Intake'!$A:$J,10,FALSE()),"")</f>
        <v/>
      </c>
      <c r="E139" s="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8"/>
      <c r="Q139" s="4"/>
      <c r="R139" s="8"/>
      <c r="S139" s="4"/>
      <c r="T139" s="10" t="str">
        <f t="shared" si="2"/>
        <v/>
      </c>
      <c r="U139" s="4"/>
      <c r="V139" s="4"/>
    </row>
    <row r="140" spans="1:22" ht="18" customHeight="1" x14ac:dyDescent="0.45">
      <c r="A140" s="6"/>
      <c r="B140" s="6"/>
      <c r="C140" s="10" t="str">
        <f>IFERROR(VLOOKUP(B140,'Incident Intake'!$A:$G,7,FALSE())&amp;" "&amp;VLOOKUP(B140,'Incident Intake'!$A:$F,6,FALSE()),"")</f>
        <v/>
      </c>
      <c r="D140" s="10" t="str">
        <f>IFERROR(VLOOKUP(B140,'Incident Intake'!$A:$J,10,FALSE()),"")</f>
        <v/>
      </c>
      <c r="E140" s="12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12"/>
      <c r="Q140" s="6"/>
      <c r="R140" s="12"/>
      <c r="S140" s="6"/>
      <c r="T140" s="10" t="str">
        <f t="shared" si="2"/>
        <v/>
      </c>
      <c r="U140" s="6"/>
      <c r="V140" s="6"/>
    </row>
    <row r="141" spans="1:22" ht="18" customHeight="1" x14ac:dyDescent="0.45">
      <c r="A141" s="4"/>
      <c r="B141" s="4"/>
      <c r="C141" s="10" t="str">
        <f>IFERROR(VLOOKUP(B141,'Incident Intake'!$A:$G,7,FALSE())&amp;" "&amp;VLOOKUP(B141,'Incident Intake'!$A:$F,6,FALSE()),"")</f>
        <v/>
      </c>
      <c r="D141" s="10" t="str">
        <f>IFERROR(VLOOKUP(B141,'Incident Intake'!$A:$J,10,FALSE()),"")</f>
        <v/>
      </c>
      <c r="E141" s="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8"/>
      <c r="Q141" s="4"/>
      <c r="R141" s="8"/>
      <c r="S141" s="4"/>
      <c r="T141" s="10" t="str">
        <f t="shared" si="2"/>
        <v/>
      </c>
      <c r="U141" s="4"/>
      <c r="V141" s="4"/>
    </row>
    <row r="142" spans="1:22" ht="18" customHeight="1" x14ac:dyDescent="0.45">
      <c r="A142" s="6"/>
      <c r="B142" s="6"/>
      <c r="C142" s="10" t="str">
        <f>IFERROR(VLOOKUP(B142,'Incident Intake'!$A:$G,7,FALSE())&amp;" "&amp;VLOOKUP(B142,'Incident Intake'!$A:$F,6,FALSE()),"")</f>
        <v/>
      </c>
      <c r="D142" s="10" t="str">
        <f>IFERROR(VLOOKUP(B142,'Incident Intake'!$A:$J,10,FALSE()),"")</f>
        <v/>
      </c>
      <c r="E142" s="12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12"/>
      <c r="Q142" s="6"/>
      <c r="R142" s="12"/>
      <c r="S142" s="6"/>
      <c r="T142" s="10" t="str">
        <f t="shared" si="2"/>
        <v/>
      </c>
      <c r="U142" s="6"/>
      <c r="V142" s="6"/>
    </row>
    <row r="143" spans="1:22" ht="18" customHeight="1" x14ac:dyDescent="0.45">
      <c r="A143" s="4"/>
      <c r="B143" s="4"/>
      <c r="C143" s="10" t="str">
        <f>IFERROR(VLOOKUP(B143,'Incident Intake'!$A:$G,7,FALSE())&amp;" "&amp;VLOOKUP(B143,'Incident Intake'!$A:$F,6,FALSE()),"")</f>
        <v/>
      </c>
      <c r="D143" s="10" t="str">
        <f>IFERROR(VLOOKUP(B143,'Incident Intake'!$A:$J,10,FALSE()),"")</f>
        <v/>
      </c>
      <c r="E143" s="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8"/>
      <c r="Q143" s="4"/>
      <c r="R143" s="8"/>
      <c r="S143" s="4"/>
      <c r="T143" s="10" t="str">
        <f t="shared" si="2"/>
        <v/>
      </c>
      <c r="U143" s="4"/>
      <c r="V143" s="4"/>
    </row>
    <row r="144" spans="1:22" ht="18" customHeight="1" x14ac:dyDescent="0.45">
      <c r="A144" s="6"/>
      <c r="B144" s="6"/>
      <c r="C144" s="10" t="str">
        <f>IFERROR(VLOOKUP(B144,'Incident Intake'!$A:$G,7,FALSE())&amp;" "&amp;VLOOKUP(B144,'Incident Intake'!$A:$F,6,FALSE()),"")</f>
        <v/>
      </c>
      <c r="D144" s="10" t="str">
        <f>IFERROR(VLOOKUP(B144,'Incident Intake'!$A:$J,10,FALSE()),"")</f>
        <v/>
      </c>
      <c r="E144" s="12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12"/>
      <c r="Q144" s="6"/>
      <c r="R144" s="12"/>
      <c r="S144" s="6"/>
      <c r="T144" s="10" t="str">
        <f t="shared" si="2"/>
        <v/>
      </c>
      <c r="U144" s="6"/>
      <c r="V144" s="6"/>
    </row>
    <row r="145" spans="1:22" ht="18" customHeight="1" x14ac:dyDescent="0.45">
      <c r="A145" s="4"/>
      <c r="B145" s="4"/>
      <c r="C145" s="10" t="str">
        <f>IFERROR(VLOOKUP(B145,'Incident Intake'!$A:$G,7,FALSE())&amp;" "&amp;VLOOKUP(B145,'Incident Intake'!$A:$F,6,FALSE()),"")</f>
        <v/>
      </c>
      <c r="D145" s="10" t="str">
        <f>IFERROR(VLOOKUP(B145,'Incident Intake'!$A:$J,10,FALSE()),"")</f>
        <v/>
      </c>
      <c r="E145" s="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8"/>
      <c r="Q145" s="4"/>
      <c r="R145" s="8"/>
      <c r="S145" s="4"/>
      <c r="T145" s="10" t="str">
        <f t="shared" si="2"/>
        <v/>
      </c>
      <c r="U145" s="4"/>
      <c r="V145" s="4"/>
    </row>
    <row r="146" spans="1:22" ht="18" customHeight="1" x14ac:dyDescent="0.45">
      <c r="A146" s="6"/>
      <c r="B146" s="6"/>
      <c r="C146" s="10" t="str">
        <f>IFERROR(VLOOKUP(B146,'Incident Intake'!$A:$G,7,FALSE())&amp;" "&amp;VLOOKUP(B146,'Incident Intake'!$A:$F,6,FALSE()),"")</f>
        <v/>
      </c>
      <c r="D146" s="10" t="str">
        <f>IFERROR(VLOOKUP(B146,'Incident Intake'!$A:$J,10,FALSE()),"")</f>
        <v/>
      </c>
      <c r="E146" s="12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12"/>
      <c r="Q146" s="6"/>
      <c r="R146" s="12"/>
      <c r="S146" s="6"/>
      <c r="T146" s="10" t="str">
        <f t="shared" si="2"/>
        <v/>
      </c>
      <c r="U146" s="6"/>
      <c r="V146" s="6"/>
    </row>
    <row r="147" spans="1:22" ht="18" customHeight="1" x14ac:dyDescent="0.45">
      <c r="A147" s="4"/>
      <c r="B147" s="4"/>
      <c r="C147" s="10" t="str">
        <f>IFERROR(VLOOKUP(B147,'Incident Intake'!$A:$G,7,FALSE())&amp;" "&amp;VLOOKUP(B147,'Incident Intake'!$A:$F,6,FALSE()),"")</f>
        <v/>
      </c>
      <c r="D147" s="10" t="str">
        <f>IFERROR(VLOOKUP(B147,'Incident Intake'!$A:$J,10,FALSE()),"")</f>
        <v/>
      </c>
      <c r="E147" s="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8"/>
      <c r="Q147" s="4"/>
      <c r="R147" s="8"/>
      <c r="S147" s="4"/>
      <c r="T147" s="10" t="str">
        <f t="shared" si="2"/>
        <v/>
      </c>
      <c r="U147" s="4"/>
      <c r="V147" s="4"/>
    </row>
    <row r="148" spans="1:22" ht="18" customHeight="1" x14ac:dyDescent="0.45">
      <c r="A148" s="6"/>
      <c r="B148" s="6"/>
      <c r="C148" s="10" t="str">
        <f>IFERROR(VLOOKUP(B148,'Incident Intake'!$A:$G,7,FALSE())&amp;" "&amp;VLOOKUP(B148,'Incident Intake'!$A:$F,6,FALSE()),"")</f>
        <v/>
      </c>
      <c r="D148" s="10" t="str">
        <f>IFERROR(VLOOKUP(B148,'Incident Intake'!$A:$J,10,FALSE()),"")</f>
        <v/>
      </c>
      <c r="E148" s="12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12"/>
      <c r="Q148" s="6"/>
      <c r="R148" s="12"/>
      <c r="S148" s="6"/>
      <c r="T148" s="10" t="str">
        <f t="shared" si="2"/>
        <v/>
      </c>
      <c r="U148" s="6"/>
      <c r="V148" s="6"/>
    </row>
    <row r="149" spans="1:22" ht="18" customHeight="1" x14ac:dyDescent="0.45">
      <c r="A149" s="4"/>
      <c r="B149" s="4"/>
      <c r="C149" s="10" t="str">
        <f>IFERROR(VLOOKUP(B149,'Incident Intake'!$A:$G,7,FALSE())&amp;" "&amp;VLOOKUP(B149,'Incident Intake'!$A:$F,6,FALSE()),"")</f>
        <v/>
      </c>
      <c r="D149" s="10" t="str">
        <f>IFERROR(VLOOKUP(B149,'Incident Intake'!$A:$J,10,FALSE()),"")</f>
        <v/>
      </c>
      <c r="E149" s="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8"/>
      <c r="Q149" s="4"/>
      <c r="R149" s="8"/>
      <c r="S149" s="4"/>
      <c r="T149" s="10" t="str">
        <f t="shared" si="2"/>
        <v/>
      </c>
      <c r="U149" s="4"/>
      <c r="V149" s="4"/>
    </row>
    <row r="150" spans="1:22" ht="18" customHeight="1" x14ac:dyDescent="0.45">
      <c r="A150" s="6"/>
      <c r="B150" s="6"/>
      <c r="C150" s="10" t="str">
        <f>IFERROR(VLOOKUP(B150,'Incident Intake'!$A:$G,7,FALSE())&amp;" "&amp;VLOOKUP(B150,'Incident Intake'!$A:$F,6,FALSE()),"")</f>
        <v/>
      </c>
      <c r="D150" s="10" t="str">
        <f>IFERROR(VLOOKUP(B150,'Incident Intake'!$A:$J,10,FALSE()),"")</f>
        <v/>
      </c>
      <c r="E150" s="12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12"/>
      <c r="Q150" s="6"/>
      <c r="R150" s="12"/>
      <c r="S150" s="6"/>
      <c r="T150" s="10" t="str">
        <f t="shared" si="2"/>
        <v/>
      </c>
      <c r="U150" s="6"/>
      <c r="V150" s="6"/>
    </row>
    <row r="151" spans="1:22" ht="18" customHeight="1" x14ac:dyDescent="0.45">
      <c r="A151" s="4"/>
      <c r="B151" s="4"/>
      <c r="C151" s="10" t="str">
        <f>IFERROR(VLOOKUP(B151,'Incident Intake'!$A:$G,7,FALSE())&amp;" "&amp;VLOOKUP(B151,'Incident Intake'!$A:$F,6,FALSE()),"")</f>
        <v/>
      </c>
      <c r="D151" s="10" t="str">
        <f>IFERROR(VLOOKUP(B151,'Incident Intake'!$A:$J,10,FALSE()),"")</f>
        <v/>
      </c>
      <c r="E151" s="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8"/>
      <c r="Q151" s="4"/>
      <c r="R151" s="8"/>
      <c r="S151" s="4"/>
      <c r="T151" s="10" t="str">
        <f t="shared" si="2"/>
        <v/>
      </c>
      <c r="U151" s="4"/>
      <c r="V151" s="4"/>
    </row>
    <row r="152" spans="1:22" ht="18" customHeight="1" x14ac:dyDescent="0.45">
      <c r="A152" s="6"/>
      <c r="B152" s="6"/>
      <c r="C152" s="10" t="str">
        <f>IFERROR(VLOOKUP(B152,'Incident Intake'!$A:$G,7,FALSE())&amp;" "&amp;VLOOKUP(B152,'Incident Intake'!$A:$F,6,FALSE()),"")</f>
        <v/>
      </c>
      <c r="D152" s="10" t="str">
        <f>IFERROR(VLOOKUP(B152,'Incident Intake'!$A:$J,10,FALSE()),"")</f>
        <v/>
      </c>
      <c r="E152" s="12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12"/>
      <c r="Q152" s="6"/>
      <c r="R152" s="12"/>
      <c r="S152" s="6"/>
      <c r="T152" s="10" t="str">
        <f t="shared" si="2"/>
        <v/>
      </c>
      <c r="U152" s="6"/>
      <c r="V152" s="6"/>
    </row>
    <row r="153" spans="1:22" ht="18" customHeight="1" x14ac:dyDescent="0.45">
      <c r="A153" s="4"/>
      <c r="B153" s="4"/>
      <c r="C153" s="10" t="str">
        <f>IFERROR(VLOOKUP(B153,'Incident Intake'!$A:$G,7,FALSE())&amp;" "&amp;VLOOKUP(B153,'Incident Intake'!$A:$F,6,FALSE()),"")</f>
        <v/>
      </c>
      <c r="D153" s="10" t="str">
        <f>IFERROR(VLOOKUP(B153,'Incident Intake'!$A:$J,10,FALSE()),"")</f>
        <v/>
      </c>
      <c r="E153" s="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8"/>
      <c r="Q153" s="4"/>
      <c r="R153" s="8"/>
      <c r="S153" s="4"/>
      <c r="T153" s="10" t="str">
        <f t="shared" si="2"/>
        <v/>
      </c>
      <c r="U153" s="4"/>
      <c r="V153" s="4"/>
    </row>
    <row r="154" spans="1:22" ht="18" customHeight="1" x14ac:dyDescent="0.45">
      <c r="A154" s="6"/>
      <c r="B154" s="6"/>
      <c r="C154" s="10" t="str">
        <f>IFERROR(VLOOKUP(B154,'Incident Intake'!$A:$G,7,FALSE())&amp;" "&amp;VLOOKUP(B154,'Incident Intake'!$A:$F,6,FALSE()),"")</f>
        <v/>
      </c>
      <c r="D154" s="10" t="str">
        <f>IFERROR(VLOOKUP(B154,'Incident Intake'!$A:$J,10,FALSE()),"")</f>
        <v/>
      </c>
      <c r="E154" s="12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12"/>
      <c r="Q154" s="6"/>
      <c r="R154" s="12"/>
      <c r="S154" s="6"/>
      <c r="T154" s="10" t="str">
        <f t="shared" si="2"/>
        <v/>
      </c>
      <c r="U154" s="6"/>
      <c r="V154" s="6"/>
    </row>
    <row r="155" spans="1:22" ht="18" customHeight="1" x14ac:dyDescent="0.45">
      <c r="A155" s="4"/>
      <c r="B155" s="4"/>
      <c r="C155" s="10" t="str">
        <f>IFERROR(VLOOKUP(B155,'Incident Intake'!$A:$G,7,FALSE())&amp;" "&amp;VLOOKUP(B155,'Incident Intake'!$A:$F,6,FALSE()),"")</f>
        <v/>
      </c>
      <c r="D155" s="10" t="str">
        <f>IFERROR(VLOOKUP(B155,'Incident Intake'!$A:$J,10,FALSE()),"")</f>
        <v/>
      </c>
      <c r="E155" s="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8"/>
      <c r="Q155" s="4"/>
      <c r="R155" s="8"/>
      <c r="S155" s="4"/>
      <c r="T155" s="10" t="str">
        <f t="shared" si="2"/>
        <v/>
      </c>
      <c r="U155" s="4"/>
      <c r="V155" s="4"/>
    </row>
    <row r="156" spans="1:22" ht="18" customHeight="1" x14ac:dyDescent="0.45">
      <c r="A156" s="6"/>
      <c r="B156" s="6"/>
      <c r="C156" s="10" t="str">
        <f>IFERROR(VLOOKUP(B156,'Incident Intake'!$A:$G,7,FALSE())&amp;" "&amp;VLOOKUP(B156,'Incident Intake'!$A:$F,6,FALSE()),"")</f>
        <v/>
      </c>
      <c r="D156" s="10" t="str">
        <f>IFERROR(VLOOKUP(B156,'Incident Intake'!$A:$J,10,FALSE()),"")</f>
        <v/>
      </c>
      <c r="E156" s="12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12"/>
      <c r="Q156" s="6"/>
      <c r="R156" s="12"/>
      <c r="S156" s="6"/>
      <c r="T156" s="10" t="str">
        <f t="shared" si="2"/>
        <v/>
      </c>
      <c r="U156" s="6"/>
      <c r="V156" s="6"/>
    </row>
    <row r="157" spans="1:22" ht="18" customHeight="1" x14ac:dyDescent="0.45">
      <c r="A157" s="4"/>
      <c r="B157" s="4"/>
      <c r="C157" s="10" t="str">
        <f>IFERROR(VLOOKUP(B157,'Incident Intake'!$A:$G,7,FALSE())&amp;" "&amp;VLOOKUP(B157,'Incident Intake'!$A:$F,6,FALSE()),"")</f>
        <v/>
      </c>
      <c r="D157" s="10" t="str">
        <f>IFERROR(VLOOKUP(B157,'Incident Intake'!$A:$J,10,FALSE()),"")</f>
        <v/>
      </c>
      <c r="E157" s="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8"/>
      <c r="Q157" s="4"/>
      <c r="R157" s="8"/>
      <c r="S157" s="4"/>
      <c r="T157" s="10" t="str">
        <f t="shared" si="2"/>
        <v/>
      </c>
      <c r="U157" s="4"/>
      <c r="V157" s="4"/>
    </row>
    <row r="158" spans="1:22" ht="18" customHeight="1" x14ac:dyDescent="0.45">
      <c r="A158" s="6"/>
      <c r="B158" s="6"/>
      <c r="C158" s="10" t="str">
        <f>IFERROR(VLOOKUP(B158,'Incident Intake'!$A:$G,7,FALSE())&amp;" "&amp;VLOOKUP(B158,'Incident Intake'!$A:$F,6,FALSE()),"")</f>
        <v/>
      </c>
      <c r="D158" s="10" t="str">
        <f>IFERROR(VLOOKUP(B158,'Incident Intake'!$A:$J,10,FALSE()),"")</f>
        <v/>
      </c>
      <c r="E158" s="12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12"/>
      <c r="Q158" s="6"/>
      <c r="R158" s="12"/>
      <c r="S158" s="6"/>
      <c r="T158" s="10" t="str">
        <f t="shared" si="2"/>
        <v/>
      </c>
      <c r="U158" s="6"/>
      <c r="V158" s="6"/>
    </row>
    <row r="159" spans="1:22" ht="18" customHeight="1" x14ac:dyDescent="0.45">
      <c r="A159" s="4"/>
      <c r="B159" s="4"/>
      <c r="C159" s="10" t="str">
        <f>IFERROR(VLOOKUP(B159,'Incident Intake'!$A:$G,7,FALSE())&amp;" "&amp;VLOOKUP(B159,'Incident Intake'!$A:$F,6,FALSE()),"")</f>
        <v/>
      </c>
      <c r="D159" s="10" t="str">
        <f>IFERROR(VLOOKUP(B159,'Incident Intake'!$A:$J,10,FALSE()),"")</f>
        <v/>
      </c>
      <c r="E159" s="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8"/>
      <c r="Q159" s="4"/>
      <c r="R159" s="8"/>
      <c r="S159" s="4"/>
      <c r="T159" s="10" t="str">
        <f t="shared" si="2"/>
        <v/>
      </c>
      <c r="U159" s="4"/>
      <c r="V159" s="4"/>
    </row>
    <row r="160" spans="1:22" ht="18" customHeight="1" x14ac:dyDescent="0.45">
      <c r="A160" s="6"/>
      <c r="B160" s="6"/>
      <c r="C160" s="10" t="str">
        <f>IFERROR(VLOOKUP(B160,'Incident Intake'!$A:$G,7,FALSE())&amp;" "&amp;VLOOKUP(B160,'Incident Intake'!$A:$F,6,FALSE()),"")</f>
        <v/>
      </c>
      <c r="D160" s="10" t="str">
        <f>IFERROR(VLOOKUP(B160,'Incident Intake'!$A:$J,10,FALSE()),"")</f>
        <v/>
      </c>
      <c r="E160" s="12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12"/>
      <c r="Q160" s="6"/>
      <c r="R160" s="12"/>
      <c r="S160" s="6"/>
      <c r="T160" s="10" t="str">
        <f t="shared" si="2"/>
        <v/>
      </c>
      <c r="U160" s="6"/>
      <c r="V160" s="6"/>
    </row>
    <row r="161" spans="1:22" ht="18" customHeight="1" x14ac:dyDescent="0.45">
      <c r="A161" s="4"/>
      <c r="B161" s="4"/>
      <c r="C161" s="10" t="str">
        <f>IFERROR(VLOOKUP(B161,'Incident Intake'!$A:$G,7,FALSE())&amp;" "&amp;VLOOKUP(B161,'Incident Intake'!$A:$F,6,FALSE()),"")</f>
        <v/>
      </c>
      <c r="D161" s="10" t="str">
        <f>IFERROR(VLOOKUP(B161,'Incident Intake'!$A:$J,10,FALSE()),"")</f>
        <v/>
      </c>
      <c r="E161" s="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8"/>
      <c r="Q161" s="4"/>
      <c r="R161" s="8"/>
      <c r="S161" s="4"/>
      <c r="T161" s="10" t="str">
        <f t="shared" si="2"/>
        <v/>
      </c>
      <c r="U161" s="4"/>
      <c r="V161" s="4"/>
    </row>
    <row r="162" spans="1:22" ht="18" customHeight="1" x14ac:dyDescent="0.45">
      <c r="A162" s="6"/>
      <c r="B162" s="6"/>
      <c r="C162" s="10" t="str">
        <f>IFERROR(VLOOKUP(B162,'Incident Intake'!$A:$G,7,FALSE())&amp;" "&amp;VLOOKUP(B162,'Incident Intake'!$A:$F,6,FALSE()),"")</f>
        <v/>
      </c>
      <c r="D162" s="10" t="str">
        <f>IFERROR(VLOOKUP(B162,'Incident Intake'!$A:$J,10,FALSE()),"")</f>
        <v/>
      </c>
      <c r="E162" s="12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12"/>
      <c r="Q162" s="6"/>
      <c r="R162" s="12"/>
      <c r="S162" s="6"/>
      <c r="T162" s="10" t="str">
        <f t="shared" si="2"/>
        <v/>
      </c>
      <c r="U162" s="6"/>
      <c r="V162" s="6"/>
    </row>
    <row r="163" spans="1:22" ht="18" customHeight="1" x14ac:dyDescent="0.45">
      <c r="A163" s="4"/>
      <c r="B163" s="4"/>
      <c r="C163" s="10" t="str">
        <f>IFERROR(VLOOKUP(B163,'Incident Intake'!$A:$G,7,FALSE())&amp;" "&amp;VLOOKUP(B163,'Incident Intake'!$A:$F,6,FALSE()),"")</f>
        <v/>
      </c>
      <c r="D163" s="10" t="str">
        <f>IFERROR(VLOOKUP(B163,'Incident Intake'!$A:$J,10,FALSE()),"")</f>
        <v/>
      </c>
      <c r="E163" s="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8"/>
      <c r="Q163" s="4"/>
      <c r="R163" s="8"/>
      <c r="S163" s="4"/>
      <c r="T163" s="10" t="str">
        <f t="shared" si="2"/>
        <v/>
      </c>
      <c r="U163" s="4"/>
      <c r="V163" s="4"/>
    </row>
    <row r="164" spans="1:22" ht="18" customHeight="1" x14ac:dyDescent="0.45">
      <c r="A164" s="6"/>
      <c r="B164" s="6"/>
      <c r="C164" s="10" t="str">
        <f>IFERROR(VLOOKUP(B164,'Incident Intake'!$A:$G,7,FALSE())&amp;" "&amp;VLOOKUP(B164,'Incident Intake'!$A:$F,6,FALSE()),"")</f>
        <v/>
      </c>
      <c r="D164" s="10" t="str">
        <f>IFERROR(VLOOKUP(B164,'Incident Intake'!$A:$J,10,FALSE()),"")</f>
        <v/>
      </c>
      <c r="E164" s="12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12"/>
      <c r="Q164" s="6"/>
      <c r="R164" s="12"/>
      <c r="S164" s="6"/>
      <c r="T164" s="10" t="str">
        <f t="shared" si="2"/>
        <v/>
      </c>
      <c r="U164" s="6"/>
      <c r="V164" s="6"/>
    </row>
    <row r="165" spans="1:22" ht="18" customHeight="1" x14ac:dyDescent="0.45">
      <c r="A165" s="4"/>
      <c r="B165" s="4"/>
      <c r="C165" s="10" t="str">
        <f>IFERROR(VLOOKUP(B165,'Incident Intake'!$A:$G,7,FALSE())&amp;" "&amp;VLOOKUP(B165,'Incident Intake'!$A:$F,6,FALSE()),"")</f>
        <v/>
      </c>
      <c r="D165" s="10" t="str">
        <f>IFERROR(VLOOKUP(B165,'Incident Intake'!$A:$J,10,FALSE()),"")</f>
        <v/>
      </c>
      <c r="E165" s="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8"/>
      <c r="Q165" s="4"/>
      <c r="R165" s="8"/>
      <c r="S165" s="4"/>
      <c r="T165" s="10" t="str">
        <f t="shared" si="2"/>
        <v/>
      </c>
      <c r="U165" s="4"/>
      <c r="V165" s="4"/>
    </row>
    <row r="166" spans="1:22" ht="18" customHeight="1" x14ac:dyDescent="0.45">
      <c r="A166" s="6"/>
      <c r="B166" s="6"/>
      <c r="C166" s="10" t="str">
        <f>IFERROR(VLOOKUP(B166,'Incident Intake'!$A:$G,7,FALSE())&amp;" "&amp;VLOOKUP(B166,'Incident Intake'!$A:$F,6,FALSE()),"")</f>
        <v/>
      </c>
      <c r="D166" s="10" t="str">
        <f>IFERROR(VLOOKUP(B166,'Incident Intake'!$A:$J,10,FALSE()),"")</f>
        <v/>
      </c>
      <c r="E166" s="12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12"/>
      <c r="Q166" s="6"/>
      <c r="R166" s="12"/>
      <c r="S166" s="6"/>
      <c r="T166" s="10" t="str">
        <f t="shared" si="2"/>
        <v/>
      </c>
      <c r="U166" s="6"/>
      <c r="V166" s="6"/>
    </row>
    <row r="167" spans="1:22" ht="18" customHeight="1" x14ac:dyDescent="0.45">
      <c r="A167" s="4"/>
      <c r="B167" s="4"/>
      <c r="C167" s="10" t="str">
        <f>IFERROR(VLOOKUP(B167,'Incident Intake'!$A:$G,7,FALSE())&amp;" "&amp;VLOOKUP(B167,'Incident Intake'!$A:$F,6,FALSE()),"")</f>
        <v/>
      </c>
      <c r="D167" s="10" t="str">
        <f>IFERROR(VLOOKUP(B167,'Incident Intake'!$A:$J,10,FALSE()),"")</f>
        <v/>
      </c>
      <c r="E167" s="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8"/>
      <c r="Q167" s="4"/>
      <c r="R167" s="8"/>
      <c r="S167" s="4"/>
      <c r="T167" s="10" t="str">
        <f t="shared" si="2"/>
        <v/>
      </c>
      <c r="U167" s="4"/>
      <c r="V167" s="4"/>
    </row>
    <row r="168" spans="1:22" ht="18" customHeight="1" x14ac:dyDescent="0.45">
      <c r="A168" s="6"/>
      <c r="B168" s="6"/>
      <c r="C168" s="10" t="str">
        <f>IFERROR(VLOOKUP(B168,'Incident Intake'!$A:$G,7,FALSE())&amp;" "&amp;VLOOKUP(B168,'Incident Intake'!$A:$F,6,FALSE()),"")</f>
        <v/>
      </c>
      <c r="D168" s="10" t="str">
        <f>IFERROR(VLOOKUP(B168,'Incident Intake'!$A:$J,10,FALSE()),"")</f>
        <v/>
      </c>
      <c r="E168" s="12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12"/>
      <c r="Q168" s="6"/>
      <c r="R168" s="12"/>
      <c r="S168" s="6"/>
      <c r="T168" s="10" t="str">
        <f t="shared" si="2"/>
        <v/>
      </c>
      <c r="U168" s="6"/>
      <c r="V168" s="6"/>
    </row>
    <row r="169" spans="1:22" ht="18" customHeight="1" x14ac:dyDescent="0.45">
      <c r="A169" s="4"/>
      <c r="B169" s="4"/>
      <c r="C169" s="10" t="str">
        <f>IFERROR(VLOOKUP(B169,'Incident Intake'!$A:$G,7,FALSE())&amp;" "&amp;VLOOKUP(B169,'Incident Intake'!$A:$F,6,FALSE()),"")</f>
        <v/>
      </c>
      <c r="D169" s="10" t="str">
        <f>IFERROR(VLOOKUP(B169,'Incident Intake'!$A:$J,10,FALSE()),"")</f>
        <v/>
      </c>
      <c r="E169" s="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8"/>
      <c r="Q169" s="4"/>
      <c r="R169" s="8"/>
      <c r="S169" s="4"/>
      <c r="T169" s="10" t="str">
        <f t="shared" si="2"/>
        <v/>
      </c>
      <c r="U169" s="4"/>
      <c r="V169" s="4"/>
    </row>
    <row r="170" spans="1:22" ht="18" customHeight="1" x14ac:dyDescent="0.45">
      <c r="A170" s="6"/>
      <c r="B170" s="6"/>
      <c r="C170" s="10" t="str">
        <f>IFERROR(VLOOKUP(B170,'Incident Intake'!$A:$G,7,FALSE())&amp;" "&amp;VLOOKUP(B170,'Incident Intake'!$A:$F,6,FALSE()),"")</f>
        <v/>
      </c>
      <c r="D170" s="10" t="str">
        <f>IFERROR(VLOOKUP(B170,'Incident Intake'!$A:$J,10,FALSE()),"")</f>
        <v/>
      </c>
      <c r="E170" s="12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12"/>
      <c r="Q170" s="6"/>
      <c r="R170" s="12"/>
      <c r="S170" s="6"/>
      <c r="T170" s="10" t="str">
        <f t="shared" si="2"/>
        <v/>
      </c>
      <c r="U170" s="6"/>
      <c r="V170" s="6"/>
    </row>
    <row r="171" spans="1:22" ht="18" customHeight="1" x14ac:dyDescent="0.45">
      <c r="A171" s="4"/>
      <c r="B171" s="4"/>
      <c r="C171" s="10" t="str">
        <f>IFERROR(VLOOKUP(B171,'Incident Intake'!$A:$G,7,FALSE())&amp;" "&amp;VLOOKUP(B171,'Incident Intake'!$A:$F,6,FALSE()),"")</f>
        <v/>
      </c>
      <c r="D171" s="10" t="str">
        <f>IFERROR(VLOOKUP(B171,'Incident Intake'!$A:$J,10,FALSE()),"")</f>
        <v/>
      </c>
      <c r="E171" s="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8"/>
      <c r="Q171" s="4"/>
      <c r="R171" s="8"/>
      <c r="S171" s="4"/>
      <c r="T171" s="10" t="str">
        <f t="shared" si="2"/>
        <v/>
      </c>
      <c r="U171" s="4"/>
      <c r="V171" s="4"/>
    </row>
    <row r="172" spans="1:22" ht="18" customHeight="1" x14ac:dyDescent="0.45">
      <c r="A172" s="6"/>
      <c r="B172" s="6"/>
      <c r="C172" s="10" t="str">
        <f>IFERROR(VLOOKUP(B172,'Incident Intake'!$A:$G,7,FALSE())&amp;" "&amp;VLOOKUP(B172,'Incident Intake'!$A:$F,6,FALSE()),"")</f>
        <v/>
      </c>
      <c r="D172" s="10" t="str">
        <f>IFERROR(VLOOKUP(B172,'Incident Intake'!$A:$J,10,FALSE()),"")</f>
        <v/>
      </c>
      <c r="E172" s="12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12"/>
      <c r="Q172" s="6"/>
      <c r="R172" s="12"/>
      <c r="S172" s="6"/>
      <c r="T172" s="10" t="str">
        <f t="shared" si="2"/>
        <v/>
      </c>
      <c r="U172" s="6"/>
      <c r="V172" s="6"/>
    </row>
    <row r="173" spans="1:22" ht="18" customHeight="1" x14ac:dyDescent="0.45">
      <c r="A173" s="4"/>
      <c r="B173" s="4"/>
      <c r="C173" s="10" t="str">
        <f>IFERROR(VLOOKUP(B173,'Incident Intake'!$A:$G,7,FALSE())&amp;" "&amp;VLOOKUP(B173,'Incident Intake'!$A:$F,6,FALSE()),"")</f>
        <v/>
      </c>
      <c r="D173" s="10" t="str">
        <f>IFERROR(VLOOKUP(B173,'Incident Intake'!$A:$J,10,FALSE()),"")</f>
        <v/>
      </c>
      <c r="E173" s="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8"/>
      <c r="Q173" s="4"/>
      <c r="R173" s="8"/>
      <c r="S173" s="4"/>
      <c r="T173" s="10" t="str">
        <f t="shared" si="2"/>
        <v/>
      </c>
      <c r="U173" s="4"/>
      <c r="V173" s="4"/>
    </row>
    <row r="174" spans="1:22" ht="18" customHeight="1" x14ac:dyDescent="0.45">
      <c r="A174" s="6"/>
      <c r="B174" s="6"/>
      <c r="C174" s="10" t="str">
        <f>IFERROR(VLOOKUP(B174,'Incident Intake'!$A:$G,7,FALSE())&amp;" "&amp;VLOOKUP(B174,'Incident Intake'!$A:$F,6,FALSE()),"")</f>
        <v/>
      </c>
      <c r="D174" s="10" t="str">
        <f>IFERROR(VLOOKUP(B174,'Incident Intake'!$A:$J,10,FALSE()),"")</f>
        <v/>
      </c>
      <c r="E174" s="12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12"/>
      <c r="Q174" s="6"/>
      <c r="R174" s="12"/>
      <c r="S174" s="6"/>
      <c r="T174" s="10" t="str">
        <f t="shared" si="2"/>
        <v/>
      </c>
      <c r="U174" s="6"/>
      <c r="V174" s="6"/>
    </row>
    <row r="175" spans="1:22" ht="18" customHeight="1" x14ac:dyDescent="0.45">
      <c r="A175" s="4"/>
      <c r="B175" s="4"/>
      <c r="C175" s="10" t="str">
        <f>IFERROR(VLOOKUP(B175,'Incident Intake'!$A:$G,7,FALSE())&amp;" "&amp;VLOOKUP(B175,'Incident Intake'!$A:$F,6,FALSE()),"")</f>
        <v/>
      </c>
      <c r="D175" s="10" t="str">
        <f>IFERROR(VLOOKUP(B175,'Incident Intake'!$A:$J,10,FALSE()),"")</f>
        <v/>
      </c>
      <c r="E175" s="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8"/>
      <c r="Q175" s="4"/>
      <c r="R175" s="8"/>
      <c r="S175" s="4"/>
      <c r="T175" s="10" t="str">
        <f t="shared" si="2"/>
        <v/>
      </c>
      <c r="U175" s="4"/>
      <c r="V175" s="4"/>
    </row>
    <row r="176" spans="1:22" ht="18" customHeight="1" x14ac:dyDescent="0.45">
      <c r="A176" s="6"/>
      <c r="B176" s="6"/>
      <c r="C176" s="10" t="str">
        <f>IFERROR(VLOOKUP(B176,'Incident Intake'!$A:$G,7,FALSE())&amp;" "&amp;VLOOKUP(B176,'Incident Intake'!$A:$F,6,FALSE()),"")</f>
        <v/>
      </c>
      <c r="D176" s="10" t="str">
        <f>IFERROR(VLOOKUP(B176,'Incident Intake'!$A:$J,10,FALSE()),"")</f>
        <v/>
      </c>
      <c r="E176" s="12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12"/>
      <c r="Q176" s="6"/>
      <c r="R176" s="12"/>
      <c r="S176" s="6"/>
      <c r="T176" s="10" t="str">
        <f t="shared" si="2"/>
        <v/>
      </c>
      <c r="U176" s="6"/>
      <c r="V176" s="6"/>
    </row>
    <row r="177" spans="1:22" ht="18" customHeight="1" x14ac:dyDescent="0.45">
      <c r="A177" s="4"/>
      <c r="B177" s="4"/>
      <c r="C177" s="10" t="str">
        <f>IFERROR(VLOOKUP(B177,'Incident Intake'!$A:$G,7,FALSE())&amp;" "&amp;VLOOKUP(B177,'Incident Intake'!$A:$F,6,FALSE()),"")</f>
        <v/>
      </c>
      <c r="D177" s="10" t="str">
        <f>IFERROR(VLOOKUP(B177,'Incident Intake'!$A:$J,10,FALSE()),"")</f>
        <v/>
      </c>
      <c r="E177" s="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8"/>
      <c r="Q177" s="4"/>
      <c r="R177" s="8"/>
      <c r="S177" s="4"/>
      <c r="T177" s="10" t="str">
        <f t="shared" si="2"/>
        <v/>
      </c>
      <c r="U177" s="4"/>
      <c r="V177" s="4"/>
    </row>
    <row r="178" spans="1:22" ht="18" customHeight="1" x14ac:dyDescent="0.45">
      <c r="A178" s="6"/>
      <c r="B178" s="6"/>
      <c r="C178" s="10" t="str">
        <f>IFERROR(VLOOKUP(B178,'Incident Intake'!$A:$G,7,FALSE())&amp;" "&amp;VLOOKUP(B178,'Incident Intake'!$A:$F,6,FALSE()),"")</f>
        <v/>
      </c>
      <c r="D178" s="10" t="str">
        <f>IFERROR(VLOOKUP(B178,'Incident Intake'!$A:$J,10,FALSE()),"")</f>
        <v/>
      </c>
      <c r="E178" s="12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12"/>
      <c r="Q178" s="6"/>
      <c r="R178" s="12"/>
      <c r="S178" s="6"/>
      <c r="T178" s="10" t="str">
        <f t="shared" si="2"/>
        <v/>
      </c>
      <c r="U178" s="6"/>
      <c r="V178" s="6"/>
    </row>
    <row r="179" spans="1:22" ht="18" customHeight="1" x14ac:dyDescent="0.45">
      <c r="A179" s="4"/>
      <c r="B179" s="4"/>
      <c r="C179" s="10" t="str">
        <f>IFERROR(VLOOKUP(B179,'Incident Intake'!$A:$G,7,FALSE())&amp;" "&amp;VLOOKUP(B179,'Incident Intake'!$A:$F,6,FALSE()),"")</f>
        <v/>
      </c>
      <c r="D179" s="10" t="str">
        <f>IFERROR(VLOOKUP(B179,'Incident Intake'!$A:$J,10,FALSE()),"")</f>
        <v/>
      </c>
      <c r="E179" s="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8"/>
      <c r="Q179" s="4"/>
      <c r="R179" s="8"/>
      <c r="S179" s="4"/>
      <c r="T179" s="10" t="str">
        <f t="shared" si="2"/>
        <v/>
      </c>
      <c r="U179" s="4"/>
      <c r="V179" s="4"/>
    </row>
    <row r="180" spans="1:22" ht="18" customHeight="1" x14ac:dyDescent="0.45">
      <c r="A180" s="6"/>
      <c r="B180" s="6"/>
      <c r="C180" s="10" t="str">
        <f>IFERROR(VLOOKUP(B180,'Incident Intake'!$A:$G,7,FALSE())&amp;" "&amp;VLOOKUP(B180,'Incident Intake'!$A:$F,6,FALSE()),"")</f>
        <v/>
      </c>
      <c r="D180" s="10" t="str">
        <f>IFERROR(VLOOKUP(B180,'Incident Intake'!$A:$J,10,FALSE()),"")</f>
        <v/>
      </c>
      <c r="E180" s="12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12"/>
      <c r="Q180" s="6"/>
      <c r="R180" s="12"/>
      <c r="S180" s="6"/>
      <c r="T180" s="10" t="str">
        <f t="shared" si="2"/>
        <v/>
      </c>
      <c r="U180" s="6"/>
      <c r="V180" s="6"/>
    </row>
    <row r="181" spans="1:22" ht="18" customHeight="1" x14ac:dyDescent="0.45">
      <c r="A181" s="4"/>
      <c r="B181" s="4"/>
      <c r="C181" s="10" t="str">
        <f>IFERROR(VLOOKUP(B181,'Incident Intake'!$A:$G,7,FALSE())&amp;" "&amp;VLOOKUP(B181,'Incident Intake'!$A:$F,6,FALSE()),"")</f>
        <v/>
      </c>
      <c r="D181" s="10" t="str">
        <f>IFERROR(VLOOKUP(B181,'Incident Intake'!$A:$J,10,FALSE()),"")</f>
        <v/>
      </c>
      <c r="E181" s="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8"/>
      <c r="Q181" s="4"/>
      <c r="R181" s="8"/>
      <c r="S181" s="4"/>
      <c r="T181" s="10" t="str">
        <f t="shared" si="2"/>
        <v/>
      </c>
      <c r="U181" s="4"/>
      <c r="V181" s="4"/>
    </row>
    <row r="182" spans="1:22" ht="18" customHeight="1" x14ac:dyDescent="0.45">
      <c r="A182" s="6"/>
      <c r="B182" s="6"/>
      <c r="C182" s="10" t="str">
        <f>IFERROR(VLOOKUP(B182,'Incident Intake'!$A:$G,7,FALSE())&amp;" "&amp;VLOOKUP(B182,'Incident Intake'!$A:$F,6,FALSE()),"")</f>
        <v/>
      </c>
      <c r="D182" s="10" t="str">
        <f>IFERROR(VLOOKUP(B182,'Incident Intake'!$A:$J,10,FALSE()),"")</f>
        <v/>
      </c>
      <c r="E182" s="12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12"/>
      <c r="Q182" s="6"/>
      <c r="R182" s="12"/>
      <c r="S182" s="6"/>
      <c r="T182" s="10" t="str">
        <f t="shared" si="2"/>
        <v/>
      </c>
      <c r="U182" s="6"/>
      <c r="V182" s="6"/>
    </row>
    <row r="183" spans="1:22" ht="18" customHeight="1" x14ac:dyDescent="0.45">
      <c r="A183" s="4"/>
      <c r="B183" s="4"/>
      <c r="C183" s="10" t="str">
        <f>IFERROR(VLOOKUP(B183,'Incident Intake'!$A:$G,7,FALSE())&amp;" "&amp;VLOOKUP(B183,'Incident Intake'!$A:$F,6,FALSE()),"")</f>
        <v/>
      </c>
      <c r="D183" s="10" t="str">
        <f>IFERROR(VLOOKUP(B183,'Incident Intake'!$A:$J,10,FALSE()),"")</f>
        <v/>
      </c>
      <c r="E183" s="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8"/>
      <c r="Q183" s="4"/>
      <c r="R183" s="8"/>
      <c r="S183" s="4"/>
      <c r="T183" s="10" t="str">
        <f t="shared" si="2"/>
        <v/>
      </c>
      <c r="U183" s="4"/>
      <c r="V183" s="4"/>
    </row>
    <row r="184" spans="1:22" ht="18" customHeight="1" x14ac:dyDescent="0.45">
      <c r="A184" s="6"/>
      <c r="B184" s="6"/>
      <c r="C184" s="10" t="str">
        <f>IFERROR(VLOOKUP(B184,'Incident Intake'!$A:$G,7,FALSE())&amp;" "&amp;VLOOKUP(B184,'Incident Intake'!$A:$F,6,FALSE()),"")</f>
        <v/>
      </c>
      <c r="D184" s="10" t="str">
        <f>IFERROR(VLOOKUP(B184,'Incident Intake'!$A:$J,10,FALSE()),"")</f>
        <v/>
      </c>
      <c r="E184" s="12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12"/>
      <c r="Q184" s="6"/>
      <c r="R184" s="12"/>
      <c r="S184" s="6"/>
      <c r="T184" s="10" t="str">
        <f t="shared" si="2"/>
        <v/>
      </c>
      <c r="U184" s="6"/>
      <c r="V184" s="6"/>
    </row>
    <row r="185" spans="1:22" ht="18" customHeight="1" x14ac:dyDescent="0.45">
      <c r="A185" s="4"/>
      <c r="B185" s="4"/>
      <c r="C185" s="10" t="str">
        <f>IFERROR(VLOOKUP(B185,'Incident Intake'!$A:$G,7,FALSE())&amp;" "&amp;VLOOKUP(B185,'Incident Intake'!$A:$F,6,FALSE()),"")</f>
        <v/>
      </c>
      <c r="D185" s="10" t="str">
        <f>IFERROR(VLOOKUP(B185,'Incident Intake'!$A:$J,10,FALSE()),"")</f>
        <v/>
      </c>
      <c r="E185" s="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8"/>
      <c r="Q185" s="4"/>
      <c r="R185" s="8"/>
      <c r="S185" s="4"/>
      <c r="T185" s="10" t="str">
        <f t="shared" si="2"/>
        <v/>
      </c>
      <c r="U185" s="4"/>
      <c r="V185" s="4"/>
    </row>
    <row r="186" spans="1:22" ht="18" customHeight="1" x14ac:dyDescent="0.45">
      <c r="A186" s="6"/>
      <c r="B186" s="6"/>
      <c r="C186" s="10" t="str">
        <f>IFERROR(VLOOKUP(B186,'Incident Intake'!$A:$G,7,FALSE())&amp;" "&amp;VLOOKUP(B186,'Incident Intake'!$A:$F,6,FALSE()),"")</f>
        <v/>
      </c>
      <c r="D186" s="10" t="str">
        <f>IFERROR(VLOOKUP(B186,'Incident Intake'!$A:$J,10,FALSE()),"")</f>
        <v/>
      </c>
      <c r="E186" s="12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12"/>
      <c r="Q186" s="6"/>
      <c r="R186" s="12"/>
      <c r="S186" s="6"/>
      <c r="T186" s="10" t="str">
        <f t="shared" si="2"/>
        <v/>
      </c>
      <c r="U186" s="6"/>
      <c r="V186" s="6"/>
    </row>
    <row r="187" spans="1:22" ht="18" customHeight="1" x14ac:dyDescent="0.45">
      <c r="A187" s="4"/>
      <c r="B187" s="4"/>
      <c r="C187" s="10" t="str">
        <f>IFERROR(VLOOKUP(B187,'Incident Intake'!$A:$G,7,FALSE())&amp;" "&amp;VLOOKUP(B187,'Incident Intake'!$A:$F,6,FALSE()),"")</f>
        <v/>
      </c>
      <c r="D187" s="10" t="str">
        <f>IFERROR(VLOOKUP(B187,'Incident Intake'!$A:$J,10,FALSE()),"")</f>
        <v/>
      </c>
      <c r="E187" s="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8"/>
      <c r="Q187" s="4"/>
      <c r="R187" s="8"/>
      <c r="S187" s="4"/>
      <c r="T187" s="10" t="str">
        <f t="shared" si="2"/>
        <v/>
      </c>
      <c r="U187" s="4"/>
      <c r="V187" s="4"/>
    </row>
    <row r="188" spans="1:22" ht="18" customHeight="1" x14ac:dyDescent="0.45">
      <c r="A188" s="6"/>
      <c r="B188" s="6"/>
      <c r="C188" s="10" t="str">
        <f>IFERROR(VLOOKUP(B188,'Incident Intake'!$A:$G,7,FALSE())&amp;" "&amp;VLOOKUP(B188,'Incident Intake'!$A:$F,6,FALSE()),"")</f>
        <v/>
      </c>
      <c r="D188" s="10" t="str">
        <f>IFERROR(VLOOKUP(B188,'Incident Intake'!$A:$J,10,FALSE()),"")</f>
        <v/>
      </c>
      <c r="E188" s="12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12"/>
      <c r="Q188" s="6"/>
      <c r="R188" s="12"/>
      <c r="S188" s="6"/>
      <c r="T188" s="10" t="str">
        <f t="shared" si="2"/>
        <v/>
      </c>
      <c r="U188" s="6"/>
      <c r="V188" s="6"/>
    </row>
    <row r="189" spans="1:22" ht="18" customHeight="1" x14ac:dyDescent="0.45">
      <c r="A189" s="4"/>
      <c r="B189" s="4"/>
      <c r="C189" s="10" t="str">
        <f>IFERROR(VLOOKUP(B189,'Incident Intake'!$A:$G,7,FALSE())&amp;" "&amp;VLOOKUP(B189,'Incident Intake'!$A:$F,6,FALSE()),"")</f>
        <v/>
      </c>
      <c r="D189" s="10" t="str">
        <f>IFERROR(VLOOKUP(B189,'Incident Intake'!$A:$J,10,FALSE()),"")</f>
        <v/>
      </c>
      <c r="E189" s="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8"/>
      <c r="Q189" s="4"/>
      <c r="R189" s="8"/>
      <c r="S189" s="4"/>
      <c r="T189" s="10" t="str">
        <f t="shared" si="2"/>
        <v/>
      </c>
      <c r="U189" s="4"/>
      <c r="V189" s="4"/>
    </row>
    <row r="190" spans="1:22" ht="18" customHeight="1" x14ac:dyDescent="0.45">
      <c r="A190" s="6"/>
      <c r="B190" s="6"/>
      <c r="C190" s="10" t="str">
        <f>IFERROR(VLOOKUP(B190,'Incident Intake'!$A:$G,7,FALSE())&amp;" "&amp;VLOOKUP(B190,'Incident Intake'!$A:$F,6,FALSE()),"")</f>
        <v/>
      </c>
      <c r="D190" s="10" t="str">
        <f>IFERROR(VLOOKUP(B190,'Incident Intake'!$A:$J,10,FALSE()),"")</f>
        <v/>
      </c>
      <c r="E190" s="12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12"/>
      <c r="Q190" s="6"/>
      <c r="R190" s="12"/>
      <c r="S190" s="6"/>
      <c r="T190" s="10" t="str">
        <f t="shared" si="2"/>
        <v/>
      </c>
      <c r="U190" s="6"/>
      <c r="V190" s="6"/>
    </row>
    <row r="191" spans="1:22" ht="18" customHeight="1" x14ac:dyDescent="0.45">
      <c r="A191" s="4"/>
      <c r="B191" s="4"/>
      <c r="C191" s="10" t="str">
        <f>IFERROR(VLOOKUP(B191,'Incident Intake'!$A:$G,7,FALSE())&amp;" "&amp;VLOOKUP(B191,'Incident Intake'!$A:$F,6,FALSE()),"")</f>
        <v/>
      </c>
      <c r="D191" s="10" t="str">
        <f>IFERROR(VLOOKUP(B191,'Incident Intake'!$A:$J,10,FALSE()),"")</f>
        <v/>
      </c>
      <c r="E191" s="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8"/>
      <c r="Q191" s="4"/>
      <c r="R191" s="8"/>
      <c r="S191" s="4"/>
      <c r="T191" s="10" t="str">
        <f t="shared" si="2"/>
        <v/>
      </c>
      <c r="U191" s="4"/>
      <c r="V191" s="4"/>
    </row>
    <row r="192" spans="1:22" ht="18" customHeight="1" x14ac:dyDescent="0.45">
      <c r="A192" s="6"/>
      <c r="B192" s="6"/>
      <c r="C192" s="10" t="str">
        <f>IFERROR(VLOOKUP(B192,'Incident Intake'!$A:$G,7,FALSE())&amp;" "&amp;VLOOKUP(B192,'Incident Intake'!$A:$F,6,FALSE()),"")</f>
        <v/>
      </c>
      <c r="D192" s="10" t="str">
        <f>IFERROR(VLOOKUP(B192,'Incident Intake'!$A:$J,10,FALSE()),"")</f>
        <v/>
      </c>
      <c r="E192" s="12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12"/>
      <c r="Q192" s="6"/>
      <c r="R192" s="12"/>
      <c r="S192" s="6"/>
      <c r="T192" s="10" t="str">
        <f t="shared" si="2"/>
        <v/>
      </c>
      <c r="U192" s="6"/>
      <c r="V192" s="6"/>
    </row>
    <row r="193" spans="1:22" ht="18" customHeight="1" x14ac:dyDescent="0.45">
      <c r="A193" s="4"/>
      <c r="B193" s="4"/>
      <c r="C193" s="10" t="str">
        <f>IFERROR(VLOOKUP(B193,'Incident Intake'!$A:$G,7,FALSE())&amp;" "&amp;VLOOKUP(B193,'Incident Intake'!$A:$F,6,FALSE()),"")</f>
        <v/>
      </c>
      <c r="D193" s="10" t="str">
        <f>IFERROR(VLOOKUP(B193,'Incident Intake'!$A:$J,10,FALSE()),"")</f>
        <v/>
      </c>
      <c r="E193" s="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8"/>
      <c r="Q193" s="4"/>
      <c r="R193" s="8"/>
      <c r="S193" s="4"/>
      <c r="T193" s="10" t="str">
        <f t="shared" si="2"/>
        <v/>
      </c>
      <c r="U193" s="4"/>
      <c r="V193" s="4"/>
    </row>
    <row r="194" spans="1:22" ht="18" customHeight="1" x14ac:dyDescent="0.45">
      <c r="A194" s="6"/>
      <c r="B194" s="6"/>
      <c r="C194" s="10" t="str">
        <f>IFERROR(VLOOKUP(B194,'Incident Intake'!$A:$G,7,FALSE())&amp;" "&amp;VLOOKUP(B194,'Incident Intake'!$A:$F,6,FALSE()),"")</f>
        <v/>
      </c>
      <c r="D194" s="10" t="str">
        <f>IFERROR(VLOOKUP(B194,'Incident Intake'!$A:$J,10,FALSE()),"")</f>
        <v/>
      </c>
      <c r="E194" s="12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12"/>
      <c r="Q194" s="6"/>
      <c r="R194" s="12"/>
      <c r="S194" s="6"/>
      <c r="T194" s="10" t="str">
        <f t="shared" si="2"/>
        <v/>
      </c>
      <c r="U194" s="6"/>
      <c r="V194" s="6"/>
    </row>
    <row r="195" spans="1:22" ht="18" customHeight="1" x14ac:dyDescent="0.45">
      <c r="A195" s="4"/>
      <c r="B195" s="4"/>
      <c r="C195" s="10" t="str">
        <f>IFERROR(VLOOKUP(B195,'Incident Intake'!$A:$G,7,FALSE())&amp;" "&amp;VLOOKUP(B195,'Incident Intake'!$A:$F,6,FALSE()),"")</f>
        <v/>
      </c>
      <c r="D195" s="10" t="str">
        <f>IFERROR(VLOOKUP(B195,'Incident Intake'!$A:$J,10,FALSE()),"")</f>
        <v/>
      </c>
      <c r="E195" s="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8"/>
      <c r="Q195" s="4"/>
      <c r="R195" s="8"/>
      <c r="S195" s="4"/>
      <c r="T195" s="10" t="str">
        <f t="shared" si="2"/>
        <v/>
      </c>
      <c r="U195" s="4"/>
      <c r="V195" s="4"/>
    </row>
    <row r="196" spans="1:22" ht="18" customHeight="1" x14ac:dyDescent="0.45">
      <c r="A196" s="6"/>
      <c r="B196" s="6"/>
      <c r="C196" s="10" t="str">
        <f>IFERROR(VLOOKUP(B196,'Incident Intake'!$A:$G,7,FALSE())&amp;" "&amp;VLOOKUP(B196,'Incident Intake'!$A:$F,6,FALSE()),"")</f>
        <v/>
      </c>
      <c r="D196" s="10" t="str">
        <f>IFERROR(VLOOKUP(B196,'Incident Intake'!$A:$J,10,FALSE()),"")</f>
        <v/>
      </c>
      <c r="E196" s="12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12"/>
      <c r="Q196" s="6"/>
      <c r="R196" s="12"/>
      <c r="S196" s="6"/>
      <c r="T196" s="10" t="str">
        <f t="shared" si="2"/>
        <v/>
      </c>
      <c r="U196" s="6"/>
      <c r="V196" s="6"/>
    </row>
    <row r="197" spans="1:22" ht="18" customHeight="1" x14ac:dyDescent="0.45">
      <c r="A197" s="4"/>
      <c r="B197" s="4"/>
      <c r="C197" s="10" t="str">
        <f>IFERROR(VLOOKUP(B197,'Incident Intake'!$A:$G,7,FALSE())&amp;" "&amp;VLOOKUP(B197,'Incident Intake'!$A:$F,6,FALSE()),"")</f>
        <v/>
      </c>
      <c r="D197" s="10" t="str">
        <f>IFERROR(VLOOKUP(B197,'Incident Intake'!$A:$J,10,FALSE()),"")</f>
        <v/>
      </c>
      <c r="E197" s="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8"/>
      <c r="Q197" s="4"/>
      <c r="R197" s="8"/>
      <c r="S197" s="4"/>
      <c r="T197" s="10" t="str">
        <f t="shared" ref="T197:T260" si="3">IF(S197="Yes","🔴 LEGAL HOLD — DO NOT DESTROY","")</f>
        <v/>
      </c>
      <c r="U197" s="4"/>
      <c r="V197" s="4"/>
    </row>
    <row r="198" spans="1:22" ht="18" customHeight="1" x14ac:dyDescent="0.45">
      <c r="A198" s="6"/>
      <c r="B198" s="6"/>
      <c r="C198" s="10" t="str">
        <f>IFERROR(VLOOKUP(B198,'Incident Intake'!$A:$G,7,FALSE())&amp;" "&amp;VLOOKUP(B198,'Incident Intake'!$A:$F,6,FALSE()),"")</f>
        <v/>
      </c>
      <c r="D198" s="10" t="str">
        <f>IFERROR(VLOOKUP(B198,'Incident Intake'!$A:$J,10,FALSE()),"")</f>
        <v/>
      </c>
      <c r="E198" s="12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12"/>
      <c r="Q198" s="6"/>
      <c r="R198" s="12"/>
      <c r="S198" s="6"/>
      <c r="T198" s="10" t="str">
        <f t="shared" si="3"/>
        <v/>
      </c>
      <c r="U198" s="6"/>
      <c r="V198" s="6"/>
    </row>
    <row r="199" spans="1:22" ht="18" customHeight="1" x14ac:dyDescent="0.45">
      <c r="A199" s="4"/>
      <c r="B199" s="4"/>
      <c r="C199" s="10" t="str">
        <f>IFERROR(VLOOKUP(B199,'Incident Intake'!$A:$G,7,FALSE())&amp;" "&amp;VLOOKUP(B199,'Incident Intake'!$A:$F,6,FALSE()),"")</f>
        <v/>
      </c>
      <c r="D199" s="10" t="str">
        <f>IFERROR(VLOOKUP(B199,'Incident Intake'!$A:$J,10,FALSE()),"")</f>
        <v/>
      </c>
      <c r="E199" s="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8"/>
      <c r="Q199" s="4"/>
      <c r="R199" s="8"/>
      <c r="S199" s="4"/>
      <c r="T199" s="10" t="str">
        <f t="shared" si="3"/>
        <v/>
      </c>
      <c r="U199" s="4"/>
      <c r="V199" s="4"/>
    </row>
    <row r="200" spans="1:22" ht="18" customHeight="1" x14ac:dyDescent="0.45">
      <c r="A200" s="6"/>
      <c r="B200" s="6"/>
      <c r="C200" s="10" t="str">
        <f>IFERROR(VLOOKUP(B200,'Incident Intake'!$A:$G,7,FALSE())&amp;" "&amp;VLOOKUP(B200,'Incident Intake'!$A:$F,6,FALSE()),"")</f>
        <v/>
      </c>
      <c r="D200" s="10" t="str">
        <f>IFERROR(VLOOKUP(B200,'Incident Intake'!$A:$J,10,FALSE()),"")</f>
        <v/>
      </c>
      <c r="E200" s="12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12"/>
      <c r="Q200" s="6"/>
      <c r="R200" s="12"/>
      <c r="S200" s="6"/>
      <c r="T200" s="10" t="str">
        <f t="shared" si="3"/>
        <v/>
      </c>
      <c r="U200" s="6"/>
      <c r="V200" s="6"/>
    </row>
    <row r="201" spans="1:22" ht="18" customHeight="1" x14ac:dyDescent="0.45">
      <c r="A201" s="4"/>
      <c r="B201" s="4"/>
      <c r="C201" s="10" t="str">
        <f>IFERROR(VLOOKUP(B201,'Incident Intake'!$A:$G,7,FALSE())&amp;" "&amp;VLOOKUP(B201,'Incident Intake'!$A:$F,6,FALSE()),"")</f>
        <v/>
      </c>
      <c r="D201" s="10" t="str">
        <f>IFERROR(VLOOKUP(B201,'Incident Intake'!$A:$J,10,FALSE()),"")</f>
        <v/>
      </c>
      <c r="E201" s="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8"/>
      <c r="Q201" s="4"/>
      <c r="R201" s="8"/>
      <c r="S201" s="4"/>
      <c r="T201" s="10" t="str">
        <f t="shared" si="3"/>
        <v/>
      </c>
      <c r="U201" s="4"/>
      <c r="V201" s="4"/>
    </row>
    <row r="202" spans="1:22" ht="18" customHeight="1" x14ac:dyDescent="0.45">
      <c r="A202" s="6"/>
      <c r="B202" s="6"/>
      <c r="C202" s="10" t="str">
        <f>IFERROR(VLOOKUP(B202,'Incident Intake'!$A:$G,7,FALSE())&amp;" "&amp;VLOOKUP(B202,'Incident Intake'!$A:$F,6,FALSE()),"")</f>
        <v/>
      </c>
      <c r="D202" s="10" t="str">
        <f>IFERROR(VLOOKUP(B202,'Incident Intake'!$A:$J,10,FALSE()),"")</f>
        <v/>
      </c>
      <c r="E202" s="12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12"/>
      <c r="Q202" s="6"/>
      <c r="R202" s="12"/>
      <c r="S202" s="6"/>
      <c r="T202" s="10" t="str">
        <f t="shared" si="3"/>
        <v/>
      </c>
      <c r="U202" s="6"/>
      <c r="V202" s="6"/>
    </row>
    <row r="203" spans="1:22" ht="18" customHeight="1" x14ac:dyDescent="0.45">
      <c r="A203" s="4"/>
      <c r="B203" s="4"/>
      <c r="C203" s="10" t="str">
        <f>IFERROR(VLOOKUP(B203,'Incident Intake'!$A:$G,7,FALSE())&amp;" "&amp;VLOOKUP(B203,'Incident Intake'!$A:$F,6,FALSE()),"")</f>
        <v/>
      </c>
      <c r="D203" s="10" t="str">
        <f>IFERROR(VLOOKUP(B203,'Incident Intake'!$A:$J,10,FALSE()),"")</f>
        <v/>
      </c>
      <c r="E203" s="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8"/>
      <c r="Q203" s="4"/>
      <c r="R203" s="8"/>
      <c r="S203" s="4"/>
      <c r="T203" s="10" t="str">
        <f t="shared" si="3"/>
        <v/>
      </c>
      <c r="U203" s="4"/>
      <c r="V203" s="4"/>
    </row>
    <row r="204" spans="1:22" ht="18" customHeight="1" x14ac:dyDescent="0.45">
      <c r="A204" s="6"/>
      <c r="B204" s="6"/>
      <c r="C204" s="10" t="str">
        <f>IFERROR(VLOOKUP(B204,'Incident Intake'!$A:$G,7,FALSE())&amp;" "&amp;VLOOKUP(B204,'Incident Intake'!$A:$F,6,FALSE()),"")</f>
        <v/>
      </c>
      <c r="D204" s="10" t="str">
        <f>IFERROR(VLOOKUP(B204,'Incident Intake'!$A:$J,10,FALSE()),"")</f>
        <v/>
      </c>
      <c r="E204" s="12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12"/>
      <c r="Q204" s="6"/>
      <c r="R204" s="12"/>
      <c r="S204" s="6"/>
      <c r="T204" s="10" t="str">
        <f t="shared" si="3"/>
        <v/>
      </c>
      <c r="U204" s="6"/>
      <c r="V204" s="6"/>
    </row>
    <row r="205" spans="1:22" ht="18" customHeight="1" x14ac:dyDescent="0.45">
      <c r="A205" s="4"/>
      <c r="B205" s="4"/>
      <c r="C205" s="10" t="str">
        <f>IFERROR(VLOOKUP(B205,'Incident Intake'!$A:$G,7,FALSE())&amp;" "&amp;VLOOKUP(B205,'Incident Intake'!$A:$F,6,FALSE()),"")</f>
        <v/>
      </c>
      <c r="D205" s="10" t="str">
        <f>IFERROR(VLOOKUP(B205,'Incident Intake'!$A:$J,10,FALSE()),"")</f>
        <v/>
      </c>
      <c r="E205" s="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8"/>
      <c r="Q205" s="4"/>
      <c r="R205" s="8"/>
      <c r="S205" s="4"/>
      <c r="T205" s="10" t="str">
        <f t="shared" si="3"/>
        <v/>
      </c>
      <c r="U205" s="4"/>
      <c r="V205" s="4"/>
    </row>
    <row r="206" spans="1:22" ht="18" customHeight="1" x14ac:dyDescent="0.45">
      <c r="A206" s="6"/>
      <c r="B206" s="6"/>
      <c r="C206" s="10" t="str">
        <f>IFERROR(VLOOKUP(B206,'Incident Intake'!$A:$G,7,FALSE())&amp;" "&amp;VLOOKUP(B206,'Incident Intake'!$A:$F,6,FALSE()),"")</f>
        <v/>
      </c>
      <c r="D206" s="10" t="str">
        <f>IFERROR(VLOOKUP(B206,'Incident Intake'!$A:$J,10,FALSE()),"")</f>
        <v/>
      </c>
      <c r="E206" s="12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12"/>
      <c r="Q206" s="6"/>
      <c r="R206" s="12"/>
      <c r="S206" s="6"/>
      <c r="T206" s="10" t="str">
        <f t="shared" si="3"/>
        <v/>
      </c>
      <c r="U206" s="6"/>
      <c r="V206" s="6"/>
    </row>
    <row r="207" spans="1:22" ht="18" customHeight="1" x14ac:dyDescent="0.45">
      <c r="A207" s="4"/>
      <c r="B207" s="4"/>
      <c r="C207" s="10" t="str">
        <f>IFERROR(VLOOKUP(B207,'Incident Intake'!$A:$G,7,FALSE())&amp;" "&amp;VLOOKUP(B207,'Incident Intake'!$A:$F,6,FALSE()),"")</f>
        <v/>
      </c>
      <c r="D207" s="10" t="str">
        <f>IFERROR(VLOOKUP(B207,'Incident Intake'!$A:$J,10,FALSE()),"")</f>
        <v/>
      </c>
      <c r="E207" s="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8"/>
      <c r="Q207" s="4"/>
      <c r="R207" s="8"/>
      <c r="S207" s="4"/>
      <c r="T207" s="10" t="str">
        <f t="shared" si="3"/>
        <v/>
      </c>
      <c r="U207" s="4"/>
      <c r="V207" s="4"/>
    </row>
    <row r="208" spans="1:22" ht="18" customHeight="1" x14ac:dyDescent="0.45">
      <c r="A208" s="6"/>
      <c r="B208" s="6"/>
      <c r="C208" s="10" t="str">
        <f>IFERROR(VLOOKUP(B208,'Incident Intake'!$A:$G,7,FALSE())&amp;" "&amp;VLOOKUP(B208,'Incident Intake'!$A:$F,6,FALSE()),"")</f>
        <v/>
      </c>
      <c r="D208" s="10" t="str">
        <f>IFERROR(VLOOKUP(B208,'Incident Intake'!$A:$J,10,FALSE()),"")</f>
        <v/>
      </c>
      <c r="E208" s="12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12"/>
      <c r="Q208" s="6"/>
      <c r="R208" s="12"/>
      <c r="S208" s="6"/>
      <c r="T208" s="10" t="str">
        <f t="shared" si="3"/>
        <v/>
      </c>
      <c r="U208" s="6"/>
      <c r="V208" s="6"/>
    </row>
    <row r="209" spans="1:22" ht="18" customHeight="1" x14ac:dyDescent="0.45">
      <c r="A209" s="4"/>
      <c r="B209" s="4"/>
      <c r="C209" s="10" t="str">
        <f>IFERROR(VLOOKUP(B209,'Incident Intake'!$A:$G,7,FALSE())&amp;" "&amp;VLOOKUP(B209,'Incident Intake'!$A:$F,6,FALSE()),"")</f>
        <v/>
      </c>
      <c r="D209" s="10" t="str">
        <f>IFERROR(VLOOKUP(B209,'Incident Intake'!$A:$J,10,FALSE()),"")</f>
        <v/>
      </c>
      <c r="E209" s="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8"/>
      <c r="Q209" s="4"/>
      <c r="R209" s="8"/>
      <c r="S209" s="4"/>
      <c r="T209" s="10" t="str">
        <f t="shared" si="3"/>
        <v/>
      </c>
      <c r="U209" s="4"/>
      <c r="V209" s="4"/>
    </row>
    <row r="210" spans="1:22" ht="18" customHeight="1" x14ac:dyDescent="0.45">
      <c r="A210" s="6"/>
      <c r="B210" s="6"/>
      <c r="C210" s="10" t="str">
        <f>IFERROR(VLOOKUP(B210,'Incident Intake'!$A:$G,7,FALSE())&amp;" "&amp;VLOOKUP(B210,'Incident Intake'!$A:$F,6,FALSE()),"")</f>
        <v/>
      </c>
      <c r="D210" s="10" t="str">
        <f>IFERROR(VLOOKUP(B210,'Incident Intake'!$A:$J,10,FALSE()),"")</f>
        <v/>
      </c>
      <c r="E210" s="12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12"/>
      <c r="Q210" s="6"/>
      <c r="R210" s="12"/>
      <c r="S210" s="6"/>
      <c r="T210" s="10" t="str">
        <f t="shared" si="3"/>
        <v/>
      </c>
      <c r="U210" s="6"/>
      <c r="V210" s="6"/>
    </row>
    <row r="211" spans="1:22" ht="18" customHeight="1" x14ac:dyDescent="0.45">
      <c r="A211" s="4"/>
      <c r="B211" s="4"/>
      <c r="C211" s="10" t="str">
        <f>IFERROR(VLOOKUP(B211,'Incident Intake'!$A:$G,7,FALSE())&amp;" "&amp;VLOOKUP(B211,'Incident Intake'!$A:$F,6,FALSE()),"")</f>
        <v/>
      </c>
      <c r="D211" s="10" t="str">
        <f>IFERROR(VLOOKUP(B211,'Incident Intake'!$A:$J,10,FALSE()),"")</f>
        <v/>
      </c>
      <c r="E211" s="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8"/>
      <c r="Q211" s="4"/>
      <c r="R211" s="8"/>
      <c r="S211" s="4"/>
      <c r="T211" s="10" t="str">
        <f t="shared" si="3"/>
        <v/>
      </c>
      <c r="U211" s="4"/>
      <c r="V211" s="4"/>
    </row>
    <row r="212" spans="1:22" ht="18" customHeight="1" x14ac:dyDescent="0.45">
      <c r="A212" s="6"/>
      <c r="B212" s="6"/>
      <c r="C212" s="10" t="str">
        <f>IFERROR(VLOOKUP(B212,'Incident Intake'!$A:$G,7,FALSE())&amp;" "&amp;VLOOKUP(B212,'Incident Intake'!$A:$F,6,FALSE()),"")</f>
        <v/>
      </c>
      <c r="D212" s="10" t="str">
        <f>IFERROR(VLOOKUP(B212,'Incident Intake'!$A:$J,10,FALSE()),"")</f>
        <v/>
      </c>
      <c r="E212" s="12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12"/>
      <c r="Q212" s="6"/>
      <c r="R212" s="12"/>
      <c r="S212" s="6"/>
      <c r="T212" s="10" t="str">
        <f t="shared" si="3"/>
        <v/>
      </c>
      <c r="U212" s="6"/>
      <c r="V212" s="6"/>
    </row>
    <row r="213" spans="1:22" ht="18" customHeight="1" x14ac:dyDescent="0.45">
      <c r="A213" s="4"/>
      <c r="B213" s="4"/>
      <c r="C213" s="10" t="str">
        <f>IFERROR(VLOOKUP(B213,'Incident Intake'!$A:$G,7,FALSE())&amp;" "&amp;VLOOKUP(B213,'Incident Intake'!$A:$F,6,FALSE()),"")</f>
        <v/>
      </c>
      <c r="D213" s="10" t="str">
        <f>IFERROR(VLOOKUP(B213,'Incident Intake'!$A:$J,10,FALSE()),"")</f>
        <v/>
      </c>
      <c r="E213" s="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8"/>
      <c r="Q213" s="4"/>
      <c r="R213" s="8"/>
      <c r="S213" s="4"/>
      <c r="T213" s="10" t="str">
        <f t="shared" si="3"/>
        <v/>
      </c>
      <c r="U213" s="4"/>
      <c r="V213" s="4"/>
    </row>
    <row r="214" spans="1:22" ht="18" customHeight="1" x14ac:dyDescent="0.45">
      <c r="A214" s="6"/>
      <c r="B214" s="6"/>
      <c r="C214" s="10" t="str">
        <f>IFERROR(VLOOKUP(B214,'Incident Intake'!$A:$G,7,FALSE())&amp;" "&amp;VLOOKUP(B214,'Incident Intake'!$A:$F,6,FALSE()),"")</f>
        <v/>
      </c>
      <c r="D214" s="10" t="str">
        <f>IFERROR(VLOOKUP(B214,'Incident Intake'!$A:$J,10,FALSE()),"")</f>
        <v/>
      </c>
      <c r="E214" s="12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12"/>
      <c r="Q214" s="6"/>
      <c r="R214" s="12"/>
      <c r="S214" s="6"/>
      <c r="T214" s="10" t="str">
        <f t="shared" si="3"/>
        <v/>
      </c>
      <c r="U214" s="6"/>
      <c r="V214" s="6"/>
    </row>
    <row r="215" spans="1:22" ht="18" customHeight="1" x14ac:dyDescent="0.45">
      <c r="A215" s="4"/>
      <c r="B215" s="4"/>
      <c r="C215" s="10" t="str">
        <f>IFERROR(VLOOKUP(B215,'Incident Intake'!$A:$G,7,FALSE())&amp;" "&amp;VLOOKUP(B215,'Incident Intake'!$A:$F,6,FALSE()),"")</f>
        <v/>
      </c>
      <c r="D215" s="10" t="str">
        <f>IFERROR(VLOOKUP(B215,'Incident Intake'!$A:$J,10,FALSE()),"")</f>
        <v/>
      </c>
      <c r="E215" s="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8"/>
      <c r="Q215" s="4"/>
      <c r="R215" s="8"/>
      <c r="S215" s="4"/>
      <c r="T215" s="10" t="str">
        <f t="shared" si="3"/>
        <v/>
      </c>
      <c r="U215" s="4"/>
      <c r="V215" s="4"/>
    </row>
    <row r="216" spans="1:22" ht="18" customHeight="1" x14ac:dyDescent="0.45">
      <c r="A216" s="6"/>
      <c r="B216" s="6"/>
      <c r="C216" s="10" t="str">
        <f>IFERROR(VLOOKUP(B216,'Incident Intake'!$A:$G,7,FALSE())&amp;" "&amp;VLOOKUP(B216,'Incident Intake'!$A:$F,6,FALSE()),"")</f>
        <v/>
      </c>
      <c r="D216" s="10" t="str">
        <f>IFERROR(VLOOKUP(B216,'Incident Intake'!$A:$J,10,FALSE()),"")</f>
        <v/>
      </c>
      <c r="E216" s="12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12"/>
      <c r="Q216" s="6"/>
      <c r="R216" s="12"/>
      <c r="S216" s="6"/>
      <c r="T216" s="10" t="str">
        <f t="shared" si="3"/>
        <v/>
      </c>
      <c r="U216" s="6"/>
      <c r="V216" s="6"/>
    </row>
    <row r="217" spans="1:22" ht="18" customHeight="1" x14ac:dyDescent="0.45">
      <c r="A217" s="4"/>
      <c r="B217" s="4"/>
      <c r="C217" s="10" t="str">
        <f>IFERROR(VLOOKUP(B217,'Incident Intake'!$A:$G,7,FALSE())&amp;" "&amp;VLOOKUP(B217,'Incident Intake'!$A:$F,6,FALSE()),"")</f>
        <v/>
      </c>
      <c r="D217" s="10" t="str">
        <f>IFERROR(VLOOKUP(B217,'Incident Intake'!$A:$J,10,FALSE()),"")</f>
        <v/>
      </c>
      <c r="E217" s="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8"/>
      <c r="Q217" s="4"/>
      <c r="R217" s="8"/>
      <c r="S217" s="4"/>
      <c r="T217" s="10" t="str">
        <f t="shared" si="3"/>
        <v/>
      </c>
      <c r="U217" s="4"/>
      <c r="V217" s="4"/>
    </row>
    <row r="218" spans="1:22" ht="18" customHeight="1" x14ac:dyDescent="0.45">
      <c r="A218" s="6"/>
      <c r="B218" s="6"/>
      <c r="C218" s="10" t="str">
        <f>IFERROR(VLOOKUP(B218,'Incident Intake'!$A:$G,7,FALSE())&amp;" "&amp;VLOOKUP(B218,'Incident Intake'!$A:$F,6,FALSE()),"")</f>
        <v/>
      </c>
      <c r="D218" s="10" t="str">
        <f>IFERROR(VLOOKUP(B218,'Incident Intake'!$A:$J,10,FALSE()),"")</f>
        <v/>
      </c>
      <c r="E218" s="12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12"/>
      <c r="Q218" s="6"/>
      <c r="R218" s="12"/>
      <c r="S218" s="6"/>
      <c r="T218" s="10" t="str">
        <f t="shared" si="3"/>
        <v/>
      </c>
      <c r="U218" s="6"/>
      <c r="V218" s="6"/>
    </row>
    <row r="219" spans="1:22" ht="18" customHeight="1" x14ac:dyDescent="0.45">
      <c r="A219" s="4"/>
      <c r="B219" s="4"/>
      <c r="C219" s="10" t="str">
        <f>IFERROR(VLOOKUP(B219,'Incident Intake'!$A:$G,7,FALSE())&amp;" "&amp;VLOOKUP(B219,'Incident Intake'!$A:$F,6,FALSE()),"")</f>
        <v/>
      </c>
      <c r="D219" s="10" t="str">
        <f>IFERROR(VLOOKUP(B219,'Incident Intake'!$A:$J,10,FALSE()),"")</f>
        <v/>
      </c>
      <c r="E219" s="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8"/>
      <c r="Q219" s="4"/>
      <c r="R219" s="8"/>
      <c r="S219" s="4"/>
      <c r="T219" s="10" t="str">
        <f t="shared" si="3"/>
        <v/>
      </c>
      <c r="U219" s="4"/>
      <c r="V219" s="4"/>
    </row>
    <row r="220" spans="1:22" ht="18" customHeight="1" x14ac:dyDescent="0.45">
      <c r="A220" s="6"/>
      <c r="B220" s="6"/>
      <c r="C220" s="10" t="str">
        <f>IFERROR(VLOOKUP(B220,'Incident Intake'!$A:$G,7,FALSE())&amp;" "&amp;VLOOKUP(B220,'Incident Intake'!$A:$F,6,FALSE()),"")</f>
        <v/>
      </c>
      <c r="D220" s="10" t="str">
        <f>IFERROR(VLOOKUP(B220,'Incident Intake'!$A:$J,10,FALSE()),"")</f>
        <v/>
      </c>
      <c r="E220" s="12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12"/>
      <c r="Q220" s="6"/>
      <c r="R220" s="12"/>
      <c r="S220" s="6"/>
      <c r="T220" s="10" t="str">
        <f t="shared" si="3"/>
        <v/>
      </c>
      <c r="U220" s="6"/>
      <c r="V220" s="6"/>
    </row>
    <row r="221" spans="1:22" ht="18" customHeight="1" x14ac:dyDescent="0.45">
      <c r="A221" s="4"/>
      <c r="B221" s="4"/>
      <c r="C221" s="10" t="str">
        <f>IFERROR(VLOOKUP(B221,'Incident Intake'!$A:$G,7,FALSE())&amp;" "&amp;VLOOKUP(B221,'Incident Intake'!$A:$F,6,FALSE()),"")</f>
        <v/>
      </c>
      <c r="D221" s="10" t="str">
        <f>IFERROR(VLOOKUP(B221,'Incident Intake'!$A:$J,10,FALSE()),"")</f>
        <v/>
      </c>
      <c r="E221" s="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8"/>
      <c r="Q221" s="4"/>
      <c r="R221" s="8"/>
      <c r="S221" s="4"/>
      <c r="T221" s="10" t="str">
        <f t="shared" si="3"/>
        <v/>
      </c>
      <c r="U221" s="4"/>
      <c r="V221" s="4"/>
    </row>
    <row r="222" spans="1:22" ht="18" customHeight="1" x14ac:dyDescent="0.45">
      <c r="A222" s="6"/>
      <c r="B222" s="6"/>
      <c r="C222" s="10" t="str">
        <f>IFERROR(VLOOKUP(B222,'Incident Intake'!$A:$G,7,FALSE())&amp;" "&amp;VLOOKUP(B222,'Incident Intake'!$A:$F,6,FALSE()),"")</f>
        <v/>
      </c>
      <c r="D222" s="10" t="str">
        <f>IFERROR(VLOOKUP(B222,'Incident Intake'!$A:$J,10,FALSE()),"")</f>
        <v/>
      </c>
      <c r="E222" s="12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12"/>
      <c r="Q222" s="6"/>
      <c r="R222" s="12"/>
      <c r="S222" s="6"/>
      <c r="T222" s="10" t="str">
        <f t="shared" si="3"/>
        <v/>
      </c>
      <c r="U222" s="6"/>
      <c r="V222" s="6"/>
    </row>
    <row r="223" spans="1:22" ht="18" customHeight="1" x14ac:dyDescent="0.45">
      <c r="A223" s="4"/>
      <c r="B223" s="4"/>
      <c r="C223" s="10" t="str">
        <f>IFERROR(VLOOKUP(B223,'Incident Intake'!$A:$G,7,FALSE())&amp;" "&amp;VLOOKUP(B223,'Incident Intake'!$A:$F,6,FALSE()),"")</f>
        <v/>
      </c>
      <c r="D223" s="10" t="str">
        <f>IFERROR(VLOOKUP(B223,'Incident Intake'!$A:$J,10,FALSE()),"")</f>
        <v/>
      </c>
      <c r="E223" s="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8"/>
      <c r="Q223" s="4"/>
      <c r="R223" s="8"/>
      <c r="S223" s="4"/>
      <c r="T223" s="10" t="str">
        <f t="shared" si="3"/>
        <v/>
      </c>
      <c r="U223" s="4"/>
      <c r="V223" s="4"/>
    </row>
    <row r="224" spans="1:22" ht="18" customHeight="1" x14ac:dyDescent="0.45">
      <c r="A224" s="6"/>
      <c r="B224" s="6"/>
      <c r="C224" s="10" t="str">
        <f>IFERROR(VLOOKUP(B224,'Incident Intake'!$A:$G,7,FALSE())&amp;" "&amp;VLOOKUP(B224,'Incident Intake'!$A:$F,6,FALSE()),"")</f>
        <v/>
      </c>
      <c r="D224" s="10" t="str">
        <f>IFERROR(VLOOKUP(B224,'Incident Intake'!$A:$J,10,FALSE()),"")</f>
        <v/>
      </c>
      <c r="E224" s="12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12"/>
      <c r="Q224" s="6"/>
      <c r="R224" s="12"/>
      <c r="S224" s="6"/>
      <c r="T224" s="10" t="str">
        <f t="shared" si="3"/>
        <v/>
      </c>
      <c r="U224" s="6"/>
      <c r="V224" s="6"/>
    </row>
    <row r="225" spans="1:22" ht="18" customHeight="1" x14ac:dyDescent="0.45">
      <c r="A225" s="4"/>
      <c r="B225" s="4"/>
      <c r="C225" s="10" t="str">
        <f>IFERROR(VLOOKUP(B225,'Incident Intake'!$A:$G,7,FALSE())&amp;" "&amp;VLOOKUP(B225,'Incident Intake'!$A:$F,6,FALSE()),"")</f>
        <v/>
      </c>
      <c r="D225" s="10" t="str">
        <f>IFERROR(VLOOKUP(B225,'Incident Intake'!$A:$J,10,FALSE()),"")</f>
        <v/>
      </c>
      <c r="E225" s="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8"/>
      <c r="Q225" s="4"/>
      <c r="R225" s="8"/>
      <c r="S225" s="4"/>
      <c r="T225" s="10" t="str">
        <f t="shared" si="3"/>
        <v/>
      </c>
      <c r="U225" s="4"/>
      <c r="V225" s="4"/>
    </row>
    <row r="226" spans="1:22" ht="18" customHeight="1" x14ac:dyDescent="0.45">
      <c r="A226" s="6"/>
      <c r="B226" s="6"/>
      <c r="C226" s="10" t="str">
        <f>IFERROR(VLOOKUP(B226,'Incident Intake'!$A:$G,7,FALSE())&amp;" "&amp;VLOOKUP(B226,'Incident Intake'!$A:$F,6,FALSE()),"")</f>
        <v/>
      </c>
      <c r="D226" s="10" t="str">
        <f>IFERROR(VLOOKUP(B226,'Incident Intake'!$A:$J,10,FALSE()),"")</f>
        <v/>
      </c>
      <c r="E226" s="12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12"/>
      <c r="Q226" s="6"/>
      <c r="R226" s="12"/>
      <c r="S226" s="6"/>
      <c r="T226" s="10" t="str">
        <f t="shared" si="3"/>
        <v/>
      </c>
      <c r="U226" s="6"/>
      <c r="V226" s="6"/>
    </row>
    <row r="227" spans="1:22" ht="18" customHeight="1" x14ac:dyDescent="0.45">
      <c r="A227" s="4"/>
      <c r="B227" s="4"/>
      <c r="C227" s="10" t="str">
        <f>IFERROR(VLOOKUP(B227,'Incident Intake'!$A:$G,7,FALSE())&amp;" "&amp;VLOOKUP(B227,'Incident Intake'!$A:$F,6,FALSE()),"")</f>
        <v/>
      </c>
      <c r="D227" s="10" t="str">
        <f>IFERROR(VLOOKUP(B227,'Incident Intake'!$A:$J,10,FALSE()),"")</f>
        <v/>
      </c>
      <c r="E227" s="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8"/>
      <c r="Q227" s="4"/>
      <c r="R227" s="8"/>
      <c r="S227" s="4"/>
      <c r="T227" s="10" t="str">
        <f t="shared" si="3"/>
        <v/>
      </c>
      <c r="U227" s="4"/>
      <c r="V227" s="4"/>
    </row>
    <row r="228" spans="1:22" ht="18" customHeight="1" x14ac:dyDescent="0.45">
      <c r="A228" s="6"/>
      <c r="B228" s="6"/>
      <c r="C228" s="10" t="str">
        <f>IFERROR(VLOOKUP(B228,'Incident Intake'!$A:$G,7,FALSE())&amp;" "&amp;VLOOKUP(B228,'Incident Intake'!$A:$F,6,FALSE()),"")</f>
        <v/>
      </c>
      <c r="D228" s="10" t="str">
        <f>IFERROR(VLOOKUP(B228,'Incident Intake'!$A:$J,10,FALSE()),"")</f>
        <v/>
      </c>
      <c r="E228" s="12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12"/>
      <c r="Q228" s="6"/>
      <c r="R228" s="12"/>
      <c r="S228" s="6"/>
      <c r="T228" s="10" t="str">
        <f t="shared" si="3"/>
        <v/>
      </c>
      <c r="U228" s="6"/>
      <c r="V228" s="6"/>
    </row>
    <row r="229" spans="1:22" ht="18" customHeight="1" x14ac:dyDescent="0.45">
      <c r="A229" s="4"/>
      <c r="B229" s="4"/>
      <c r="C229" s="10" t="str">
        <f>IFERROR(VLOOKUP(B229,'Incident Intake'!$A:$G,7,FALSE())&amp;" "&amp;VLOOKUP(B229,'Incident Intake'!$A:$F,6,FALSE()),"")</f>
        <v/>
      </c>
      <c r="D229" s="10" t="str">
        <f>IFERROR(VLOOKUP(B229,'Incident Intake'!$A:$J,10,FALSE()),"")</f>
        <v/>
      </c>
      <c r="E229" s="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8"/>
      <c r="Q229" s="4"/>
      <c r="R229" s="8"/>
      <c r="S229" s="4"/>
      <c r="T229" s="10" t="str">
        <f t="shared" si="3"/>
        <v/>
      </c>
      <c r="U229" s="4"/>
      <c r="V229" s="4"/>
    </row>
    <row r="230" spans="1:22" ht="18" customHeight="1" x14ac:dyDescent="0.45">
      <c r="A230" s="6"/>
      <c r="B230" s="6"/>
      <c r="C230" s="10" t="str">
        <f>IFERROR(VLOOKUP(B230,'Incident Intake'!$A:$G,7,FALSE())&amp;" "&amp;VLOOKUP(B230,'Incident Intake'!$A:$F,6,FALSE()),"")</f>
        <v/>
      </c>
      <c r="D230" s="10" t="str">
        <f>IFERROR(VLOOKUP(B230,'Incident Intake'!$A:$J,10,FALSE()),"")</f>
        <v/>
      </c>
      <c r="E230" s="12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12"/>
      <c r="Q230" s="6"/>
      <c r="R230" s="12"/>
      <c r="S230" s="6"/>
      <c r="T230" s="10" t="str">
        <f t="shared" si="3"/>
        <v/>
      </c>
      <c r="U230" s="6"/>
      <c r="V230" s="6"/>
    </row>
    <row r="231" spans="1:22" ht="18" customHeight="1" x14ac:dyDescent="0.45">
      <c r="A231" s="4"/>
      <c r="B231" s="4"/>
      <c r="C231" s="10" t="str">
        <f>IFERROR(VLOOKUP(B231,'Incident Intake'!$A:$G,7,FALSE())&amp;" "&amp;VLOOKUP(B231,'Incident Intake'!$A:$F,6,FALSE()),"")</f>
        <v/>
      </c>
      <c r="D231" s="10" t="str">
        <f>IFERROR(VLOOKUP(B231,'Incident Intake'!$A:$J,10,FALSE()),"")</f>
        <v/>
      </c>
      <c r="E231" s="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8"/>
      <c r="Q231" s="4"/>
      <c r="R231" s="8"/>
      <c r="S231" s="4"/>
      <c r="T231" s="10" t="str">
        <f t="shared" si="3"/>
        <v/>
      </c>
      <c r="U231" s="4"/>
      <c r="V231" s="4"/>
    </row>
    <row r="232" spans="1:22" ht="18" customHeight="1" x14ac:dyDescent="0.45">
      <c r="A232" s="6"/>
      <c r="B232" s="6"/>
      <c r="C232" s="10" t="str">
        <f>IFERROR(VLOOKUP(B232,'Incident Intake'!$A:$G,7,FALSE())&amp;" "&amp;VLOOKUP(B232,'Incident Intake'!$A:$F,6,FALSE()),"")</f>
        <v/>
      </c>
      <c r="D232" s="10" t="str">
        <f>IFERROR(VLOOKUP(B232,'Incident Intake'!$A:$J,10,FALSE()),"")</f>
        <v/>
      </c>
      <c r="E232" s="12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12"/>
      <c r="Q232" s="6"/>
      <c r="R232" s="12"/>
      <c r="S232" s="6"/>
      <c r="T232" s="10" t="str">
        <f t="shared" si="3"/>
        <v/>
      </c>
      <c r="U232" s="6"/>
      <c r="V232" s="6"/>
    </row>
    <row r="233" spans="1:22" ht="18" customHeight="1" x14ac:dyDescent="0.45">
      <c r="A233" s="4"/>
      <c r="B233" s="4"/>
      <c r="C233" s="10" t="str">
        <f>IFERROR(VLOOKUP(B233,'Incident Intake'!$A:$G,7,FALSE())&amp;" "&amp;VLOOKUP(B233,'Incident Intake'!$A:$F,6,FALSE()),"")</f>
        <v/>
      </c>
      <c r="D233" s="10" t="str">
        <f>IFERROR(VLOOKUP(B233,'Incident Intake'!$A:$J,10,FALSE()),"")</f>
        <v/>
      </c>
      <c r="E233" s="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8"/>
      <c r="Q233" s="4"/>
      <c r="R233" s="8"/>
      <c r="S233" s="4"/>
      <c r="T233" s="10" t="str">
        <f t="shared" si="3"/>
        <v/>
      </c>
      <c r="U233" s="4"/>
      <c r="V233" s="4"/>
    </row>
    <row r="234" spans="1:22" ht="18" customHeight="1" x14ac:dyDescent="0.45">
      <c r="A234" s="6"/>
      <c r="B234" s="6"/>
      <c r="C234" s="10" t="str">
        <f>IFERROR(VLOOKUP(B234,'Incident Intake'!$A:$G,7,FALSE())&amp;" "&amp;VLOOKUP(B234,'Incident Intake'!$A:$F,6,FALSE()),"")</f>
        <v/>
      </c>
      <c r="D234" s="10" t="str">
        <f>IFERROR(VLOOKUP(B234,'Incident Intake'!$A:$J,10,FALSE()),"")</f>
        <v/>
      </c>
      <c r="E234" s="12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12"/>
      <c r="Q234" s="6"/>
      <c r="R234" s="12"/>
      <c r="S234" s="6"/>
      <c r="T234" s="10" t="str">
        <f t="shared" si="3"/>
        <v/>
      </c>
      <c r="U234" s="6"/>
      <c r="V234" s="6"/>
    </row>
    <row r="235" spans="1:22" ht="18" customHeight="1" x14ac:dyDescent="0.45">
      <c r="A235" s="4"/>
      <c r="B235" s="4"/>
      <c r="C235" s="10" t="str">
        <f>IFERROR(VLOOKUP(B235,'Incident Intake'!$A:$G,7,FALSE())&amp;" "&amp;VLOOKUP(B235,'Incident Intake'!$A:$F,6,FALSE()),"")</f>
        <v/>
      </c>
      <c r="D235" s="10" t="str">
        <f>IFERROR(VLOOKUP(B235,'Incident Intake'!$A:$J,10,FALSE()),"")</f>
        <v/>
      </c>
      <c r="E235" s="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8"/>
      <c r="Q235" s="4"/>
      <c r="R235" s="8"/>
      <c r="S235" s="4"/>
      <c r="T235" s="10" t="str">
        <f t="shared" si="3"/>
        <v/>
      </c>
      <c r="U235" s="4"/>
      <c r="V235" s="4"/>
    </row>
    <row r="236" spans="1:22" ht="18" customHeight="1" x14ac:dyDescent="0.45">
      <c r="A236" s="6"/>
      <c r="B236" s="6"/>
      <c r="C236" s="10" t="str">
        <f>IFERROR(VLOOKUP(B236,'Incident Intake'!$A:$G,7,FALSE())&amp;" "&amp;VLOOKUP(B236,'Incident Intake'!$A:$F,6,FALSE()),"")</f>
        <v/>
      </c>
      <c r="D236" s="10" t="str">
        <f>IFERROR(VLOOKUP(B236,'Incident Intake'!$A:$J,10,FALSE()),"")</f>
        <v/>
      </c>
      <c r="E236" s="12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12"/>
      <c r="Q236" s="6"/>
      <c r="R236" s="12"/>
      <c r="S236" s="6"/>
      <c r="T236" s="10" t="str">
        <f t="shared" si="3"/>
        <v/>
      </c>
      <c r="U236" s="6"/>
      <c r="V236" s="6"/>
    </row>
    <row r="237" spans="1:22" ht="18" customHeight="1" x14ac:dyDescent="0.45">
      <c r="A237" s="4"/>
      <c r="B237" s="4"/>
      <c r="C237" s="10" t="str">
        <f>IFERROR(VLOOKUP(B237,'Incident Intake'!$A:$G,7,FALSE())&amp;" "&amp;VLOOKUP(B237,'Incident Intake'!$A:$F,6,FALSE()),"")</f>
        <v/>
      </c>
      <c r="D237" s="10" t="str">
        <f>IFERROR(VLOOKUP(B237,'Incident Intake'!$A:$J,10,FALSE()),"")</f>
        <v/>
      </c>
      <c r="E237" s="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8"/>
      <c r="Q237" s="4"/>
      <c r="R237" s="8"/>
      <c r="S237" s="4"/>
      <c r="T237" s="10" t="str">
        <f t="shared" si="3"/>
        <v/>
      </c>
      <c r="U237" s="4"/>
      <c r="V237" s="4"/>
    </row>
    <row r="238" spans="1:22" ht="18" customHeight="1" x14ac:dyDescent="0.45">
      <c r="A238" s="6"/>
      <c r="B238" s="6"/>
      <c r="C238" s="10" t="str">
        <f>IFERROR(VLOOKUP(B238,'Incident Intake'!$A:$G,7,FALSE())&amp;" "&amp;VLOOKUP(B238,'Incident Intake'!$A:$F,6,FALSE()),"")</f>
        <v/>
      </c>
      <c r="D238" s="10" t="str">
        <f>IFERROR(VLOOKUP(B238,'Incident Intake'!$A:$J,10,FALSE()),"")</f>
        <v/>
      </c>
      <c r="E238" s="12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12"/>
      <c r="Q238" s="6"/>
      <c r="R238" s="12"/>
      <c r="S238" s="6"/>
      <c r="T238" s="10" t="str">
        <f t="shared" si="3"/>
        <v/>
      </c>
      <c r="U238" s="6"/>
      <c r="V238" s="6"/>
    </row>
    <row r="239" spans="1:22" ht="18" customHeight="1" x14ac:dyDescent="0.45">
      <c r="A239" s="4"/>
      <c r="B239" s="4"/>
      <c r="C239" s="10" t="str">
        <f>IFERROR(VLOOKUP(B239,'Incident Intake'!$A:$G,7,FALSE())&amp;" "&amp;VLOOKUP(B239,'Incident Intake'!$A:$F,6,FALSE()),"")</f>
        <v/>
      </c>
      <c r="D239" s="10" t="str">
        <f>IFERROR(VLOOKUP(B239,'Incident Intake'!$A:$J,10,FALSE()),"")</f>
        <v/>
      </c>
      <c r="E239" s="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8"/>
      <c r="Q239" s="4"/>
      <c r="R239" s="8"/>
      <c r="S239" s="4"/>
      <c r="T239" s="10" t="str">
        <f t="shared" si="3"/>
        <v/>
      </c>
      <c r="U239" s="4"/>
      <c r="V239" s="4"/>
    </row>
    <row r="240" spans="1:22" ht="18" customHeight="1" x14ac:dyDescent="0.45">
      <c r="A240" s="6"/>
      <c r="B240" s="6"/>
      <c r="C240" s="10" t="str">
        <f>IFERROR(VLOOKUP(B240,'Incident Intake'!$A:$G,7,FALSE())&amp;" "&amp;VLOOKUP(B240,'Incident Intake'!$A:$F,6,FALSE()),"")</f>
        <v/>
      </c>
      <c r="D240" s="10" t="str">
        <f>IFERROR(VLOOKUP(B240,'Incident Intake'!$A:$J,10,FALSE()),"")</f>
        <v/>
      </c>
      <c r="E240" s="12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12"/>
      <c r="Q240" s="6"/>
      <c r="R240" s="12"/>
      <c r="S240" s="6"/>
      <c r="T240" s="10" t="str">
        <f t="shared" si="3"/>
        <v/>
      </c>
      <c r="U240" s="6"/>
      <c r="V240" s="6"/>
    </row>
    <row r="241" spans="1:22" ht="18" customHeight="1" x14ac:dyDescent="0.45">
      <c r="A241" s="4"/>
      <c r="B241" s="4"/>
      <c r="C241" s="10" t="str">
        <f>IFERROR(VLOOKUP(B241,'Incident Intake'!$A:$G,7,FALSE())&amp;" "&amp;VLOOKUP(B241,'Incident Intake'!$A:$F,6,FALSE()),"")</f>
        <v/>
      </c>
      <c r="D241" s="10" t="str">
        <f>IFERROR(VLOOKUP(B241,'Incident Intake'!$A:$J,10,FALSE()),"")</f>
        <v/>
      </c>
      <c r="E241" s="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8"/>
      <c r="Q241" s="4"/>
      <c r="R241" s="8"/>
      <c r="S241" s="4"/>
      <c r="T241" s="10" t="str">
        <f t="shared" si="3"/>
        <v/>
      </c>
      <c r="U241" s="4"/>
      <c r="V241" s="4"/>
    </row>
    <row r="242" spans="1:22" ht="18" customHeight="1" x14ac:dyDescent="0.45">
      <c r="A242" s="6"/>
      <c r="B242" s="6"/>
      <c r="C242" s="10" t="str">
        <f>IFERROR(VLOOKUP(B242,'Incident Intake'!$A:$G,7,FALSE())&amp;" "&amp;VLOOKUP(B242,'Incident Intake'!$A:$F,6,FALSE()),"")</f>
        <v/>
      </c>
      <c r="D242" s="10" t="str">
        <f>IFERROR(VLOOKUP(B242,'Incident Intake'!$A:$J,10,FALSE()),"")</f>
        <v/>
      </c>
      <c r="E242" s="12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12"/>
      <c r="Q242" s="6"/>
      <c r="R242" s="12"/>
      <c r="S242" s="6"/>
      <c r="T242" s="10" t="str">
        <f t="shared" si="3"/>
        <v/>
      </c>
      <c r="U242" s="6"/>
      <c r="V242" s="6"/>
    </row>
    <row r="243" spans="1:22" ht="18" customHeight="1" x14ac:dyDescent="0.45">
      <c r="A243" s="4"/>
      <c r="B243" s="4"/>
      <c r="C243" s="10" t="str">
        <f>IFERROR(VLOOKUP(B243,'Incident Intake'!$A:$G,7,FALSE())&amp;" "&amp;VLOOKUP(B243,'Incident Intake'!$A:$F,6,FALSE()),"")</f>
        <v/>
      </c>
      <c r="D243" s="10" t="str">
        <f>IFERROR(VLOOKUP(B243,'Incident Intake'!$A:$J,10,FALSE()),"")</f>
        <v/>
      </c>
      <c r="E243" s="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8"/>
      <c r="Q243" s="4"/>
      <c r="R243" s="8"/>
      <c r="S243" s="4"/>
      <c r="T243" s="10" t="str">
        <f t="shared" si="3"/>
        <v/>
      </c>
      <c r="U243" s="4"/>
      <c r="V243" s="4"/>
    </row>
    <row r="244" spans="1:22" ht="18" customHeight="1" x14ac:dyDescent="0.45">
      <c r="A244" s="6"/>
      <c r="B244" s="6"/>
      <c r="C244" s="10" t="str">
        <f>IFERROR(VLOOKUP(B244,'Incident Intake'!$A:$G,7,FALSE())&amp;" "&amp;VLOOKUP(B244,'Incident Intake'!$A:$F,6,FALSE()),"")</f>
        <v/>
      </c>
      <c r="D244" s="10" t="str">
        <f>IFERROR(VLOOKUP(B244,'Incident Intake'!$A:$J,10,FALSE()),"")</f>
        <v/>
      </c>
      <c r="E244" s="12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12"/>
      <c r="Q244" s="6"/>
      <c r="R244" s="12"/>
      <c r="S244" s="6"/>
      <c r="T244" s="10" t="str">
        <f t="shared" si="3"/>
        <v/>
      </c>
      <c r="U244" s="6"/>
      <c r="V244" s="6"/>
    </row>
    <row r="245" spans="1:22" ht="18" customHeight="1" x14ac:dyDescent="0.45">
      <c r="A245" s="4"/>
      <c r="B245" s="4"/>
      <c r="C245" s="10" t="str">
        <f>IFERROR(VLOOKUP(B245,'Incident Intake'!$A:$G,7,FALSE())&amp;" "&amp;VLOOKUP(B245,'Incident Intake'!$A:$F,6,FALSE()),"")</f>
        <v/>
      </c>
      <c r="D245" s="10" t="str">
        <f>IFERROR(VLOOKUP(B245,'Incident Intake'!$A:$J,10,FALSE()),"")</f>
        <v/>
      </c>
      <c r="E245" s="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8"/>
      <c r="Q245" s="4"/>
      <c r="R245" s="8"/>
      <c r="S245" s="4"/>
      <c r="T245" s="10" t="str">
        <f t="shared" si="3"/>
        <v/>
      </c>
      <c r="U245" s="4"/>
      <c r="V245" s="4"/>
    </row>
    <row r="246" spans="1:22" ht="18" customHeight="1" x14ac:dyDescent="0.45">
      <c r="A246" s="6"/>
      <c r="B246" s="6"/>
      <c r="C246" s="10" t="str">
        <f>IFERROR(VLOOKUP(B246,'Incident Intake'!$A:$G,7,FALSE())&amp;" "&amp;VLOOKUP(B246,'Incident Intake'!$A:$F,6,FALSE()),"")</f>
        <v/>
      </c>
      <c r="D246" s="10" t="str">
        <f>IFERROR(VLOOKUP(B246,'Incident Intake'!$A:$J,10,FALSE()),"")</f>
        <v/>
      </c>
      <c r="E246" s="12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12"/>
      <c r="Q246" s="6"/>
      <c r="R246" s="12"/>
      <c r="S246" s="6"/>
      <c r="T246" s="10" t="str">
        <f t="shared" si="3"/>
        <v/>
      </c>
      <c r="U246" s="6"/>
      <c r="V246" s="6"/>
    </row>
    <row r="247" spans="1:22" ht="18" customHeight="1" x14ac:dyDescent="0.45">
      <c r="A247" s="4"/>
      <c r="B247" s="4"/>
      <c r="C247" s="10" t="str">
        <f>IFERROR(VLOOKUP(B247,'Incident Intake'!$A:$G,7,FALSE())&amp;" "&amp;VLOOKUP(B247,'Incident Intake'!$A:$F,6,FALSE()),"")</f>
        <v/>
      </c>
      <c r="D247" s="10" t="str">
        <f>IFERROR(VLOOKUP(B247,'Incident Intake'!$A:$J,10,FALSE()),"")</f>
        <v/>
      </c>
      <c r="E247" s="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8"/>
      <c r="Q247" s="4"/>
      <c r="R247" s="8"/>
      <c r="S247" s="4"/>
      <c r="T247" s="10" t="str">
        <f t="shared" si="3"/>
        <v/>
      </c>
      <c r="U247" s="4"/>
      <c r="V247" s="4"/>
    </row>
    <row r="248" spans="1:22" ht="18" customHeight="1" x14ac:dyDescent="0.45">
      <c r="A248" s="6"/>
      <c r="B248" s="6"/>
      <c r="C248" s="10" t="str">
        <f>IFERROR(VLOOKUP(B248,'Incident Intake'!$A:$G,7,FALSE())&amp;" "&amp;VLOOKUP(B248,'Incident Intake'!$A:$F,6,FALSE()),"")</f>
        <v/>
      </c>
      <c r="D248" s="10" t="str">
        <f>IFERROR(VLOOKUP(B248,'Incident Intake'!$A:$J,10,FALSE()),"")</f>
        <v/>
      </c>
      <c r="E248" s="12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12"/>
      <c r="Q248" s="6"/>
      <c r="R248" s="12"/>
      <c r="S248" s="6"/>
      <c r="T248" s="10" t="str">
        <f t="shared" si="3"/>
        <v/>
      </c>
      <c r="U248" s="6"/>
      <c r="V248" s="6"/>
    </row>
    <row r="249" spans="1:22" ht="18" customHeight="1" x14ac:dyDescent="0.45">
      <c r="A249" s="4"/>
      <c r="B249" s="4"/>
      <c r="C249" s="10" t="str">
        <f>IFERROR(VLOOKUP(B249,'Incident Intake'!$A:$G,7,FALSE())&amp;" "&amp;VLOOKUP(B249,'Incident Intake'!$A:$F,6,FALSE()),"")</f>
        <v/>
      </c>
      <c r="D249" s="10" t="str">
        <f>IFERROR(VLOOKUP(B249,'Incident Intake'!$A:$J,10,FALSE()),"")</f>
        <v/>
      </c>
      <c r="E249" s="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8"/>
      <c r="Q249" s="4"/>
      <c r="R249" s="8"/>
      <c r="S249" s="4"/>
      <c r="T249" s="10" t="str">
        <f t="shared" si="3"/>
        <v/>
      </c>
      <c r="U249" s="4"/>
      <c r="V249" s="4"/>
    </row>
    <row r="250" spans="1:22" ht="18" customHeight="1" x14ac:dyDescent="0.45">
      <c r="A250" s="6"/>
      <c r="B250" s="6"/>
      <c r="C250" s="10" t="str">
        <f>IFERROR(VLOOKUP(B250,'Incident Intake'!$A:$G,7,FALSE())&amp;" "&amp;VLOOKUP(B250,'Incident Intake'!$A:$F,6,FALSE()),"")</f>
        <v/>
      </c>
      <c r="D250" s="10" t="str">
        <f>IFERROR(VLOOKUP(B250,'Incident Intake'!$A:$J,10,FALSE()),"")</f>
        <v/>
      </c>
      <c r="E250" s="12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12"/>
      <c r="Q250" s="6"/>
      <c r="R250" s="12"/>
      <c r="S250" s="6"/>
      <c r="T250" s="10" t="str">
        <f t="shared" si="3"/>
        <v/>
      </c>
      <c r="U250" s="6"/>
      <c r="V250" s="6"/>
    </row>
    <row r="251" spans="1:22" ht="18" customHeight="1" x14ac:dyDescent="0.45">
      <c r="A251" s="4"/>
      <c r="B251" s="4"/>
      <c r="C251" s="10" t="str">
        <f>IFERROR(VLOOKUP(B251,'Incident Intake'!$A:$G,7,FALSE())&amp;" "&amp;VLOOKUP(B251,'Incident Intake'!$A:$F,6,FALSE()),"")</f>
        <v/>
      </c>
      <c r="D251" s="10" t="str">
        <f>IFERROR(VLOOKUP(B251,'Incident Intake'!$A:$J,10,FALSE()),"")</f>
        <v/>
      </c>
      <c r="E251" s="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8"/>
      <c r="Q251" s="4"/>
      <c r="R251" s="8"/>
      <c r="S251" s="4"/>
      <c r="T251" s="10" t="str">
        <f t="shared" si="3"/>
        <v/>
      </c>
      <c r="U251" s="4"/>
      <c r="V251" s="4"/>
    </row>
    <row r="252" spans="1:22" ht="18" customHeight="1" x14ac:dyDescent="0.45">
      <c r="A252" s="6"/>
      <c r="B252" s="6"/>
      <c r="C252" s="10" t="str">
        <f>IFERROR(VLOOKUP(B252,'Incident Intake'!$A:$G,7,FALSE())&amp;" "&amp;VLOOKUP(B252,'Incident Intake'!$A:$F,6,FALSE()),"")</f>
        <v/>
      </c>
      <c r="D252" s="10" t="str">
        <f>IFERROR(VLOOKUP(B252,'Incident Intake'!$A:$J,10,FALSE()),"")</f>
        <v/>
      </c>
      <c r="E252" s="12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12"/>
      <c r="Q252" s="6"/>
      <c r="R252" s="12"/>
      <c r="S252" s="6"/>
      <c r="T252" s="10" t="str">
        <f t="shared" si="3"/>
        <v/>
      </c>
      <c r="U252" s="6"/>
      <c r="V252" s="6"/>
    </row>
    <row r="253" spans="1:22" ht="18" customHeight="1" x14ac:dyDescent="0.45">
      <c r="A253" s="4"/>
      <c r="B253" s="4"/>
      <c r="C253" s="10" t="str">
        <f>IFERROR(VLOOKUP(B253,'Incident Intake'!$A:$G,7,FALSE())&amp;" "&amp;VLOOKUP(B253,'Incident Intake'!$A:$F,6,FALSE()),"")</f>
        <v/>
      </c>
      <c r="D253" s="10" t="str">
        <f>IFERROR(VLOOKUP(B253,'Incident Intake'!$A:$J,10,FALSE()),"")</f>
        <v/>
      </c>
      <c r="E253" s="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8"/>
      <c r="Q253" s="4"/>
      <c r="R253" s="8"/>
      <c r="S253" s="4"/>
      <c r="T253" s="10" t="str">
        <f t="shared" si="3"/>
        <v/>
      </c>
      <c r="U253" s="4"/>
      <c r="V253" s="4"/>
    </row>
    <row r="254" spans="1:22" ht="18" customHeight="1" x14ac:dyDescent="0.45">
      <c r="A254" s="6"/>
      <c r="B254" s="6"/>
      <c r="C254" s="10" t="str">
        <f>IFERROR(VLOOKUP(B254,'Incident Intake'!$A:$G,7,FALSE())&amp;" "&amp;VLOOKUP(B254,'Incident Intake'!$A:$F,6,FALSE()),"")</f>
        <v/>
      </c>
      <c r="D254" s="10" t="str">
        <f>IFERROR(VLOOKUP(B254,'Incident Intake'!$A:$J,10,FALSE()),"")</f>
        <v/>
      </c>
      <c r="E254" s="12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12"/>
      <c r="Q254" s="6"/>
      <c r="R254" s="12"/>
      <c r="S254" s="6"/>
      <c r="T254" s="10" t="str">
        <f t="shared" si="3"/>
        <v/>
      </c>
      <c r="U254" s="6"/>
      <c r="V254" s="6"/>
    </row>
    <row r="255" spans="1:22" ht="18" customHeight="1" x14ac:dyDescent="0.45">
      <c r="A255" s="4"/>
      <c r="B255" s="4"/>
      <c r="C255" s="10" t="str">
        <f>IFERROR(VLOOKUP(B255,'Incident Intake'!$A:$G,7,FALSE())&amp;" "&amp;VLOOKUP(B255,'Incident Intake'!$A:$F,6,FALSE()),"")</f>
        <v/>
      </c>
      <c r="D255" s="10" t="str">
        <f>IFERROR(VLOOKUP(B255,'Incident Intake'!$A:$J,10,FALSE()),"")</f>
        <v/>
      </c>
      <c r="E255" s="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8"/>
      <c r="Q255" s="4"/>
      <c r="R255" s="8"/>
      <c r="S255" s="4"/>
      <c r="T255" s="10" t="str">
        <f t="shared" si="3"/>
        <v/>
      </c>
      <c r="U255" s="4"/>
      <c r="V255" s="4"/>
    </row>
    <row r="256" spans="1:22" ht="18" customHeight="1" x14ac:dyDescent="0.45">
      <c r="A256" s="6"/>
      <c r="B256" s="6"/>
      <c r="C256" s="10" t="str">
        <f>IFERROR(VLOOKUP(B256,'Incident Intake'!$A:$G,7,FALSE())&amp;" "&amp;VLOOKUP(B256,'Incident Intake'!$A:$F,6,FALSE()),"")</f>
        <v/>
      </c>
      <c r="D256" s="10" t="str">
        <f>IFERROR(VLOOKUP(B256,'Incident Intake'!$A:$J,10,FALSE()),"")</f>
        <v/>
      </c>
      <c r="E256" s="12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12"/>
      <c r="Q256" s="6"/>
      <c r="R256" s="12"/>
      <c r="S256" s="6"/>
      <c r="T256" s="10" t="str">
        <f t="shared" si="3"/>
        <v/>
      </c>
      <c r="U256" s="6"/>
      <c r="V256" s="6"/>
    </row>
    <row r="257" spans="1:22" ht="18" customHeight="1" x14ac:dyDescent="0.45">
      <c r="A257" s="4"/>
      <c r="B257" s="4"/>
      <c r="C257" s="10" t="str">
        <f>IFERROR(VLOOKUP(B257,'Incident Intake'!$A:$G,7,FALSE())&amp;" "&amp;VLOOKUP(B257,'Incident Intake'!$A:$F,6,FALSE()),"")</f>
        <v/>
      </c>
      <c r="D257" s="10" t="str">
        <f>IFERROR(VLOOKUP(B257,'Incident Intake'!$A:$J,10,FALSE()),"")</f>
        <v/>
      </c>
      <c r="E257" s="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8"/>
      <c r="Q257" s="4"/>
      <c r="R257" s="8"/>
      <c r="S257" s="4"/>
      <c r="T257" s="10" t="str">
        <f t="shared" si="3"/>
        <v/>
      </c>
      <c r="U257" s="4"/>
      <c r="V257" s="4"/>
    </row>
    <row r="258" spans="1:22" ht="18" customHeight="1" x14ac:dyDescent="0.45">
      <c r="A258" s="6"/>
      <c r="B258" s="6"/>
      <c r="C258" s="10" t="str">
        <f>IFERROR(VLOOKUP(B258,'Incident Intake'!$A:$G,7,FALSE())&amp;" "&amp;VLOOKUP(B258,'Incident Intake'!$A:$F,6,FALSE()),"")</f>
        <v/>
      </c>
      <c r="D258" s="10" t="str">
        <f>IFERROR(VLOOKUP(B258,'Incident Intake'!$A:$J,10,FALSE()),"")</f>
        <v/>
      </c>
      <c r="E258" s="12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12"/>
      <c r="Q258" s="6"/>
      <c r="R258" s="12"/>
      <c r="S258" s="6"/>
      <c r="T258" s="10" t="str">
        <f t="shared" si="3"/>
        <v/>
      </c>
      <c r="U258" s="6"/>
      <c r="V258" s="6"/>
    </row>
    <row r="259" spans="1:22" ht="18" customHeight="1" x14ac:dyDescent="0.45">
      <c r="A259" s="4"/>
      <c r="B259" s="4"/>
      <c r="C259" s="10" t="str">
        <f>IFERROR(VLOOKUP(B259,'Incident Intake'!$A:$G,7,FALSE())&amp;" "&amp;VLOOKUP(B259,'Incident Intake'!$A:$F,6,FALSE()),"")</f>
        <v/>
      </c>
      <c r="D259" s="10" t="str">
        <f>IFERROR(VLOOKUP(B259,'Incident Intake'!$A:$J,10,FALSE()),"")</f>
        <v/>
      </c>
      <c r="E259" s="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8"/>
      <c r="Q259" s="4"/>
      <c r="R259" s="8"/>
      <c r="S259" s="4"/>
      <c r="T259" s="10" t="str">
        <f t="shared" si="3"/>
        <v/>
      </c>
      <c r="U259" s="4"/>
      <c r="V259" s="4"/>
    </row>
    <row r="260" spans="1:22" ht="18" customHeight="1" x14ac:dyDescent="0.45">
      <c r="A260" s="6"/>
      <c r="B260" s="6"/>
      <c r="C260" s="10" t="str">
        <f>IFERROR(VLOOKUP(B260,'Incident Intake'!$A:$G,7,FALSE())&amp;" "&amp;VLOOKUP(B260,'Incident Intake'!$A:$F,6,FALSE()),"")</f>
        <v/>
      </c>
      <c r="D260" s="10" t="str">
        <f>IFERROR(VLOOKUP(B260,'Incident Intake'!$A:$J,10,FALSE()),"")</f>
        <v/>
      </c>
      <c r="E260" s="12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12"/>
      <c r="Q260" s="6"/>
      <c r="R260" s="12"/>
      <c r="S260" s="6"/>
      <c r="T260" s="10" t="str">
        <f t="shared" si="3"/>
        <v/>
      </c>
      <c r="U260" s="6"/>
      <c r="V260" s="6"/>
    </row>
    <row r="261" spans="1:22" ht="18" customHeight="1" x14ac:dyDescent="0.45">
      <c r="A261" s="4"/>
      <c r="B261" s="4"/>
      <c r="C261" s="10" t="str">
        <f>IFERROR(VLOOKUP(B261,'Incident Intake'!$A:$G,7,FALSE())&amp;" "&amp;VLOOKUP(B261,'Incident Intake'!$A:$F,6,FALSE()),"")</f>
        <v/>
      </c>
      <c r="D261" s="10" t="str">
        <f>IFERROR(VLOOKUP(B261,'Incident Intake'!$A:$J,10,FALSE()),"")</f>
        <v/>
      </c>
      <c r="E261" s="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8"/>
      <c r="Q261" s="4"/>
      <c r="R261" s="8"/>
      <c r="S261" s="4"/>
      <c r="T261" s="10" t="str">
        <f t="shared" ref="T261:T324" si="4">IF(S261="Yes","🔴 LEGAL HOLD — DO NOT DESTROY","")</f>
        <v/>
      </c>
      <c r="U261" s="4"/>
      <c r="V261" s="4"/>
    </row>
    <row r="262" spans="1:22" ht="18" customHeight="1" x14ac:dyDescent="0.45">
      <c r="A262" s="6"/>
      <c r="B262" s="6"/>
      <c r="C262" s="10" t="str">
        <f>IFERROR(VLOOKUP(B262,'Incident Intake'!$A:$G,7,FALSE())&amp;" "&amp;VLOOKUP(B262,'Incident Intake'!$A:$F,6,FALSE()),"")</f>
        <v/>
      </c>
      <c r="D262" s="10" t="str">
        <f>IFERROR(VLOOKUP(B262,'Incident Intake'!$A:$J,10,FALSE()),"")</f>
        <v/>
      </c>
      <c r="E262" s="12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12"/>
      <c r="Q262" s="6"/>
      <c r="R262" s="12"/>
      <c r="S262" s="6"/>
      <c r="T262" s="10" t="str">
        <f t="shared" si="4"/>
        <v/>
      </c>
      <c r="U262" s="6"/>
      <c r="V262" s="6"/>
    </row>
    <row r="263" spans="1:22" ht="18" customHeight="1" x14ac:dyDescent="0.45">
      <c r="A263" s="4"/>
      <c r="B263" s="4"/>
      <c r="C263" s="10" t="str">
        <f>IFERROR(VLOOKUP(B263,'Incident Intake'!$A:$G,7,FALSE())&amp;" "&amp;VLOOKUP(B263,'Incident Intake'!$A:$F,6,FALSE()),"")</f>
        <v/>
      </c>
      <c r="D263" s="10" t="str">
        <f>IFERROR(VLOOKUP(B263,'Incident Intake'!$A:$J,10,FALSE()),"")</f>
        <v/>
      </c>
      <c r="E263" s="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8"/>
      <c r="Q263" s="4"/>
      <c r="R263" s="8"/>
      <c r="S263" s="4"/>
      <c r="T263" s="10" t="str">
        <f t="shared" si="4"/>
        <v/>
      </c>
      <c r="U263" s="4"/>
      <c r="V263" s="4"/>
    </row>
    <row r="264" spans="1:22" ht="18" customHeight="1" x14ac:dyDescent="0.45">
      <c r="A264" s="6"/>
      <c r="B264" s="6"/>
      <c r="C264" s="10" t="str">
        <f>IFERROR(VLOOKUP(B264,'Incident Intake'!$A:$G,7,FALSE())&amp;" "&amp;VLOOKUP(B264,'Incident Intake'!$A:$F,6,FALSE()),"")</f>
        <v/>
      </c>
      <c r="D264" s="10" t="str">
        <f>IFERROR(VLOOKUP(B264,'Incident Intake'!$A:$J,10,FALSE()),"")</f>
        <v/>
      </c>
      <c r="E264" s="12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12"/>
      <c r="Q264" s="6"/>
      <c r="R264" s="12"/>
      <c r="S264" s="6"/>
      <c r="T264" s="10" t="str">
        <f t="shared" si="4"/>
        <v/>
      </c>
      <c r="U264" s="6"/>
      <c r="V264" s="6"/>
    </row>
    <row r="265" spans="1:22" ht="18" customHeight="1" x14ac:dyDescent="0.45">
      <c r="A265" s="4"/>
      <c r="B265" s="4"/>
      <c r="C265" s="10" t="str">
        <f>IFERROR(VLOOKUP(B265,'Incident Intake'!$A:$G,7,FALSE())&amp;" "&amp;VLOOKUP(B265,'Incident Intake'!$A:$F,6,FALSE()),"")</f>
        <v/>
      </c>
      <c r="D265" s="10" t="str">
        <f>IFERROR(VLOOKUP(B265,'Incident Intake'!$A:$J,10,FALSE()),"")</f>
        <v/>
      </c>
      <c r="E265" s="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8"/>
      <c r="Q265" s="4"/>
      <c r="R265" s="8"/>
      <c r="S265" s="4"/>
      <c r="T265" s="10" t="str">
        <f t="shared" si="4"/>
        <v/>
      </c>
      <c r="U265" s="4"/>
      <c r="V265" s="4"/>
    </row>
    <row r="266" spans="1:22" ht="18" customHeight="1" x14ac:dyDescent="0.45">
      <c r="A266" s="6"/>
      <c r="B266" s="6"/>
      <c r="C266" s="10" t="str">
        <f>IFERROR(VLOOKUP(B266,'Incident Intake'!$A:$G,7,FALSE())&amp;" "&amp;VLOOKUP(B266,'Incident Intake'!$A:$F,6,FALSE()),"")</f>
        <v/>
      </c>
      <c r="D266" s="10" t="str">
        <f>IFERROR(VLOOKUP(B266,'Incident Intake'!$A:$J,10,FALSE()),"")</f>
        <v/>
      </c>
      <c r="E266" s="12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12"/>
      <c r="Q266" s="6"/>
      <c r="R266" s="12"/>
      <c r="S266" s="6"/>
      <c r="T266" s="10" t="str">
        <f t="shared" si="4"/>
        <v/>
      </c>
      <c r="U266" s="6"/>
      <c r="V266" s="6"/>
    </row>
    <row r="267" spans="1:22" ht="18" customHeight="1" x14ac:dyDescent="0.45">
      <c r="A267" s="4"/>
      <c r="B267" s="4"/>
      <c r="C267" s="10" t="str">
        <f>IFERROR(VLOOKUP(B267,'Incident Intake'!$A:$G,7,FALSE())&amp;" "&amp;VLOOKUP(B267,'Incident Intake'!$A:$F,6,FALSE()),"")</f>
        <v/>
      </c>
      <c r="D267" s="10" t="str">
        <f>IFERROR(VLOOKUP(B267,'Incident Intake'!$A:$J,10,FALSE()),"")</f>
        <v/>
      </c>
      <c r="E267" s="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8"/>
      <c r="Q267" s="4"/>
      <c r="R267" s="8"/>
      <c r="S267" s="4"/>
      <c r="T267" s="10" t="str">
        <f t="shared" si="4"/>
        <v/>
      </c>
      <c r="U267" s="4"/>
      <c r="V267" s="4"/>
    </row>
    <row r="268" spans="1:22" ht="18" customHeight="1" x14ac:dyDescent="0.45">
      <c r="A268" s="6"/>
      <c r="B268" s="6"/>
      <c r="C268" s="10" t="str">
        <f>IFERROR(VLOOKUP(B268,'Incident Intake'!$A:$G,7,FALSE())&amp;" "&amp;VLOOKUP(B268,'Incident Intake'!$A:$F,6,FALSE()),"")</f>
        <v/>
      </c>
      <c r="D268" s="10" t="str">
        <f>IFERROR(VLOOKUP(B268,'Incident Intake'!$A:$J,10,FALSE()),"")</f>
        <v/>
      </c>
      <c r="E268" s="12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12"/>
      <c r="Q268" s="6"/>
      <c r="R268" s="12"/>
      <c r="S268" s="6"/>
      <c r="T268" s="10" t="str">
        <f t="shared" si="4"/>
        <v/>
      </c>
      <c r="U268" s="6"/>
      <c r="V268" s="6"/>
    </row>
    <row r="269" spans="1:22" ht="18" customHeight="1" x14ac:dyDescent="0.45">
      <c r="A269" s="4"/>
      <c r="B269" s="4"/>
      <c r="C269" s="10" t="str">
        <f>IFERROR(VLOOKUP(B269,'Incident Intake'!$A:$G,7,FALSE())&amp;" "&amp;VLOOKUP(B269,'Incident Intake'!$A:$F,6,FALSE()),"")</f>
        <v/>
      </c>
      <c r="D269" s="10" t="str">
        <f>IFERROR(VLOOKUP(B269,'Incident Intake'!$A:$J,10,FALSE()),"")</f>
        <v/>
      </c>
      <c r="E269" s="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8"/>
      <c r="Q269" s="4"/>
      <c r="R269" s="8"/>
      <c r="S269" s="4"/>
      <c r="T269" s="10" t="str">
        <f t="shared" si="4"/>
        <v/>
      </c>
      <c r="U269" s="4"/>
      <c r="V269" s="4"/>
    </row>
    <row r="270" spans="1:22" ht="18" customHeight="1" x14ac:dyDescent="0.45">
      <c r="A270" s="6"/>
      <c r="B270" s="6"/>
      <c r="C270" s="10" t="str">
        <f>IFERROR(VLOOKUP(B270,'Incident Intake'!$A:$G,7,FALSE())&amp;" "&amp;VLOOKUP(B270,'Incident Intake'!$A:$F,6,FALSE()),"")</f>
        <v/>
      </c>
      <c r="D270" s="10" t="str">
        <f>IFERROR(VLOOKUP(B270,'Incident Intake'!$A:$J,10,FALSE()),"")</f>
        <v/>
      </c>
      <c r="E270" s="12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12"/>
      <c r="Q270" s="6"/>
      <c r="R270" s="12"/>
      <c r="S270" s="6"/>
      <c r="T270" s="10" t="str">
        <f t="shared" si="4"/>
        <v/>
      </c>
      <c r="U270" s="6"/>
      <c r="V270" s="6"/>
    </row>
    <row r="271" spans="1:22" ht="18" customHeight="1" x14ac:dyDescent="0.45">
      <c r="A271" s="4"/>
      <c r="B271" s="4"/>
      <c r="C271" s="10" t="str">
        <f>IFERROR(VLOOKUP(B271,'Incident Intake'!$A:$G,7,FALSE())&amp;" "&amp;VLOOKUP(B271,'Incident Intake'!$A:$F,6,FALSE()),"")</f>
        <v/>
      </c>
      <c r="D271" s="10" t="str">
        <f>IFERROR(VLOOKUP(B271,'Incident Intake'!$A:$J,10,FALSE()),"")</f>
        <v/>
      </c>
      <c r="E271" s="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8"/>
      <c r="Q271" s="4"/>
      <c r="R271" s="8"/>
      <c r="S271" s="4"/>
      <c r="T271" s="10" t="str">
        <f t="shared" si="4"/>
        <v/>
      </c>
      <c r="U271" s="4"/>
      <c r="V271" s="4"/>
    </row>
    <row r="272" spans="1:22" ht="18" customHeight="1" x14ac:dyDescent="0.45">
      <c r="A272" s="6"/>
      <c r="B272" s="6"/>
      <c r="C272" s="10" t="str">
        <f>IFERROR(VLOOKUP(B272,'Incident Intake'!$A:$G,7,FALSE())&amp;" "&amp;VLOOKUP(B272,'Incident Intake'!$A:$F,6,FALSE()),"")</f>
        <v/>
      </c>
      <c r="D272" s="10" t="str">
        <f>IFERROR(VLOOKUP(B272,'Incident Intake'!$A:$J,10,FALSE()),"")</f>
        <v/>
      </c>
      <c r="E272" s="12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12"/>
      <c r="Q272" s="6"/>
      <c r="R272" s="12"/>
      <c r="S272" s="6"/>
      <c r="T272" s="10" t="str">
        <f t="shared" si="4"/>
        <v/>
      </c>
      <c r="U272" s="6"/>
      <c r="V272" s="6"/>
    </row>
    <row r="273" spans="1:22" ht="18" customHeight="1" x14ac:dyDescent="0.45">
      <c r="A273" s="4"/>
      <c r="B273" s="4"/>
      <c r="C273" s="10" t="str">
        <f>IFERROR(VLOOKUP(B273,'Incident Intake'!$A:$G,7,FALSE())&amp;" "&amp;VLOOKUP(B273,'Incident Intake'!$A:$F,6,FALSE()),"")</f>
        <v/>
      </c>
      <c r="D273" s="10" t="str">
        <f>IFERROR(VLOOKUP(B273,'Incident Intake'!$A:$J,10,FALSE()),"")</f>
        <v/>
      </c>
      <c r="E273" s="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8"/>
      <c r="Q273" s="4"/>
      <c r="R273" s="8"/>
      <c r="S273" s="4"/>
      <c r="T273" s="10" t="str">
        <f t="shared" si="4"/>
        <v/>
      </c>
      <c r="U273" s="4"/>
      <c r="V273" s="4"/>
    </row>
    <row r="274" spans="1:22" ht="18" customHeight="1" x14ac:dyDescent="0.45">
      <c r="A274" s="6"/>
      <c r="B274" s="6"/>
      <c r="C274" s="10" t="str">
        <f>IFERROR(VLOOKUP(B274,'Incident Intake'!$A:$G,7,FALSE())&amp;" "&amp;VLOOKUP(B274,'Incident Intake'!$A:$F,6,FALSE()),"")</f>
        <v/>
      </c>
      <c r="D274" s="10" t="str">
        <f>IFERROR(VLOOKUP(B274,'Incident Intake'!$A:$J,10,FALSE()),"")</f>
        <v/>
      </c>
      <c r="E274" s="12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12"/>
      <c r="Q274" s="6"/>
      <c r="R274" s="12"/>
      <c r="S274" s="6"/>
      <c r="T274" s="10" t="str">
        <f t="shared" si="4"/>
        <v/>
      </c>
      <c r="U274" s="6"/>
      <c r="V274" s="6"/>
    </row>
    <row r="275" spans="1:22" ht="18" customHeight="1" x14ac:dyDescent="0.45">
      <c r="A275" s="4"/>
      <c r="B275" s="4"/>
      <c r="C275" s="10" t="str">
        <f>IFERROR(VLOOKUP(B275,'Incident Intake'!$A:$G,7,FALSE())&amp;" "&amp;VLOOKUP(B275,'Incident Intake'!$A:$F,6,FALSE()),"")</f>
        <v/>
      </c>
      <c r="D275" s="10" t="str">
        <f>IFERROR(VLOOKUP(B275,'Incident Intake'!$A:$J,10,FALSE()),"")</f>
        <v/>
      </c>
      <c r="E275" s="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8"/>
      <c r="Q275" s="4"/>
      <c r="R275" s="8"/>
      <c r="S275" s="4"/>
      <c r="T275" s="10" t="str">
        <f t="shared" si="4"/>
        <v/>
      </c>
      <c r="U275" s="4"/>
      <c r="V275" s="4"/>
    </row>
    <row r="276" spans="1:22" ht="18" customHeight="1" x14ac:dyDescent="0.45">
      <c r="A276" s="6"/>
      <c r="B276" s="6"/>
      <c r="C276" s="10" t="str">
        <f>IFERROR(VLOOKUP(B276,'Incident Intake'!$A:$G,7,FALSE())&amp;" "&amp;VLOOKUP(B276,'Incident Intake'!$A:$F,6,FALSE()),"")</f>
        <v/>
      </c>
      <c r="D276" s="10" t="str">
        <f>IFERROR(VLOOKUP(B276,'Incident Intake'!$A:$J,10,FALSE()),"")</f>
        <v/>
      </c>
      <c r="E276" s="12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12"/>
      <c r="Q276" s="6"/>
      <c r="R276" s="12"/>
      <c r="S276" s="6"/>
      <c r="T276" s="10" t="str">
        <f t="shared" si="4"/>
        <v/>
      </c>
      <c r="U276" s="6"/>
      <c r="V276" s="6"/>
    </row>
    <row r="277" spans="1:22" ht="18" customHeight="1" x14ac:dyDescent="0.45">
      <c r="A277" s="4"/>
      <c r="B277" s="4"/>
      <c r="C277" s="10" t="str">
        <f>IFERROR(VLOOKUP(B277,'Incident Intake'!$A:$G,7,FALSE())&amp;" "&amp;VLOOKUP(B277,'Incident Intake'!$A:$F,6,FALSE()),"")</f>
        <v/>
      </c>
      <c r="D277" s="10" t="str">
        <f>IFERROR(VLOOKUP(B277,'Incident Intake'!$A:$J,10,FALSE()),"")</f>
        <v/>
      </c>
      <c r="E277" s="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8"/>
      <c r="Q277" s="4"/>
      <c r="R277" s="8"/>
      <c r="S277" s="4"/>
      <c r="T277" s="10" t="str">
        <f t="shared" si="4"/>
        <v/>
      </c>
      <c r="U277" s="4"/>
      <c r="V277" s="4"/>
    </row>
    <row r="278" spans="1:22" ht="18" customHeight="1" x14ac:dyDescent="0.45">
      <c r="A278" s="6"/>
      <c r="B278" s="6"/>
      <c r="C278" s="10" t="str">
        <f>IFERROR(VLOOKUP(B278,'Incident Intake'!$A:$G,7,FALSE())&amp;" "&amp;VLOOKUP(B278,'Incident Intake'!$A:$F,6,FALSE()),"")</f>
        <v/>
      </c>
      <c r="D278" s="10" t="str">
        <f>IFERROR(VLOOKUP(B278,'Incident Intake'!$A:$J,10,FALSE()),"")</f>
        <v/>
      </c>
      <c r="E278" s="12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12"/>
      <c r="Q278" s="6"/>
      <c r="R278" s="12"/>
      <c r="S278" s="6"/>
      <c r="T278" s="10" t="str">
        <f t="shared" si="4"/>
        <v/>
      </c>
      <c r="U278" s="6"/>
      <c r="V278" s="6"/>
    </row>
    <row r="279" spans="1:22" ht="18" customHeight="1" x14ac:dyDescent="0.45">
      <c r="A279" s="4"/>
      <c r="B279" s="4"/>
      <c r="C279" s="10" t="str">
        <f>IFERROR(VLOOKUP(B279,'Incident Intake'!$A:$G,7,FALSE())&amp;" "&amp;VLOOKUP(B279,'Incident Intake'!$A:$F,6,FALSE()),"")</f>
        <v/>
      </c>
      <c r="D279" s="10" t="str">
        <f>IFERROR(VLOOKUP(B279,'Incident Intake'!$A:$J,10,FALSE()),"")</f>
        <v/>
      </c>
      <c r="E279" s="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8"/>
      <c r="Q279" s="4"/>
      <c r="R279" s="8"/>
      <c r="S279" s="4"/>
      <c r="T279" s="10" t="str">
        <f t="shared" si="4"/>
        <v/>
      </c>
      <c r="U279" s="4"/>
      <c r="V279" s="4"/>
    </row>
    <row r="280" spans="1:22" ht="18" customHeight="1" x14ac:dyDescent="0.45">
      <c r="A280" s="6"/>
      <c r="B280" s="6"/>
      <c r="C280" s="10" t="str">
        <f>IFERROR(VLOOKUP(B280,'Incident Intake'!$A:$G,7,FALSE())&amp;" "&amp;VLOOKUP(B280,'Incident Intake'!$A:$F,6,FALSE()),"")</f>
        <v/>
      </c>
      <c r="D280" s="10" t="str">
        <f>IFERROR(VLOOKUP(B280,'Incident Intake'!$A:$J,10,FALSE()),"")</f>
        <v/>
      </c>
      <c r="E280" s="12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12"/>
      <c r="Q280" s="6"/>
      <c r="R280" s="12"/>
      <c r="S280" s="6"/>
      <c r="T280" s="10" t="str">
        <f t="shared" si="4"/>
        <v/>
      </c>
      <c r="U280" s="6"/>
      <c r="V280" s="6"/>
    </row>
    <row r="281" spans="1:22" ht="18" customHeight="1" x14ac:dyDescent="0.45">
      <c r="A281" s="4"/>
      <c r="B281" s="4"/>
      <c r="C281" s="10" t="str">
        <f>IFERROR(VLOOKUP(B281,'Incident Intake'!$A:$G,7,FALSE())&amp;" "&amp;VLOOKUP(B281,'Incident Intake'!$A:$F,6,FALSE()),"")</f>
        <v/>
      </c>
      <c r="D281" s="10" t="str">
        <f>IFERROR(VLOOKUP(B281,'Incident Intake'!$A:$J,10,FALSE()),"")</f>
        <v/>
      </c>
      <c r="E281" s="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8"/>
      <c r="Q281" s="4"/>
      <c r="R281" s="8"/>
      <c r="S281" s="4"/>
      <c r="T281" s="10" t="str">
        <f t="shared" si="4"/>
        <v/>
      </c>
      <c r="U281" s="4"/>
      <c r="V281" s="4"/>
    </row>
    <row r="282" spans="1:22" ht="18" customHeight="1" x14ac:dyDescent="0.45">
      <c r="A282" s="6"/>
      <c r="B282" s="6"/>
      <c r="C282" s="10" t="str">
        <f>IFERROR(VLOOKUP(B282,'Incident Intake'!$A:$G,7,FALSE())&amp;" "&amp;VLOOKUP(B282,'Incident Intake'!$A:$F,6,FALSE()),"")</f>
        <v/>
      </c>
      <c r="D282" s="10" t="str">
        <f>IFERROR(VLOOKUP(B282,'Incident Intake'!$A:$J,10,FALSE()),"")</f>
        <v/>
      </c>
      <c r="E282" s="12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12"/>
      <c r="Q282" s="6"/>
      <c r="R282" s="12"/>
      <c r="S282" s="6"/>
      <c r="T282" s="10" t="str">
        <f t="shared" si="4"/>
        <v/>
      </c>
      <c r="U282" s="6"/>
      <c r="V282" s="6"/>
    </row>
    <row r="283" spans="1:22" ht="18" customHeight="1" x14ac:dyDescent="0.45">
      <c r="A283" s="4"/>
      <c r="B283" s="4"/>
      <c r="C283" s="10" t="str">
        <f>IFERROR(VLOOKUP(B283,'Incident Intake'!$A:$G,7,FALSE())&amp;" "&amp;VLOOKUP(B283,'Incident Intake'!$A:$F,6,FALSE()),"")</f>
        <v/>
      </c>
      <c r="D283" s="10" t="str">
        <f>IFERROR(VLOOKUP(B283,'Incident Intake'!$A:$J,10,FALSE()),"")</f>
        <v/>
      </c>
      <c r="E283" s="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8"/>
      <c r="Q283" s="4"/>
      <c r="R283" s="8"/>
      <c r="S283" s="4"/>
      <c r="T283" s="10" t="str">
        <f t="shared" si="4"/>
        <v/>
      </c>
      <c r="U283" s="4"/>
      <c r="V283" s="4"/>
    </row>
    <row r="284" spans="1:22" ht="18" customHeight="1" x14ac:dyDescent="0.45">
      <c r="A284" s="6"/>
      <c r="B284" s="6"/>
      <c r="C284" s="10" t="str">
        <f>IFERROR(VLOOKUP(B284,'Incident Intake'!$A:$G,7,FALSE())&amp;" "&amp;VLOOKUP(B284,'Incident Intake'!$A:$F,6,FALSE()),"")</f>
        <v/>
      </c>
      <c r="D284" s="10" t="str">
        <f>IFERROR(VLOOKUP(B284,'Incident Intake'!$A:$J,10,FALSE()),"")</f>
        <v/>
      </c>
      <c r="E284" s="12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12"/>
      <c r="Q284" s="6"/>
      <c r="R284" s="12"/>
      <c r="S284" s="6"/>
      <c r="T284" s="10" t="str">
        <f t="shared" si="4"/>
        <v/>
      </c>
      <c r="U284" s="6"/>
      <c r="V284" s="6"/>
    </row>
    <row r="285" spans="1:22" ht="18" customHeight="1" x14ac:dyDescent="0.45">
      <c r="A285" s="4"/>
      <c r="B285" s="4"/>
      <c r="C285" s="10" t="str">
        <f>IFERROR(VLOOKUP(B285,'Incident Intake'!$A:$G,7,FALSE())&amp;" "&amp;VLOOKUP(B285,'Incident Intake'!$A:$F,6,FALSE()),"")</f>
        <v/>
      </c>
      <c r="D285" s="10" t="str">
        <f>IFERROR(VLOOKUP(B285,'Incident Intake'!$A:$J,10,FALSE()),"")</f>
        <v/>
      </c>
      <c r="E285" s="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8"/>
      <c r="Q285" s="4"/>
      <c r="R285" s="8"/>
      <c r="S285" s="4"/>
      <c r="T285" s="10" t="str">
        <f t="shared" si="4"/>
        <v/>
      </c>
      <c r="U285" s="4"/>
      <c r="V285" s="4"/>
    </row>
    <row r="286" spans="1:22" ht="18" customHeight="1" x14ac:dyDescent="0.45">
      <c r="A286" s="6"/>
      <c r="B286" s="6"/>
      <c r="C286" s="10" t="str">
        <f>IFERROR(VLOOKUP(B286,'Incident Intake'!$A:$G,7,FALSE())&amp;" "&amp;VLOOKUP(B286,'Incident Intake'!$A:$F,6,FALSE()),"")</f>
        <v/>
      </c>
      <c r="D286" s="10" t="str">
        <f>IFERROR(VLOOKUP(B286,'Incident Intake'!$A:$J,10,FALSE()),"")</f>
        <v/>
      </c>
      <c r="E286" s="12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12"/>
      <c r="Q286" s="6"/>
      <c r="R286" s="12"/>
      <c r="S286" s="6"/>
      <c r="T286" s="10" t="str">
        <f t="shared" si="4"/>
        <v/>
      </c>
      <c r="U286" s="6"/>
      <c r="V286" s="6"/>
    </row>
    <row r="287" spans="1:22" ht="18" customHeight="1" x14ac:dyDescent="0.45">
      <c r="A287" s="4"/>
      <c r="B287" s="4"/>
      <c r="C287" s="10" t="str">
        <f>IFERROR(VLOOKUP(B287,'Incident Intake'!$A:$G,7,FALSE())&amp;" "&amp;VLOOKUP(B287,'Incident Intake'!$A:$F,6,FALSE()),"")</f>
        <v/>
      </c>
      <c r="D287" s="10" t="str">
        <f>IFERROR(VLOOKUP(B287,'Incident Intake'!$A:$J,10,FALSE()),"")</f>
        <v/>
      </c>
      <c r="E287" s="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8"/>
      <c r="Q287" s="4"/>
      <c r="R287" s="8"/>
      <c r="S287" s="4"/>
      <c r="T287" s="10" t="str">
        <f t="shared" si="4"/>
        <v/>
      </c>
      <c r="U287" s="4"/>
      <c r="V287" s="4"/>
    </row>
    <row r="288" spans="1:22" ht="18" customHeight="1" x14ac:dyDescent="0.45">
      <c r="A288" s="6"/>
      <c r="B288" s="6"/>
      <c r="C288" s="10" t="str">
        <f>IFERROR(VLOOKUP(B288,'Incident Intake'!$A:$G,7,FALSE())&amp;" "&amp;VLOOKUP(B288,'Incident Intake'!$A:$F,6,FALSE()),"")</f>
        <v/>
      </c>
      <c r="D288" s="10" t="str">
        <f>IFERROR(VLOOKUP(B288,'Incident Intake'!$A:$J,10,FALSE()),"")</f>
        <v/>
      </c>
      <c r="E288" s="12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12"/>
      <c r="Q288" s="6"/>
      <c r="R288" s="12"/>
      <c r="S288" s="6"/>
      <c r="T288" s="10" t="str">
        <f t="shared" si="4"/>
        <v/>
      </c>
      <c r="U288" s="6"/>
      <c r="V288" s="6"/>
    </row>
    <row r="289" spans="1:22" ht="18" customHeight="1" x14ac:dyDescent="0.45">
      <c r="A289" s="4"/>
      <c r="B289" s="4"/>
      <c r="C289" s="10" t="str">
        <f>IFERROR(VLOOKUP(B289,'Incident Intake'!$A:$G,7,FALSE())&amp;" "&amp;VLOOKUP(B289,'Incident Intake'!$A:$F,6,FALSE()),"")</f>
        <v/>
      </c>
      <c r="D289" s="10" t="str">
        <f>IFERROR(VLOOKUP(B289,'Incident Intake'!$A:$J,10,FALSE()),"")</f>
        <v/>
      </c>
      <c r="E289" s="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8"/>
      <c r="Q289" s="4"/>
      <c r="R289" s="8"/>
      <c r="S289" s="4"/>
      <c r="T289" s="10" t="str">
        <f t="shared" si="4"/>
        <v/>
      </c>
      <c r="U289" s="4"/>
      <c r="V289" s="4"/>
    </row>
    <row r="290" spans="1:22" ht="18" customHeight="1" x14ac:dyDescent="0.45">
      <c r="A290" s="6"/>
      <c r="B290" s="6"/>
      <c r="C290" s="10" t="str">
        <f>IFERROR(VLOOKUP(B290,'Incident Intake'!$A:$G,7,FALSE())&amp;" "&amp;VLOOKUP(B290,'Incident Intake'!$A:$F,6,FALSE()),"")</f>
        <v/>
      </c>
      <c r="D290" s="10" t="str">
        <f>IFERROR(VLOOKUP(B290,'Incident Intake'!$A:$J,10,FALSE()),"")</f>
        <v/>
      </c>
      <c r="E290" s="12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12"/>
      <c r="Q290" s="6"/>
      <c r="R290" s="12"/>
      <c r="S290" s="6"/>
      <c r="T290" s="10" t="str">
        <f t="shared" si="4"/>
        <v/>
      </c>
      <c r="U290" s="6"/>
      <c r="V290" s="6"/>
    </row>
    <row r="291" spans="1:22" ht="18" customHeight="1" x14ac:dyDescent="0.45">
      <c r="A291" s="4"/>
      <c r="B291" s="4"/>
      <c r="C291" s="10" t="str">
        <f>IFERROR(VLOOKUP(B291,'Incident Intake'!$A:$G,7,FALSE())&amp;" "&amp;VLOOKUP(B291,'Incident Intake'!$A:$F,6,FALSE()),"")</f>
        <v/>
      </c>
      <c r="D291" s="10" t="str">
        <f>IFERROR(VLOOKUP(B291,'Incident Intake'!$A:$J,10,FALSE()),"")</f>
        <v/>
      </c>
      <c r="E291" s="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8"/>
      <c r="Q291" s="4"/>
      <c r="R291" s="8"/>
      <c r="S291" s="4"/>
      <c r="T291" s="10" t="str">
        <f t="shared" si="4"/>
        <v/>
      </c>
      <c r="U291" s="4"/>
      <c r="V291" s="4"/>
    </row>
    <row r="292" spans="1:22" ht="18" customHeight="1" x14ac:dyDescent="0.45">
      <c r="A292" s="6"/>
      <c r="B292" s="6"/>
      <c r="C292" s="10" t="str">
        <f>IFERROR(VLOOKUP(B292,'Incident Intake'!$A:$G,7,FALSE())&amp;" "&amp;VLOOKUP(B292,'Incident Intake'!$A:$F,6,FALSE()),"")</f>
        <v/>
      </c>
      <c r="D292" s="10" t="str">
        <f>IFERROR(VLOOKUP(B292,'Incident Intake'!$A:$J,10,FALSE()),"")</f>
        <v/>
      </c>
      <c r="E292" s="12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12"/>
      <c r="Q292" s="6"/>
      <c r="R292" s="12"/>
      <c r="S292" s="6"/>
      <c r="T292" s="10" t="str">
        <f t="shared" si="4"/>
        <v/>
      </c>
      <c r="U292" s="6"/>
      <c r="V292" s="6"/>
    </row>
    <row r="293" spans="1:22" ht="18" customHeight="1" x14ac:dyDescent="0.45">
      <c r="A293" s="4"/>
      <c r="B293" s="4"/>
      <c r="C293" s="10" t="str">
        <f>IFERROR(VLOOKUP(B293,'Incident Intake'!$A:$G,7,FALSE())&amp;" "&amp;VLOOKUP(B293,'Incident Intake'!$A:$F,6,FALSE()),"")</f>
        <v/>
      </c>
      <c r="D293" s="10" t="str">
        <f>IFERROR(VLOOKUP(B293,'Incident Intake'!$A:$J,10,FALSE()),"")</f>
        <v/>
      </c>
      <c r="E293" s="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8"/>
      <c r="Q293" s="4"/>
      <c r="R293" s="8"/>
      <c r="S293" s="4"/>
      <c r="T293" s="10" t="str">
        <f t="shared" si="4"/>
        <v/>
      </c>
      <c r="U293" s="4"/>
      <c r="V293" s="4"/>
    </row>
    <row r="294" spans="1:22" ht="18" customHeight="1" x14ac:dyDescent="0.45">
      <c r="A294" s="6"/>
      <c r="B294" s="6"/>
      <c r="C294" s="10" t="str">
        <f>IFERROR(VLOOKUP(B294,'Incident Intake'!$A:$G,7,FALSE())&amp;" "&amp;VLOOKUP(B294,'Incident Intake'!$A:$F,6,FALSE()),"")</f>
        <v/>
      </c>
      <c r="D294" s="10" t="str">
        <f>IFERROR(VLOOKUP(B294,'Incident Intake'!$A:$J,10,FALSE()),"")</f>
        <v/>
      </c>
      <c r="E294" s="12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12"/>
      <c r="Q294" s="6"/>
      <c r="R294" s="12"/>
      <c r="S294" s="6"/>
      <c r="T294" s="10" t="str">
        <f t="shared" si="4"/>
        <v/>
      </c>
      <c r="U294" s="6"/>
      <c r="V294" s="6"/>
    </row>
    <row r="295" spans="1:22" ht="18" customHeight="1" x14ac:dyDescent="0.45">
      <c r="A295" s="4"/>
      <c r="B295" s="4"/>
      <c r="C295" s="10" t="str">
        <f>IFERROR(VLOOKUP(B295,'Incident Intake'!$A:$G,7,FALSE())&amp;" "&amp;VLOOKUP(B295,'Incident Intake'!$A:$F,6,FALSE()),"")</f>
        <v/>
      </c>
      <c r="D295" s="10" t="str">
        <f>IFERROR(VLOOKUP(B295,'Incident Intake'!$A:$J,10,FALSE()),"")</f>
        <v/>
      </c>
      <c r="E295" s="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8"/>
      <c r="Q295" s="4"/>
      <c r="R295" s="8"/>
      <c r="S295" s="4"/>
      <c r="T295" s="10" t="str">
        <f t="shared" si="4"/>
        <v/>
      </c>
      <c r="U295" s="4"/>
      <c r="V295" s="4"/>
    </row>
    <row r="296" spans="1:22" ht="18" customHeight="1" x14ac:dyDescent="0.45">
      <c r="A296" s="6"/>
      <c r="B296" s="6"/>
      <c r="C296" s="10" t="str">
        <f>IFERROR(VLOOKUP(B296,'Incident Intake'!$A:$G,7,FALSE())&amp;" "&amp;VLOOKUP(B296,'Incident Intake'!$A:$F,6,FALSE()),"")</f>
        <v/>
      </c>
      <c r="D296" s="10" t="str">
        <f>IFERROR(VLOOKUP(B296,'Incident Intake'!$A:$J,10,FALSE()),"")</f>
        <v/>
      </c>
      <c r="E296" s="12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12"/>
      <c r="Q296" s="6"/>
      <c r="R296" s="12"/>
      <c r="S296" s="6"/>
      <c r="T296" s="10" t="str">
        <f t="shared" si="4"/>
        <v/>
      </c>
      <c r="U296" s="6"/>
      <c r="V296" s="6"/>
    </row>
    <row r="297" spans="1:22" ht="18" customHeight="1" x14ac:dyDescent="0.45">
      <c r="A297" s="4"/>
      <c r="B297" s="4"/>
      <c r="C297" s="10" t="str">
        <f>IFERROR(VLOOKUP(B297,'Incident Intake'!$A:$G,7,FALSE())&amp;" "&amp;VLOOKUP(B297,'Incident Intake'!$A:$F,6,FALSE()),"")</f>
        <v/>
      </c>
      <c r="D297" s="10" t="str">
        <f>IFERROR(VLOOKUP(B297,'Incident Intake'!$A:$J,10,FALSE()),"")</f>
        <v/>
      </c>
      <c r="E297" s="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8"/>
      <c r="Q297" s="4"/>
      <c r="R297" s="8"/>
      <c r="S297" s="4"/>
      <c r="T297" s="10" t="str">
        <f t="shared" si="4"/>
        <v/>
      </c>
      <c r="U297" s="4"/>
      <c r="V297" s="4"/>
    </row>
    <row r="298" spans="1:22" ht="18" customHeight="1" x14ac:dyDescent="0.45">
      <c r="A298" s="6"/>
      <c r="B298" s="6"/>
      <c r="C298" s="10" t="str">
        <f>IFERROR(VLOOKUP(B298,'Incident Intake'!$A:$G,7,FALSE())&amp;" "&amp;VLOOKUP(B298,'Incident Intake'!$A:$F,6,FALSE()),"")</f>
        <v/>
      </c>
      <c r="D298" s="10" t="str">
        <f>IFERROR(VLOOKUP(B298,'Incident Intake'!$A:$J,10,FALSE()),"")</f>
        <v/>
      </c>
      <c r="E298" s="12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12"/>
      <c r="Q298" s="6"/>
      <c r="R298" s="12"/>
      <c r="S298" s="6"/>
      <c r="T298" s="10" t="str">
        <f t="shared" si="4"/>
        <v/>
      </c>
      <c r="U298" s="6"/>
      <c r="V298" s="6"/>
    </row>
    <row r="299" spans="1:22" ht="18" customHeight="1" x14ac:dyDescent="0.45">
      <c r="A299" s="4"/>
      <c r="B299" s="4"/>
      <c r="C299" s="10" t="str">
        <f>IFERROR(VLOOKUP(B299,'Incident Intake'!$A:$G,7,FALSE())&amp;" "&amp;VLOOKUP(B299,'Incident Intake'!$A:$F,6,FALSE()),"")</f>
        <v/>
      </c>
      <c r="D299" s="10" t="str">
        <f>IFERROR(VLOOKUP(B299,'Incident Intake'!$A:$J,10,FALSE()),"")</f>
        <v/>
      </c>
      <c r="E299" s="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8"/>
      <c r="Q299" s="4"/>
      <c r="R299" s="8"/>
      <c r="S299" s="4"/>
      <c r="T299" s="10" t="str">
        <f t="shared" si="4"/>
        <v/>
      </c>
      <c r="U299" s="4"/>
      <c r="V299" s="4"/>
    </row>
    <row r="300" spans="1:22" ht="18" customHeight="1" x14ac:dyDescent="0.45">
      <c r="A300" s="6"/>
      <c r="B300" s="6"/>
      <c r="C300" s="10" t="str">
        <f>IFERROR(VLOOKUP(B300,'Incident Intake'!$A:$G,7,FALSE())&amp;" "&amp;VLOOKUP(B300,'Incident Intake'!$A:$F,6,FALSE()),"")</f>
        <v/>
      </c>
      <c r="D300" s="10" t="str">
        <f>IFERROR(VLOOKUP(B300,'Incident Intake'!$A:$J,10,FALSE()),"")</f>
        <v/>
      </c>
      <c r="E300" s="12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12"/>
      <c r="Q300" s="6"/>
      <c r="R300" s="12"/>
      <c r="S300" s="6"/>
      <c r="T300" s="10" t="str">
        <f t="shared" si="4"/>
        <v/>
      </c>
      <c r="U300" s="6"/>
      <c r="V300" s="6"/>
    </row>
    <row r="301" spans="1:22" ht="18" customHeight="1" x14ac:dyDescent="0.45">
      <c r="A301" s="4"/>
      <c r="B301" s="4"/>
      <c r="C301" s="10" t="str">
        <f>IFERROR(VLOOKUP(B301,'Incident Intake'!$A:$G,7,FALSE())&amp;" "&amp;VLOOKUP(B301,'Incident Intake'!$A:$F,6,FALSE()),"")</f>
        <v/>
      </c>
      <c r="D301" s="10" t="str">
        <f>IFERROR(VLOOKUP(B301,'Incident Intake'!$A:$J,10,FALSE()),"")</f>
        <v/>
      </c>
      <c r="E301" s="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8"/>
      <c r="Q301" s="4"/>
      <c r="R301" s="8"/>
      <c r="S301" s="4"/>
      <c r="T301" s="10" t="str">
        <f t="shared" si="4"/>
        <v/>
      </c>
      <c r="U301" s="4"/>
      <c r="V301" s="4"/>
    </row>
    <row r="302" spans="1:22" ht="18" customHeight="1" x14ac:dyDescent="0.45">
      <c r="A302" s="6"/>
      <c r="B302" s="6"/>
      <c r="C302" s="10" t="str">
        <f>IFERROR(VLOOKUP(B302,'Incident Intake'!$A:$G,7,FALSE())&amp;" "&amp;VLOOKUP(B302,'Incident Intake'!$A:$F,6,FALSE()),"")</f>
        <v/>
      </c>
      <c r="D302" s="10" t="str">
        <f>IFERROR(VLOOKUP(B302,'Incident Intake'!$A:$J,10,FALSE()),"")</f>
        <v/>
      </c>
      <c r="E302" s="12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12"/>
      <c r="Q302" s="6"/>
      <c r="R302" s="12"/>
      <c r="S302" s="6"/>
      <c r="T302" s="10" t="str">
        <f t="shared" si="4"/>
        <v/>
      </c>
      <c r="U302" s="6"/>
      <c r="V302" s="6"/>
    </row>
    <row r="303" spans="1:22" ht="18" customHeight="1" x14ac:dyDescent="0.45">
      <c r="A303" s="4"/>
      <c r="B303" s="4"/>
      <c r="C303" s="10" t="str">
        <f>IFERROR(VLOOKUP(B303,'Incident Intake'!$A:$G,7,FALSE())&amp;" "&amp;VLOOKUP(B303,'Incident Intake'!$A:$F,6,FALSE()),"")</f>
        <v/>
      </c>
      <c r="D303" s="10" t="str">
        <f>IFERROR(VLOOKUP(B303,'Incident Intake'!$A:$J,10,FALSE()),"")</f>
        <v/>
      </c>
      <c r="E303" s="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8"/>
      <c r="Q303" s="4"/>
      <c r="R303" s="8"/>
      <c r="S303" s="4"/>
      <c r="T303" s="10" t="str">
        <f t="shared" si="4"/>
        <v/>
      </c>
      <c r="U303" s="4"/>
      <c r="V303" s="4"/>
    </row>
    <row r="304" spans="1:22" ht="18" customHeight="1" x14ac:dyDescent="0.45">
      <c r="A304" s="6"/>
      <c r="B304" s="6"/>
      <c r="C304" s="10" t="str">
        <f>IFERROR(VLOOKUP(B304,'Incident Intake'!$A:$G,7,FALSE())&amp;" "&amp;VLOOKUP(B304,'Incident Intake'!$A:$F,6,FALSE()),"")</f>
        <v/>
      </c>
      <c r="D304" s="10" t="str">
        <f>IFERROR(VLOOKUP(B304,'Incident Intake'!$A:$J,10,FALSE()),"")</f>
        <v/>
      </c>
      <c r="E304" s="12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12"/>
      <c r="Q304" s="6"/>
      <c r="R304" s="12"/>
      <c r="S304" s="6"/>
      <c r="T304" s="10" t="str">
        <f t="shared" si="4"/>
        <v/>
      </c>
      <c r="U304" s="6"/>
      <c r="V304" s="6"/>
    </row>
    <row r="305" spans="1:22" ht="19.5" customHeight="1" x14ac:dyDescent="0.45">
      <c r="A305" s="87" t="s">
        <v>72</v>
      </c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</row>
  </sheetData>
  <mergeCells count="4">
    <mergeCell ref="A2:V2"/>
    <mergeCell ref="A3:V3"/>
    <mergeCell ref="A1:V1"/>
    <mergeCell ref="A305:V305"/>
  </mergeCells>
  <conditionalFormatting sqref="A5:V304">
    <cfRule type="expression" dxfId="14" priority="2">
      <formula>$S5="Yes"</formula>
    </cfRule>
    <cfRule type="expression" dxfId="13" priority="3">
      <formula>$U5="Yes"</formula>
    </cfRule>
  </conditionalFormatting>
  <conditionalFormatting sqref="T5:T304">
    <cfRule type="expression" dxfId="12" priority="4">
      <formula>ISNUMBER(SEARCH("LEGAL HOLD",$T5))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500-000000000000}">
          <x14:formula1>
            <xm:f>Lists!$M$2:$M$15</xm:f>
          </x14:formula1>
          <xm:sqref>H5:H304</xm:sqref>
        </x14:dataValidation>
        <x14:dataValidation type="list" allowBlank="1" xr:uid="{00000000-0002-0000-0500-000001000000}">
          <x14:formula1>
            <xm:f>Lists!$J$2:$J$9</xm:f>
          </x14:formula1>
          <xm:sqref>K5:K304</xm:sqref>
        </x14:dataValidation>
        <x14:dataValidation type="list" allowBlank="1" xr:uid="{00000000-0002-0000-0500-000002000000}">
          <x14:formula1>
            <xm:f>Lists!$N$2:$N$8</xm:f>
          </x14:formula1>
          <xm:sqref>M5:M304</xm:sqref>
        </x14:dataValidation>
        <x14:dataValidation type="list" allowBlank="1" xr:uid="{00000000-0002-0000-0500-000003000000}">
          <x14:formula1>
            <xm:f>Lists!$F$2:$F$3</xm:f>
          </x14:formula1>
          <xm:sqref>S5:S304 U5:U304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B2D7F"/>
  </sheetPr>
  <dimension ref="A1:U25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10" customWidth="1"/>
    <col min="2" max="2" width="14" customWidth="1"/>
    <col min="3" max="3" width="12" customWidth="1"/>
    <col min="4" max="4" width="22" customWidth="1"/>
    <col min="5" max="5" width="13" customWidth="1"/>
    <col min="6" max="6" width="10" customWidth="1"/>
    <col min="7" max="7" width="18" customWidth="1"/>
    <col min="8" max="8" width="24" customWidth="1"/>
    <col min="9" max="9" width="16" customWidth="1"/>
    <col min="10" max="10" width="28" customWidth="1"/>
    <col min="11" max="11" width="14" customWidth="1"/>
    <col min="12" max="12" width="70" customWidth="1"/>
    <col min="13" max="13" width="28" customWidth="1"/>
    <col min="14" max="14" width="40" customWidth="1"/>
    <col min="15" max="16" width="36" customWidth="1"/>
    <col min="17" max="17" width="14" customWidth="1"/>
    <col min="18" max="18" width="13" customWidth="1"/>
    <col min="19" max="20" width="16" customWidth="1"/>
    <col min="21" max="21" width="28" customWidth="1"/>
  </cols>
  <sheetData>
    <row r="1" spans="1:21" ht="43.5" customHeight="1" x14ac:dyDescent="0.45">
      <c r="A1" s="86" t="s">
        <v>200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</row>
    <row r="2" spans="1:21" ht="21.75" customHeight="1" x14ac:dyDescent="0.45">
      <c r="A2" s="85" t="s">
        <v>201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</row>
    <row r="3" spans="1:21" ht="18" customHeight="1" x14ac:dyDescent="0.45">
      <c r="A3" s="106" t="s">
        <v>202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1" ht="36" customHeight="1" x14ac:dyDescent="0.45">
      <c r="A4" s="7" t="s">
        <v>203</v>
      </c>
      <c r="B4" s="7" t="s">
        <v>38</v>
      </c>
      <c r="C4" s="7" t="s">
        <v>42</v>
      </c>
      <c r="D4" s="7" t="s">
        <v>121</v>
      </c>
      <c r="E4" s="7" t="s">
        <v>204</v>
      </c>
      <c r="F4" s="7" t="s">
        <v>205</v>
      </c>
      <c r="G4" s="7" t="s">
        <v>206</v>
      </c>
      <c r="H4" s="7" t="s">
        <v>207</v>
      </c>
      <c r="I4" s="7" t="s">
        <v>208</v>
      </c>
      <c r="J4" s="7" t="s">
        <v>209</v>
      </c>
      <c r="K4" s="7" t="s">
        <v>210</v>
      </c>
      <c r="L4" s="7" t="s">
        <v>211</v>
      </c>
      <c r="M4" s="7" t="s">
        <v>212</v>
      </c>
      <c r="N4" s="7" t="s">
        <v>213</v>
      </c>
      <c r="O4" s="7" t="s">
        <v>214</v>
      </c>
      <c r="P4" s="7" t="s">
        <v>215</v>
      </c>
      <c r="Q4" s="7" t="s">
        <v>216</v>
      </c>
      <c r="R4" s="7" t="s">
        <v>217</v>
      </c>
      <c r="S4" s="7" t="s">
        <v>218</v>
      </c>
      <c r="T4" s="7" t="s">
        <v>219</v>
      </c>
      <c r="U4" s="7" t="s">
        <v>71</v>
      </c>
    </row>
    <row r="5" spans="1:21" ht="60" customHeight="1" x14ac:dyDescent="0.45">
      <c r="A5" s="4"/>
      <c r="B5" s="4"/>
      <c r="C5" s="4"/>
      <c r="D5" s="10" t="str">
        <f>IFERROR(VLOOKUP(C5,'Incident Intake'!$E:$G,3,FALSE())&amp;" "&amp;VLOOKUP(C5,'Incident Intake'!$E:$F,2,FALSE()),"")</f>
        <v/>
      </c>
      <c r="E5" s="8"/>
      <c r="F5" s="4"/>
      <c r="G5" s="4"/>
      <c r="H5" s="4"/>
      <c r="I5" s="4"/>
      <c r="J5" s="4"/>
      <c r="K5" s="10" t="str">
        <f t="shared" ref="K5:K68" si="0">IF(J5="","",IF(ISNUMBER(SEARCH("TEC-Required",J5)),"YES — Required","Voluntary"))</f>
        <v/>
      </c>
      <c r="L5" s="40" t="str">
        <f>IFERROR(VLOOKUP(M5,Lists!$T:$U,2,FALSE()),"Select an offense in col M to load the phone script →")</f>
        <v>Select an offense in col M to load the phone script →</v>
      </c>
      <c r="M5" s="4"/>
      <c r="N5" s="4"/>
      <c r="O5" s="4"/>
      <c r="P5" s="4"/>
      <c r="Q5" s="4"/>
      <c r="R5" s="8"/>
      <c r="S5" s="4"/>
      <c r="T5" s="4"/>
      <c r="U5" s="4"/>
    </row>
    <row r="6" spans="1:21" ht="60" customHeight="1" x14ac:dyDescent="0.45">
      <c r="A6" s="6"/>
      <c r="B6" s="6"/>
      <c r="C6" s="6"/>
      <c r="D6" s="10" t="str">
        <f>IFERROR(VLOOKUP(C6,'Incident Intake'!$E:$G,3,FALSE())&amp;" "&amp;VLOOKUP(C6,'Incident Intake'!$E:$F,2,FALSE()),"")</f>
        <v/>
      </c>
      <c r="E6" s="12"/>
      <c r="F6" s="6"/>
      <c r="G6" s="6"/>
      <c r="H6" s="6"/>
      <c r="I6" s="6"/>
      <c r="J6" s="6"/>
      <c r="K6" s="10" t="str">
        <f t="shared" si="0"/>
        <v/>
      </c>
      <c r="L6" s="41" t="str">
        <f>IFERROR(VLOOKUP(M6,Lists!$T:$U,2,FALSE()),"Select an offense in col M to load the phone script →")</f>
        <v>Select an offense in col M to load the phone script →</v>
      </c>
      <c r="M6" s="6"/>
      <c r="N6" s="6"/>
      <c r="O6" s="6"/>
      <c r="P6" s="6"/>
      <c r="Q6" s="6"/>
      <c r="R6" s="12"/>
      <c r="S6" s="6"/>
      <c r="T6" s="6"/>
      <c r="U6" s="6"/>
    </row>
    <row r="7" spans="1:21" ht="60" customHeight="1" x14ac:dyDescent="0.45">
      <c r="A7" s="4"/>
      <c r="B7" s="4"/>
      <c r="C7" s="4"/>
      <c r="D7" s="10" t="str">
        <f>IFERROR(VLOOKUP(C7,'Incident Intake'!$E:$G,3,FALSE())&amp;" "&amp;VLOOKUP(C7,'Incident Intake'!$E:$F,2,FALSE()),"")</f>
        <v/>
      </c>
      <c r="E7" s="8"/>
      <c r="F7" s="4"/>
      <c r="G7" s="4"/>
      <c r="H7" s="4"/>
      <c r="I7" s="4"/>
      <c r="J7" s="4"/>
      <c r="K7" s="10" t="str">
        <f t="shared" si="0"/>
        <v/>
      </c>
      <c r="L7" s="40" t="str">
        <f>IFERROR(VLOOKUP(M7,Lists!$T:$U,2,FALSE()),"Select an offense in col M to load the phone script →")</f>
        <v>Select an offense in col M to load the phone script →</v>
      </c>
      <c r="M7" s="4"/>
      <c r="N7" s="4"/>
      <c r="O7" s="4"/>
      <c r="P7" s="4"/>
      <c r="Q7" s="4"/>
      <c r="R7" s="8"/>
      <c r="S7" s="4"/>
      <c r="T7" s="4"/>
      <c r="U7" s="4"/>
    </row>
    <row r="8" spans="1:21" ht="60" customHeight="1" x14ac:dyDescent="0.45">
      <c r="A8" s="6"/>
      <c r="B8" s="6"/>
      <c r="C8" s="6"/>
      <c r="D8" s="10" t="str">
        <f>IFERROR(VLOOKUP(C8,'Incident Intake'!$E:$G,3,FALSE())&amp;" "&amp;VLOOKUP(C8,'Incident Intake'!$E:$F,2,FALSE()),"")</f>
        <v/>
      </c>
      <c r="E8" s="12"/>
      <c r="F8" s="6"/>
      <c r="G8" s="6"/>
      <c r="H8" s="6"/>
      <c r="I8" s="6"/>
      <c r="J8" s="6"/>
      <c r="K8" s="10" t="str">
        <f t="shared" si="0"/>
        <v/>
      </c>
      <c r="L8" s="41" t="str">
        <f>IFERROR(VLOOKUP(M8,Lists!$T:$U,2,FALSE()),"Select an offense in col M to load the phone script →")</f>
        <v>Select an offense in col M to load the phone script →</v>
      </c>
      <c r="M8" s="6"/>
      <c r="N8" s="6"/>
      <c r="O8" s="6"/>
      <c r="P8" s="6"/>
      <c r="Q8" s="6"/>
      <c r="R8" s="12"/>
      <c r="S8" s="6"/>
      <c r="T8" s="6"/>
      <c r="U8" s="6"/>
    </row>
    <row r="9" spans="1:21" ht="60" customHeight="1" x14ac:dyDescent="0.45">
      <c r="A9" s="4"/>
      <c r="B9" s="4"/>
      <c r="C9" s="4"/>
      <c r="D9" s="10" t="str">
        <f>IFERROR(VLOOKUP(C9,'Incident Intake'!$E:$G,3,FALSE())&amp;" "&amp;VLOOKUP(C9,'Incident Intake'!$E:$F,2,FALSE()),"")</f>
        <v/>
      </c>
      <c r="E9" s="8"/>
      <c r="F9" s="4"/>
      <c r="G9" s="4"/>
      <c r="H9" s="4"/>
      <c r="I9" s="4"/>
      <c r="J9" s="4"/>
      <c r="K9" s="10" t="str">
        <f t="shared" si="0"/>
        <v/>
      </c>
      <c r="L9" s="40" t="str">
        <f>IFERROR(VLOOKUP(M9,Lists!$T:$U,2,FALSE()),"Select an offense in col M to load the phone script →")</f>
        <v>Select an offense in col M to load the phone script →</v>
      </c>
      <c r="M9" s="4"/>
      <c r="N9" s="4"/>
      <c r="O9" s="4"/>
      <c r="P9" s="4"/>
      <c r="Q9" s="4"/>
      <c r="R9" s="8"/>
      <c r="S9" s="4"/>
      <c r="T9" s="4"/>
      <c r="U9" s="4"/>
    </row>
    <row r="10" spans="1:21" ht="60" customHeight="1" x14ac:dyDescent="0.45">
      <c r="A10" s="6"/>
      <c r="B10" s="6"/>
      <c r="C10" s="6"/>
      <c r="D10" s="10" t="str">
        <f>IFERROR(VLOOKUP(C10,'Incident Intake'!$E:$G,3,FALSE())&amp;" "&amp;VLOOKUP(C10,'Incident Intake'!$E:$F,2,FALSE()),"")</f>
        <v/>
      </c>
      <c r="E10" s="12"/>
      <c r="F10" s="6"/>
      <c r="G10" s="6"/>
      <c r="H10" s="6"/>
      <c r="I10" s="6"/>
      <c r="J10" s="6"/>
      <c r="K10" s="10" t="str">
        <f t="shared" si="0"/>
        <v/>
      </c>
      <c r="L10" s="41" t="str">
        <f>IFERROR(VLOOKUP(M10,Lists!$T:$U,2,FALSE()),"Select an offense in col M to load the phone script →")</f>
        <v>Select an offense in col M to load the phone script →</v>
      </c>
      <c r="M10" s="6"/>
      <c r="N10" s="6"/>
      <c r="O10" s="6"/>
      <c r="P10" s="6"/>
      <c r="Q10" s="6"/>
      <c r="R10" s="12"/>
      <c r="S10" s="6"/>
      <c r="T10" s="6"/>
      <c r="U10" s="6"/>
    </row>
    <row r="11" spans="1:21" ht="60" customHeight="1" x14ac:dyDescent="0.45">
      <c r="A11" s="4"/>
      <c r="B11" s="4"/>
      <c r="C11" s="4"/>
      <c r="D11" s="10" t="str">
        <f>IFERROR(VLOOKUP(C11,'Incident Intake'!$E:$G,3,FALSE())&amp;" "&amp;VLOOKUP(C11,'Incident Intake'!$E:$F,2,FALSE()),"")</f>
        <v/>
      </c>
      <c r="E11" s="8"/>
      <c r="F11" s="4"/>
      <c r="G11" s="4"/>
      <c r="H11" s="4"/>
      <c r="I11" s="4"/>
      <c r="J11" s="4"/>
      <c r="K11" s="10" t="str">
        <f t="shared" si="0"/>
        <v/>
      </c>
      <c r="L11" s="40" t="str">
        <f>IFERROR(VLOOKUP(M11,Lists!$T:$U,2,FALSE()),"Select an offense in col M to load the phone script →")</f>
        <v>Select an offense in col M to load the phone script →</v>
      </c>
      <c r="M11" s="4"/>
      <c r="N11" s="4"/>
      <c r="O11" s="4"/>
      <c r="P11" s="4"/>
      <c r="Q11" s="4"/>
      <c r="R11" s="8"/>
      <c r="S11" s="4"/>
      <c r="T11" s="4"/>
      <c r="U11" s="4"/>
    </row>
    <row r="12" spans="1:21" ht="60" customHeight="1" x14ac:dyDescent="0.45">
      <c r="A12" s="6"/>
      <c r="B12" s="6"/>
      <c r="C12" s="6"/>
      <c r="D12" s="10" t="str">
        <f>IFERROR(VLOOKUP(C12,'Incident Intake'!$E:$G,3,FALSE())&amp;" "&amp;VLOOKUP(C12,'Incident Intake'!$E:$F,2,FALSE()),"")</f>
        <v/>
      </c>
      <c r="E12" s="12"/>
      <c r="F12" s="6"/>
      <c r="G12" s="6"/>
      <c r="H12" s="6"/>
      <c r="I12" s="6"/>
      <c r="J12" s="6"/>
      <c r="K12" s="10" t="str">
        <f t="shared" si="0"/>
        <v/>
      </c>
      <c r="L12" s="41" t="str">
        <f>IFERROR(VLOOKUP(M12,Lists!$T:$U,2,FALSE()),"Select an offense in col M to load the phone script →")</f>
        <v>Select an offense in col M to load the phone script →</v>
      </c>
      <c r="M12" s="6"/>
      <c r="N12" s="6"/>
      <c r="O12" s="6"/>
      <c r="P12" s="6"/>
      <c r="Q12" s="6"/>
      <c r="R12" s="12"/>
      <c r="S12" s="6"/>
      <c r="T12" s="6"/>
      <c r="U12" s="6"/>
    </row>
    <row r="13" spans="1:21" ht="60" customHeight="1" x14ac:dyDescent="0.45">
      <c r="A13" s="4"/>
      <c r="B13" s="4"/>
      <c r="C13" s="4"/>
      <c r="D13" s="10" t="str">
        <f>IFERROR(VLOOKUP(C13,'Incident Intake'!$E:$G,3,FALSE())&amp;" "&amp;VLOOKUP(C13,'Incident Intake'!$E:$F,2,FALSE()),"")</f>
        <v/>
      </c>
      <c r="E13" s="8"/>
      <c r="F13" s="4"/>
      <c r="G13" s="4"/>
      <c r="H13" s="4"/>
      <c r="I13" s="4"/>
      <c r="J13" s="4"/>
      <c r="K13" s="10" t="str">
        <f t="shared" si="0"/>
        <v/>
      </c>
      <c r="L13" s="40" t="str">
        <f>IFERROR(VLOOKUP(M13,Lists!$T:$U,2,FALSE()),"Select an offense in col M to load the phone script →")</f>
        <v>Select an offense in col M to load the phone script →</v>
      </c>
      <c r="M13" s="4"/>
      <c r="N13" s="4"/>
      <c r="O13" s="4"/>
      <c r="P13" s="4"/>
      <c r="Q13" s="4"/>
      <c r="R13" s="8"/>
      <c r="S13" s="4"/>
      <c r="T13" s="4"/>
      <c r="U13" s="4"/>
    </row>
    <row r="14" spans="1:21" ht="60" customHeight="1" x14ac:dyDescent="0.45">
      <c r="A14" s="6"/>
      <c r="B14" s="6"/>
      <c r="C14" s="6"/>
      <c r="D14" s="10" t="str">
        <f>IFERROR(VLOOKUP(C14,'Incident Intake'!$E:$G,3,FALSE())&amp;" "&amp;VLOOKUP(C14,'Incident Intake'!$E:$F,2,FALSE()),"")</f>
        <v/>
      </c>
      <c r="E14" s="12"/>
      <c r="F14" s="6"/>
      <c r="G14" s="6"/>
      <c r="H14" s="6"/>
      <c r="I14" s="6"/>
      <c r="J14" s="6"/>
      <c r="K14" s="10" t="str">
        <f t="shared" si="0"/>
        <v/>
      </c>
      <c r="L14" s="41" t="str">
        <f>IFERROR(VLOOKUP(M14,Lists!$T:$U,2,FALSE()),"Select an offense in col M to load the phone script →")</f>
        <v>Select an offense in col M to load the phone script →</v>
      </c>
      <c r="M14" s="6"/>
      <c r="N14" s="6"/>
      <c r="O14" s="6"/>
      <c r="P14" s="6"/>
      <c r="Q14" s="6"/>
      <c r="R14" s="12"/>
      <c r="S14" s="6"/>
      <c r="T14" s="6"/>
      <c r="U14" s="6"/>
    </row>
    <row r="15" spans="1:21" ht="60" customHeight="1" x14ac:dyDescent="0.45">
      <c r="A15" s="4"/>
      <c r="B15" s="4"/>
      <c r="C15" s="4"/>
      <c r="D15" s="10" t="str">
        <f>IFERROR(VLOOKUP(C15,'Incident Intake'!$E:$G,3,FALSE())&amp;" "&amp;VLOOKUP(C15,'Incident Intake'!$E:$F,2,FALSE()),"")</f>
        <v/>
      </c>
      <c r="E15" s="8"/>
      <c r="F15" s="4"/>
      <c r="G15" s="4"/>
      <c r="H15" s="4"/>
      <c r="I15" s="4"/>
      <c r="J15" s="4"/>
      <c r="K15" s="10" t="str">
        <f t="shared" si="0"/>
        <v/>
      </c>
      <c r="L15" s="40" t="str">
        <f>IFERROR(VLOOKUP(M15,Lists!$T:$U,2,FALSE()),"Select an offense in col M to load the phone script →")</f>
        <v>Select an offense in col M to load the phone script →</v>
      </c>
      <c r="M15" s="4"/>
      <c r="N15" s="4"/>
      <c r="O15" s="4"/>
      <c r="P15" s="4"/>
      <c r="Q15" s="4"/>
      <c r="R15" s="8"/>
      <c r="S15" s="4"/>
      <c r="T15" s="4"/>
      <c r="U15" s="4"/>
    </row>
    <row r="16" spans="1:21" ht="60" customHeight="1" x14ac:dyDescent="0.45">
      <c r="A16" s="6"/>
      <c r="B16" s="6"/>
      <c r="C16" s="6"/>
      <c r="D16" s="10" t="str">
        <f>IFERROR(VLOOKUP(C16,'Incident Intake'!$E:$G,3,FALSE())&amp;" "&amp;VLOOKUP(C16,'Incident Intake'!$E:$F,2,FALSE()),"")</f>
        <v/>
      </c>
      <c r="E16" s="12"/>
      <c r="F16" s="6"/>
      <c r="G16" s="6"/>
      <c r="H16" s="6"/>
      <c r="I16" s="6"/>
      <c r="J16" s="6"/>
      <c r="K16" s="10" t="str">
        <f t="shared" si="0"/>
        <v/>
      </c>
      <c r="L16" s="41" t="str">
        <f>IFERROR(VLOOKUP(M16,Lists!$T:$U,2,FALSE()),"Select an offense in col M to load the phone script →")</f>
        <v>Select an offense in col M to load the phone script →</v>
      </c>
      <c r="M16" s="6"/>
      <c r="N16" s="6"/>
      <c r="O16" s="6"/>
      <c r="P16" s="6"/>
      <c r="Q16" s="6"/>
      <c r="R16" s="12"/>
      <c r="S16" s="6"/>
      <c r="T16" s="6"/>
      <c r="U16" s="6"/>
    </row>
    <row r="17" spans="1:21" ht="60" customHeight="1" x14ac:dyDescent="0.45">
      <c r="A17" s="4"/>
      <c r="B17" s="4"/>
      <c r="C17" s="4"/>
      <c r="D17" s="10" t="str">
        <f>IFERROR(VLOOKUP(C17,'Incident Intake'!$E:$G,3,FALSE())&amp;" "&amp;VLOOKUP(C17,'Incident Intake'!$E:$F,2,FALSE()),"")</f>
        <v/>
      </c>
      <c r="E17" s="8"/>
      <c r="F17" s="4"/>
      <c r="G17" s="4"/>
      <c r="H17" s="4"/>
      <c r="I17" s="4"/>
      <c r="J17" s="4"/>
      <c r="K17" s="10" t="str">
        <f t="shared" si="0"/>
        <v/>
      </c>
      <c r="L17" s="40" t="str">
        <f>IFERROR(VLOOKUP(M17,Lists!$T:$U,2,FALSE()),"Select an offense in col M to load the phone script →")</f>
        <v>Select an offense in col M to load the phone script →</v>
      </c>
      <c r="M17" s="4"/>
      <c r="N17" s="4"/>
      <c r="O17" s="4"/>
      <c r="P17" s="4"/>
      <c r="Q17" s="4"/>
      <c r="R17" s="8"/>
      <c r="S17" s="4"/>
      <c r="T17" s="4"/>
      <c r="U17" s="4"/>
    </row>
    <row r="18" spans="1:21" ht="60" customHeight="1" x14ac:dyDescent="0.45">
      <c r="A18" s="6"/>
      <c r="B18" s="6"/>
      <c r="C18" s="6"/>
      <c r="D18" s="10" t="str">
        <f>IFERROR(VLOOKUP(C18,'Incident Intake'!$E:$G,3,FALSE())&amp;" "&amp;VLOOKUP(C18,'Incident Intake'!$E:$F,2,FALSE()),"")</f>
        <v/>
      </c>
      <c r="E18" s="12"/>
      <c r="F18" s="6"/>
      <c r="G18" s="6"/>
      <c r="H18" s="6"/>
      <c r="I18" s="6"/>
      <c r="J18" s="6"/>
      <c r="K18" s="10" t="str">
        <f t="shared" si="0"/>
        <v/>
      </c>
      <c r="L18" s="41" t="str">
        <f>IFERROR(VLOOKUP(M18,Lists!$T:$U,2,FALSE()),"Select an offense in col M to load the phone script →")</f>
        <v>Select an offense in col M to load the phone script →</v>
      </c>
      <c r="M18" s="6"/>
      <c r="N18" s="6"/>
      <c r="O18" s="6"/>
      <c r="P18" s="6"/>
      <c r="Q18" s="6"/>
      <c r="R18" s="12"/>
      <c r="S18" s="6"/>
      <c r="T18" s="6"/>
      <c r="U18" s="6"/>
    </row>
    <row r="19" spans="1:21" ht="60" customHeight="1" x14ac:dyDescent="0.45">
      <c r="A19" s="4"/>
      <c r="B19" s="4"/>
      <c r="C19" s="4"/>
      <c r="D19" s="10" t="str">
        <f>IFERROR(VLOOKUP(C19,'Incident Intake'!$E:$G,3,FALSE())&amp;" "&amp;VLOOKUP(C19,'Incident Intake'!$E:$F,2,FALSE()),"")</f>
        <v/>
      </c>
      <c r="E19" s="8"/>
      <c r="F19" s="4"/>
      <c r="G19" s="4"/>
      <c r="H19" s="4"/>
      <c r="I19" s="4"/>
      <c r="J19" s="4"/>
      <c r="K19" s="10" t="str">
        <f t="shared" si="0"/>
        <v/>
      </c>
      <c r="L19" s="40" t="str">
        <f>IFERROR(VLOOKUP(M19,Lists!$T:$U,2,FALSE()),"Select an offense in col M to load the phone script →")</f>
        <v>Select an offense in col M to load the phone script →</v>
      </c>
      <c r="M19" s="4"/>
      <c r="N19" s="4"/>
      <c r="O19" s="4"/>
      <c r="P19" s="4"/>
      <c r="Q19" s="4"/>
      <c r="R19" s="8"/>
      <c r="S19" s="4"/>
      <c r="T19" s="4"/>
      <c r="U19" s="4"/>
    </row>
    <row r="20" spans="1:21" ht="60" customHeight="1" x14ac:dyDescent="0.45">
      <c r="A20" s="6"/>
      <c r="B20" s="6"/>
      <c r="C20" s="6"/>
      <c r="D20" s="10" t="str">
        <f>IFERROR(VLOOKUP(C20,'Incident Intake'!$E:$G,3,FALSE())&amp;" "&amp;VLOOKUP(C20,'Incident Intake'!$E:$F,2,FALSE()),"")</f>
        <v/>
      </c>
      <c r="E20" s="12"/>
      <c r="F20" s="6"/>
      <c r="G20" s="6"/>
      <c r="H20" s="6"/>
      <c r="I20" s="6"/>
      <c r="J20" s="6"/>
      <c r="K20" s="10" t="str">
        <f t="shared" si="0"/>
        <v/>
      </c>
      <c r="L20" s="41" t="str">
        <f>IFERROR(VLOOKUP(M20,Lists!$T:$U,2,FALSE()),"Select an offense in col M to load the phone script →")</f>
        <v>Select an offense in col M to load the phone script →</v>
      </c>
      <c r="M20" s="6"/>
      <c r="N20" s="6"/>
      <c r="O20" s="6"/>
      <c r="P20" s="6"/>
      <c r="Q20" s="6"/>
      <c r="R20" s="12"/>
      <c r="S20" s="6"/>
      <c r="T20" s="6"/>
      <c r="U20" s="6"/>
    </row>
    <row r="21" spans="1:21" ht="60" customHeight="1" x14ac:dyDescent="0.45">
      <c r="A21" s="4"/>
      <c r="B21" s="4"/>
      <c r="C21" s="4"/>
      <c r="D21" s="10" t="str">
        <f>IFERROR(VLOOKUP(C21,'Incident Intake'!$E:$G,3,FALSE())&amp;" "&amp;VLOOKUP(C21,'Incident Intake'!$E:$F,2,FALSE()),"")</f>
        <v/>
      </c>
      <c r="E21" s="8"/>
      <c r="F21" s="4"/>
      <c r="G21" s="4"/>
      <c r="H21" s="4"/>
      <c r="I21" s="4"/>
      <c r="J21" s="4"/>
      <c r="K21" s="10" t="str">
        <f t="shared" si="0"/>
        <v/>
      </c>
      <c r="L21" s="40" t="str">
        <f>IFERROR(VLOOKUP(M21,Lists!$T:$U,2,FALSE()),"Select an offense in col M to load the phone script →")</f>
        <v>Select an offense in col M to load the phone script →</v>
      </c>
      <c r="M21" s="4"/>
      <c r="N21" s="4"/>
      <c r="O21" s="4"/>
      <c r="P21" s="4"/>
      <c r="Q21" s="4"/>
      <c r="R21" s="8"/>
      <c r="S21" s="4"/>
      <c r="T21" s="4"/>
      <c r="U21" s="4"/>
    </row>
    <row r="22" spans="1:21" ht="60" customHeight="1" x14ac:dyDescent="0.45">
      <c r="A22" s="6"/>
      <c r="B22" s="6"/>
      <c r="C22" s="6"/>
      <c r="D22" s="10" t="str">
        <f>IFERROR(VLOOKUP(C22,'Incident Intake'!$E:$G,3,FALSE())&amp;" "&amp;VLOOKUP(C22,'Incident Intake'!$E:$F,2,FALSE()),"")</f>
        <v/>
      </c>
      <c r="E22" s="12"/>
      <c r="F22" s="6"/>
      <c r="G22" s="6"/>
      <c r="H22" s="6"/>
      <c r="I22" s="6"/>
      <c r="J22" s="6"/>
      <c r="K22" s="10" t="str">
        <f t="shared" si="0"/>
        <v/>
      </c>
      <c r="L22" s="41" t="str">
        <f>IFERROR(VLOOKUP(M22,Lists!$T:$U,2,FALSE()),"Select an offense in col M to load the phone script →")</f>
        <v>Select an offense in col M to load the phone script →</v>
      </c>
      <c r="M22" s="6"/>
      <c r="N22" s="6"/>
      <c r="O22" s="6"/>
      <c r="P22" s="6"/>
      <c r="Q22" s="6"/>
      <c r="R22" s="12"/>
      <c r="S22" s="6"/>
      <c r="T22" s="6"/>
      <c r="U22" s="6"/>
    </row>
    <row r="23" spans="1:21" ht="60" customHeight="1" x14ac:dyDescent="0.45">
      <c r="A23" s="4"/>
      <c r="B23" s="4"/>
      <c r="C23" s="4"/>
      <c r="D23" s="10" t="str">
        <f>IFERROR(VLOOKUP(C23,'Incident Intake'!$E:$G,3,FALSE())&amp;" "&amp;VLOOKUP(C23,'Incident Intake'!$E:$F,2,FALSE()),"")</f>
        <v/>
      </c>
      <c r="E23" s="8"/>
      <c r="F23" s="4"/>
      <c r="G23" s="4"/>
      <c r="H23" s="4"/>
      <c r="I23" s="4"/>
      <c r="J23" s="4"/>
      <c r="K23" s="10" t="str">
        <f t="shared" si="0"/>
        <v/>
      </c>
      <c r="L23" s="40" t="str">
        <f>IFERROR(VLOOKUP(M23,Lists!$T:$U,2,FALSE()),"Select an offense in col M to load the phone script →")</f>
        <v>Select an offense in col M to load the phone script →</v>
      </c>
      <c r="M23" s="4"/>
      <c r="N23" s="4"/>
      <c r="O23" s="4"/>
      <c r="P23" s="4"/>
      <c r="Q23" s="4"/>
      <c r="R23" s="8"/>
      <c r="S23" s="4"/>
      <c r="T23" s="4"/>
      <c r="U23" s="4"/>
    </row>
    <row r="24" spans="1:21" ht="60" customHeight="1" x14ac:dyDescent="0.45">
      <c r="A24" s="6"/>
      <c r="B24" s="6"/>
      <c r="C24" s="6"/>
      <c r="D24" s="10" t="str">
        <f>IFERROR(VLOOKUP(C24,'Incident Intake'!$E:$G,3,FALSE())&amp;" "&amp;VLOOKUP(C24,'Incident Intake'!$E:$F,2,FALSE()),"")</f>
        <v/>
      </c>
      <c r="E24" s="12"/>
      <c r="F24" s="6"/>
      <c r="G24" s="6"/>
      <c r="H24" s="6"/>
      <c r="I24" s="6"/>
      <c r="J24" s="6"/>
      <c r="K24" s="10" t="str">
        <f t="shared" si="0"/>
        <v/>
      </c>
      <c r="L24" s="41" t="str">
        <f>IFERROR(VLOOKUP(M24,Lists!$T:$U,2,FALSE()),"Select an offense in col M to load the phone script →")</f>
        <v>Select an offense in col M to load the phone script →</v>
      </c>
      <c r="M24" s="6"/>
      <c r="N24" s="6"/>
      <c r="O24" s="6"/>
      <c r="P24" s="6"/>
      <c r="Q24" s="6"/>
      <c r="R24" s="12"/>
      <c r="S24" s="6"/>
      <c r="T24" s="6"/>
      <c r="U24" s="6"/>
    </row>
    <row r="25" spans="1:21" ht="60" customHeight="1" x14ac:dyDescent="0.45">
      <c r="A25" s="4"/>
      <c r="B25" s="4"/>
      <c r="C25" s="4"/>
      <c r="D25" s="10" t="str">
        <f>IFERROR(VLOOKUP(C25,'Incident Intake'!$E:$G,3,FALSE())&amp;" "&amp;VLOOKUP(C25,'Incident Intake'!$E:$F,2,FALSE()),"")</f>
        <v/>
      </c>
      <c r="E25" s="8"/>
      <c r="F25" s="4"/>
      <c r="G25" s="4"/>
      <c r="H25" s="4"/>
      <c r="I25" s="4"/>
      <c r="J25" s="4"/>
      <c r="K25" s="10" t="str">
        <f t="shared" si="0"/>
        <v/>
      </c>
      <c r="L25" s="40" t="str">
        <f>IFERROR(VLOOKUP(M25,Lists!$T:$U,2,FALSE()),"Select an offense in col M to load the phone script →")</f>
        <v>Select an offense in col M to load the phone script →</v>
      </c>
      <c r="M25" s="4"/>
      <c r="N25" s="4"/>
      <c r="O25" s="4"/>
      <c r="P25" s="4"/>
      <c r="Q25" s="4"/>
      <c r="R25" s="8"/>
      <c r="S25" s="4"/>
      <c r="T25" s="4"/>
      <c r="U25" s="4"/>
    </row>
    <row r="26" spans="1:21" ht="60" customHeight="1" x14ac:dyDescent="0.45">
      <c r="A26" s="6"/>
      <c r="B26" s="6"/>
      <c r="C26" s="6"/>
      <c r="D26" s="10" t="str">
        <f>IFERROR(VLOOKUP(C26,'Incident Intake'!$E:$G,3,FALSE())&amp;" "&amp;VLOOKUP(C26,'Incident Intake'!$E:$F,2,FALSE()),"")</f>
        <v/>
      </c>
      <c r="E26" s="12"/>
      <c r="F26" s="6"/>
      <c r="G26" s="6"/>
      <c r="H26" s="6"/>
      <c r="I26" s="6"/>
      <c r="J26" s="6"/>
      <c r="K26" s="10" t="str">
        <f t="shared" si="0"/>
        <v/>
      </c>
      <c r="L26" s="41" t="str">
        <f>IFERROR(VLOOKUP(M26,Lists!$T:$U,2,FALSE()),"Select an offense in col M to load the phone script →")</f>
        <v>Select an offense in col M to load the phone script →</v>
      </c>
      <c r="M26" s="6"/>
      <c r="N26" s="6"/>
      <c r="O26" s="6"/>
      <c r="P26" s="6"/>
      <c r="Q26" s="6"/>
      <c r="R26" s="12"/>
      <c r="S26" s="6"/>
      <c r="T26" s="6"/>
      <c r="U26" s="6"/>
    </row>
    <row r="27" spans="1:21" ht="60" customHeight="1" x14ac:dyDescent="0.45">
      <c r="A27" s="4"/>
      <c r="B27" s="4"/>
      <c r="C27" s="4"/>
      <c r="D27" s="10" t="str">
        <f>IFERROR(VLOOKUP(C27,'Incident Intake'!$E:$G,3,FALSE())&amp;" "&amp;VLOOKUP(C27,'Incident Intake'!$E:$F,2,FALSE()),"")</f>
        <v/>
      </c>
      <c r="E27" s="8"/>
      <c r="F27" s="4"/>
      <c r="G27" s="4"/>
      <c r="H27" s="4"/>
      <c r="I27" s="4"/>
      <c r="J27" s="4"/>
      <c r="K27" s="10" t="str">
        <f t="shared" si="0"/>
        <v/>
      </c>
      <c r="L27" s="40" t="str">
        <f>IFERROR(VLOOKUP(M27,Lists!$T:$U,2,FALSE()),"Select an offense in col M to load the phone script →")</f>
        <v>Select an offense in col M to load the phone script →</v>
      </c>
      <c r="M27" s="4"/>
      <c r="N27" s="4"/>
      <c r="O27" s="4"/>
      <c r="P27" s="4"/>
      <c r="Q27" s="4"/>
      <c r="R27" s="8"/>
      <c r="S27" s="4"/>
      <c r="T27" s="4"/>
      <c r="U27" s="4"/>
    </row>
    <row r="28" spans="1:21" ht="60" customHeight="1" x14ac:dyDescent="0.45">
      <c r="A28" s="6"/>
      <c r="B28" s="6"/>
      <c r="C28" s="6"/>
      <c r="D28" s="10" t="str">
        <f>IFERROR(VLOOKUP(C28,'Incident Intake'!$E:$G,3,FALSE())&amp;" "&amp;VLOOKUP(C28,'Incident Intake'!$E:$F,2,FALSE()),"")</f>
        <v/>
      </c>
      <c r="E28" s="12"/>
      <c r="F28" s="6"/>
      <c r="G28" s="6"/>
      <c r="H28" s="6"/>
      <c r="I28" s="6"/>
      <c r="J28" s="6"/>
      <c r="K28" s="10" t="str">
        <f t="shared" si="0"/>
        <v/>
      </c>
      <c r="L28" s="41" t="str">
        <f>IFERROR(VLOOKUP(M28,Lists!$T:$U,2,FALSE()),"Select an offense in col M to load the phone script →")</f>
        <v>Select an offense in col M to load the phone script →</v>
      </c>
      <c r="M28" s="6"/>
      <c r="N28" s="6"/>
      <c r="O28" s="6"/>
      <c r="P28" s="6"/>
      <c r="Q28" s="6"/>
      <c r="R28" s="12"/>
      <c r="S28" s="6"/>
      <c r="T28" s="6"/>
      <c r="U28" s="6"/>
    </row>
    <row r="29" spans="1:21" ht="60" customHeight="1" x14ac:dyDescent="0.45">
      <c r="A29" s="4"/>
      <c r="B29" s="4"/>
      <c r="C29" s="4"/>
      <c r="D29" s="10" t="str">
        <f>IFERROR(VLOOKUP(C29,'Incident Intake'!$E:$G,3,FALSE())&amp;" "&amp;VLOOKUP(C29,'Incident Intake'!$E:$F,2,FALSE()),"")</f>
        <v/>
      </c>
      <c r="E29" s="8"/>
      <c r="F29" s="4"/>
      <c r="G29" s="4"/>
      <c r="H29" s="4"/>
      <c r="I29" s="4"/>
      <c r="J29" s="4"/>
      <c r="K29" s="10" t="str">
        <f t="shared" si="0"/>
        <v/>
      </c>
      <c r="L29" s="40" t="str">
        <f>IFERROR(VLOOKUP(M29,Lists!$T:$U,2,FALSE()),"Select an offense in col M to load the phone script →")</f>
        <v>Select an offense in col M to load the phone script →</v>
      </c>
      <c r="M29" s="4"/>
      <c r="N29" s="4"/>
      <c r="O29" s="4"/>
      <c r="P29" s="4"/>
      <c r="Q29" s="4"/>
      <c r="R29" s="8"/>
      <c r="S29" s="4"/>
      <c r="T29" s="4"/>
      <c r="U29" s="4"/>
    </row>
    <row r="30" spans="1:21" ht="60" customHeight="1" x14ac:dyDescent="0.45">
      <c r="A30" s="6"/>
      <c r="B30" s="6"/>
      <c r="C30" s="6"/>
      <c r="D30" s="10" t="str">
        <f>IFERROR(VLOOKUP(C30,'Incident Intake'!$E:$G,3,FALSE())&amp;" "&amp;VLOOKUP(C30,'Incident Intake'!$E:$F,2,FALSE()),"")</f>
        <v/>
      </c>
      <c r="E30" s="12"/>
      <c r="F30" s="6"/>
      <c r="G30" s="6"/>
      <c r="H30" s="6"/>
      <c r="I30" s="6"/>
      <c r="J30" s="6"/>
      <c r="K30" s="10" t="str">
        <f t="shared" si="0"/>
        <v/>
      </c>
      <c r="L30" s="41" t="str">
        <f>IFERROR(VLOOKUP(M30,Lists!$T:$U,2,FALSE()),"Select an offense in col M to load the phone script →")</f>
        <v>Select an offense in col M to load the phone script →</v>
      </c>
      <c r="M30" s="6"/>
      <c r="N30" s="6"/>
      <c r="O30" s="6"/>
      <c r="P30" s="6"/>
      <c r="Q30" s="6"/>
      <c r="R30" s="12"/>
      <c r="S30" s="6"/>
      <c r="T30" s="6"/>
      <c r="U30" s="6"/>
    </row>
    <row r="31" spans="1:21" ht="60" customHeight="1" x14ac:dyDescent="0.45">
      <c r="A31" s="4"/>
      <c r="B31" s="4"/>
      <c r="C31" s="4"/>
      <c r="D31" s="10" t="str">
        <f>IFERROR(VLOOKUP(C31,'Incident Intake'!$E:$G,3,FALSE())&amp;" "&amp;VLOOKUP(C31,'Incident Intake'!$E:$F,2,FALSE()),"")</f>
        <v/>
      </c>
      <c r="E31" s="8"/>
      <c r="F31" s="4"/>
      <c r="G31" s="4"/>
      <c r="H31" s="4"/>
      <c r="I31" s="4"/>
      <c r="J31" s="4"/>
      <c r="K31" s="10" t="str">
        <f t="shared" si="0"/>
        <v/>
      </c>
      <c r="L31" s="40" t="str">
        <f>IFERROR(VLOOKUP(M31,Lists!$T:$U,2,FALSE()),"Select an offense in col M to load the phone script →")</f>
        <v>Select an offense in col M to load the phone script →</v>
      </c>
      <c r="M31" s="4"/>
      <c r="N31" s="4"/>
      <c r="O31" s="4"/>
      <c r="P31" s="4"/>
      <c r="Q31" s="4"/>
      <c r="R31" s="8"/>
      <c r="S31" s="4"/>
      <c r="T31" s="4"/>
      <c r="U31" s="4"/>
    </row>
    <row r="32" spans="1:21" ht="60" customHeight="1" x14ac:dyDescent="0.45">
      <c r="A32" s="6"/>
      <c r="B32" s="6"/>
      <c r="C32" s="6"/>
      <c r="D32" s="10" t="str">
        <f>IFERROR(VLOOKUP(C32,'Incident Intake'!$E:$G,3,FALSE())&amp;" "&amp;VLOOKUP(C32,'Incident Intake'!$E:$F,2,FALSE()),"")</f>
        <v/>
      </c>
      <c r="E32" s="12"/>
      <c r="F32" s="6"/>
      <c r="G32" s="6"/>
      <c r="H32" s="6"/>
      <c r="I32" s="6"/>
      <c r="J32" s="6"/>
      <c r="K32" s="10" t="str">
        <f t="shared" si="0"/>
        <v/>
      </c>
      <c r="L32" s="41" t="str">
        <f>IFERROR(VLOOKUP(M32,Lists!$T:$U,2,FALSE()),"Select an offense in col M to load the phone script →")</f>
        <v>Select an offense in col M to load the phone script →</v>
      </c>
      <c r="M32" s="6"/>
      <c r="N32" s="6"/>
      <c r="O32" s="6"/>
      <c r="P32" s="6"/>
      <c r="Q32" s="6"/>
      <c r="R32" s="12"/>
      <c r="S32" s="6"/>
      <c r="T32" s="6"/>
      <c r="U32" s="6"/>
    </row>
    <row r="33" spans="1:21" ht="60" customHeight="1" x14ac:dyDescent="0.45">
      <c r="A33" s="4"/>
      <c r="B33" s="4"/>
      <c r="C33" s="4"/>
      <c r="D33" s="10" t="str">
        <f>IFERROR(VLOOKUP(C33,'Incident Intake'!$E:$G,3,FALSE())&amp;" "&amp;VLOOKUP(C33,'Incident Intake'!$E:$F,2,FALSE()),"")</f>
        <v/>
      </c>
      <c r="E33" s="8"/>
      <c r="F33" s="4"/>
      <c r="G33" s="4"/>
      <c r="H33" s="4"/>
      <c r="I33" s="4"/>
      <c r="J33" s="4"/>
      <c r="K33" s="10" t="str">
        <f t="shared" si="0"/>
        <v/>
      </c>
      <c r="L33" s="40" t="str">
        <f>IFERROR(VLOOKUP(M33,Lists!$T:$U,2,FALSE()),"Select an offense in col M to load the phone script →")</f>
        <v>Select an offense in col M to load the phone script →</v>
      </c>
      <c r="M33" s="4"/>
      <c r="N33" s="4"/>
      <c r="O33" s="4"/>
      <c r="P33" s="4"/>
      <c r="Q33" s="4"/>
      <c r="R33" s="8"/>
      <c r="S33" s="4"/>
      <c r="T33" s="4"/>
      <c r="U33" s="4"/>
    </row>
    <row r="34" spans="1:21" ht="60" customHeight="1" x14ac:dyDescent="0.45">
      <c r="A34" s="6"/>
      <c r="B34" s="6"/>
      <c r="C34" s="6"/>
      <c r="D34" s="10" t="str">
        <f>IFERROR(VLOOKUP(C34,'Incident Intake'!$E:$G,3,FALSE())&amp;" "&amp;VLOOKUP(C34,'Incident Intake'!$E:$F,2,FALSE()),"")</f>
        <v/>
      </c>
      <c r="E34" s="12"/>
      <c r="F34" s="6"/>
      <c r="G34" s="6"/>
      <c r="H34" s="6"/>
      <c r="I34" s="6"/>
      <c r="J34" s="6"/>
      <c r="K34" s="10" t="str">
        <f t="shared" si="0"/>
        <v/>
      </c>
      <c r="L34" s="41" t="str">
        <f>IFERROR(VLOOKUP(M34,Lists!$T:$U,2,FALSE()),"Select an offense in col M to load the phone script →")</f>
        <v>Select an offense in col M to load the phone script →</v>
      </c>
      <c r="M34" s="6"/>
      <c r="N34" s="6"/>
      <c r="O34" s="6"/>
      <c r="P34" s="6"/>
      <c r="Q34" s="6"/>
      <c r="R34" s="12"/>
      <c r="S34" s="6"/>
      <c r="T34" s="6"/>
      <c r="U34" s="6"/>
    </row>
    <row r="35" spans="1:21" ht="60" customHeight="1" x14ac:dyDescent="0.45">
      <c r="A35" s="4"/>
      <c r="B35" s="4"/>
      <c r="C35" s="4"/>
      <c r="D35" s="10" t="str">
        <f>IFERROR(VLOOKUP(C35,'Incident Intake'!$E:$G,3,FALSE())&amp;" "&amp;VLOOKUP(C35,'Incident Intake'!$E:$F,2,FALSE()),"")</f>
        <v/>
      </c>
      <c r="E35" s="8"/>
      <c r="F35" s="4"/>
      <c r="G35" s="4"/>
      <c r="H35" s="4"/>
      <c r="I35" s="4"/>
      <c r="J35" s="4"/>
      <c r="K35" s="10" t="str">
        <f t="shared" si="0"/>
        <v/>
      </c>
      <c r="L35" s="40" t="str">
        <f>IFERROR(VLOOKUP(M35,Lists!$T:$U,2,FALSE()),"Select an offense in col M to load the phone script →")</f>
        <v>Select an offense in col M to load the phone script →</v>
      </c>
      <c r="M35" s="4"/>
      <c r="N35" s="4"/>
      <c r="O35" s="4"/>
      <c r="P35" s="4"/>
      <c r="Q35" s="4"/>
      <c r="R35" s="8"/>
      <c r="S35" s="4"/>
      <c r="T35" s="4"/>
      <c r="U35" s="4"/>
    </row>
    <row r="36" spans="1:21" ht="60" customHeight="1" x14ac:dyDescent="0.45">
      <c r="A36" s="6"/>
      <c r="B36" s="6"/>
      <c r="C36" s="6"/>
      <c r="D36" s="10" t="str">
        <f>IFERROR(VLOOKUP(C36,'Incident Intake'!$E:$G,3,FALSE())&amp;" "&amp;VLOOKUP(C36,'Incident Intake'!$E:$F,2,FALSE()),"")</f>
        <v/>
      </c>
      <c r="E36" s="12"/>
      <c r="F36" s="6"/>
      <c r="G36" s="6"/>
      <c r="H36" s="6"/>
      <c r="I36" s="6"/>
      <c r="J36" s="6"/>
      <c r="K36" s="10" t="str">
        <f t="shared" si="0"/>
        <v/>
      </c>
      <c r="L36" s="41" t="str">
        <f>IFERROR(VLOOKUP(M36,Lists!$T:$U,2,FALSE()),"Select an offense in col M to load the phone script →")</f>
        <v>Select an offense in col M to load the phone script →</v>
      </c>
      <c r="M36" s="6"/>
      <c r="N36" s="6"/>
      <c r="O36" s="6"/>
      <c r="P36" s="6"/>
      <c r="Q36" s="6"/>
      <c r="R36" s="12"/>
      <c r="S36" s="6"/>
      <c r="T36" s="6"/>
      <c r="U36" s="6"/>
    </row>
    <row r="37" spans="1:21" ht="60" customHeight="1" x14ac:dyDescent="0.45">
      <c r="A37" s="4"/>
      <c r="B37" s="4"/>
      <c r="C37" s="4"/>
      <c r="D37" s="10" t="str">
        <f>IFERROR(VLOOKUP(C37,'Incident Intake'!$E:$G,3,FALSE())&amp;" "&amp;VLOOKUP(C37,'Incident Intake'!$E:$F,2,FALSE()),"")</f>
        <v/>
      </c>
      <c r="E37" s="8"/>
      <c r="F37" s="4"/>
      <c r="G37" s="4"/>
      <c r="H37" s="4"/>
      <c r="I37" s="4"/>
      <c r="J37" s="4"/>
      <c r="K37" s="10" t="str">
        <f t="shared" si="0"/>
        <v/>
      </c>
      <c r="L37" s="40" t="str">
        <f>IFERROR(VLOOKUP(M37,Lists!$T:$U,2,FALSE()),"Select an offense in col M to load the phone script →")</f>
        <v>Select an offense in col M to load the phone script →</v>
      </c>
      <c r="M37" s="4"/>
      <c r="N37" s="4"/>
      <c r="O37" s="4"/>
      <c r="P37" s="4"/>
      <c r="Q37" s="4"/>
      <c r="R37" s="8"/>
      <c r="S37" s="4"/>
      <c r="T37" s="4"/>
      <c r="U37" s="4"/>
    </row>
    <row r="38" spans="1:21" ht="60" customHeight="1" x14ac:dyDescent="0.45">
      <c r="A38" s="6"/>
      <c r="B38" s="6"/>
      <c r="C38" s="6"/>
      <c r="D38" s="10" t="str">
        <f>IFERROR(VLOOKUP(C38,'Incident Intake'!$E:$G,3,FALSE())&amp;" "&amp;VLOOKUP(C38,'Incident Intake'!$E:$F,2,FALSE()),"")</f>
        <v/>
      </c>
      <c r="E38" s="12"/>
      <c r="F38" s="6"/>
      <c r="G38" s="6"/>
      <c r="H38" s="6"/>
      <c r="I38" s="6"/>
      <c r="J38" s="6"/>
      <c r="K38" s="10" t="str">
        <f t="shared" si="0"/>
        <v/>
      </c>
      <c r="L38" s="41" t="str">
        <f>IFERROR(VLOOKUP(M38,Lists!$T:$U,2,FALSE()),"Select an offense in col M to load the phone script →")</f>
        <v>Select an offense in col M to load the phone script →</v>
      </c>
      <c r="M38" s="6"/>
      <c r="N38" s="6"/>
      <c r="O38" s="6"/>
      <c r="P38" s="6"/>
      <c r="Q38" s="6"/>
      <c r="R38" s="12"/>
      <c r="S38" s="6"/>
      <c r="T38" s="6"/>
      <c r="U38" s="6"/>
    </row>
    <row r="39" spans="1:21" ht="60" customHeight="1" x14ac:dyDescent="0.45">
      <c r="A39" s="4"/>
      <c r="B39" s="4"/>
      <c r="C39" s="4"/>
      <c r="D39" s="10" t="str">
        <f>IFERROR(VLOOKUP(C39,'Incident Intake'!$E:$G,3,FALSE())&amp;" "&amp;VLOOKUP(C39,'Incident Intake'!$E:$F,2,FALSE()),"")</f>
        <v/>
      </c>
      <c r="E39" s="8"/>
      <c r="F39" s="4"/>
      <c r="G39" s="4"/>
      <c r="H39" s="4"/>
      <c r="I39" s="4"/>
      <c r="J39" s="4"/>
      <c r="K39" s="10" t="str">
        <f t="shared" si="0"/>
        <v/>
      </c>
      <c r="L39" s="40" t="str">
        <f>IFERROR(VLOOKUP(M39,Lists!$T:$U,2,FALSE()),"Select an offense in col M to load the phone script →")</f>
        <v>Select an offense in col M to load the phone script →</v>
      </c>
      <c r="M39" s="4"/>
      <c r="N39" s="4"/>
      <c r="O39" s="4"/>
      <c r="P39" s="4"/>
      <c r="Q39" s="4"/>
      <c r="R39" s="8"/>
      <c r="S39" s="4"/>
      <c r="T39" s="4"/>
      <c r="U39" s="4"/>
    </row>
    <row r="40" spans="1:21" ht="60" customHeight="1" x14ac:dyDescent="0.45">
      <c r="A40" s="6"/>
      <c r="B40" s="6"/>
      <c r="C40" s="6"/>
      <c r="D40" s="10" t="str">
        <f>IFERROR(VLOOKUP(C40,'Incident Intake'!$E:$G,3,FALSE())&amp;" "&amp;VLOOKUP(C40,'Incident Intake'!$E:$F,2,FALSE()),"")</f>
        <v/>
      </c>
      <c r="E40" s="12"/>
      <c r="F40" s="6"/>
      <c r="G40" s="6"/>
      <c r="H40" s="6"/>
      <c r="I40" s="6"/>
      <c r="J40" s="6"/>
      <c r="K40" s="10" t="str">
        <f t="shared" si="0"/>
        <v/>
      </c>
      <c r="L40" s="41" t="str">
        <f>IFERROR(VLOOKUP(M40,Lists!$T:$U,2,FALSE()),"Select an offense in col M to load the phone script →")</f>
        <v>Select an offense in col M to load the phone script →</v>
      </c>
      <c r="M40" s="6"/>
      <c r="N40" s="6"/>
      <c r="O40" s="6"/>
      <c r="P40" s="6"/>
      <c r="Q40" s="6"/>
      <c r="R40" s="12"/>
      <c r="S40" s="6"/>
      <c r="T40" s="6"/>
      <c r="U40" s="6"/>
    </row>
    <row r="41" spans="1:21" ht="60" customHeight="1" x14ac:dyDescent="0.45">
      <c r="A41" s="4"/>
      <c r="B41" s="4"/>
      <c r="C41" s="4"/>
      <c r="D41" s="10" t="str">
        <f>IFERROR(VLOOKUP(C41,'Incident Intake'!$E:$G,3,FALSE())&amp;" "&amp;VLOOKUP(C41,'Incident Intake'!$E:$F,2,FALSE()),"")</f>
        <v/>
      </c>
      <c r="E41" s="8"/>
      <c r="F41" s="4"/>
      <c r="G41" s="4"/>
      <c r="H41" s="4"/>
      <c r="I41" s="4"/>
      <c r="J41" s="4"/>
      <c r="K41" s="10" t="str">
        <f t="shared" si="0"/>
        <v/>
      </c>
      <c r="L41" s="40" t="str">
        <f>IFERROR(VLOOKUP(M41,Lists!$T:$U,2,FALSE()),"Select an offense in col M to load the phone script →")</f>
        <v>Select an offense in col M to load the phone script →</v>
      </c>
      <c r="M41" s="4"/>
      <c r="N41" s="4"/>
      <c r="O41" s="4"/>
      <c r="P41" s="4"/>
      <c r="Q41" s="4"/>
      <c r="R41" s="8"/>
      <c r="S41" s="4"/>
      <c r="T41" s="4"/>
      <c r="U41" s="4"/>
    </row>
    <row r="42" spans="1:21" ht="60" customHeight="1" x14ac:dyDescent="0.45">
      <c r="A42" s="6"/>
      <c r="B42" s="6"/>
      <c r="C42" s="6"/>
      <c r="D42" s="10" t="str">
        <f>IFERROR(VLOOKUP(C42,'Incident Intake'!$E:$G,3,FALSE())&amp;" "&amp;VLOOKUP(C42,'Incident Intake'!$E:$F,2,FALSE()),"")</f>
        <v/>
      </c>
      <c r="E42" s="12"/>
      <c r="F42" s="6"/>
      <c r="G42" s="6"/>
      <c r="H42" s="6"/>
      <c r="I42" s="6"/>
      <c r="J42" s="6"/>
      <c r="K42" s="10" t="str">
        <f t="shared" si="0"/>
        <v/>
      </c>
      <c r="L42" s="41" t="str">
        <f>IFERROR(VLOOKUP(M42,Lists!$T:$U,2,FALSE()),"Select an offense in col M to load the phone script →")</f>
        <v>Select an offense in col M to load the phone script →</v>
      </c>
      <c r="M42" s="6"/>
      <c r="N42" s="6"/>
      <c r="O42" s="6"/>
      <c r="P42" s="6"/>
      <c r="Q42" s="6"/>
      <c r="R42" s="12"/>
      <c r="S42" s="6"/>
      <c r="T42" s="6"/>
      <c r="U42" s="6"/>
    </row>
    <row r="43" spans="1:21" ht="60" customHeight="1" x14ac:dyDescent="0.45">
      <c r="A43" s="4"/>
      <c r="B43" s="4"/>
      <c r="C43" s="4"/>
      <c r="D43" s="10" t="str">
        <f>IFERROR(VLOOKUP(C43,'Incident Intake'!$E:$G,3,FALSE())&amp;" "&amp;VLOOKUP(C43,'Incident Intake'!$E:$F,2,FALSE()),"")</f>
        <v/>
      </c>
      <c r="E43" s="8"/>
      <c r="F43" s="4"/>
      <c r="G43" s="4"/>
      <c r="H43" s="4"/>
      <c r="I43" s="4"/>
      <c r="J43" s="4"/>
      <c r="K43" s="10" t="str">
        <f t="shared" si="0"/>
        <v/>
      </c>
      <c r="L43" s="40" t="str">
        <f>IFERROR(VLOOKUP(M43,Lists!$T:$U,2,FALSE()),"Select an offense in col M to load the phone script →")</f>
        <v>Select an offense in col M to load the phone script →</v>
      </c>
      <c r="M43" s="4"/>
      <c r="N43" s="4"/>
      <c r="O43" s="4"/>
      <c r="P43" s="4"/>
      <c r="Q43" s="4"/>
      <c r="R43" s="8"/>
      <c r="S43" s="4"/>
      <c r="T43" s="4"/>
      <c r="U43" s="4"/>
    </row>
    <row r="44" spans="1:21" ht="60" customHeight="1" x14ac:dyDescent="0.45">
      <c r="A44" s="6"/>
      <c r="B44" s="6"/>
      <c r="C44" s="6"/>
      <c r="D44" s="10" t="str">
        <f>IFERROR(VLOOKUP(C44,'Incident Intake'!$E:$G,3,FALSE())&amp;" "&amp;VLOOKUP(C44,'Incident Intake'!$E:$F,2,FALSE()),"")</f>
        <v/>
      </c>
      <c r="E44" s="12"/>
      <c r="F44" s="6"/>
      <c r="G44" s="6"/>
      <c r="H44" s="6"/>
      <c r="I44" s="6"/>
      <c r="J44" s="6"/>
      <c r="K44" s="10" t="str">
        <f t="shared" si="0"/>
        <v/>
      </c>
      <c r="L44" s="41" t="str">
        <f>IFERROR(VLOOKUP(M44,Lists!$T:$U,2,FALSE()),"Select an offense in col M to load the phone script →")</f>
        <v>Select an offense in col M to load the phone script →</v>
      </c>
      <c r="M44" s="6"/>
      <c r="N44" s="6"/>
      <c r="O44" s="6"/>
      <c r="P44" s="6"/>
      <c r="Q44" s="6"/>
      <c r="R44" s="12"/>
      <c r="S44" s="6"/>
      <c r="T44" s="6"/>
      <c r="U44" s="6"/>
    </row>
    <row r="45" spans="1:21" ht="60" customHeight="1" x14ac:dyDescent="0.45">
      <c r="A45" s="4"/>
      <c r="B45" s="4"/>
      <c r="C45" s="4"/>
      <c r="D45" s="10" t="str">
        <f>IFERROR(VLOOKUP(C45,'Incident Intake'!$E:$G,3,FALSE())&amp;" "&amp;VLOOKUP(C45,'Incident Intake'!$E:$F,2,FALSE()),"")</f>
        <v/>
      </c>
      <c r="E45" s="8"/>
      <c r="F45" s="4"/>
      <c r="G45" s="4"/>
      <c r="H45" s="4"/>
      <c r="I45" s="4"/>
      <c r="J45" s="4"/>
      <c r="K45" s="10" t="str">
        <f t="shared" si="0"/>
        <v/>
      </c>
      <c r="L45" s="40" t="str">
        <f>IFERROR(VLOOKUP(M45,Lists!$T:$U,2,FALSE()),"Select an offense in col M to load the phone script →")</f>
        <v>Select an offense in col M to load the phone script →</v>
      </c>
      <c r="M45" s="4"/>
      <c r="N45" s="4"/>
      <c r="O45" s="4"/>
      <c r="P45" s="4"/>
      <c r="Q45" s="4"/>
      <c r="R45" s="8"/>
      <c r="S45" s="4"/>
      <c r="T45" s="4"/>
      <c r="U45" s="4"/>
    </row>
    <row r="46" spans="1:21" ht="60" customHeight="1" x14ac:dyDescent="0.45">
      <c r="A46" s="6"/>
      <c r="B46" s="6"/>
      <c r="C46" s="6"/>
      <c r="D46" s="10" t="str">
        <f>IFERROR(VLOOKUP(C46,'Incident Intake'!$E:$G,3,FALSE())&amp;" "&amp;VLOOKUP(C46,'Incident Intake'!$E:$F,2,FALSE()),"")</f>
        <v/>
      </c>
      <c r="E46" s="12"/>
      <c r="F46" s="6"/>
      <c r="G46" s="6"/>
      <c r="H46" s="6"/>
      <c r="I46" s="6"/>
      <c r="J46" s="6"/>
      <c r="K46" s="10" t="str">
        <f t="shared" si="0"/>
        <v/>
      </c>
      <c r="L46" s="41" t="str">
        <f>IFERROR(VLOOKUP(M46,Lists!$T:$U,2,FALSE()),"Select an offense in col M to load the phone script →")</f>
        <v>Select an offense in col M to load the phone script →</v>
      </c>
      <c r="M46" s="6"/>
      <c r="N46" s="6"/>
      <c r="O46" s="6"/>
      <c r="P46" s="6"/>
      <c r="Q46" s="6"/>
      <c r="R46" s="12"/>
      <c r="S46" s="6"/>
      <c r="T46" s="6"/>
      <c r="U46" s="6"/>
    </row>
    <row r="47" spans="1:21" ht="60" customHeight="1" x14ac:dyDescent="0.45">
      <c r="A47" s="4"/>
      <c r="B47" s="4"/>
      <c r="C47" s="4"/>
      <c r="D47" s="10" t="str">
        <f>IFERROR(VLOOKUP(C47,'Incident Intake'!$E:$G,3,FALSE())&amp;" "&amp;VLOOKUP(C47,'Incident Intake'!$E:$F,2,FALSE()),"")</f>
        <v/>
      </c>
      <c r="E47" s="8"/>
      <c r="F47" s="4"/>
      <c r="G47" s="4"/>
      <c r="H47" s="4"/>
      <c r="I47" s="4"/>
      <c r="J47" s="4"/>
      <c r="K47" s="10" t="str">
        <f t="shared" si="0"/>
        <v/>
      </c>
      <c r="L47" s="40" t="str">
        <f>IFERROR(VLOOKUP(M47,Lists!$T:$U,2,FALSE()),"Select an offense in col M to load the phone script →")</f>
        <v>Select an offense in col M to load the phone script →</v>
      </c>
      <c r="M47" s="4"/>
      <c r="N47" s="4"/>
      <c r="O47" s="4"/>
      <c r="P47" s="4"/>
      <c r="Q47" s="4"/>
      <c r="R47" s="8"/>
      <c r="S47" s="4"/>
      <c r="T47" s="4"/>
      <c r="U47" s="4"/>
    </row>
    <row r="48" spans="1:21" ht="60" customHeight="1" x14ac:dyDescent="0.45">
      <c r="A48" s="6"/>
      <c r="B48" s="6"/>
      <c r="C48" s="6"/>
      <c r="D48" s="10" t="str">
        <f>IFERROR(VLOOKUP(C48,'Incident Intake'!$E:$G,3,FALSE())&amp;" "&amp;VLOOKUP(C48,'Incident Intake'!$E:$F,2,FALSE()),"")</f>
        <v/>
      </c>
      <c r="E48" s="12"/>
      <c r="F48" s="6"/>
      <c r="G48" s="6"/>
      <c r="H48" s="6"/>
      <c r="I48" s="6"/>
      <c r="J48" s="6"/>
      <c r="K48" s="10" t="str">
        <f t="shared" si="0"/>
        <v/>
      </c>
      <c r="L48" s="41" t="str">
        <f>IFERROR(VLOOKUP(M48,Lists!$T:$U,2,FALSE()),"Select an offense in col M to load the phone script →")</f>
        <v>Select an offense in col M to load the phone script →</v>
      </c>
      <c r="M48" s="6"/>
      <c r="N48" s="6"/>
      <c r="O48" s="6"/>
      <c r="P48" s="6"/>
      <c r="Q48" s="6"/>
      <c r="R48" s="12"/>
      <c r="S48" s="6"/>
      <c r="T48" s="6"/>
      <c r="U48" s="6"/>
    </row>
    <row r="49" spans="1:21" ht="60" customHeight="1" x14ac:dyDescent="0.45">
      <c r="A49" s="4"/>
      <c r="B49" s="4"/>
      <c r="C49" s="4"/>
      <c r="D49" s="10" t="str">
        <f>IFERROR(VLOOKUP(C49,'Incident Intake'!$E:$G,3,FALSE())&amp;" "&amp;VLOOKUP(C49,'Incident Intake'!$E:$F,2,FALSE()),"")</f>
        <v/>
      </c>
      <c r="E49" s="8"/>
      <c r="F49" s="4"/>
      <c r="G49" s="4"/>
      <c r="H49" s="4"/>
      <c r="I49" s="4"/>
      <c r="J49" s="4"/>
      <c r="K49" s="10" t="str">
        <f t="shared" si="0"/>
        <v/>
      </c>
      <c r="L49" s="40" t="str">
        <f>IFERROR(VLOOKUP(M49,Lists!$T:$U,2,FALSE()),"Select an offense in col M to load the phone script →")</f>
        <v>Select an offense in col M to load the phone script →</v>
      </c>
      <c r="M49" s="4"/>
      <c r="N49" s="4"/>
      <c r="O49" s="4"/>
      <c r="P49" s="4"/>
      <c r="Q49" s="4"/>
      <c r="R49" s="8"/>
      <c r="S49" s="4"/>
      <c r="T49" s="4"/>
      <c r="U49" s="4"/>
    </row>
    <row r="50" spans="1:21" ht="60" customHeight="1" x14ac:dyDescent="0.45">
      <c r="A50" s="6"/>
      <c r="B50" s="6"/>
      <c r="C50" s="6"/>
      <c r="D50" s="10" t="str">
        <f>IFERROR(VLOOKUP(C50,'Incident Intake'!$E:$G,3,FALSE())&amp;" "&amp;VLOOKUP(C50,'Incident Intake'!$E:$F,2,FALSE()),"")</f>
        <v/>
      </c>
      <c r="E50" s="12"/>
      <c r="F50" s="6"/>
      <c r="G50" s="6"/>
      <c r="H50" s="6"/>
      <c r="I50" s="6"/>
      <c r="J50" s="6"/>
      <c r="K50" s="10" t="str">
        <f t="shared" si="0"/>
        <v/>
      </c>
      <c r="L50" s="41" t="str">
        <f>IFERROR(VLOOKUP(M50,Lists!$T:$U,2,FALSE()),"Select an offense in col M to load the phone script →")</f>
        <v>Select an offense in col M to load the phone script →</v>
      </c>
      <c r="M50" s="6"/>
      <c r="N50" s="6"/>
      <c r="O50" s="6"/>
      <c r="P50" s="6"/>
      <c r="Q50" s="6"/>
      <c r="R50" s="12"/>
      <c r="S50" s="6"/>
      <c r="T50" s="6"/>
      <c r="U50" s="6"/>
    </row>
    <row r="51" spans="1:21" ht="60" customHeight="1" x14ac:dyDescent="0.45">
      <c r="A51" s="4"/>
      <c r="B51" s="4"/>
      <c r="C51" s="4"/>
      <c r="D51" s="10" t="str">
        <f>IFERROR(VLOOKUP(C51,'Incident Intake'!$E:$G,3,FALSE())&amp;" "&amp;VLOOKUP(C51,'Incident Intake'!$E:$F,2,FALSE()),"")</f>
        <v/>
      </c>
      <c r="E51" s="8"/>
      <c r="F51" s="4"/>
      <c r="G51" s="4"/>
      <c r="H51" s="4"/>
      <c r="I51" s="4"/>
      <c r="J51" s="4"/>
      <c r="K51" s="10" t="str">
        <f t="shared" si="0"/>
        <v/>
      </c>
      <c r="L51" s="40" t="str">
        <f>IFERROR(VLOOKUP(M51,Lists!$T:$U,2,FALSE()),"Select an offense in col M to load the phone script →")</f>
        <v>Select an offense in col M to load the phone script →</v>
      </c>
      <c r="M51" s="4"/>
      <c r="N51" s="4"/>
      <c r="O51" s="4"/>
      <c r="P51" s="4"/>
      <c r="Q51" s="4"/>
      <c r="R51" s="8"/>
      <c r="S51" s="4"/>
      <c r="T51" s="4"/>
      <c r="U51" s="4"/>
    </row>
    <row r="52" spans="1:21" ht="60" customHeight="1" x14ac:dyDescent="0.45">
      <c r="A52" s="6"/>
      <c r="B52" s="6"/>
      <c r="C52" s="6"/>
      <c r="D52" s="10" t="str">
        <f>IFERROR(VLOOKUP(C52,'Incident Intake'!$E:$G,3,FALSE())&amp;" "&amp;VLOOKUP(C52,'Incident Intake'!$E:$F,2,FALSE()),"")</f>
        <v/>
      </c>
      <c r="E52" s="12"/>
      <c r="F52" s="6"/>
      <c r="G52" s="6"/>
      <c r="H52" s="6"/>
      <c r="I52" s="6"/>
      <c r="J52" s="6"/>
      <c r="K52" s="10" t="str">
        <f t="shared" si="0"/>
        <v/>
      </c>
      <c r="L52" s="41" t="str">
        <f>IFERROR(VLOOKUP(M52,Lists!$T:$U,2,FALSE()),"Select an offense in col M to load the phone script →")</f>
        <v>Select an offense in col M to load the phone script →</v>
      </c>
      <c r="M52" s="6"/>
      <c r="N52" s="6"/>
      <c r="O52" s="6"/>
      <c r="P52" s="6"/>
      <c r="Q52" s="6"/>
      <c r="R52" s="12"/>
      <c r="S52" s="6"/>
      <c r="T52" s="6"/>
      <c r="U52" s="6"/>
    </row>
    <row r="53" spans="1:21" ht="60" customHeight="1" x14ac:dyDescent="0.45">
      <c r="A53" s="4"/>
      <c r="B53" s="4"/>
      <c r="C53" s="4"/>
      <c r="D53" s="10" t="str">
        <f>IFERROR(VLOOKUP(C53,'Incident Intake'!$E:$G,3,FALSE())&amp;" "&amp;VLOOKUP(C53,'Incident Intake'!$E:$F,2,FALSE()),"")</f>
        <v/>
      </c>
      <c r="E53" s="8"/>
      <c r="F53" s="4"/>
      <c r="G53" s="4"/>
      <c r="H53" s="4"/>
      <c r="I53" s="4"/>
      <c r="J53" s="4"/>
      <c r="K53" s="10" t="str">
        <f t="shared" si="0"/>
        <v/>
      </c>
      <c r="L53" s="40" t="str">
        <f>IFERROR(VLOOKUP(M53,Lists!$T:$U,2,FALSE()),"Select an offense in col M to load the phone script →")</f>
        <v>Select an offense in col M to load the phone script →</v>
      </c>
      <c r="M53" s="4"/>
      <c r="N53" s="4"/>
      <c r="O53" s="4"/>
      <c r="P53" s="4"/>
      <c r="Q53" s="4"/>
      <c r="R53" s="8"/>
      <c r="S53" s="4"/>
      <c r="T53" s="4"/>
      <c r="U53" s="4"/>
    </row>
    <row r="54" spans="1:21" ht="60" customHeight="1" x14ac:dyDescent="0.45">
      <c r="A54" s="6"/>
      <c r="B54" s="6"/>
      <c r="C54" s="6"/>
      <c r="D54" s="10" t="str">
        <f>IFERROR(VLOOKUP(C54,'Incident Intake'!$E:$G,3,FALSE())&amp;" "&amp;VLOOKUP(C54,'Incident Intake'!$E:$F,2,FALSE()),"")</f>
        <v/>
      </c>
      <c r="E54" s="12"/>
      <c r="F54" s="6"/>
      <c r="G54" s="6"/>
      <c r="H54" s="6"/>
      <c r="I54" s="6"/>
      <c r="J54" s="6"/>
      <c r="K54" s="10" t="str">
        <f t="shared" si="0"/>
        <v/>
      </c>
      <c r="L54" s="41" t="str">
        <f>IFERROR(VLOOKUP(M54,Lists!$T:$U,2,FALSE()),"Select an offense in col M to load the phone script →")</f>
        <v>Select an offense in col M to load the phone script →</v>
      </c>
      <c r="M54" s="6"/>
      <c r="N54" s="6"/>
      <c r="O54" s="6"/>
      <c r="P54" s="6"/>
      <c r="Q54" s="6"/>
      <c r="R54" s="12"/>
      <c r="S54" s="6"/>
      <c r="T54" s="6"/>
      <c r="U54" s="6"/>
    </row>
    <row r="55" spans="1:21" ht="60" customHeight="1" x14ac:dyDescent="0.45">
      <c r="A55" s="4"/>
      <c r="B55" s="4"/>
      <c r="C55" s="4"/>
      <c r="D55" s="10" t="str">
        <f>IFERROR(VLOOKUP(C55,'Incident Intake'!$E:$G,3,FALSE())&amp;" "&amp;VLOOKUP(C55,'Incident Intake'!$E:$F,2,FALSE()),"")</f>
        <v/>
      </c>
      <c r="E55" s="8"/>
      <c r="F55" s="4"/>
      <c r="G55" s="4"/>
      <c r="H55" s="4"/>
      <c r="I55" s="4"/>
      <c r="J55" s="4"/>
      <c r="K55" s="10" t="str">
        <f t="shared" si="0"/>
        <v/>
      </c>
      <c r="L55" s="40" t="str">
        <f>IFERROR(VLOOKUP(M55,Lists!$T:$U,2,FALSE()),"Select an offense in col M to load the phone script →")</f>
        <v>Select an offense in col M to load the phone script →</v>
      </c>
      <c r="M55" s="4"/>
      <c r="N55" s="4"/>
      <c r="O55" s="4"/>
      <c r="P55" s="4"/>
      <c r="Q55" s="4"/>
      <c r="R55" s="8"/>
      <c r="S55" s="4"/>
      <c r="T55" s="4"/>
      <c r="U55" s="4"/>
    </row>
    <row r="56" spans="1:21" ht="60" customHeight="1" x14ac:dyDescent="0.45">
      <c r="A56" s="6"/>
      <c r="B56" s="6"/>
      <c r="C56" s="6"/>
      <c r="D56" s="10" t="str">
        <f>IFERROR(VLOOKUP(C56,'Incident Intake'!$E:$G,3,FALSE())&amp;" "&amp;VLOOKUP(C56,'Incident Intake'!$E:$F,2,FALSE()),"")</f>
        <v/>
      </c>
      <c r="E56" s="12"/>
      <c r="F56" s="6"/>
      <c r="G56" s="6"/>
      <c r="H56" s="6"/>
      <c r="I56" s="6"/>
      <c r="J56" s="6"/>
      <c r="K56" s="10" t="str">
        <f t="shared" si="0"/>
        <v/>
      </c>
      <c r="L56" s="41" t="str">
        <f>IFERROR(VLOOKUP(M56,Lists!$T:$U,2,FALSE()),"Select an offense in col M to load the phone script →")</f>
        <v>Select an offense in col M to load the phone script →</v>
      </c>
      <c r="M56" s="6"/>
      <c r="N56" s="6"/>
      <c r="O56" s="6"/>
      <c r="P56" s="6"/>
      <c r="Q56" s="6"/>
      <c r="R56" s="12"/>
      <c r="S56" s="6"/>
      <c r="T56" s="6"/>
      <c r="U56" s="6"/>
    </row>
    <row r="57" spans="1:21" ht="60" customHeight="1" x14ac:dyDescent="0.45">
      <c r="A57" s="4"/>
      <c r="B57" s="4"/>
      <c r="C57" s="4"/>
      <c r="D57" s="10" t="str">
        <f>IFERROR(VLOOKUP(C57,'Incident Intake'!$E:$G,3,FALSE())&amp;" "&amp;VLOOKUP(C57,'Incident Intake'!$E:$F,2,FALSE()),"")</f>
        <v/>
      </c>
      <c r="E57" s="8"/>
      <c r="F57" s="4"/>
      <c r="G57" s="4"/>
      <c r="H57" s="4"/>
      <c r="I57" s="4"/>
      <c r="J57" s="4"/>
      <c r="K57" s="10" t="str">
        <f t="shared" si="0"/>
        <v/>
      </c>
      <c r="L57" s="40" t="str">
        <f>IFERROR(VLOOKUP(M57,Lists!$T:$U,2,FALSE()),"Select an offense in col M to load the phone script →")</f>
        <v>Select an offense in col M to load the phone script →</v>
      </c>
      <c r="M57" s="4"/>
      <c r="N57" s="4"/>
      <c r="O57" s="4"/>
      <c r="P57" s="4"/>
      <c r="Q57" s="4"/>
      <c r="R57" s="8"/>
      <c r="S57" s="4"/>
      <c r="T57" s="4"/>
      <c r="U57" s="4"/>
    </row>
    <row r="58" spans="1:21" ht="60" customHeight="1" x14ac:dyDescent="0.45">
      <c r="A58" s="6"/>
      <c r="B58" s="6"/>
      <c r="C58" s="6"/>
      <c r="D58" s="10" t="str">
        <f>IFERROR(VLOOKUP(C58,'Incident Intake'!$E:$G,3,FALSE())&amp;" "&amp;VLOOKUP(C58,'Incident Intake'!$E:$F,2,FALSE()),"")</f>
        <v/>
      </c>
      <c r="E58" s="12"/>
      <c r="F58" s="6"/>
      <c r="G58" s="6"/>
      <c r="H58" s="6"/>
      <c r="I58" s="6"/>
      <c r="J58" s="6"/>
      <c r="K58" s="10" t="str">
        <f t="shared" si="0"/>
        <v/>
      </c>
      <c r="L58" s="41" t="str">
        <f>IFERROR(VLOOKUP(M58,Lists!$T:$U,2,FALSE()),"Select an offense in col M to load the phone script →")</f>
        <v>Select an offense in col M to load the phone script →</v>
      </c>
      <c r="M58" s="6"/>
      <c r="N58" s="6"/>
      <c r="O58" s="6"/>
      <c r="P58" s="6"/>
      <c r="Q58" s="6"/>
      <c r="R58" s="12"/>
      <c r="S58" s="6"/>
      <c r="T58" s="6"/>
      <c r="U58" s="6"/>
    </row>
    <row r="59" spans="1:21" ht="60" customHeight="1" x14ac:dyDescent="0.45">
      <c r="A59" s="4"/>
      <c r="B59" s="4"/>
      <c r="C59" s="4"/>
      <c r="D59" s="10" t="str">
        <f>IFERROR(VLOOKUP(C59,'Incident Intake'!$E:$G,3,FALSE())&amp;" "&amp;VLOOKUP(C59,'Incident Intake'!$E:$F,2,FALSE()),"")</f>
        <v/>
      </c>
      <c r="E59" s="8"/>
      <c r="F59" s="4"/>
      <c r="G59" s="4"/>
      <c r="H59" s="4"/>
      <c r="I59" s="4"/>
      <c r="J59" s="4"/>
      <c r="K59" s="10" t="str">
        <f t="shared" si="0"/>
        <v/>
      </c>
      <c r="L59" s="40" t="str">
        <f>IFERROR(VLOOKUP(M59,Lists!$T:$U,2,FALSE()),"Select an offense in col M to load the phone script →")</f>
        <v>Select an offense in col M to load the phone script →</v>
      </c>
      <c r="M59" s="4"/>
      <c r="N59" s="4"/>
      <c r="O59" s="4"/>
      <c r="P59" s="4"/>
      <c r="Q59" s="4"/>
      <c r="R59" s="8"/>
      <c r="S59" s="4"/>
      <c r="T59" s="4"/>
      <c r="U59" s="4"/>
    </row>
    <row r="60" spans="1:21" ht="60" customHeight="1" x14ac:dyDescent="0.45">
      <c r="A60" s="6"/>
      <c r="B60" s="6"/>
      <c r="C60" s="6"/>
      <c r="D60" s="10" t="str">
        <f>IFERROR(VLOOKUP(C60,'Incident Intake'!$E:$G,3,FALSE())&amp;" "&amp;VLOOKUP(C60,'Incident Intake'!$E:$F,2,FALSE()),"")</f>
        <v/>
      </c>
      <c r="E60" s="12"/>
      <c r="F60" s="6"/>
      <c r="G60" s="6"/>
      <c r="H60" s="6"/>
      <c r="I60" s="6"/>
      <c r="J60" s="6"/>
      <c r="K60" s="10" t="str">
        <f t="shared" si="0"/>
        <v/>
      </c>
      <c r="L60" s="41" t="str">
        <f>IFERROR(VLOOKUP(M60,Lists!$T:$U,2,FALSE()),"Select an offense in col M to load the phone script →")</f>
        <v>Select an offense in col M to load the phone script →</v>
      </c>
      <c r="M60" s="6"/>
      <c r="N60" s="6"/>
      <c r="O60" s="6"/>
      <c r="P60" s="6"/>
      <c r="Q60" s="6"/>
      <c r="R60" s="12"/>
      <c r="S60" s="6"/>
      <c r="T60" s="6"/>
      <c r="U60" s="6"/>
    </row>
    <row r="61" spans="1:21" ht="60" customHeight="1" x14ac:dyDescent="0.45">
      <c r="A61" s="4"/>
      <c r="B61" s="4"/>
      <c r="C61" s="4"/>
      <c r="D61" s="10" t="str">
        <f>IFERROR(VLOOKUP(C61,'Incident Intake'!$E:$G,3,FALSE())&amp;" "&amp;VLOOKUP(C61,'Incident Intake'!$E:$F,2,FALSE()),"")</f>
        <v/>
      </c>
      <c r="E61" s="8"/>
      <c r="F61" s="4"/>
      <c r="G61" s="4"/>
      <c r="H61" s="4"/>
      <c r="I61" s="4"/>
      <c r="J61" s="4"/>
      <c r="K61" s="10" t="str">
        <f t="shared" si="0"/>
        <v/>
      </c>
      <c r="L61" s="40" t="str">
        <f>IFERROR(VLOOKUP(M61,Lists!$T:$U,2,FALSE()),"Select an offense in col M to load the phone script →")</f>
        <v>Select an offense in col M to load the phone script →</v>
      </c>
      <c r="M61" s="4"/>
      <c r="N61" s="4"/>
      <c r="O61" s="4"/>
      <c r="P61" s="4"/>
      <c r="Q61" s="4"/>
      <c r="R61" s="8"/>
      <c r="S61" s="4"/>
      <c r="T61" s="4"/>
      <c r="U61" s="4"/>
    </row>
    <row r="62" spans="1:21" ht="60" customHeight="1" x14ac:dyDescent="0.45">
      <c r="A62" s="6"/>
      <c r="B62" s="6"/>
      <c r="C62" s="6"/>
      <c r="D62" s="10" t="str">
        <f>IFERROR(VLOOKUP(C62,'Incident Intake'!$E:$G,3,FALSE())&amp;" "&amp;VLOOKUP(C62,'Incident Intake'!$E:$F,2,FALSE()),"")</f>
        <v/>
      </c>
      <c r="E62" s="12"/>
      <c r="F62" s="6"/>
      <c r="G62" s="6"/>
      <c r="H62" s="6"/>
      <c r="I62" s="6"/>
      <c r="J62" s="6"/>
      <c r="K62" s="10" t="str">
        <f t="shared" si="0"/>
        <v/>
      </c>
      <c r="L62" s="41" t="str">
        <f>IFERROR(VLOOKUP(M62,Lists!$T:$U,2,FALSE()),"Select an offense in col M to load the phone script →")</f>
        <v>Select an offense in col M to load the phone script →</v>
      </c>
      <c r="M62" s="6"/>
      <c r="N62" s="6"/>
      <c r="O62" s="6"/>
      <c r="P62" s="6"/>
      <c r="Q62" s="6"/>
      <c r="R62" s="12"/>
      <c r="S62" s="6"/>
      <c r="T62" s="6"/>
      <c r="U62" s="6"/>
    </row>
    <row r="63" spans="1:21" ht="60" customHeight="1" x14ac:dyDescent="0.45">
      <c r="A63" s="4"/>
      <c r="B63" s="4"/>
      <c r="C63" s="4"/>
      <c r="D63" s="10" t="str">
        <f>IFERROR(VLOOKUP(C63,'Incident Intake'!$E:$G,3,FALSE())&amp;" "&amp;VLOOKUP(C63,'Incident Intake'!$E:$F,2,FALSE()),"")</f>
        <v/>
      </c>
      <c r="E63" s="8"/>
      <c r="F63" s="4"/>
      <c r="G63" s="4"/>
      <c r="H63" s="4"/>
      <c r="I63" s="4"/>
      <c r="J63" s="4"/>
      <c r="K63" s="10" t="str">
        <f t="shared" si="0"/>
        <v/>
      </c>
      <c r="L63" s="40" t="str">
        <f>IFERROR(VLOOKUP(M63,Lists!$T:$U,2,FALSE()),"Select an offense in col M to load the phone script →")</f>
        <v>Select an offense in col M to load the phone script →</v>
      </c>
      <c r="M63" s="4"/>
      <c r="N63" s="4"/>
      <c r="O63" s="4"/>
      <c r="P63" s="4"/>
      <c r="Q63" s="4"/>
      <c r="R63" s="8"/>
      <c r="S63" s="4"/>
      <c r="T63" s="4"/>
      <c r="U63" s="4"/>
    </row>
    <row r="64" spans="1:21" ht="60" customHeight="1" x14ac:dyDescent="0.45">
      <c r="A64" s="6"/>
      <c r="B64" s="6"/>
      <c r="C64" s="6"/>
      <c r="D64" s="10" t="str">
        <f>IFERROR(VLOOKUP(C64,'Incident Intake'!$E:$G,3,FALSE())&amp;" "&amp;VLOOKUP(C64,'Incident Intake'!$E:$F,2,FALSE()),"")</f>
        <v/>
      </c>
      <c r="E64" s="12"/>
      <c r="F64" s="6"/>
      <c r="G64" s="6"/>
      <c r="H64" s="6"/>
      <c r="I64" s="6"/>
      <c r="J64" s="6"/>
      <c r="K64" s="10" t="str">
        <f t="shared" si="0"/>
        <v/>
      </c>
      <c r="L64" s="41" t="str">
        <f>IFERROR(VLOOKUP(M64,Lists!$T:$U,2,FALSE()),"Select an offense in col M to load the phone script →")</f>
        <v>Select an offense in col M to load the phone script →</v>
      </c>
      <c r="M64" s="6"/>
      <c r="N64" s="6"/>
      <c r="O64" s="6"/>
      <c r="P64" s="6"/>
      <c r="Q64" s="6"/>
      <c r="R64" s="12"/>
      <c r="S64" s="6"/>
      <c r="T64" s="6"/>
      <c r="U64" s="6"/>
    </row>
    <row r="65" spans="1:21" ht="60" customHeight="1" x14ac:dyDescent="0.45">
      <c r="A65" s="4"/>
      <c r="B65" s="4"/>
      <c r="C65" s="4"/>
      <c r="D65" s="10" t="str">
        <f>IFERROR(VLOOKUP(C65,'Incident Intake'!$E:$G,3,FALSE())&amp;" "&amp;VLOOKUP(C65,'Incident Intake'!$E:$F,2,FALSE()),"")</f>
        <v/>
      </c>
      <c r="E65" s="8"/>
      <c r="F65" s="4"/>
      <c r="G65" s="4"/>
      <c r="H65" s="4"/>
      <c r="I65" s="4"/>
      <c r="J65" s="4"/>
      <c r="K65" s="10" t="str">
        <f t="shared" si="0"/>
        <v/>
      </c>
      <c r="L65" s="40" t="str">
        <f>IFERROR(VLOOKUP(M65,Lists!$T:$U,2,FALSE()),"Select an offense in col M to load the phone script →")</f>
        <v>Select an offense in col M to load the phone script →</v>
      </c>
      <c r="M65" s="4"/>
      <c r="N65" s="4"/>
      <c r="O65" s="4"/>
      <c r="P65" s="4"/>
      <c r="Q65" s="4"/>
      <c r="R65" s="8"/>
      <c r="S65" s="4"/>
      <c r="T65" s="4"/>
      <c r="U65" s="4"/>
    </row>
    <row r="66" spans="1:21" ht="60" customHeight="1" x14ac:dyDescent="0.45">
      <c r="A66" s="6"/>
      <c r="B66" s="6"/>
      <c r="C66" s="6"/>
      <c r="D66" s="10" t="str">
        <f>IFERROR(VLOOKUP(C66,'Incident Intake'!$E:$G,3,FALSE())&amp;" "&amp;VLOOKUP(C66,'Incident Intake'!$E:$F,2,FALSE()),"")</f>
        <v/>
      </c>
      <c r="E66" s="12"/>
      <c r="F66" s="6"/>
      <c r="G66" s="6"/>
      <c r="H66" s="6"/>
      <c r="I66" s="6"/>
      <c r="J66" s="6"/>
      <c r="K66" s="10" t="str">
        <f t="shared" si="0"/>
        <v/>
      </c>
      <c r="L66" s="41" t="str">
        <f>IFERROR(VLOOKUP(M66,Lists!$T:$U,2,FALSE()),"Select an offense in col M to load the phone script →")</f>
        <v>Select an offense in col M to load the phone script →</v>
      </c>
      <c r="M66" s="6"/>
      <c r="N66" s="6"/>
      <c r="O66" s="6"/>
      <c r="P66" s="6"/>
      <c r="Q66" s="6"/>
      <c r="R66" s="12"/>
      <c r="S66" s="6"/>
      <c r="T66" s="6"/>
      <c r="U66" s="6"/>
    </row>
    <row r="67" spans="1:21" ht="60" customHeight="1" x14ac:dyDescent="0.45">
      <c r="A67" s="4"/>
      <c r="B67" s="4"/>
      <c r="C67" s="4"/>
      <c r="D67" s="10" t="str">
        <f>IFERROR(VLOOKUP(C67,'Incident Intake'!$E:$G,3,FALSE())&amp;" "&amp;VLOOKUP(C67,'Incident Intake'!$E:$F,2,FALSE()),"")</f>
        <v/>
      </c>
      <c r="E67" s="8"/>
      <c r="F67" s="4"/>
      <c r="G67" s="4"/>
      <c r="H67" s="4"/>
      <c r="I67" s="4"/>
      <c r="J67" s="4"/>
      <c r="K67" s="10" t="str">
        <f t="shared" si="0"/>
        <v/>
      </c>
      <c r="L67" s="40" t="str">
        <f>IFERROR(VLOOKUP(M67,Lists!$T:$U,2,FALSE()),"Select an offense in col M to load the phone script →")</f>
        <v>Select an offense in col M to load the phone script →</v>
      </c>
      <c r="M67" s="4"/>
      <c r="N67" s="4"/>
      <c r="O67" s="4"/>
      <c r="P67" s="4"/>
      <c r="Q67" s="4"/>
      <c r="R67" s="8"/>
      <c r="S67" s="4"/>
      <c r="T67" s="4"/>
      <c r="U67" s="4"/>
    </row>
    <row r="68" spans="1:21" ht="60" customHeight="1" x14ac:dyDescent="0.45">
      <c r="A68" s="6"/>
      <c r="B68" s="6"/>
      <c r="C68" s="6"/>
      <c r="D68" s="10" t="str">
        <f>IFERROR(VLOOKUP(C68,'Incident Intake'!$E:$G,3,FALSE())&amp;" "&amp;VLOOKUP(C68,'Incident Intake'!$E:$F,2,FALSE()),"")</f>
        <v/>
      </c>
      <c r="E68" s="12"/>
      <c r="F68" s="6"/>
      <c r="G68" s="6"/>
      <c r="H68" s="6"/>
      <c r="I68" s="6"/>
      <c r="J68" s="6"/>
      <c r="K68" s="10" t="str">
        <f t="shared" si="0"/>
        <v/>
      </c>
      <c r="L68" s="41" t="str">
        <f>IFERROR(VLOOKUP(M68,Lists!$T:$U,2,FALSE()),"Select an offense in col M to load the phone script →")</f>
        <v>Select an offense in col M to load the phone script →</v>
      </c>
      <c r="M68" s="6"/>
      <c r="N68" s="6"/>
      <c r="O68" s="6"/>
      <c r="P68" s="6"/>
      <c r="Q68" s="6"/>
      <c r="R68" s="12"/>
      <c r="S68" s="6"/>
      <c r="T68" s="6"/>
      <c r="U68" s="6"/>
    </row>
    <row r="69" spans="1:21" ht="60" customHeight="1" x14ac:dyDescent="0.45">
      <c r="A69" s="4"/>
      <c r="B69" s="4"/>
      <c r="C69" s="4"/>
      <c r="D69" s="10" t="str">
        <f>IFERROR(VLOOKUP(C69,'Incident Intake'!$E:$G,3,FALSE())&amp;" "&amp;VLOOKUP(C69,'Incident Intake'!$E:$F,2,FALSE()),"")</f>
        <v/>
      </c>
      <c r="E69" s="8"/>
      <c r="F69" s="4"/>
      <c r="G69" s="4"/>
      <c r="H69" s="4"/>
      <c r="I69" s="4"/>
      <c r="J69" s="4"/>
      <c r="K69" s="10" t="str">
        <f t="shared" ref="K69:K132" si="1">IF(J69="","",IF(ISNUMBER(SEARCH("TEC-Required",J69)),"YES — Required","Voluntary"))</f>
        <v/>
      </c>
      <c r="L69" s="40" t="str">
        <f>IFERROR(VLOOKUP(M69,Lists!$T:$U,2,FALSE()),"Select an offense in col M to load the phone script →")</f>
        <v>Select an offense in col M to load the phone script →</v>
      </c>
      <c r="M69" s="4"/>
      <c r="N69" s="4"/>
      <c r="O69" s="4"/>
      <c r="P69" s="4"/>
      <c r="Q69" s="4"/>
      <c r="R69" s="8"/>
      <c r="S69" s="4"/>
      <c r="T69" s="4"/>
      <c r="U69" s="4"/>
    </row>
    <row r="70" spans="1:21" ht="60" customHeight="1" x14ac:dyDescent="0.45">
      <c r="A70" s="6"/>
      <c r="B70" s="6"/>
      <c r="C70" s="6"/>
      <c r="D70" s="10" t="str">
        <f>IFERROR(VLOOKUP(C70,'Incident Intake'!$E:$G,3,FALSE())&amp;" "&amp;VLOOKUP(C70,'Incident Intake'!$E:$F,2,FALSE()),"")</f>
        <v/>
      </c>
      <c r="E70" s="12"/>
      <c r="F70" s="6"/>
      <c r="G70" s="6"/>
      <c r="H70" s="6"/>
      <c r="I70" s="6"/>
      <c r="J70" s="6"/>
      <c r="K70" s="10" t="str">
        <f t="shared" si="1"/>
        <v/>
      </c>
      <c r="L70" s="41" t="str">
        <f>IFERROR(VLOOKUP(M70,Lists!$T:$U,2,FALSE()),"Select an offense in col M to load the phone script →")</f>
        <v>Select an offense in col M to load the phone script →</v>
      </c>
      <c r="M70" s="6"/>
      <c r="N70" s="6"/>
      <c r="O70" s="6"/>
      <c r="P70" s="6"/>
      <c r="Q70" s="6"/>
      <c r="R70" s="12"/>
      <c r="S70" s="6"/>
      <c r="T70" s="6"/>
      <c r="U70" s="6"/>
    </row>
    <row r="71" spans="1:21" ht="60" customHeight="1" x14ac:dyDescent="0.45">
      <c r="A71" s="4"/>
      <c r="B71" s="4"/>
      <c r="C71" s="4"/>
      <c r="D71" s="10" t="str">
        <f>IFERROR(VLOOKUP(C71,'Incident Intake'!$E:$G,3,FALSE())&amp;" "&amp;VLOOKUP(C71,'Incident Intake'!$E:$F,2,FALSE()),"")</f>
        <v/>
      </c>
      <c r="E71" s="8"/>
      <c r="F71" s="4"/>
      <c r="G71" s="4"/>
      <c r="H71" s="4"/>
      <c r="I71" s="4"/>
      <c r="J71" s="4"/>
      <c r="K71" s="10" t="str">
        <f t="shared" si="1"/>
        <v/>
      </c>
      <c r="L71" s="40" t="str">
        <f>IFERROR(VLOOKUP(M71,Lists!$T:$U,2,FALSE()),"Select an offense in col M to load the phone script →")</f>
        <v>Select an offense in col M to load the phone script →</v>
      </c>
      <c r="M71" s="4"/>
      <c r="N71" s="4"/>
      <c r="O71" s="4"/>
      <c r="P71" s="4"/>
      <c r="Q71" s="4"/>
      <c r="R71" s="8"/>
      <c r="S71" s="4"/>
      <c r="T71" s="4"/>
      <c r="U71" s="4"/>
    </row>
    <row r="72" spans="1:21" ht="60" customHeight="1" x14ac:dyDescent="0.45">
      <c r="A72" s="6"/>
      <c r="B72" s="6"/>
      <c r="C72" s="6"/>
      <c r="D72" s="10" t="str">
        <f>IFERROR(VLOOKUP(C72,'Incident Intake'!$E:$G,3,FALSE())&amp;" "&amp;VLOOKUP(C72,'Incident Intake'!$E:$F,2,FALSE()),"")</f>
        <v/>
      </c>
      <c r="E72" s="12"/>
      <c r="F72" s="6"/>
      <c r="G72" s="6"/>
      <c r="H72" s="6"/>
      <c r="I72" s="6"/>
      <c r="J72" s="6"/>
      <c r="K72" s="10" t="str">
        <f t="shared" si="1"/>
        <v/>
      </c>
      <c r="L72" s="41" t="str">
        <f>IFERROR(VLOOKUP(M72,Lists!$T:$U,2,FALSE()),"Select an offense in col M to load the phone script →")</f>
        <v>Select an offense in col M to load the phone script →</v>
      </c>
      <c r="M72" s="6"/>
      <c r="N72" s="6"/>
      <c r="O72" s="6"/>
      <c r="P72" s="6"/>
      <c r="Q72" s="6"/>
      <c r="R72" s="12"/>
      <c r="S72" s="6"/>
      <c r="T72" s="6"/>
      <c r="U72" s="6"/>
    </row>
    <row r="73" spans="1:21" ht="60" customHeight="1" x14ac:dyDescent="0.45">
      <c r="A73" s="4"/>
      <c r="B73" s="4"/>
      <c r="C73" s="4"/>
      <c r="D73" s="10" t="str">
        <f>IFERROR(VLOOKUP(C73,'Incident Intake'!$E:$G,3,FALSE())&amp;" "&amp;VLOOKUP(C73,'Incident Intake'!$E:$F,2,FALSE()),"")</f>
        <v/>
      </c>
      <c r="E73" s="8"/>
      <c r="F73" s="4"/>
      <c r="G73" s="4"/>
      <c r="H73" s="4"/>
      <c r="I73" s="4"/>
      <c r="J73" s="4"/>
      <c r="K73" s="10" t="str">
        <f t="shared" si="1"/>
        <v/>
      </c>
      <c r="L73" s="40" t="str">
        <f>IFERROR(VLOOKUP(M73,Lists!$T:$U,2,FALSE()),"Select an offense in col M to load the phone script →")</f>
        <v>Select an offense in col M to load the phone script →</v>
      </c>
      <c r="M73" s="4"/>
      <c r="N73" s="4"/>
      <c r="O73" s="4"/>
      <c r="P73" s="4"/>
      <c r="Q73" s="4"/>
      <c r="R73" s="8"/>
      <c r="S73" s="4"/>
      <c r="T73" s="4"/>
      <c r="U73" s="4"/>
    </row>
    <row r="74" spans="1:21" ht="60" customHeight="1" x14ac:dyDescent="0.45">
      <c r="A74" s="6"/>
      <c r="B74" s="6"/>
      <c r="C74" s="6"/>
      <c r="D74" s="10" t="str">
        <f>IFERROR(VLOOKUP(C74,'Incident Intake'!$E:$G,3,FALSE())&amp;" "&amp;VLOOKUP(C74,'Incident Intake'!$E:$F,2,FALSE()),"")</f>
        <v/>
      </c>
      <c r="E74" s="12"/>
      <c r="F74" s="6"/>
      <c r="G74" s="6"/>
      <c r="H74" s="6"/>
      <c r="I74" s="6"/>
      <c r="J74" s="6"/>
      <c r="K74" s="10" t="str">
        <f t="shared" si="1"/>
        <v/>
      </c>
      <c r="L74" s="41" t="str">
        <f>IFERROR(VLOOKUP(M74,Lists!$T:$U,2,FALSE()),"Select an offense in col M to load the phone script →")</f>
        <v>Select an offense in col M to load the phone script →</v>
      </c>
      <c r="M74" s="6"/>
      <c r="N74" s="6"/>
      <c r="O74" s="6"/>
      <c r="P74" s="6"/>
      <c r="Q74" s="6"/>
      <c r="R74" s="12"/>
      <c r="S74" s="6"/>
      <c r="T74" s="6"/>
      <c r="U74" s="6"/>
    </row>
    <row r="75" spans="1:21" ht="60" customHeight="1" x14ac:dyDescent="0.45">
      <c r="A75" s="4"/>
      <c r="B75" s="4"/>
      <c r="C75" s="4"/>
      <c r="D75" s="10" t="str">
        <f>IFERROR(VLOOKUP(C75,'Incident Intake'!$E:$G,3,FALSE())&amp;" "&amp;VLOOKUP(C75,'Incident Intake'!$E:$F,2,FALSE()),"")</f>
        <v/>
      </c>
      <c r="E75" s="8"/>
      <c r="F75" s="4"/>
      <c r="G75" s="4"/>
      <c r="H75" s="4"/>
      <c r="I75" s="4"/>
      <c r="J75" s="4"/>
      <c r="K75" s="10" t="str">
        <f t="shared" si="1"/>
        <v/>
      </c>
      <c r="L75" s="40" t="str">
        <f>IFERROR(VLOOKUP(M75,Lists!$T:$U,2,FALSE()),"Select an offense in col M to load the phone script →")</f>
        <v>Select an offense in col M to load the phone script →</v>
      </c>
      <c r="M75" s="4"/>
      <c r="N75" s="4"/>
      <c r="O75" s="4"/>
      <c r="P75" s="4"/>
      <c r="Q75" s="4"/>
      <c r="R75" s="8"/>
      <c r="S75" s="4"/>
      <c r="T75" s="4"/>
      <c r="U75" s="4"/>
    </row>
    <row r="76" spans="1:21" ht="60" customHeight="1" x14ac:dyDescent="0.45">
      <c r="A76" s="6"/>
      <c r="B76" s="6"/>
      <c r="C76" s="6"/>
      <c r="D76" s="10" t="str">
        <f>IFERROR(VLOOKUP(C76,'Incident Intake'!$E:$G,3,FALSE())&amp;" "&amp;VLOOKUP(C76,'Incident Intake'!$E:$F,2,FALSE()),"")</f>
        <v/>
      </c>
      <c r="E76" s="12"/>
      <c r="F76" s="6"/>
      <c r="G76" s="6"/>
      <c r="H76" s="6"/>
      <c r="I76" s="6"/>
      <c r="J76" s="6"/>
      <c r="K76" s="10" t="str">
        <f t="shared" si="1"/>
        <v/>
      </c>
      <c r="L76" s="41" t="str">
        <f>IFERROR(VLOOKUP(M76,Lists!$T:$U,2,FALSE()),"Select an offense in col M to load the phone script →")</f>
        <v>Select an offense in col M to load the phone script →</v>
      </c>
      <c r="M76" s="6"/>
      <c r="N76" s="6"/>
      <c r="O76" s="6"/>
      <c r="P76" s="6"/>
      <c r="Q76" s="6"/>
      <c r="R76" s="12"/>
      <c r="S76" s="6"/>
      <c r="T76" s="6"/>
      <c r="U76" s="6"/>
    </row>
    <row r="77" spans="1:21" ht="60" customHeight="1" x14ac:dyDescent="0.45">
      <c r="A77" s="4"/>
      <c r="B77" s="4"/>
      <c r="C77" s="4"/>
      <c r="D77" s="10" t="str">
        <f>IFERROR(VLOOKUP(C77,'Incident Intake'!$E:$G,3,FALSE())&amp;" "&amp;VLOOKUP(C77,'Incident Intake'!$E:$F,2,FALSE()),"")</f>
        <v/>
      </c>
      <c r="E77" s="8"/>
      <c r="F77" s="4"/>
      <c r="G77" s="4"/>
      <c r="H77" s="4"/>
      <c r="I77" s="4"/>
      <c r="J77" s="4"/>
      <c r="K77" s="10" t="str">
        <f t="shared" si="1"/>
        <v/>
      </c>
      <c r="L77" s="40" t="str">
        <f>IFERROR(VLOOKUP(M77,Lists!$T:$U,2,FALSE()),"Select an offense in col M to load the phone script →")</f>
        <v>Select an offense in col M to load the phone script →</v>
      </c>
      <c r="M77" s="4"/>
      <c r="N77" s="4"/>
      <c r="O77" s="4"/>
      <c r="P77" s="4"/>
      <c r="Q77" s="4"/>
      <c r="R77" s="8"/>
      <c r="S77" s="4"/>
      <c r="T77" s="4"/>
      <c r="U77" s="4"/>
    </row>
    <row r="78" spans="1:21" ht="60" customHeight="1" x14ac:dyDescent="0.45">
      <c r="A78" s="6"/>
      <c r="B78" s="6"/>
      <c r="C78" s="6"/>
      <c r="D78" s="10" t="str">
        <f>IFERROR(VLOOKUP(C78,'Incident Intake'!$E:$G,3,FALSE())&amp;" "&amp;VLOOKUP(C78,'Incident Intake'!$E:$F,2,FALSE()),"")</f>
        <v/>
      </c>
      <c r="E78" s="12"/>
      <c r="F78" s="6"/>
      <c r="G78" s="6"/>
      <c r="H78" s="6"/>
      <c r="I78" s="6"/>
      <c r="J78" s="6"/>
      <c r="K78" s="10" t="str">
        <f t="shared" si="1"/>
        <v/>
      </c>
      <c r="L78" s="41" t="str">
        <f>IFERROR(VLOOKUP(M78,Lists!$T:$U,2,FALSE()),"Select an offense in col M to load the phone script →")</f>
        <v>Select an offense in col M to load the phone script →</v>
      </c>
      <c r="M78" s="6"/>
      <c r="N78" s="6"/>
      <c r="O78" s="6"/>
      <c r="P78" s="6"/>
      <c r="Q78" s="6"/>
      <c r="R78" s="12"/>
      <c r="S78" s="6"/>
      <c r="T78" s="6"/>
      <c r="U78" s="6"/>
    </row>
    <row r="79" spans="1:21" ht="60" customHeight="1" x14ac:dyDescent="0.45">
      <c r="A79" s="4"/>
      <c r="B79" s="4"/>
      <c r="C79" s="4"/>
      <c r="D79" s="10" t="str">
        <f>IFERROR(VLOOKUP(C79,'Incident Intake'!$E:$G,3,FALSE())&amp;" "&amp;VLOOKUP(C79,'Incident Intake'!$E:$F,2,FALSE()),"")</f>
        <v/>
      </c>
      <c r="E79" s="8"/>
      <c r="F79" s="4"/>
      <c r="G79" s="4"/>
      <c r="H79" s="4"/>
      <c r="I79" s="4"/>
      <c r="J79" s="4"/>
      <c r="K79" s="10" t="str">
        <f t="shared" si="1"/>
        <v/>
      </c>
      <c r="L79" s="40" t="str">
        <f>IFERROR(VLOOKUP(M79,Lists!$T:$U,2,FALSE()),"Select an offense in col M to load the phone script →")</f>
        <v>Select an offense in col M to load the phone script →</v>
      </c>
      <c r="M79" s="4"/>
      <c r="N79" s="4"/>
      <c r="O79" s="4"/>
      <c r="P79" s="4"/>
      <c r="Q79" s="4"/>
      <c r="R79" s="8"/>
      <c r="S79" s="4"/>
      <c r="T79" s="4"/>
      <c r="U79" s="4"/>
    </row>
    <row r="80" spans="1:21" ht="60" customHeight="1" x14ac:dyDescent="0.45">
      <c r="A80" s="6"/>
      <c r="B80" s="6"/>
      <c r="C80" s="6"/>
      <c r="D80" s="10" t="str">
        <f>IFERROR(VLOOKUP(C80,'Incident Intake'!$E:$G,3,FALSE())&amp;" "&amp;VLOOKUP(C80,'Incident Intake'!$E:$F,2,FALSE()),"")</f>
        <v/>
      </c>
      <c r="E80" s="12"/>
      <c r="F80" s="6"/>
      <c r="G80" s="6"/>
      <c r="H80" s="6"/>
      <c r="I80" s="6"/>
      <c r="J80" s="6"/>
      <c r="K80" s="10" t="str">
        <f t="shared" si="1"/>
        <v/>
      </c>
      <c r="L80" s="41" t="str">
        <f>IFERROR(VLOOKUP(M80,Lists!$T:$U,2,FALSE()),"Select an offense in col M to load the phone script →")</f>
        <v>Select an offense in col M to load the phone script →</v>
      </c>
      <c r="M80" s="6"/>
      <c r="N80" s="6"/>
      <c r="O80" s="6"/>
      <c r="P80" s="6"/>
      <c r="Q80" s="6"/>
      <c r="R80" s="12"/>
      <c r="S80" s="6"/>
      <c r="T80" s="6"/>
      <c r="U80" s="6"/>
    </row>
    <row r="81" spans="1:21" ht="60" customHeight="1" x14ac:dyDescent="0.45">
      <c r="A81" s="4"/>
      <c r="B81" s="4"/>
      <c r="C81" s="4"/>
      <c r="D81" s="10" t="str">
        <f>IFERROR(VLOOKUP(C81,'Incident Intake'!$E:$G,3,FALSE())&amp;" "&amp;VLOOKUP(C81,'Incident Intake'!$E:$F,2,FALSE()),"")</f>
        <v/>
      </c>
      <c r="E81" s="8"/>
      <c r="F81" s="4"/>
      <c r="G81" s="4"/>
      <c r="H81" s="4"/>
      <c r="I81" s="4"/>
      <c r="J81" s="4"/>
      <c r="K81" s="10" t="str">
        <f t="shared" si="1"/>
        <v/>
      </c>
      <c r="L81" s="40" t="str">
        <f>IFERROR(VLOOKUP(M81,Lists!$T:$U,2,FALSE()),"Select an offense in col M to load the phone script →")</f>
        <v>Select an offense in col M to load the phone script →</v>
      </c>
      <c r="M81" s="4"/>
      <c r="N81" s="4"/>
      <c r="O81" s="4"/>
      <c r="P81" s="4"/>
      <c r="Q81" s="4"/>
      <c r="R81" s="8"/>
      <c r="S81" s="4"/>
      <c r="T81" s="4"/>
      <c r="U81" s="4"/>
    </row>
    <row r="82" spans="1:21" ht="60" customHeight="1" x14ac:dyDescent="0.45">
      <c r="A82" s="6"/>
      <c r="B82" s="6"/>
      <c r="C82" s="6"/>
      <c r="D82" s="10" t="str">
        <f>IFERROR(VLOOKUP(C82,'Incident Intake'!$E:$G,3,FALSE())&amp;" "&amp;VLOOKUP(C82,'Incident Intake'!$E:$F,2,FALSE()),"")</f>
        <v/>
      </c>
      <c r="E82" s="12"/>
      <c r="F82" s="6"/>
      <c r="G82" s="6"/>
      <c r="H82" s="6"/>
      <c r="I82" s="6"/>
      <c r="J82" s="6"/>
      <c r="K82" s="10" t="str">
        <f t="shared" si="1"/>
        <v/>
      </c>
      <c r="L82" s="41" t="str">
        <f>IFERROR(VLOOKUP(M82,Lists!$T:$U,2,FALSE()),"Select an offense in col M to load the phone script →")</f>
        <v>Select an offense in col M to load the phone script →</v>
      </c>
      <c r="M82" s="6"/>
      <c r="N82" s="6"/>
      <c r="O82" s="6"/>
      <c r="P82" s="6"/>
      <c r="Q82" s="6"/>
      <c r="R82" s="12"/>
      <c r="S82" s="6"/>
      <c r="T82" s="6"/>
      <c r="U82" s="6"/>
    </row>
    <row r="83" spans="1:21" ht="60" customHeight="1" x14ac:dyDescent="0.45">
      <c r="A83" s="4"/>
      <c r="B83" s="4"/>
      <c r="C83" s="4"/>
      <c r="D83" s="10" t="str">
        <f>IFERROR(VLOOKUP(C83,'Incident Intake'!$E:$G,3,FALSE())&amp;" "&amp;VLOOKUP(C83,'Incident Intake'!$E:$F,2,FALSE()),"")</f>
        <v/>
      </c>
      <c r="E83" s="8"/>
      <c r="F83" s="4"/>
      <c r="G83" s="4"/>
      <c r="H83" s="4"/>
      <c r="I83" s="4"/>
      <c r="J83" s="4"/>
      <c r="K83" s="10" t="str">
        <f t="shared" si="1"/>
        <v/>
      </c>
      <c r="L83" s="40" t="str">
        <f>IFERROR(VLOOKUP(M83,Lists!$T:$U,2,FALSE()),"Select an offense in col M to load the phone script →")</f>
        <v>Select an offense in col M to load the phone script →</v>
      </c>
      <c r="M83" s="4"/>
      <c r="N83" s="4"/>
      <c r="O83" s="4"/>
      <c r="P83" s="4"/>
      <c r="Q83" s="4"/>
      <c r="R83" s="8"/>
      <c r="S83" s="4"/>
      <c r="T83" s="4"/>
      <c r="U83" s="4"/>
    </row>
    <row r="84" spans="1:21" ht="60" customHeight="1" x14ac:dyDescent="0.45">
      <c r="A84" s="6"/>
      <c r="B84" s="6"/>
      <c r="C84" s="6"/>
      <c r="D84" s="10" t="str">
        <f>IFERROR(VLOOKUP(C84,'Incident Intake'!$E:$G,3,FALSE())&amp;" "&amp;VLOOKUP(C84,'Incident Intake'!$E:$F,2,FALSE()),"")</f>
        <v/>
      </c>
      <c r="E84" s="12"/>
      <c r="F84" s="6"/>
      <c r="G84" s="6"/>
      <c r="H84" s="6"/>
      <c r="I84" s="6"/>
      <c r="J84" s="6"/>
      <c r="K84" s="10" t="str">
        <f t="shared" si="1"/>
        <v/>
      </c>
      <c r="L84" s="41" t="str">
        <f>IFERROR(VLOOKUP(M84,Lists!$T:$U,2,FALSE()),"Select an offense in col M to load the phone script →")</f>
        <v>Select an offense in col M to load the phone script →</v>
      </c>
      <c r="M84" s="6"/>
      <c r="N84" s="6"/>
      <c r="O84" s="6"/>
      <c r="P84" s="6"/>
      <c r="Q84" s="6"/>
      <c r="R84" s="12"/>
      <c r="S84" s="6"/>
      <c r="T84" s="6"/>
      <c r="U84" s="6"/>
    </row>
    <row r="85" spans="1:21" ht="60" customHeight="1" x14ac:dyDescent="0.45">
      <c r="A85" s="4"/>
      <c r="B85" s="4"/>
      <c r="C85" s="4"/>
      <c r="D85" s="10" t="str">
        <f>IFERROR(VLOOKUP(C85,'Incident Intake'!$E:$G,3,FALSE())&amp;" "&amp;VLOOKUP(C85,'Incident Intake'!$E:$F,2,FALSE()),"")</f>
        <v/>
      </c>
      <c r="E85" s="8"/>
      <c r="F85" s="4"/>
      <c r="G85" s="4"/>
      <c r="H85" s="4"/>
      <c r="I85" s="4"/>
      <c r="J85" s="4"/>
      <c r="K85" s="10" t="str">
        <f t="shared" si="1"/>
        <v/>
      </c>
      <c r="L85" s="40" t="str">
        <f>IFERROR(VLOOKUP(M85,Lists!$T:$U,2,FALSE()),"Select an offense in col M to load the phone script →")</f>
        <v>Select an offense in col M to load the phone script →</v>
      </c>
      <c r="M85" s="4"/>
      <c r="N85" s="4"/>
      <c r="O85" s="4"/>
      <c r="P85" s="4"/>
      <c r="Q85" s="4"/>
      <c r="R85" s="8"/>
      <c r="S85" s="4"/>
      <c r="T85" s="4"/>
      <c r="U85" s="4"/>
    </row>
    <row r="86" spans="1:21" ht="60" customHeight="1" x14ac:dyDescent="0.45">
      <c r="A86" s="6"/>
      <c r="B86" s="6"/>
      <c r="C86" s="6"/>
      <c r="D86" s="10" t="str">
        <f>IFERROR(VLOOKUP(C86,'Incident Intake'!$E:$G,3,FALSE())&amp;" "&amp;VLOOKUP(C86,'Incident Intake'!$E:$F,2,FALSE()),"")</f>
        <v/>
      </c>
      <c r="E86" s="12"/>
      <c r="F86" s="6"/>
      <c r="G86" s="6"/>
      <c r="H86" s="6"/>
      <c r="I86" s="6"/>
      <c r="J86" s="6"/>
      <c r="K86" s="10" t="str">
        <f t="shared" si="1"/>
        <v/>
      </c>
      <c r="L86" s="41" t="str">
        <f>IFERROR(VLOOKUP(M86,Lists!$T:$U,2,FALSE()),"Select an offense in col M to load the phone script →")</f>
        <v>Select an offense in col M to load the phone script →</v>
      </c>
      <c r="M86" s="6"/>
      <c r="N86" s="6"/>
      <c r="O86" s="6"/>
      <c r="P86" s="6"/>
      <c r="Q86" s="6"/>
      <c r="R86" s="12"/>
      <c r="S86" s="6"/>
      <c r="T86" s="6"/>
      <c r="U86" s="6"/>
    </row>
    <row r="87" spans="1:21" ht="60" customHeight="1" x14ac:dyDescent="0.45">
      <c r="A87" s="4"/>
      <c r="B87" s="4"/>
      <c r="C87" s="4"/>
      <c r="D87" s="10" t="str">
        <f>IFERROR(VLOOKUP(C87,'Incident Intake'!$E:$G,3,FALSE())&amp;" "&amp;VLOOKUP(C87,'Incident Intake'!$E:$F,2,FALSE()),"")</f>
        <v/>
      </c>
      <c r="E87" s="8"/>
      <c r="F87" s="4"/>
      <c r="G87" s="4"/>
      <c r="H87" s="4"/>
      <c r="I87" s="4"/>
      <c r="J87" s="4"/>
      <c r="K87" s="10" t="str">
        <f t="shared" si="1"/>
        <v/>
      </c>
      <c r="L87" s="40" t="str">
        <f>IFERROR(VLOOKUP(M87,Lists!$T:$U,2,FALSE()),"Select an offense in col M to load the phone script →")</f>
        <v>Select an offense in col M to load the phone script →</v>
      </c>
      <c r="M87" s="4"/>
      <c r="N87" s="4"/>
      <c r="O87" s="4"/>
      <c r="P87" s="4"/>
      <c r="Q87" s="4"/>
      <c r="R87" s="8"/>
      <c r="S87" s="4"/>
      <c r="T87" s="4"/>
      <c r="U87" s="4"/>
    </row>
    <row r="88" spans="1:21" ht="60" customHeight="1" x14ac:dyDescent="0.45">
      <c r="A88" s="6"/>
      <c r="B88" s="6"/>
      <c r="C88" s="6"/>
      <c r="D88" s="10" t="str">
        <f>IFERROR(VLOOKUP(C88,'Incident Intake'!$E:$G,3,FALSE())&amp;" "&amp;VLOOKUP(C88,'Incident Intake'!$E:$F,2,FALSE()),"")</f>
        <v/>
      </c>
      <c r="E88" s="12"/>
      <c r="F88" s="6"/>
      <c r="G88" s="6"/>
      <c r="H88" s="6"/>
      <c r="I88" s="6"/>
      <c r="J88" s="6"/>
      <c r="K88" s="10" t="str">
        <f t="shared" si="1"/>
        <v/>
      </c>
      <c r="L88" s="41" t="str">
        <f>IFERROR(VLOOKUP(M88,Lists!$T:$U,2,FALSE()),"Select an offense in col M to load the phone script →")</f>
        <v>Select an offense in col M to load the phone script →</v>
      </c>
      <c r="M88" s="6"/>
      <c r="N88" s="6"/>
      <c r="O88" s="6"/>
      <c r="P88" s="6"/>
      <c r="Q88" s="6"/>
      <c r="R88" s="12"/>
      <c r="S88" s="6"/>
      <c r="T88" s="6"/>
      <c r="U88" s="6"/>
    </row>
    <row r="89" spans="1:21" ht="60" customHeight="1" x14ac:dyDescent="0.45">
      <c r="A89" s="4"/>
      <c r="B89" s="4"/>
      <c r="C89" s="4"/>
      <c r="D89" s="10" t="str">
        <f>IFERROR(VLOOKUP(C89,'Incident Intake'!$E:$G,3,FALSE())&amp;" "&amp;VLOOKUP(C89,'Incident Intake'!$E:$F,2,FALSE()),"")</f>
        <v/>
      </c>
      <c r="E89" s="8"/>
      <c r="F89" s="4"/>
      <c r="G89" s="4"/>
      <c r="H89" s="4"/>
      <c r="I89" s="4"/>
      <c r="J89" s="4"/>
      <c r="K89" s="10" t="str">
        <f t="shared" si="1"/>
        <v/>
      </c>
      <c r="L89" s="40" t="str">
        <f>IFERROR(VLOOKUP(M89,Lists!$T:$U,2,FALSE()),"Select an offense in col M to load the phone script →")</f>
        <v>Select an offense in col M to load the phone script →</v>
      </c>
      <c r="M89" s="4"/>
      <c r="N89" s="4"/>
      <c r="O89" s="4"/>
      <c r="P89" s="4"/>
      <c r="Q89" s="4"/>
      <c r="R89" s="8"/>
      <c r="S89" s="4"/>
      <c r="T89" s="4"/>
      <c r="U89" s="4"/>
    </row>
    <row r="90" spans="1:21" ht="60" customHeight="1" x14ac:dyDescent="0.45">
      <c r="A90" s="6"/>
      <c r="B90" s="6"/>
      <c r="C90" s="6"/>
      <c r="D90" s="10" t="str">
        <f>IFERROR(VLOOKUP(C90,'Incident Intake'!$E:$G,3,FALSE())&amp;" "&amp;VLOOKUP(C90,'Incident Intake'!$E:$F,2,FALSE()),"")</f>
        <v/>
      </c>
      <c r="E90" s="12"/>
      <c r="F90" s="6"/>
      <c r="G90" s="6"/>
      <c r="H90" s="6"/>
      <c r="I90" s="6"/>
      <c r="J90" s="6"/>
      <c r="K90" s="10" t="str">
        <f t="shared" si="1"/>
        <v/>
      </c>
      <c r="L90" s="41" t="str">
        <f>IFERROR(VLOOKUP(M90,Lists!$T:$U,2,FALSE()),"Select an offense in col M to load the phone script →")</f>
        <v>Select an offense in col M to load the phone script →</v>
      </c>
      <c r="M90" s="6"/>
      <c r="N90" s="6"/>
      <c r="O90" s="6"/>
      <c r="P90" s="6"/>
      <c r="Q90" s="6"/>
      <c r="R90" s="12"/>
      <c r="S90" s="6"/>
      <c r="T90" s="6"/>
      <c r="U90" s="6"/>
    </row>
    <row r="91" spans="1:21" ht="60" customHeight="1" x14ac:dyDescent="0.45">
      <c r="A91" s="4"/>
      <c r="B91" s="4"/>
      <c r="C91" s="4"/>
      <c r="D91" s="10" t="str">
        <f>IFERROR(VLOOKUP(C91,'Incident Intake'!$E:$G,3,FALSE())&amp;" "&amp;VLOOKUP(C91,'Incident Intake'!$E:$F,2,FALSE()),"")</f>
        <v/>
      </c>
      <c r="E91" s="8"/>
      <c r="F91" s="4"/>
      <c r="G91" s="4"/>
      <c r="H91" s="4"/>
      <c r="I91" s="4"/>
      <c r="J91" s="4"/>
      <c r="K91" s="10" t="str">
        <f t="shared" si="1"/>
        <v/>
      </c>
      <c r="L91" s="40" t="str">
        <f>IFERROR(VLOOKUP(M91,Lists!$T:$U,2,FALSE()),"Select an offense in col M to load the phone script →")</f>
        <v>Select an offense in col M to load the phone script →</v>
      </c>
      <c r="M91" s="4"/>
      <c r="N91" s="4"/>
      <c r="O91" s="4"/>
      <c r="P91" s="4"/>
      <c r="Q91" s="4"/>
      <c r="R91" s="8"/>
      <c r="S91" s="4"/>
      <c r="T91" s="4"/>
      <c r="U91" s="4"/>
    </row>
    <row r="92" spans="1:21" ht="60" customHeight="1" x14ac:dyDescent="0.45">
      <c r="A92" s="6"/>
      <c r="B92" s="6"/>
      <c r="C92" s="6"/>
      <c r="D92" s="10" t="str">
        <f>IFERROR(VLOOKUP(C92,'Incident Intake'!$E:$G,3,FALSE())&amp;" "&amp;VLOOKUP(C92,'Incident Intake'!$E:$F,2,FALSE()),"")</f>
        <v/>
      </c>
      <c r="E92" s="12"/>
      <c r="F92" s="6"/>
      <c r="G92" s="6"/>
      <c r="H92" s="6"/>
      <c r="I92" s="6"/>
      <c r="J92" s="6"/>
      <c r="K92" s="10" t="str">
        <f t="shared" si="1"/>
        <v/>
      </c>
      <c r="L92" s="41" t="str">
        <f>IFERROR(VLOOKUP(M92,Lists!$T:$U,2,FALSE()),"Select an offense in col M to load the phone script →")</f>
        <v>Select an offense in col M to load the phone script →</v>
      </c>
      <c r="M92" s="6"/>
      <c r="N92" s="6"/>
      <c r="O92" s="6"/>
      <c r="P92" s="6"/>
      <c r="Q92" s="6"/>
      <c r="R92" s="12"/>
      <c r="S92" s="6"/>
      <c r="T92" s="6"/>
      <c r="U92" s="6"/>
    </row>
    <row r="93" spans="1:21" ht="60" customHeight="1" x14ac:dyDescent="0.45">
      <c r="A93" s="4"/>
      <c r="B93" s="4"/>
      <c r="C93" s="4"/>
      <c r="D93" s="10" t="str">
        <f>IFERROR(VLOOKUP(C93,'Incident Intake'!$E:$G,3,FALSE())&amp;" "&amp;VLOOKUP(C93,'Incident Intake'!$E:$F,2,FALSE()),"")</f>
        <v/>
      </c>
      <c r="E93" s="8"/>
      <c r="F93" s="4"/>
      <c r="G93" s="4"/>
      <c r="H93" s="4"/>
      <c r="I93" s="4"/>
      <c r="J93" s="4"/>
      <c r="K93" s="10" t="str">
        <f t="shared" si="1"/>
        <v/>
      </c>
      <c r="L93" s="40" t="str">
        <f>IFERROR(VLOOKUP(M93,Lists!$T:$U,2,FALSE()),"Select an offense in col M to load the phone script →")</f>
        <v>Select an offense in col M to load the phone script →</v>
      </c>
      <c r="M93" s="4"/>
      <c r="N93" s="4"/>
      <c r="O93" s="4"/>
      <c r="P93" s="4"/>
      <c r="Q93" s="4"/>
      <c r="R93" s="8"/>
      <c r="S93" s="4"/>
      <c r="T93" s="4"/>
      <c r="U93" s="4"/>
    </row>
    <row r="94" spans="1:21" ht="60" customHeight="1" x14ac:dyDescent="0.45">
      <c r="A94" s="6"/>
      <c r="B94" s="6"/>
      <c r="C94" s="6"/>
      <c r="D94" s="10" t="str">
        <f>IFERROR(VLOOKUP(C94,'Incident Intake'!$E:$G,3,FALSE())&amp;" "&amp;VLOOKUP(C94,'Incident Intake'!$E:$F,2,FALSE()),"")</f>
        <v/>
      </c>
      <c r="E94" s="12"/>
      <c r="F94" s="6"/>
      <c r="G94" s="6"/>
      <c r="H94" s="6"/>
      <c r="I94" s="6"/>
      <c r="J94" s="6"/>
      <c r="K94" s="10" t="str">
        <f t="shared" si="1"/>
        <v/>
      </c>
      <c r="L94" s="41" t="str">
        <f>IFERROR(VLOOKUP(M94,Lists!$T:$U,2,FALSE()),"Select an offense in col M to load the phone script →")</f>
        <v>Select an offense in col M to load the phone script →</v>
      </c>
      <c r="M94" s="6"/>
      <c r="N94" s="6"/>
      <c r="O94" s="6"/>
      <c r="P94" s="6"/>
      <c r="Q94" s="6"/>
      <c r="R94" s="12"/>
      <c r="S94" s="6"/>
      <c r="T94" s="6"/>
      <c r="U94" s="6"/>
    </row>
    <row r="95" spans="1:21" ht="60" customHeight="1" x14ac:dyDescent="0.45">
      <c r="A95" s="4"/>
      <c r="B95" s="4"/>
      <c r="C95" s="4"/>
      <c r="D95" s="10" t="str">
        <f>IFERROR(VLOOKUP(C95,'Incident Intake'!$E:$G,3,FALSE())&amp;" "&amp;VLOOKUP(C95,'Incident Intake'!$E:$F,2,FALSE()),"")</f>
        <v/>
      </c>
      <c r="E95" s="8"/>
      <c r="F95" s="4"/>
      <c r="G95" s="4"/>
      <c r="H95" s="4"/>
      <c r="I95" s="4"/>
      <c r="J95" s="4"/>
      <c r="K95" s="10" t="str">
        <f t="shared" si="1"/>
        <v/>
      </c>
      <c r="L95" s="40" t="str">
        <f>IFERROR(VLOOKUP(M95,Lists!$T:$U,2,FALSE()),"Select an offense in col M to load the phone script →")</f>
        <v>Select an offense in col M to load the phone script →</v>
      </c>
      <c r="M95" s="4"/>
      <c r="N95" s="4"/>
      <c r="O95" s="4"/>
      <c r="P95" s="4"/>
      <c r="Q95" s="4"/>
      <c r="R95" s="8"/>
      <c r="S95" s="4"/>
      <c r="T95" s="4"/>
      <c r="U95" s="4"/>
    </row>
    <row r="96" spans="1:21" ht="60" customHeight="1" x14ac:dyDescent="0.45">
      <c r="A96" s="6"/>
      <c r="B96" s="6"/>
      <c r="C96" s="6"/>
      <c r="D96" s="10" t="str">
        <f>IFERROR(VLOOKUP(C96,'Incident Intake'!$E:$G,3,FALSE())&amp;" "&amp;VLOOKUP(C96,'Incident Intake'!$E:$F,2,FALSE()),"")</f>
        <v/>
      </c>
      <c r="E96" s="12"/>
      <c r="F96" s="6"/>
      <c r="G96" s="6"/>
      <c r="H96" s="6"/>
      <c r="I96" s="6"/>
      <c r="J96" s="6"/>
      <c r="K96" s="10" t="str">
        <f t="shared" si="1"/>
        <v/>
      </c>
      <c r="L96" s="41" t="str">
        <f>IFERROR(VLOOKUP(M96,Lists!$T:$U,2,FALSE()),"Select an offense in col M to load the phone script →")</f>
        <v>Select an offense in col M to load the phone script →</v>
      </c>
      <c r="M96" s="6"/>
      <c r="N96" s="6"/>
      <c r="O96" s="6"/>
      <c r="P96" s="6"/>
      <c r="Q96" s="6"/>
      <c r="R96" s="12"/>
      <c r="S96" s="6"/>
      <c r="T96" s="6"/>
      <c r="U96" s="6"/>
    </row>
    <row r="97" spans="1:21" ht="60" customHeight="1" x14ac:dyDescent="0.45">
      <c r="A97" s="4"/>
      <c r="B97" s="4"/>
      <c r="C97" s="4"/>
      <c r="D97" s="10" t="str">
        <f>IFERROR(VLOOKUP(C97,'Incident Intake'!$E:$G,3,FALSE())&amp;" "&amp;VLOOKUP(C97,'Incident Intake'!$E:$F,2,FALSE()),"")</f>
        <v/>
      </c>
      <c r="E97" s="8"/>
      <c r="F97" s="4"/>
      <c r="G97" s="4"/>
      <c r="H97" s="4"/>
      <c r="I97" s="4"/>
      <c r="J97" s="4"/>
      <c r="K97" s="10" t="str">
        <f t="shared" si="1"/>
        <v/>
      </c>
      <c r="L97" s="40" t="str">
        <f>IFERROR(VLOOKUP(M97,Lists!$T:$U,2,FALSE()),"Select an offense in col M to load the phone script →")</f>
        <v>Select an offense in col M to load the phone script →</v>
      </c>
      <c r="M97" s="4"/>
      <c r="N97" s="4"/>
      <c r="O97" s="4"/>
      <c r="P97" s="4"/>
      <c r="Q97" s="4"/>
      <c r="R97" s="8"/>
      <c r="S97" s="4"/>
      <c r="T97" s="4"/>
      <c r="U97" s="4"/>
    </row>
    <row r="98" spans="1:21" ht="60" customHeight="1" x14ac:dyDescent="0.45">
      <c r="A98" s="6"/>
      <c r="B98" s="6"/>
      <c r="C98" s="6"/>
      <c r="D98" s="10" t="str">
        <f>IFERROR(VLOOKUP(C98,'Incident Intake'!$E:$G,3,FALSE())&amp;" "&amp;VLOOKUP(C98,'Incident Intake'!$E:$F,2,FALSE()),"")</f>
        <v/>
      </c>
      <c r="E98" s="12"/>
      <c r="F98" s="6"/>
      <c r="G98" s="6"/>
      <c r="H98" s="6"/>
      <c r="I98" s="6"/>
      <c r="J98" s="6"/>
      <c r="K98" s="10" t="str">
        <f t="shared" si="1"/>
        <v/>
      </c>
      <c r="L98" s="41" t="str">
        <f>IFERROR(VLOOKUP(M98,Lists!$T:$U,2,FALSE()),"Select an offense in col M to load the phone script →")</f>
        <v>Select an offense in col M to load the phone script →</v>
      </c>
      <c r="M98" s="6"/>
      <c r="N98" s="6"/>
      <c r="O98" s="6"/>
      <c r="P98" s="6"/>
      <c r="Q98" s="6"/>
      <c r="R98" s="12"/>
      <c r="S98" s="6"/>
      <c r="T98" s="6"/>
      <c r="U98" s="6"/>
    </row>
    <row r="99" spans="1:21" ht="60" customHeight="1" x14ac:dyDescent="0.45">
      <c r="A99" s="4"/>
      <c r="B99" s="4"/>
      <c r="C99" s="4"/>
      <c r="D99" s="10" t="str">
        <f>IFERROR(VLOOKUP(C99,'Incident Intake'!$E:$G,3,FALSE())&amp;" "&amp;VLOOKUP(C99,'Incident Intake'!$E:$F,2,FALSE()),"")</f>
        <v/>
      </c>
      <c r="E99" s="8"/>
      <c r="F99" s="4"/>
      <c r="G99" s="4"/>
      <c r="H99" s="4"/>
      <c r="I99" s="4"/>
      <c r="J99" s="4"/>
      <c r="K99" s="10" t="str">
        <f t="shared" si="1"/>
        <v/>
      </c>
      <c r="L99" s="40" t="str">
        <f>IFERROR(VLOOKUP(M99,Lists!$T:$U,2,FALSE()),"Select an offense in col M to load the phone script →")</f>
        <v>Select an offense in col M to load the phone script →</v>
      </c>
      <c r="M99" s="4"/>
      <c r="N99" s="4"/>
      <c r="O99" s="4"/>
      <c r="P99" s="4"/>
      <c r="Q99" s="4"/>
      <c r="R99" s="8"/>
      <c r="S99" s="4"/>
      <c r="T99" s="4"/>
      <c r="U99" s="4"/>
    </row>
    <row r="100" spans="1:21" ht="60" customHeight="1" x14ac:dyDescent="0.45">
      <c r="A100" s="6"/>
      <c r="B100" s="6"/>
      <c r="C100" s="6"/>
      <c r="D100" s="10" t="str">
        <f>IFERROR(VLOOKUP(C100,'Incident Intake'!$E:$G,3,FALSE())&amp;" "&amp;VLOOKUP(C100,'Incident Intake'!$E:$F,2,FALSE()),"")</f>
        <v/>
      </c>
      <c r="E100" s="12"/>
      <c r="F100" s="6"/>
      <c r="G100" s="6"/>
      <c r="H100" s="6"/>
      <c r="I100" s="6"/>
      <c r="J100" s="6"/>
      <c r="K100" s="10" t="str">
        <f t="shared" si="1"/>
        <v/>
      </c>
      <c r="L100" s="41" t="str">
        <f>IFERROR(VLOOKUP(M100,Lists!$T:$U,2,FALSE()),"Select an offense in col M to load the phone script →")</f>
        <v>Select an offense in col M to load the phone script →</v>
      </c>
      <c r="M100" s="6"/>
      <c r="N100" s="6"/>
      <c r="O100" s="6"/>
      <c r="P100" s="6"/>
      <c r="Q100" s="6"/>
      <c r="R100" s="12"/>
      <c r="S100" s="6"/>
      <c r="T100" s="6"/>
      <c r="U100" s="6"/>
    </row>
    <row r="101" spans="1:21" ht="60" customHeight="1" x14ac:dyDescent="0.45">
      <c r="A101" s="4"/>
      <c r="B101" s="4"/>
      <c r="C101" s="4"/>
      <c r="D101" s="10" t="str">
        <f>IFERROR(VLOOKUP(C101,'Incident Intake'!$E:$G,3,FALSE())&amp;" "&amp;VLOOKUP(C101,'Incident Intake'!$E:$F,2,FALSE()),"")</f>
        <v/>
      </c>
      <c r="E101" s="8"/>
      <c r="F101" s="4"/>
      <c r="G101" s="4"/>
      <c r="H101" s="4"/>
      <c r="I101" s="4"/>
      <c r="J101" s="4"/>
      <c r="K101" s="10" t="str">
        <f t="shared" si="1"/>
        <v/>
      </c>
      <c r="L101" s="40" t="str">
        <f>IFERROR(VLOOKUP(M101,Lists!$T:$U,2,FALSE()),"Select an offense in col M to load the phone script →")</f>
        <v>Select an offense in col M to load the phone script →</v>
      </c>
      <c r="M101" s="4"/>
      <c r="N101" s="4"/>
      <c r="O101" s="4"/>
      <c r="P101" s="4"/>
      <c r="Q101" s="4"/>
      <c r="R101" s="8"/>
      <c r="S101" s="4"/>
      <c r="T101" s="4"/>
      <c r="U101" s="4"/>
    </row>
    <row r="102" spans="1:21" ht="60" customHeight="1" x14ac:dyDescent="0.45">
      <c r="A102" s="6"/>
      <c r="B102" s="6"/>
      <c r="C102" s="6"/>
      <c r="D102" s="10" t="str">
        <f>IFERROR(VLOOKUP(C102,'Incident Intake'!$E:$G,3,FALSE())&amp;" "&amp;VLOOKUP(C102,'Incident Intake'!$E:$F,2,FALSE()),"")</f>
        <v/>
      </c>
      <c r="E102" s="12"/>
      <c r="F102" s="6"/>
      <c r="G102" s="6"/>
      <c r="H102" s="6"/>
      <c r="I102" s="6"/>
      <c r="J102" s="6"/>
      <c r="K102" s="10" t="str">
        <f t="shared" si="1"/>
        <v/>
      </c>
      <c r="L102" s="41" t="str">
        <f>IFERROR(VLOOKUP(M102,Lists!$T:$U,2,FALSE()),"Select an offense in col M to load the phone script →")</f>
        <v>Select an offense in col M to load the phone script →</v>
      </c>
      <c r="M102" s="6"/>
      <c r="N102" s="6"/>
      <c r="O102" s="6"/>
      <c r="P102" s="6"/>
      <c r="Q102" s="6"/>
      <c r="R102" s="12"/>
      <c r="S102" s="6"/>
      <c r="T102" s="6"/>
      <c r="U102" s="6"/>
    </row>
    <row r="103" spans="1:21" ht="60" customHeight="1" x14ac:dyDescent="0.45">
      <c r="A103" s="4"/>
      <c r="B103" s="4"/>
      <c r="C103" s="4"/>
      <c r="D103" s="10" t="str">
        <f>IFERROR(VLOOKUP(C103,'Incident Intake'!$E:$G,3,FALSE())&amp;" "&amp;VLOOKUP(C103,'Incident Intake'!$E:$F,2,FALSE()),"")</f>
        <v/>
      </c>
      <c r="E103" s="8"/>
      <c r="F103" s="4"/>
      <c r="G103" s="4"/>
      <c r="H103" s="4"/>
      <c r="I103" s="4"/>
      <c r="J103" s="4"/>
      <c r="K103" s="10" t="str">
        <f t="shared" si="1"/>
        <v/>
      </c>
      <c r="L103" s="40" t="str">
        <f>IFERROR(VLOOKUP(M103,Lists!$T:$U,2,FALSE()),"Select an offense in col M to load the phone script →")</f>
        <v>Select an offense in col M to load the phone script →</v>
      </c>
      <c r="M103" s="4"/>
      <c r="N103" s="4"/>
      <c r="O103" s="4"/>
      <c r="P103" s="4"/>
      <c r="Q103" s="4"/>
      <c r="R103" s="8"/>
      <c r="S103" s="4"/>
      <c r="T103" s="4"/>
      <c r="U103" s="4"/>
    </row>
    <row r="104" spans="1:21" ht="60" customHeight="1" x14ac:dyDescent="0.45">
      <c r="A104" s="6"/>
      <c r="B104" s="6"/>
      <c r="C104" s="6"/>
      <c r="D104" s="10" t="str">
        <f>IFERROR(VLOOKUP(C104,'Incident Intake'!$E:$G,3,FALSE())&amp;" "&amp;VLOOKUP(C104,'Incident Intake'!$E:$F,2,FALSE()),"")</f>
        <v/>
      </c>
      <c r="E104" s="12"/>
      <c r="F104" s="6"/>
      <c r="G104" s="6"/>
      <c r="H104" s="6"/>
      <c r="I104" s="6"/>
      <c r="J104" s="6"/>
      <c r="K104" s="10" t="str">
        <f t="shared" si="1"/>
        <v/>
      </c>
      <c r="L104" s="41" t="str">
        <f>IFERROR(VLOOKUP(M104,Lists!$T:$U,2,FALSE()),"Select an offense in col M to load the phone script →")</f>
        <v>Select an offense in col M to load the phone script →</v>
      </c>
      <c r="M104" s="6"/>
      <c r="N104" s="6"/>
      <c r="O104" s="6"/>
      <c r="P104" s="6"/>
      <c r="Q104" s="6"/>
      <c r="R104" s="12"/>
      <c r="S104" s="6"/>
      <c r="T104" s="6"/>
      <c r="U104" s="6"/>
    </row>
    <row r="105" spans="1:21" ht="60" customHeight="1" x14ac:dyDescent="0.45">
      <c r="A105" s="4"/>
      <c r="B105" s="4"/>
      <c r="C105" s="4"/>
      <c r="D105" s="10" t="str">
        <f>IFERROR(VLOOKUP(C105,'Incident Intake'!$E:$G,3,FALSE())&amp;" "&amp;VLOOKUP(C105,'Incident Intake'!$E:$F,2,FALSE()),"")</f>
        <v/>
      </c>
      <c r="E105" s="8"/>
      <c r="F105" s="4"/>
      <c r="G105" s="4"/>
      <c r="H105" s="4"/>
      <c r="I105" s="4"/>
      <c r="J105" s="4"/>
      <c r="K105" s="10" t="str">
        <f t="shared" si="1"/>
        <v/>
      </c>
      <c r="L105" s="40" t="str">
        <f>IFERROR(VLOOKUP(M105,Lists!$T:$U,2,FALSE()),"Select an offense in col M to load the phone script →")</f>
        <v>Select an offense in col M to load the phone script →</v>
      </c>
      <c r="M105" s="4"/>
      <c r="N105" s="4"/>
      <c r="O105" s="4"/>
      <c r="P105" s="4"/>
      <c r="Q105" s="4"/>
      <c r="R105" s="8"/>
      <c r="S105" s="4"/>
      <c r="T105" s="4"/>
      <c r="U105" s="4"/>
    </row>
    <row r="106" spans="1:21" ht="60" customHeight="1" x14ac:dyDescent="0.45">
      <c r="A106" s="6"/>
      <c r="B106" s="6"/>
      <c r="C106" s="6"/>
      <c r="D106" s="10" t="str">
        <f>IFERROR(VLOOKUP(C106,'Incident Intake'!$E:$G,3,FALSE())&amp;" "&amp;VLOOKUP(C106,'Incident Intake'!$E:$F,2,FALSE()),"")</f>
        <v/>
      </c>
      <c r="E106" s="12"/>
      <c r="F106" s="6"/>
      <c r="G106" s="6"/>
      <c r="H106" s="6"/>
      <c r="I106" s="6"/>
      <c r="J106" s="6"/>
      <c r="K106" s="10" t="str">
        <f t="shared" si="1"/>
        <v/>
      </c>
      <c r="L106" s="41" t="str">
        <f>IFERROR(VLOOKUP(M106,Lists!$T:$U,2,FALSE()),"Select an offense in col M to load the phone script →")</f>
        <v>Select an offense in col M to load the phone script →</v>
      </c>
      <c r="M106" s="6"/>
      <c r="N106" s="6"/>
      <c r="O106" s="6"/>
      <c r="P106" s="6"/>
      <c r="Q106" s="6"/>
      <c r="R106" s="12"/>
      <c r="S106" s="6"/>
      <c r="T106" s="6"/>
      <c r="U106" s="6"/>
    </row>
    <row r="107" spans="1:21" ht="60" customHeight="1" x14ac:dyDescent="0.45">
      <c r="A107" s="4"/>
      <c r="B107" s="4"/>
      <c r="C107" s="4"/>
      <c r="D107" s="10" t="str">
        <f>IFERROR(VLOOKUP(C107,'Incident Intake'!$E:$G,3,FALSE())&amp;" "&amp;VLOOKUP(C107,'Incident Intake'!$E:$F,2,FALSE()),"")</f>
        <v/>
      </c>
      <c r="E107" s="8"/>
      <c r="F107" s="4"/>
      <c r="G107" s="4"/>
      <c r="H107" s="4"/>
      <c r="I107" s="4"/>
      <c r="J107" s="4"/>
      <c r="K107" s="10" t="str">
        <f t="shared" si="1"/>
        <v/>
      </c>
      <c r="L107" s="40" t="str">
        <f>IFERROR(VLOOKUP(M107,Lists!$T:$U,2,FALSE()),"Select an offense in col M to load the phone script →")</f>
        <v>Select an offense in col M to load the phone script →</v>
      </c>
      <c r="M107" s="4"/>
      <c r="N107" s="4"/>
      <c r="O107" s="4"/>
      <c r="P107" s="4"/>
      <c r="Q107" s="4"/>
      <c r="R107" s="8"/>
      <c r="S107" s="4"/>
      <c r="T107" s="4"/>
      <c r="U107" s="4"/>
    </row>
    <row r="108" spans="1:21" ht="60" customHeight="1" x14ac:dyDescent="0.45">
      <c r="A108" s="6"/>
      <c r="B108" s="6"/>
      <c r="C108" s="6"/>
      <c r="D108" s="10" t="str">
        <f>IFERROR(VLOOKUP(C108,'Incident Intake'!$E:$G,3,FALSE())&amp;" "&amp;VLOOKUP(C108,'Incident Intake'!$E:$F,2,FALSE()),"")</f>
        <v/>
      </c>
      <c r="E108" s="12"/>
      <c r="F108" s="6"/>
      <c r="G108" s="6"/>
      <c r="H108" s="6"/>
      <c r="I108" s="6"/>
      <c r="J108" s="6"/>
      <c r="K108" s="10" t="str">
        <f t="shared" si="1"/>
        <v/>
      </c>
      <c r="L108" s="41" t="str">
        <f>IFERROR(VLOOKUP(M108,Lists!$T:$U,2,FALSE()),"Select an offense in col M to load the phone script →")</f>
        <v>Select an offense in col M to load the phone script →</v>
      </c>
      <c r="M108" s="6"/>
      <c r="N108" s="6"/>
      <c r="O108" s="6"/>
      <c r="P108" s="6"/>
      <c r="Q108" s="6"/>
      <c r="R108" s="12"/>
      <c r="S108" s="6"/>
      <c r="T108" s="6"/>
      <c r="U108" s="6"/>
    </row>
    <row r="109" spans="1:21" ht="60" customHeight="1" x14ac:dyDescent="0.45">
      <c r="A109" s="4"/>
      <c r="B109" s="4"/>
      <c r="C109" s="4"/>
      <c r="D109" s="10" t="str">
        <f>IFERROR(VLOOKUP(C109,'Incident Intake'!$E:$G,3,FALSE())&amp;" "&amp;VLOOKUP(C109,'Incident Intake'!$E:$F,2,FALSE()),"")</f>
        <v/>
      </c>
      <c r="E109" s="8"/>
      <c r="F109" s="4"/>
      <c r="G109" s="4"/>
      <c r="H109" s="4"/>
      <c r="I109" s="4"/>
      <c r="J109" s="4"/>
      <c r="K109" s="10" t="str">
        <f t="shared" si="1"/>
        <v/>
      </c>
      <c r="L109" s="40" t="str">
        <f>IFERROR(VLOOKUP(M109,Lists!$T:$U,2,FALSE()),"Select an offense in col M to load the phone script →")</f>
        <v>Select an offense in col M to load the phone script →</v>
      </c>
      <c r="M109" s="4"/>
      <c r="N109" s="4"/>
      <c r="O109" s="4"/>
      <c r="P109" s="4"/>
      <c r="Q109" s="4"/>
      <c r="R109" s="8"/>
      <c r="S109" s="4"/>
      <c r="T109" s="4"/>
      <c r="U109" s="4"/>
    </row>
    <row r="110" spans="1:21" ht="60" customHeight="1" x14ac:dyDescent="0.45">
      <c r="A110" s="6"/>
      <c r="B110" s="6"/>
      <c r="C110" s="6"/>
      <c r="D110" s="10" t="str">
        <f>IFERROR(VLOOKUP(C110,'Incident Intake'!$E:$G,3,FALSE())&amp;" "&amp;VLOOKUP(C110,'Incident Intake'!$E:$F,2,FALSE()),"")</f>
        <v/>
      </c>
      <c r="E110" s="12"/>
      <c r="F110" s="6"/>
      <c r="G110" s="6"/>
      <c r="H110" s="6"/>
      <c r="I110" s="6"/>
      <c r="J110" s="6"/>
      <c r="K110" s="10" t="str">
        <f t="shared" si="1"/>
        <v/>
      </c>
      <c r="L110" s="41" t="str">
        <f>IFERROR(VLOOKUP(M110,Lists!$T:$U,2,FALSE()),"Select an offense in col M to load the phone script →")</f>
        <v>Select an offense in col M to load the phone script →</v>
      </c>
      <c r="M110" s="6"/>
      <c r="N110" s="6"/>
      <c r="O110" s="6"/>
      <c r="P110" s="6"/>
      <c r="Q110" s="6"/>
      <c r="R110" s="12"/>
      <c r="S110" s="6"/>
      <c r="T110" s="6"/>
      <c r="U110" s="6"/>
    </row>
    <row r="111" spans="1:21" ht="60" customHeight="1" x14ac:dyDescent="0.45">
      <c r="A111" s="4"/>
      <c r="B111" s="4"/>
      <c r="C111" s="4"/>
      <c r="D111" s="10" t="str">
        <f>IFERROR(VLOOKUP(C111,'Incident Intake'!$E:$G,3,FALSE())&amp;" "&amp;VLOOKUP(C111,'Incident Intake'!$E:$F,2,FALSE()),"")</f>
        <v/>
      </c>
      <c r="E111" s="8"/>
      <c r="F111" s="4"/>
      <c r="G111" s="4"/>
      <c r="H111" s="4"/>
      <c r="I111" s="4"/>
      <c r="J111" s="4"/>
      <c r="K111" s="10" t="str">
        <f t="shared" si="1"/>
        <v/>
      </c>
      <c r="L111" s="40" t="str">
        <f>IFERROR(VLOOKUP(M111,Lists!$T:$U,2,FALSE()),"Select an offense in col M to load the phone script →")</f>
        <v>Select an offense in col M to load the phone script →</v>
      </c>
      <c r="M111" s="4"/>
      <c r="N111" s="4"/>
      <c r="O111" s="4"/>
      <c r="P111" s="4"/>
      <c r="Q111" s="4"/>
      <c r="R111" s="8"/>
      <c r="S111" s="4"/>
      <c r="T111" s="4"/>
      <c r="U111" s="4"/>
    </row>
    <row r="112" spans="1:21" ht="60" customHeight="1" x14ac:dyDescent="0.45">
      <c r="A112" s="6"/>
      <c r="B112" s="6"/>
      <c r="C112" s="6"/>
      <c r="D112" s="10" t="str">
        <f>IFERROR(VLOOKUP(C112,'Incident Intake'!$E:$G,3,FALSE())&amp;" "&amp;VLOOKUP(C112,'Incident Intake'!$E:$F,2,FALSE()),"")</f>
        <v/>
      </c>
      <c r="E112" s="12"/>
      <c r="F112" s="6"/>
      <c r="G112" s="6"/>
      <c r="H112" s="6"/>
      <c r="I112" s="6"/>
      <c r="J112" s="6"/>
      <c r="K112" s="10" t="str">
        <f t="shared" si="1"/>
        <v/>
      </c>
      <c r="L112" s="41" t="str">
        <f>IFERROR(VLOOKUP(M112,Lists!$T:$U,2,FALSE()),"Select an offense in col M to load the phone script →")</f>
        <v>Select an offense in col M to load the phone script →</v>
      </c>
      <c r="M112" s="6"/>
      <c r="N112" s="6"/>
      <c r="O112" s="6"/>
      <c r="P112" s="6"/>
      <c r="Q112" s="6"/>
      <c r="R112" s="12"/>
      <c r="S112" s="6"/>
      <c r="T112" s="6"/>
      <c r="U112" s="6"/>
    </row>
    <row r="113" spans="1:21" ht="60" customHeight="1" x14ac:dyDescent="0.45">
      <c r="A113" s="4"/>
      <c r="B113" s="4"/>
      <c r="C113" s="4"/>
      <c r="D113" s="10" t="str">
        <f>IFERROR(VLOOKUP(C113,'Incident Intake'!$E:$G,3,FALSE())&amp;" "&amp;VLOOKUP(C113,'Incident Intake'!$E:$F,2,FALSE()),"")</f>
        <v/>
      </c>
      <c r="E113" s="8"/>
      <c r="F113" s="4"/>
      <c r="G113" s="4"/>
      <c r="H113" s="4"/>
      <c r="I113" s="4"/>
      <c r="J113" s="4"/>
      <c r="K113" s="10" t="str">
        <f t="shared" si="1"/>
        <v/>
      </c>
      <c r="L113" s="40" t="str">
        <f>IFERROR(VLOOKUP(M113,Lists!$T:$U,2,FALSE()),"Select an offense in col M to load the phone script →")</f>
        <v>Select an offense in col M to load the phone script →</v>
      </c>
      <c r="M113" s="4"/>
      <c r="N113" s="4"/>
      <c r="O113" s="4"/>
      <c r="P113" s="4"/>
      <c r="Q113" s="4"/>
      <c r="R113" s="8"/>
      <c r="S113" s="4"/>
      <c r="T113" s="4"/>
      <c r="U113" s="4"/>
    </row>
    <row r="114" spans="1:21" ht="60" customHeight="1" x14ac:dyDescent="0.45">
      <c r="A114" s="6"/>
      <c r="B114" s="6"/>
      <c r="C114" s="6"/>
      <c r="D114" s="10" t="str">
        <f>IFERROR(VLOOKUP(C114,'Incident Intake'!$E:$G,3,FALSE())&amp;" "&amp;VLOOKUP(C114,'Incident Intake'!$E:$F,2,FALSE()),"")</f>
        <v/>
      </c>
      <c r="E114" s="12"/>
      <c r="F114" s="6"/>
      <c r="G114" s="6"/>
      <c r="H114" s="6"/>
      <c r="I114" s="6"/>
      <c r="J114" s="6"/>
      <c r="K114" s="10" t="str">
        <f t="shared" si="1"/>
        <v/>
      </c>
      <c r="L114" s="41" t="str">
        <f>IFERROR(VLOOKUP(M114,Lists!$T:$U,2,FALSE()),"Select an offense in col M to load the phone script →")</f>
        <v>Select an offense in col M to load the phone script →</v>
      </c>
      <c r="M114" s="6"/>
      <c r="N114" s="6"/>
      <c r="O114" s="6"/>
      <c r="P114" s="6"/>
      <c r="Q114" s="6"/>
      <c r="R114" s="12"/>
      <c r="S114" s="6"/>
      <c r="T114" s="6"/>
      <c r="U114" s="6"/>
    </row>
    <row r="115" spans="1:21" ht="60" customHeight="1" x14ac:dyDescent="0.45">
      <c r="A115" s="4"/>
      <c r="B115" s="4"/>
      <c r="C115" s="4"/>
      <c r="D115" s="10" t="str">
        <f>IFERROR(VLOOKUP(C115,'Incident Intake'!$E:$G,3,FALSE())&amp;" "&amp;VLOOKUP(C115,'Incident Intake'!$E:$F,2,FALSE()),"")</f>
        <v/>
      </c>
      <c r="E115" s="8"/>
      <c r="F115" s="4"/>
      <c r="G115" s="4"/>
      <c r="H115" s="4"/>
      <c r="I115" s="4"/>
      <c r="J115" s="4"/>
      <c r="K115" s="10" t="str">
        <f t="shared" si="1"/>
        <v/>
      </c>
      <c r="L115" s="40" t="str">
        <f>IFERROR(VLOOKUP(M115,Lists!$T:$U,2,FALSE()),"Select an offense in col M to load the phone script →")</f>
        <v>Select an offense in col M to load the phone script →</v>
      </c>
      <c r="M115" s="4"/>
      <c r="N115" s="4"/>
      <c r="O115" s="4"/>
      <c r="P115" s="4"/>
      <c r="Q115" s="4"/>
      <c r="R115" s="8"/>
      <c r="S115" s="4"/>
      <c r="T115" s="4"/>
      <c r="U115" s="4"/>
    </row>
    <row r="116" spans="1:21" ht="60" customHeight="1" x14ac:dyDescent="0.45">
      <c r="A116" s="6"/>
      <c r="B116" s="6"/>
      <c r="C116" s="6"/>
      <c r="D116" s="10" t="str">
        <f>IFERROR(VLOOKUP(C116,'Incident Intake'!$E:$G,3,FALSE())&amp;" "&amp;VLOOKUP(C116,'Incident Intake'!$E:$F,2,FALSE()),"")</f>
        <v/>
      </c>
      <c r="E116" s="12"/>
      <c r="F116" s="6"/>
      <c r="G116" s="6"/>
      <c r="H116" s="6"/>
      <c r="I116" s="6"/>
      <c r="J116" s="6"/>
      <c r="K116" s="10" t="str">
        <f t="shared" si="1"/>
        <v/>
      </c>
      <c r="L116" s="41" t="str">
        <f>IFERROR(VLOOKUP(M116,Lists!$T:$U,2,FALSE()),"Select an offense in col M to load the phone script →")</f>
        <v>Select an offense in col M to load the phone script →</v>
      </c>
      <c r="M116" s="6"/>
      <c r="N116" s="6"/>
      <c r="O116" s="6"/>
      <c r="P116" s="6"/>
      <c r="Q116" s="6"/>
      <c r="R116" s="12"/>
      <c r="S116" s="6"/>
      <c r="T116" s="6"/>
      <c r="U116" s="6"/>
    </row>
    <row r="117" spans="1:21" ht="60" customHeight="1" x14ac:dyDescent="0.45">
      <c r="A117" s="4"/>
      <c r="B117" s="4"/>
      <c r="C117" s="4"/>
      <c r="D117" s="10" t="str">
        <f>IFERROR(VLOOKUP(C117,'Incident Intake'!$E:$G,3,FALSE())&amp;" "&amp;VLOOKUP(C117,'Incident Intake'!$E:$F,2,FALSE()),"")</f>
        <v/>
      </c>
      <c r="E117" s="8"/>
      <c r="F117" s="4"/>
      <c r="G117" s="4"/>
      <c r="H117" s="4"/>
      <c r="I117" s="4"/>
      <c r="J117" s="4"/>
      <c r="K117" s="10" t="str">
        <f t="shared" si="1"/>
        <v/>
      </c>
      <c r="L117" s="40" t="str">
        <f>IFERROR(VLOOKUP(M117,Lists!$T:$U,2,FALSE()),"Select an offense in col M to load the phone script →")</f>
        <v>Select an offense in col M to load the phone script →</v>
      </c>
      <c r="M117" s="4"/>
      <c r="N117" s="4"/>
      <c r="O117" s="4"/>
      <c r="P117" s="4"/>
      <c r="Q117" s="4"/>
      <c r="R117" s="8"/>
      <c r="S117" s="4"/>
      <c r="T117" s="4"/>
      <c r="U117" s="4"/>
    </row>
    <row r="118" spans="1:21" ht="60" customHeight="1" x14ac:dyDescent="0.45">
      <c r="A118" s="6"/>
      <c r="B118" s="6"/>
      <c r="C118" s="6"/>
      <c r="D118" s="10" t="str">
        <f>IFERROR(VLOOKUP(C118,'Incident Intake'!$E:$G,3,FALSE())&amp;" "&amp;VLOOKUP(C118,'Incident Intake'!$E:$F,2,FALSE()),"")</f>
        <v/>
      </c>
      <c r="E118" s="12"/>
      <c r="F118" s="6"/>
      <c r="G118" s="6"/>
      <c r="H118" s="6"/>
      <c r="I118" s="6"/>
      <c r="J118" s="6"/>
      <c r="K118" s="10" t="str">
        <f t="shared" si="1"/>
        <v/>
      </c>
      <c r="L118" s="41" t="str">
        <f>IFERROR(VLOOKUP(M118,Lists!$T:$U,2,FALSE()),"Select an offense in col M to load the phone script →")</f>
        <v>Select an offense in col M to load the phone script →</v>
      </c>
      <c r="M118" s="6"/>
      <c r="N118" s="6"/>
      <c r="O118" s="6"/>
      <c r="P118" s="6"/>
      <c r="Q118" s="6"/>
      <c r="R118" s="12"/>
      <c r="S118" s="6"/>
      <c r="T118" s="6"/>
      <c r="U118" s="6"/>
    </row>
    <row r="119" spans="1:21" ht="60" customHeight="1" x14ac:dyDescent="0.45">
      <c r="A119" s="4"/>
      <c r="B119" s="4"/>
      <c r="C119" s="4"/>
      <c r="D119" s="10" t="str">
        <f>IFERROR(VLOOKUP(C119,'Incident Intake'!$E:$G,3,FALSE())&amp;" "&amp;VLOOKUP(C119,'Incident Intake'!$E:$F,2,FALSE()),"")</f>
        <v/>
      </c>
      <c r="E119" s="8"/>
      <c r="F119" s="4"/>
      <c r="G119" s="4"/>
      <c r="H119" s="4"/>
      <c r="I119" s="4"/>
      <c r="J119" s="4"/>
      <c r="K119" s="10" t="str">
        <f t="shared" si="1"/>
        <v/>
      </c>
      <c r="L119" s="40" t="str">
        <f>IFERROR(VLOOKUP(M119,Lists!$T:$U,2,FALSE()),"Select an offense in col M to load the phone script →")</f>
        <v>Select an offense in col M to load the phone script →</v>
      </c>
      <c r="M119" s="4"/>
      <c r="N119" s="4"/>
      <c r="O119" s="4"/>
      <c r="P119" s="4"/>
      <c r="Q119" s="4"/>
      <c r="R119" s="8"/>
      <c r="S119" s="4"/>
      <c r="T119" s="4"/>
      <c r="U119" s="4"/>
    </row>
    <row r="120" spans="1:21" ht="60" customHeight="1" x14ac:dyDescent="0.45">
      <c r="A120" s="6"/>
      <c r="B120" s="6"/>
      <c r="C120" s="6"/>
      <c r="D120" s="10" t="str">
        <f>IFERROR(VLOOKUP(C120,'Incident Intake'!$E:$G,3,FALSE())&amp;" "&amp;VLOOKUP(C120,'Incident Intake'!$E:$F,2,FALSE()),"")</f>
        <v/>
      </c>
      <c r="E120" s="12"/>
      <c r="F120" s="6"/>
      <c r="G120" s="6"/>
      <c r="H120" s="6"/>
      <c r="I120" s="6"/>
      <c r="J120" s="6"/>
      <c r="K120" s="10" t="str">
        <f t="shared" si="1"/>
        <v/>
      </c>
      <c r="L120" s="41" t="str">
        <f>IFERROR(VLOOKUP(M120,Lists!$T:$U,2,FALSE()),"Select an offense in col M to load the phone script →")</f>
        <v>Select an offense in col M to load the phone script →</v>
      </c>
      <c r="M120" s="6"/>
      <c r="N120" s="6"/>
      <c r="O120" s="6"/>
      <c r="P120" s="6"/>
      <c r="Q120" s="6"/>
      <c r="R120" s="12"/>
      <c r="S120" s="6"/>
      <c r="T120" s="6"/>
      <c r="U120" s="6"/>
    </row>
    <row r="121" spans="1:21" ht="60" customHeight="1" x14ac:dyDescent="0.45">
      <c r="A121" s="4"/>
      <c r="B121" s="4"/>
      <c r="C121" s="4"/>
      <c r="D121" s="10" t="str">
        <f>IFERROR(VLOOKUP(C121,'Incident Intake'!$E:$G,3,FALSE())&amp;" "&amp;VLOOKUP(C121,'Incident Intake'!$E:$F,2,FALSE()),"")</f>
        <v/>
      </c>
      <c r="E121" s="8"/>
      <c r="F121" s="4"/>
      <c r="G121" s="4"/>
      <c r="H121" s="4"/>
      <c r="I121" s="4"/>
      <c r="J121" s="4"/>
      <c r="K121" s="10" t="str">
        <f t="shared" si="1"/>
        <v/>
      </c>
      <c r="L121" s="40" t="str">
        <f>IFERROR(VLOOKUP(M121,Lists!$T:$U,2,FALSE()),"Select an offense in col M to load the phone script →")</f>
        <v>Select an offense in col M to load the phone script →</v>
      </c>
      <c r="M121" s="4"/>
      <c r="N121" s="4"/>
      <c r="O121" s="4"/>
      <c r="P121" s="4"/>
      <c r="Q121" s="4"/>
      <c r="R121" s="8"/>
      <c r="S121" s="4"/>
      <c r="T121" s="4"/>
      <c r="U121" s="4"/>
    </row>
    <row r="122" spans="1:21" ht="60" customHeight="1" x14ac:dyDescent="0.45">
      <c r="A122" s="6"/>
      <c r="B122" s="6"/>
      <c r="C122" s="6"/>
      <c r="D122" s="10" t="str">
        <f>IFERROR(VLOOKUP(C122,'Incident Intake'!$E:$G,3,FALSE())&amp;" "&amp;VLOOKUP(C122,'Incident Intake'!$E:$F,2,FALSE()),"")</f>
        <v/>
      </c>
      <c r="E122" s="12"/>
      <c r="F122" s="6"/>
      <c r="G122" s="6"/>
      <c r="H122" s="6"/>
      <c r="I122" s="6"/>
      <c r="J122" s="6"/>
      <c r="K122" s="10" t="str">
        <f t="shared" si="1"/>
        <v/>
      </c>
      <c r="L122" s="41" t="str">
        <f>IFERROR(VLOOKUP(M122,Lists!$T:$U,2,FALSE()),"Select an offense in col M to load the phone script →")</f>
        <v>Select an offense in col M to load the phone script →</v>
      </c>
      <c r="M122" s="6"/>
      <c r="N122" s="6"/>
      <c r="O122" s="6"/>
      <c r="P122" s="6"/>
      <c r="Q122" s="6"/>
      <c r="R122" s="12"/>
      <c r="S122" s="6"/>
      <c r="T122" s="6"/>
      <c r="U122" s="6"/>
    </row>
    <row r="123" spans="1:21" ht="60" customHeight="1" x14ac:dyDescent="0.45">
      <c r="A123" s="4"/>
      <c r="B123" s="4"/>
      <c r="C123" s="4"/>
      <c r="D123" s="10" t="str">
        <f>IFERROR(VLOOKUP(C123,'Incident Intake'!$E:$G,3,FALSE())&amp;" "&amp;VLOOKUP(C123,'Incident Intake'!$E:$F,2,FALSE()),"")</f>
        <v/>
      </c>
      <c r="E123" s="8"/>
      <c r="F123" s="4"/>
      <c r="G123" s="4"/>
      <c r="H123" s="4"/>
      <c r="I123" s="4"/>
      <c r="J123" s="4"/>
      <c r="K123" s="10" t="str">
        <f t="shared" si="1"/>
        <v/>
      </c>
      <c r="L123" s="40" t="str">
        <f>IFERROR(VLOOKUP(M123,Lists!$T:$U,2,FALSE()),"Select an offense in col M to load the phone script →")</f>
        <v>Select an offense in col M to load the phone script →</v>
      </c>
      <c r="M123" s="4"/>
      <c r="N123" s="4"/>
      <c r="O123" s="4"/>
      <c r="P123" s="4"/>
      <c r="Q123" s="4"/>
      <c r="R123" s="8"/>
      <c r="S123" s="4"/>
      <c r="T123" s="4"/>
      <c r="U123" s="4"/>
    </row>
    <row r="124" spans="1:21" ht="60" customHeight="1" x14ac:dyDescent="0.45">
      <c r="A124" s="6"/>
      <c r="B124" s="6"/>
      <c r="C124" s="6"/>
      <c r="D124" s="10" t="str">
        <f>IFERROR(VLOOKUP(C124,'Incident Intake'!$E:$G,3,FALSE())&amp;" "&amp;VLOOKUP(C124,'Incident Intake'!$E:$F,2,FALSE()),"")</f>
        <v/>
      </c>
      <c r="E124" s="12"/>
      <c r="F124" s="6"/>
      <c r="G124" s="6"/>
      <c r="H124" s="6"/>
      <c r="I124" s="6"/>
      <c r="J124" s="6"/>
      <c r="K124" s="10" t="str">
        <f t="shared" si="1"/>
        <v/>
      </c>
      <c r="L124" s="41" t="str">
        <f>IFERROR(VLOOKUP(M124,Lists!$T:$U,2,FALSE()),"Select an offense in col M to load the phone script →")</f>
        <v>Select an offense in col M to load the phone script →</v>
      </c>
      <c r="M124" s="6"/>
      <c r="N124" s="6"/>
      <c r="O124" s="6"/>
      <c r="P124" s="6"/>
      <c r="Q124" s="6"/>
      <c r="R124" s="12"/>
      <c r="S124" s="6"/>
      <c r="T124" s="6"/>
      <c r="U124" s="6"/>
    </row>
    <row r="125" spans="1:21" ht="60" customHeight="1" x14ac:dyDescent="0.45">
      <c r="A125" s="4"/>
      <c r="B125" s="4"/>
      <c r="C125" s="4"/>
      <c r="D125" s="10" t="str">
        <f>IFERROR(VLOOKUP(C125,'Incident Intake'!$E:$G,3,FALSE())&amp;" "&amp;VLOOKUP(C125,'Incident Intake'!$E:$F,2,FALSE()),"")</f>
        <v/>
      </c>
      <c r="E125" s="8"/>
      <c r="F125" s="4"/>
      <c r="G125" s="4"/>
      <c r="H125" s="4"/>
      <c r="I125" s="4"/>
      <c r="J125" s="4"/>
      <c r="K125" s="10" t="str">
        <f t="shared" si="1"/>
        <v/>
      </c>
      <c r="L125" s="40" t="str">
        <f>IFERROR(VLOOKUP(M125,Lists!$T:$U,2,FALSE()),"Select an offense in col M to load the phone script →")</f>
        <v>Select an offense in col M to load the phone script →</v>
      </c>
      <c r="M125" s="4"/>
      <c r="N125" s="4"/>
      <c r="O125" s="4"/>
      <c r="P125" s="4"/>
      <c r="Q125" s="4"/>
      <c r="R125" s="8"/>
      <c r="S125" s="4"/>
      <c r="T125" s="4"/>
      <c r="U125" s="4"/>
    </row>
    <row r="126" spans="1:21" ht="60" customHeight="1" x14ac:dyDescent="0.45">
      <c r="A126" s="6"/>
      <c r="B126" s="6"/>
      <c r="C126" s="6"/>
      <c r="D126" s="10" t="str">
        <f>IFERROR(VLOOKUP(C126,'Incident Intake'!$E:$G,3,FALSE())&amp;" "&amp;VLOOKUP(C126,'Incident Intake'!$E:$F,2,FALSE()),"")</f>
        <v/>
      </c>
      <c r="E126" s="12"/>
      <c r="F126" s="6"/>
      <c r="G126" s="6"/>
      <c r="H126" s="6"/>
      <c r="I126" s="6"/>
      <c r="J126" s="6"/>
      <c r="K126" s="10" t="str">
        <f t="shared" si="1"/>
        <v/>
      </c>
      <c r="L126" s="41" t="str">
        <f>IFERROR(VLOOKUP(M126,Lists!$T:$U,2,FALSE()),"Select an offense in col M to load the phone script →")</f>
        <v>Select an offense in col M to load the phone script →</v>
      </c>
      <c r="M126" s="6"/>
      <c r="N126" s="6"/>
      <c r="O126" s="6"/>
      <c r="P126" s="6"/>
      <c r="Q126" s="6"/>
      <c r="R126" s="12"/>
      <c r="S126" s="6"/>
      <c r="T126" s="6"/>
      <c r="U126" s="6"/>
    </row>
    <row r="127" spans="1:21" ht="60" customHeight="1" x14ac:dyDescent="0.45">
      <c r="A127" s="4"/>
      <c r="B127" s="4"/>
      <c r="C127" s="4"/>
      <c r="D127" s="10" t="str">
        <f>IFERROR(VLOOKUP(C127,'Incident Intake'!$E:$G,3,FALSE())&amp;" "&amp;VLOOKUP(C127,'Incident Intake'!$E:$F,2,FALSE()),"")</f>
        <v/>
      </c>
      <c r="E127" s="8"/>
      <c r="F127" s="4"/>
      <c r="G127" s="4"/>
      <c r="H127" s="4"/>
      <c r="I127" s="4"/>
      <c r="J127" s="4"/>
      <c r="K127" s="10" t="str">
        <f t="shared" si="1"/>
        <v/>
      </c>
      <c r="L127" s="40" t="str">
        <f>IFERROR(VLOOKUP(M127,Lists!$T:$U,2,FALSE()),"Select an offense in col M to load the phone script →")</f>
        <v>Select an offense in col M to load the phone script →</v>
      </c>
      <c r="M127" s="4"/>
      <c r="N127" s="4"/>
      <c r="O127" s="4"/>
      <c r="P127" s="4"/>
      <c r="Q127" s="4"/>
      <c r="R127" s="8"/>
      <c r="S127" s="4"/>
      <c r="T127" s="4"/>
      <c r="U127" s="4"/>
    </row>
    <row r="128" spans="1:21" ht="60" customHeight="1" x14ac:dyDescent="0.45">
      <c r="A128" s="6"/>
      <c r="B128" s="6"/>
      <c r="C128" s="6"/>
      <c r="D128" s="10" t="str">
        <f>IFERROR(VLOOKUP(C128,'Incident Intake'!$E:$G,3,FALSE())&amp;" "&amp;VLOOKUP(C128,'Incident Intake'!$E:$F,2,FALSE()),"")</f>
        <v/>
      </c>
      <c r="E128" s="12"/>
      <c r="F128" s="6"/>
      <c r="G128" s="6"/>
      <c r="H128" s="6"/>
      <c r="I128" s="6"/>
      <c r="J128" s="6"/>
      <c r="K128" s="10" t="str">
        <f t="shared" si="1"/>
        <v/>
      </c>
      <c r="L128" s="41" t="str">
        <f>IFERROR(VLOOKUP(M128,Lists!$T:$U,2,FALSE()),"Select an offense in col M to load the phone script →")</f>
        <v>Select an offense in col M to load the phone script →</v>
      </c>
      <c r="M128" s="6"/>
      <c r="N128" s="6"/>
      <c r="O128" s="6"/>
      <c r="P128" s="6"/>
      <c r="Q128" s="6"/>
      <c r="R128" s="12"/>
      <c r="S128" s="6"/>
      <c r="T128" s="6"/>
      <c r="U128" s="6"/>
    </row>
    <row r="129" spans="1:21" ht="60" customHeight="1" x14ac:dyDescent="0.45">
      <c r="A129" s="4"/>
      <c r="B129" s="4"/>
      <c r="C129" s="4"/>
      <c r="D129" s="10" t="str">
        <f>IFERROR(VLOOKUP(C129,'Incident Intake'!$E:$G,3,FALSE())&amp;" "&amp;VLOOKUP(C129,'Incident Intake'!$E:$F,2,FALSE()),"")</f>
        <v/>
      </c>
      <c r="E129" s="8"/>
      <c r="F129" s="4"/>
      <c r="G129" s="4"/>
      <c r="H129" s="4"/>
      <c r="I129" s="4"/>
      <c r="J129" s="4"/>
      <c r="K129" s="10" t="str">
        <f t="shared" si="1"/>
        <v/>
      </c>
      <c r="L129" s="40" t="str">
        <f>IFERROR(VLOOKUP(M129,Lists!$T:$U,2,FALSE()),"Select an offense in col M to load the phone script →")</f>
        <v>Select an offense in col M to load the phone script →</v>
      </c>
      <c r="M129" s="4"/>
      <c r="N129" s="4"/>
      <c r="O129" s="4"/>
      <c r="P129" s="4"/>
      <c r="Q129" s="4"/>
      <c r="R129" s="8"/>
      <c r="S129" s="4"/>
      <c r="T129" s="4"/>
      <c r="U129" s="4"/>
    </row>
    <row r="130" spans="1:21" ht="60" customHeight="1" x14ac:dyDescent="0.45">
      <c r="A130" s="6"/>
      <c r="B130" s="6"/>
      <c r="C130" s="6"/>
      <c r="D130" s="10" t="str">
        <f>IFERROR(VLOOKUP(C130,'Incident Intake'!$E:$G,3,FALSE())&amp;" "&amp;VLOOKUP(C130,'Incident Intake'!$E:$F,2,FALSE()),"")</f>
        <v/>
      </c>
      <c r="E130" s="12"/>
      <c r="F130" s="6"/>
      <c r="G130" s="6"/>
      <c r="H130" s="6"/>
      <c r="I130" s="6"/>
      <c r="J130" s="6"/>
      <c r="K130" s="10" t="str">
        <f t="shared" si="1"/>
        <v/>
      </c>
      <c r="L130" s="41" t="str">
        <f>IFERROR(VLOOKUP(M130,Lists!$T:$U,2,FALSE()),"Select an offense in col M to load the phone script →")</f>
        <v>Select an offense in col M to load the phone script →</v>
      </c>
      <c r="M130" s="6"/>
      <c r="N130" s="6"/>
      <c r="O130" s="6"/>
      <c r="P130" s="6"/>
      <c r="Q130" s="6"/>
      <c r="R130" s="12"/>
      <c r="S130" s="6"/>
      <c r="T130" s="6"/>
      <c r="U130" s="6"/>
    </row>
    <row r="131" spans="1:21" ht="60" customHeight="1" x14ac:dyDescent="0.45">
      <c r="A131" s="4"/>
      <c r="B131" s="4"/>
      <c r="C131" s="4"/>
      <c r="D131" s="10" t="str">
        <f>IFERROR(VLOOKUP(C131,'Incident Intake'!$E:$G,3,FALSE())&amp;" "&amp;VLOOKUP(C131,'Incident Intake'!$E:$F,2,FALSE()),"")</f>
        <v/>
      </c>
      <c r="E131" s="8"/>
      <c r="F131" s="4"/>
      <c r="G131" s="4"/>
      <c r="H131" s="4"/>
      <c r="I131" s="4"/>
      <c r="J131" s="4"/>
      <c r="K131" s="10" t="str">
        <f t="shared" si="1"/>
        <v/>
      </c>
      <c r="L131" s="40" t="str">
        <f>IFERROR(VLOOKUP(M131,Lists!$T:$U,2,FALSE()),"Select an offense in col M to load the phone script →")</f>
        <v>Select an offense in col M to load the phone script →</v>
      </c>
      <c r="M131" s="4"/>
      <c r="N131" s="4"/>
      <c r="O131" s="4"/>
      <c r="P131" s="4"/>
      <c r="Q131" s="4"/>
      <c r="R131" s="8"/>
      <c r="S131" s="4"/>
      <c r="T131" s="4"/>
      <c r="U131" s="4"/>
    </row>
    <row r="132" spans="1:21" ht="60" customHeight="1" x14ac:dyDescent="0.45">
      <c r="A132" s="6"/>
      <c r="B132" s="6"/>
      <c r="C132" s="6"/>
      <c r="D132" s="10" t="str">
        <f>IFERROR(VLOOKUP(C132,'Incident Intake'!$E:$G,3,FALSE())&amp;" "&amp;VLOOKUP(C132,'Incident Intake'!$E:$F,2,FALSE()),"")</f>
        <v/>
      </c>
      <c r="E132" s="12"/>
      <c r="F132" s="6"/>
      <c r="G132" s="6"/>
      <c r="H132" s="6"/>
      <c r="I132" s="6"/>
      <c r="J132" s="6"/>
      <c r="K132" s="10" t="str">
        <f t="shared" si="1"/>
        <v/>
      </c>
      <c r="L132" s="41" t="str">
        <f>IFERROR(VLOOKUP(M132,Lists!$T:$U,2,FALSE()),"Select an offense in col M to load the phone script →")</f>
        <v>Select an offense in col M to load the phone script →</v>
      </c>
      <c r="M132" s="6"/>
      <c r="N132" s="6"/>
      <c r="O132" s="6"/>
      <c r="P132" s="6"/>
      <c r="Q132" s="6"/>
      <c r="R132" s="12"/>
      <c r="S132" s="6"/>
      <c r="T132" s="6"/>
      <c r="U132" s="6"/>
    </row>
    <row r="133" spans="1:21" ht="60" customHeight="1" x14ac:dyDescent="0.45">
      <c r="A133" s="4"/>
      <c r="B133" s="4"/>
      <c r="C133" s="4"/>
      <c r="D133" s="10" t="str">
        <f>IFERROR(VLOOKUP(C133,'Incident Intake'!$E:$G,3,FALSE())&amp;" "&amp;VLOOKUP(C133,'Incident Intake'!$E:$F,2,FALSE()),"")</f>
        <v/>
      </c>
      <c r="E133" s="8"/>
      <c r="F133" s="4"/>
      <c r="G133" s="4"/>
      <c r="H133" s="4"/>
      <c r="I133" s="4"/>
      <c r="J133" s="4"/>
      <c r="K133" s="10" t="str">
        <f t="shared" ref="K133:K196" si="2">IF(J133="","",IF(ISNUMBER(SEARCH("TEC-Required",J133)),"YES — Required","Voluntary"))</f>
        <v/>
      </c>
      <c r="L133" s="40" t="str">
        <f>IFERROR(VLOOKUP(M133,Lists!$T:$U,2,FALSE()),"Select an offense in col M to load the phone script →")</f>
        <v>Select an offense in col M to load the phone script →</v>
      </c>
      <c r="M133" s="4"/>
      <c r="N133" s="4"/>
      <c r="O133" s="4"/>
      <c r="P133" s="4"/>
      <c r="Q133" s="4"/>
      <c r="R133" s="8"/>
      <c r="S133" s="4"/>
      <c r="T133" s="4"/>
      <c r="U133" s="4"/>
    </row>
    <row r="134" spans="1:21" ht="60" customHeight="1" x14ac:dyDescent="0.45">
      <c r="A134" s="6"/>
      <c r="B134" s="6"/>
      <c r="C134" s="6"/>
      <c r="D134" s="10" t="str">
        <f>IFERROR(VLOOKUP(C134,'Incident Intake'!$E:$G,3,FALSE())&amp;" "&amp;VLOOKUP(C134,'Incident Intake'!$E:$F,2,FALSE()),"")</f>
        <v/>
      </c>
      <c r="E134" s="12"/>
      <c r="F134" s="6"/>
      <c r="G134" s="6"/>
      <c r="H134" s="6"/>
      <c r="I134" s="6"/>
      <c r="J134" s="6"/>
      <c r="K134" s="10" t="str">
        <f t="shared" si="2"/>
        <v/>
      </c>
      <c r="L134" s="41" t="str">
        <f>IFERROR(VLOOKUP(M134,Lists!$T:$U,2,FALSE()),"Select an offense in col M to load the phone script →")</f>
        <v>Select an offense in col M to load the phone script →</v>
      </c>
      <c r="M134" s="6"/>
      <c r="N134" s="6"/>
      <c r="O134" s="6"/>
      <c r="P134" s="6"/>
      <c r="Q134" s="6"/>
      <c r="R134" s="12"/>
      <c r="S134" s="6"/>
      <c r="T134" s="6"/>
      <c r="U134" s="6"/>
    </row>
    <row r="135" spans="1:21" ht="60" customHeight="1" x14ac:dyDescent="0.45">
      <c r="A135" s="4"/>
      <c r="B135" s="4"/>
      <c r="C135" s="4"/>
      <c r="D135" s="10" t="str">
        <f>IFERROR(VLOOKUP(C135,'Incident Intake'!$E:$G,3,FALSE())&amp;" "&amp;VLOOKUP(C135,'Incident Intake'!$E:$F,2,FALSE()),"")</f>
        <v/>
      </c>
      <c r="E135" s="8"/>
      <c r="F135" s="4"/>
      <c r="G135" s="4"/>
      <c r="H135" s="4"/>
      <c r="I135" s="4"/>
      <c r="J135" s="4"/>
      <c r="K135" s="10" t="str">
        <f t="shared" si="2"/>
        <v/>
      </c>
      <c r="L135" s="40" t="str">
        <f>IFERROR(VLOOKUP(M135,Lists!$T:$U,2,FALSE()),"Select an offense in col M to load the phone script →")</f>
        <v>Select an offense in col M to load the phone script →</v>
      </c>
      <c r="M135" s="4"/>
      <c r="N135" s="4"/>
      <c r="O135" s="4"/>
      <c r="P135" s="4"/>
      <c r="Q135" s="4"/>
      <c r="R135" s="8"/>
      <c r="S135" s="4"/>
      <c r="T135" s="4"/>
      <c r="U135" s="4"/>
    </row>
    <row r="136" spans="1:21" ht="60" customHeight="1" x14ac:dyDescent="0.45">
      <c r="A136" s="6"/>
      <c r="B136" s="6"/>
      <c r="C136" s="6"/>
      <c r="D136" s="10" t="str">
        <f>IFERROR(VLOOKUP(C136,'Incident Intake'!$E:$G,3,FALSE())&amp;" "&amp;VLOOKUP(C136,'Incident Intake'!$E:$F,2,FALSE()),"")</f>
        <v/>
      </c>
      <c r="E136" s="12"/>
      <c r="F136" s="6"/>
      <c r="G136" s="6"/>
      <c r="H136" s="6"/>
      <c r="I136" s="6"/>
      <c r="J136" s="6"/>
      <c r="K136" s="10" t="str">
        <f t="shared" si="2"/>
        <v/>
      </c>
      <c r="L136" s="41" t="str">
        <f>IFERROR(VLOOKUP(M136,Lists!$T:$U,2,FALSE()),"Select an offense in col M to load the phone script →")</f>
        <v>Select an offense in col M to load the phone script →</v>
      </c>
      <c r="M136" s="6"/>
      <c r="N136" s="6"/>
      <c r="O136" s="6"/>
      <c r="P136" s="6"/>
      <c r="Q136" s="6"/>
      <c r="R136" s="12"/>
      <c r="S136" s="6"/>
      <c r="T136" s="6"/>
      <c r="U136" s="6"/>
    </row>
    <row r="137" spans="1:21" ht="60" customHeight="1" x14ac:dyDescent="0.45">
      <c r="A137" s="4"/>
      <c r="B137" s="4"/>
      <c r="C137" s="4"/>
      <c r="D137" s="10" t="str">
        <f>IFERROR(VLOOKUP(C137,'Incident Intake'!$E:$G,3,FALSE())&amp;" "&amp;VLOOKUP(C137,'Incident Intake'!$E:$F,2,FALSE()),"")</f>
        <v/>
      </c>
      <c r="E137" s="8"/>
      <c r="F137" s="4"/>
      <c r="G137" s="4"/>
      <c r="H137" s="4"/>
      <c r="I137" s="4"/>
      <c r="J137" s="4"/>
      <c r="K137" s="10" t="str">
        <f t="shared" si="2"/>
        <v/>
      </c>
      <c r="L137" s="40" t="str">
        <f>IFERROR(VLOOKUP(M137,Lists!$T:$U,2,FALSE()),"Select an offense in col M to load the phone script →")</f>
        <v>Select an offense in col M to load the phone script →</v>
      </c>
      <c r="M137" s="4"/>
      <c r="N137" s="4"/>
      <c r="O137" s="4"/>
      <c r="P137" s="4"/>
      <c r="Q137" s="4"/>
      <c r="R137" s="8"/>
      <c r="S137" s="4"/>
      <c r="T137" s="4"/>
      <c r="U137" s="4"/>
    </row>
    <row r="138" spans="1:21" ht="60" customHeight="1" x14ac:dyDescent="0.45">
      <c r="A138" s="6"/>
      <c r="B138" s="6"/>
      <c r="C138" s="6"/>
      <c r="D138" s="10" t="str">
        <f>IFERROR(VLOOKUP(C138,'Incident Intake'!$E:$G,3,FALSE())&amp;" "&amp;VLOOKUP(C138,'Incident Intake'!$E:$F,2,FALSE()),"")</f>
        <v/>
      </c>
      <c r="E138" s="12"/>
      <c r="F138" s="6"/>
      <c r="G138" s="6"/>
      <c r="H138" s="6"/>
      <c r="I138" s="6"/>
      <c r="J138" s="6"/>
      <c r="K138" s="10" t="str">
        <f t="shared" si="2"/>
        <v/>
      </c>
      <c r="L138" s="41" t="str">
        <f>IFERROR(VLOOKUP(M138,Lists!$T:$U,2,FALSE()),"Select an offense in col M to load the phone script →")</f>
        <v>Select an offense in col M to load the phone script →</v>
      </c>
      <c r="M138" s="6"/>
      <c r="N138" s="6"/>
      <c r="O138" s="6"/>
      <c r="P138" s="6"/>
      <c r="Q138" s="6"/>
      <c r="R138" s="12"/>
      <c r="S138" s="6"/>
      <c r="T138" s="6"/>
      <c r="U138" s="6"/>
    </row>
    <row r="139" spans="1:21" ht="60" customHeight="1" x14ac:dyDescent="0.45">
      <c r="A139" s="4"/>
      <c r="B139" s="4"/>
      <c r="C139" s="4"/>
      <c r="D139" s="10" t="str">
        <f>IFERROR(VLOOKUP(C139,'Incident Intake'!$E:$G,3,FALSE())&amp;" "&amp;VLOOKUP(C139,'Incident Intake'!$E:$F,2,FALSE()),"")</f>
        <v/>
      </c>
      <c r="E139" s="8"/>
      <c r="F139" s="4"/>
      <c r="G139" s="4"/>
      <c r="H139" s="4"/>
      <c r="I139" s="4"/>
      <c r="J139" s="4"/>
      <c r="K139" s="10" t="str">
        <f t="shared" si="2"/>
        <v/>
      </c>
      <c r="L139" s="40" t="str">
        <f>IFERROR(VLOOKUP(M139,Lists!$T:$U,2,FALSE()),"Select an offense in col M to load the phone script →")</f>
        <v>Select an offense in col M to load the phone script →</v>
      </c>
      <c r="M139" s="4"/>
      <c r="N139" s="4"/>
      <c r="O139" s="4"/>
      <c r="P139" s="4"/>
      <c r="Q139" s="4"/>
      <c r="R139" s="8"/>
      <c r="S139" s="4"/>
      <c r="T139" s="4"/>
      <c r="U139" s="4"/>
    </row>
    <row r="140" spans="1:21" ht="60" customHeight="1" x14ac:dyDescent="0.45">
      <c r="A140" s="6"/>
      <c r="B140" s="6"/>
      <c r="C140" s="6"/>
      <c r="D140" s="10" t="str">
        <f>IFERROR(VLOOKUP(C140,'Incident Intake'!$E:$G,3,FALSE())&amp;" "&amp;VLOOKUP(C140,'Incident Intake'!$E:$F,2,FALSE()),"")</f>
        <v/>
      </c>
      <c r="E140" s="12"/>
      <c r="F140" s="6"/>
      <c r="G140" s="6"/>
      <c r="H140" s="6"/>
      <c r="I140" s="6"/>
      <c r="J140" s="6"/>
      <c r="K140" s="10" t="str">
        <f t="shared" si="2"/>
        <v/>
      </c>
      <c r="L140" s="41" t="str">
        <f>IFERROR(VLOOKUP(M140,Lists!$T:$U,2,FALSE()),"Select an offense in col M to load the phone script →")</f>
        <v>Select an offense in col M to load the phone script →</v>
      </c>
      <c r="M140" s="6"/>
      <c r="N140" s="6"/>
      <c r="O140" s="6"/>
      <c r="P140" s="6"/>
      <c r="Q140" s="6"/>
      <c r="R140" s="12"/>
      <c r="S140" s="6"/>
      <c r="T140" s="6"/>
      <c r="U140" s="6"/>
    </row>
    <row r="141" spans="1:21" ht="60" customHeight="1" x14ac:dyDescent="0.45">
      <c r="A141" s="4"/>
      <c r="B141" s="4"/>
      <c r="C141" s="4"/>
      <c r="D141" s="10" t="str">
        <f>IFERROR(VLOOKUP(C141,'Incident Intake'!$E:$G,3,FALSE())&amp;" "&amp;VLOOKUP(C141,'Incident Intake'!$E:$F,2,FALSE()),"")</f>
        <v/>
      </c>
      <c r="E141" s="8"/>
      <c r="F141" s="4"/>
      <c r="G141" s="4"/>
      <c r="H141" s="4"/>
      <c r="I141" s="4"/>
      <c r="J141" s="4"/>
      <c r="K141" s="10" t="str">
        <f t="shared" si="2"/>
        <v/>
      </c>
      <c r="L141" s="40" t="str">
        <f>IFERROR(VLOOKUP(M141,Lists!$T:$U,2,FALSE()),"Select an offense in col M to load the phone script →")</f>
        <v>Select an offense in col M to load the phone script →</v>
      </c>
      <c r="M141" s="4"/>
      <c r="N141" s="4"/>
      <c r="O141" s="4"/>
      <c r="P141" s="4"/>
      <c r="Q141" s="4"/>
      <c r="R141" s="8"/>
      <c r="S141" s="4"/>
      <c r="T141" s="4"/>
      <c r="U141" s="4"/>
    </row>
    <row r="142" spans="1:21" ht="60" customHeight="1" x14ac:dyDescent="0.45">
      <c r="A142" s="6"/>
      <c r="B142" s="6"/>
      <c r="C142" s="6"/>
      <c r="D142" s="10" t="str">
        <f>IFERROR(VLOOKUP(C142,'Incident Intake'!$E:$G,3,FALSE())&amp;" "&amp;VLOOKUP(C142,'Incident Intake'!$E:$F,2,FALSE()),"")</f>
        <v/>
      </c>
      <c r="E142" s="12"/>
      <c r="F142" s="6"/>
      <c r="G142" s="6"/>
      <c r="H142" s="6"/>
      <c r="I142" s="6"/>
      <c r="J142" s="6"/>
      <c r="K142" s="10" t="str">
        <f t="shared" si="2"/>
        <v/>
      </c>
      <c r="L142" s="41" t="str">
        <f>IFERROR(VLOOKUP(M142,Lists!$T:$U,2,FALSE()),"Select an offense in col M to load the phone script →")</f>
        <v>Select an offense in col M to load the phone script →</v>
      </c>
      <c r="M142" s="6"/>
      <c r="N142" s="6"/>
      <c r="O142" s="6"/>
      <c r="P142" s="6"/>
      <c r="Q142" s="6"/>
      <c r="R142" s="12"/>
      <c r="S142" s="6"/>
      <c r="T142" s="6"/>
      <c r="U142" s="6"/>
    </row>
    <row r="143" spans="1:21" ht="60" customHeight="1" x14ac:dyDescent="0.45">
      <c r="A143" s="4"/>
      <c r="B143" s="4"/>
      <c r="C143" s="4"/>
      <c r="D143" s="10" t="str">
        <f>IFERROR(VLOOKUP(C143,'Incident Intake'!$E:$G,3,FALSE())&amp;" "&amp;VLOOKUP(C143,'Incident Intake'!$E:$F,2,FALSE()),"")</f>
        <v/>
      </c>
      <c r="E143" s="8"/>
      <c r="F143" s="4"/>
      <c r="G143" s="4"/>
      <c r="H143" s="4"/>
      <c r="I143" s="4"/>
      <c r="J143" s="4"/>
      <c r="K143" s="10" t="str">
        <f t="shared" si="2"/>
        <v/>
      </c>
      <c r="L143" s="40" t="str">
        <f>IFERROR(VLOOKUP(M143,Lists!$T:$U,2,FALSE()),"Select an offense in col M to load the phone script →")</f>
        <v>Select an offense in col M to load the phone script →</v>
      </c>
      <c r="M143" s="4"/>
      <c r="N143" s="4"/>
      <c r="O143" s="4"/>
      <c r="P143" s="4"/>
      <c r="Q143" s="4"/>
      <c r="R143" s="8"/>
      <c r="S143" s="4"/>
      <c r="T143" s="4"/>
      <c r="U143" s="4"/>
    </row>
    <row r="144" spans="1:21" ht="60" customHeight="1" x14ac:dyDescent="0.45">
      <c r="A144" s="6"/>
      <c r="B144" s="6"/>
      <c r="C144" s="6"/>
      <c r="D144" s="10" t="str">
        <f>IFERROR(VLOOKUP(C144,'Incident Intake'!$E:$G,3,FALSE())&amp;" "&amp;VLOOKUP(C144,'Incident Intake'!$E:$F,2,FALSE()),"")</f>
        <v/>
      </c>
      <c r="E144" s="12"/>
      <c r="F144" s="6"/>
      <c r="G144" s="6"/>
      <c r="H144" s="6"/>
      <c r="I144" s="6"/>
      <c r="J144" s="6"/>
      <c r="K144" s="10" t="str">
        <f t="shared" si="2"/>
        <v/>
      </c>
      <c r="L144" s="41" t="str">
        <f>IFERROR(VLOOKUP(M144,Lists!$T:$U,2,FALSE()),"Select an offense in col M to load the phone script →")</f>
        <v>Select an offense in col M to load the phone script →</v>
      </c>
      <c r="M144" s="6"/>
      <c r="N144" s="6"/>
      <c r="O144" s="6"/>
      <c r="P144" s="6"/>
      <c r="Q144" s="6"/>
      <c r="R144" s="12"/>
      <c r="S144" s="6"/>
      <c r="T144" s="6"/>
      <c r="U144" s="6"/>
    </row>
    <row r="145" spans="1:21" ht="60" customHeight="1" x14ac:dyDescent="0.45">
      <c r="A145" s="4"/>
      <c r="B145" s="4"/>
      <c r="C145" s="4"/>
      <c r="D145" s="10" t="str">
        <f>IFERROR(VLOOKUP(C145,'Incident Intake'!$E:$G,3,FALSE())&amp;" "&amp;VLOOKUP(C145,'Incident Intake'!$E:$F,2,FALSE()),"")</f>
        <v/>
      </c>
      <c r="E145" s="8"/>
      <c r="F145" s="4"/>
      <c r="G145" s="4"/>
      <c r="H145" s="4"/>
      <c r="I145" s="4"/>
      <c r="J145" s="4"/>
      <c r="K145" s="10" t="str">
        <f t="shared" si="2"/>
        <v/>
      </c>
      <c r="L145" s="40" t="str">
        <f>IFERROR(VLOOKUP(M145,Lists!$T:$U,2,FALSE()),"Select an offense in col M to load the phone script →")</f>
        <v>Select an offense in col M to load the phone script →</v>
      </c>
      <c r="M145" s="4"/>
      <c r="N145" s="4"/>
      <c r="O145" s="4"/>
      <c r="P145" s="4"/>
      <c r="Q145" s="4"/>
      <c r="R145" s="8"/>
      <c r="S145" s="4"/>
      <c r="T145" s="4"/>
      <c r="U145" s="4"/>
    </row>
    <row r="146" spans="1:21" ht="60" customHeight="1" x14ac:dyDescent="0.45">
      <c r="A146" s="6"/>
      <c r="B146" s="6"/>
      <c r="C146" s="6"/>
      <c r="D146" s="10" t="str">
        <f>IFERROR(VLOOKUP(C146,'Incident Intake'!$E:$G,3,FALSE())&amp;" "&amp;VLOOKUP(C146,'Incident Intake'!$E:$F,2,FALSE()),"")</f>
        <v/>
      </c>
      <c r="E146" s="12"/>
      <c r="F146" s="6"/>
      <c r="G146" s="6"/>
      <c r="H146" s="6"/>
      <c r="I146" s="6"/>
      <c r="J146" s="6"/>
      <c r="K146" s="10" t="str">
        <f t="shared" si="2"/>
        <v/>
      </c>
      <c r="L146" s="41" t="str">
        <f>IFERROR(VLOOKUP(M146,Lists!$T:$U,2,FALSE()),"Select an offense in col M to load the phone script →")</f>
        <v>Select an offense in col M to load the phone script →</v>
      </c>
      <c r="M146" s="6"/>
      <c r="N146" s="6"/>
      <c r="O146" s="6"/>
      <c r="P146" s="6"/>
      <c r="Q146" s="6"/>
      <c r="R146" s="12"/>
      <c r="S146" s="6"/>
      <c r="T146" s="6"/>
      <c r="U146" s="6"/>
    </row>
    <row r="147" spans="1:21" ht="60" customHeight="1" x14ac:dyDescent="0.45">
      <c r="A147" s="4"/>
      <c r="B147" s="4"/>
      <c r="C147" s="4"/>
      <c r="D147" s="10" t="str">
        <f>IFERROR(VLOOKUP(C147,'Incident Intake'!$E:$G,3,FALSE())&amp;" "&amp;VLOOKUP(C147,'Incident Intake'!$E:$F,2,FALSE()),"")</f>
        <v/>
      </c>
      <c r="E147" s="8"/>
      <c r="F147" s="4"/>
      <c r="G147" s="4"/>
      <c r="H147" s="4"/>
      <c r="I147" s="4"/>
      <c r="J147" s="4"/>
      <c r="K147" s="10" t="str">
        <f t="shared" si="2"/>
        <v/>
      </c>
      <c r="L147" s="40" t="str">
        <f>IFERROR(VLOOKUP(M147,Lists!$T:$U,2,FALSE()),"Select an offense in col M to load the phone script →")</f>
        <v>Select an offense in col M to load the phone script →</v>
      </c>
      <c r="M147" s="4"/>
      <c r="N147" s="4"/>
      <c r="O147" s="4"/>
      <c r="P147" s="4"/>
      <c r="Q147" s="4"/>
      <c r="R147" s="8"/>
      <c r="S147" s="4"/>
      <c r="T147" s="4"/>
      <c r="U147" s="4"/>
    </row>
    <row r="148" spans="1:21" ht="60" customHeight="1" x14ac:dyDescent="0.45">
      <c r="A148" s="6"/>
      <c r="B148" s="6"/>
      <c r="C148" s="6"/>
      <c r="D148" s="10" t="str">
        <f>IFERROR(VLOOKUP(C148,'Incident Intake'!$E:$G,3,FALSE())&amp;" "&amp;VLOOKUP(C148,'Incident Intake'!$E:$F,2,FALSE()),"")</f>
        <v/>
      </c>
      <c r="E148" s="12"/>
      <c r="F148" s="6"/>
      <c r="G148" s="6"/>
      <c r="H148" s="6"/>
      <c r="I148" s="6"/>
      <c r="J148" s="6"/>
      <c r="K148" s="10" t="str">
        <f t="shared" si="2"/>
        <v/>
      </c>
      <c r="L148" s="41" t="str">
        <f>IFERROR(VLOOKUP(M148,Lists!$T:$U,2,FALSE()),"Select an offense in col M to load the phone script →")</f>
        <v>Select an offense in col M to load the phone script →</v>
      </c>
      <c r="M148" s="6"/>
      <c r="N148" s="6"/>
      <c r="O148" s="6"/>
      <c r="P148" s="6"/>
      <c r="Q148" s="6"/>
      <c r="R148" s="12"/>
      <c r="S148" s="6"/>
      <c r="T148" s="6"/>
      <c r="U148" s="6"/>
    </row>
    <row r="149" spans="1:21" ht="60" customHeight="1" x14ac:dyDescent="0.45">
      <c r="A149" s="4"/>
      <c r="B149" s="4"/>
      <c r="C149" s="4"/>
      <c r="D149" s="10" t="str">
        <f>IFERROR(VLOOKUP(C149,'Incident Intake'!$E:$G,3,FALSE())&amp;" "&amp;VLOOKUP(C149,'Incident Intake'!$E:$F,2,FALSE()),"")</f>
        <v/>
      </c>
      <c r="E149" s="8"/>
      <c r="F149" s="4"/>
      <c r="G149" s="4"/>
      <c r="H149" s="4"/>
      <c r="I149" s="4"/>
      <c r="J149" s="4"/>
      <c r="K149" s="10" t="str">
        <f t="shared" si="2"/>
        <v/>
      </c>
      <c r="L149" s="40" t="str">
        <f>IFERROR(VLOOKUP(M149,Lists!$T:$U,2,FALSE()),"Select an offense in col M to load the phone script →")</f>
        <v>Select an offense in col M to load the phone script →</v>
      </c>
      <c r="M149" s="4"/>
      <c r="N149" s="4"/>
      <c r="O149" s="4"/>
      <c r="P149" s="4"/>
      <c r="Q149" s="4"/>
      <c r="R149" s="8"/>
      <c r="S149" s="4"/>
      <c r="T149" s="4"/>
      <c r="U149" s="4"/>
    </row>
    <row r="150" spans="1:21" ht="60" customHeight="1" x14ac:dyDescent="0.45">
      <c r="A150" s="6"/>
      <c r="B150" s="6"/>
      <c r="C150" s="6"/>
      <c r="D150" s="10" t="str">
        <f>IFERROR(VLOOKUP(C150,'Incident Intake'!$E:$G,3,FALSE())&amp;" "&amp;VLOOKUP(C150,'Incident Intake'!$E:$F,2,FALSE()),"")</f>
        <v/>
      </c>
      <c r="E150" s="12"/>
      <c r="F150" s="6"/>
      <c r="G150" s="6"/>
      <c r="H150" s="6"/>
      <c r="I150" s="6"/>
      <c r="J150" s="6"/>
      <c r="K150" s="10" t="str">
        <f t="shared" si="2"/>
        <v/>
      </c>
      <c r="L150" s="41" t="str">
        <f>IFERROR(VLOOKUP(M150,Lists!$T:$U,2,FALSE()),"Select an offense in col M to load the phone script →")</f>
        <v>Select an offense in col M to load the phone script →</v>
      </c>
      <c r="M150" s="6"/>
      <c r="N150" s="6"/>
      <c r="O150" s="6"/>
      <c r="P150" s="6"/>
      <c r="Q150" s="6"/>
      <c r="R150" s="12"/>
      <c r="S150" s="6"/>
      <c r="T150" s="6"/>
      <c r="U150" s="6"/>
    </row>
    <row r="151" spans="1:21" ht="60" customHeight="1" x14ac:dyDescent="0.45">
      <c r="A151" s="4"/>
      <c r="B151" s="4"/>
      <c r="C151" s="4"/>
      <c r="D151" s="10" t="str">
        <f>IFERROR(VLOOKUP(C151,'Incident Intake'!$E:$G,3,FALSE())&amp;" "&amp;VLOOKUP(C151,'Incident Intake'!$E:$F,2,FALSE()),"")</f>
        <v/>
      </c>
      <c r="E151" s="8"/>
      <c r="F151" s="4"/>
      <c r="G151" s="4"/>
      <c r="H151" s="4"/>
      <c r="I151" s="4"/>
      <c r="J151" s="4"/>
      <c r="K151" s="10" t="str">
        <f t="shared" si="2"/>
        <v/>
      </c>
      <c r="L151" s="40" t="str">
        <f>IFERROR(VLOOKUP(M151,Lists!$T:$U,2,FALSE()),"Select an offense in col M to load the phone script →")</f>
        <v>Select an offense in col M to load the phone script →</v>
      </c>
      <c r="M151" s="4"/>
      <c r="N151" s="4"/>
      <c r="O151" s="4"/>
      <c r="P151" s="4"/>
      <c r="Q151" s="4"/>
      <c r="R151" s="8"/>
      <c r="S151" s="4"/>
      <c r="T151" s="4"/>
      <c r="U151" s="4"/>
    </row>
    <row r="152" spans="1:21" ht="60" customHeight="1" x14ac:dyDescent="0.45">
      <c r="A152" s="6"/>
      <c r="B152" s="6"/>
      <c r="C152" s="6"/>
      <c r="D152" s="10" t="str">
        <f>IFERROR(VLOOKUP(C152,'Incident Intake'!$E:$G,3,FALSE())&amp;" "&amp;VLOOKUP(C152,'Incident Intake'!$E:$F,2,FALSE()),"")</f>
        <v/>
      </c>
      <c r="E152" s="12"/>
      <c r="F152" s="6"/>
      <c r="G152" s="6"/>
      <c r="H152" s="6"/>
      <c r="I152" s="6"/>
      <c r="J152" s="6"/>
      <c r="K152" s="10" t="str">
        <f t="shared" si="2"/>
        <v/>
      </c>
      <c r="L152" s="41" t="str">
        <f>IFERROR(VLOOKUP(M152,Lists!$T:$U,2,FALSE()),"Select an offense in col M to load the phone script →")</f>
        <v>Select an offense in col M to load the phone script →</v>
      </c>
      <c r="M152" s="6"/>
      <c r="N152" s="6"/>
      <c r="O152" s="6"/>
      <c r="P152" s="6"/>
      <c r="Q152" s="6"/>
      <c r="R152" s="12"/>
      <c r="S152" s="6"/>
      <c r="T152" s="6"/>
      <c r="U152" s="6"/>
    </row>
    <row r="153" spans="1:21" ht="60" customHeight="1" x14ac:dyDescent="0.45">
      <c r="A153" s="4"/>
      <c r="B153" s="4"/>
      <c r="C153" s="4"/>
      <c r="D153" s="10" t="str">
        <f>IFERROR(VLOOKUP(C153,'Incident Intake'!$E:$G,3,FALSE())&amp;" "&amp;VLOOKUP(C153,'Incident Intake'!$E:$F,2,FALSE()),"")</f>
        <v/>
      </c>
      <c r="E153" s="8"/>
      <c r="F153" s="4"/>
      <c r="G153" s="4"/>
      <c r="H153" s="4"/>
      <c r="I153" s="4"/>
      <c r="J153" s="4"/>
      <c r="K153" s="10" t="str">
        <f t="shared" si="2"/>
        <v/>
      </c>
      <c r="L153" s="40" t="str">
        <f>IFERROR(VLOOKUP(M153,Lists!$T:$U,2,FALSE()),"Select an offense in col M to load the phone script →")</f>
        <v>Select an offense in col M to load the phone script →</v>
      </c>
      <c r="M153" s="4"/>
      <c r="N153" s="4"/>
      <c r="O153" s="4"/>
      <c r="P153" s="4"/>
      <c r="Q153" s="4"/>
      <c r="R153" s="8"/>
      <c r="S153" s="4"/>
      <c r="T153" s="4"/>
      <c r="U153" s="4"/>
    </row>
    <row r="154" spans="1:21" ht="60" customHeight="1" x14ac:dyDescent="0.45">
      <c r="A154" s="6"/>
      <c r="B154" s="6"/>
      <c r="C154" s="6"/>
      <c r="D154" s="10" t="str">
        <f>IFERROR(VLOOKUP(C154,'Incident Intake'!$E:$G,3,FALSE())&amp;" "&amp;VLOOKUP(C154,'Incident Intake'!$E:$F,2,FALSE()),"")</f>
        <v/>
      </c>
      <c r="E154" s="12"/>
      <c r="F154" s="6"/>
      <c r="G154" s="6"/>
      <c r="H154" s="6"/>
      <c r="I154" s="6"/>
      <c r="J154" s="6"/>
      <c r="K154" s="10" t="str">
        <f t="shared" si="2"/>
        <v/>
      </c>
      <c r="L154" s="41" t="str">
        <f>IFERROR(VLOOKUP(M154,Lists!$T:$U,2,FALSE()),"Select an offense in col M to load the phone script →")</f>
        <v>Select an offense in col M to load the phone script →</v>
      </c>
      <c r="M154" s="6"/>
      <c r="N154" s="6"/>
      <c r="O154" s="6"/>
      <c r="P154" s="6"/>
      <c r="Q154" s="6"/>
      <c r="R154" s="12"/>
      <c r="S154" s="6"/>
      <c r="T154" s="6"/>
      <c r="U154" s="6"/>
    </row>
    <row r="155" spans="1:21" ht="60" customHeight="1" x14ac:dyDescent="0.45">
      <c r="A155" s="4"/>
      <c r="B155" s="4"/>
      <c r="C155" s="4"/>
      <c r="D155" s="10" t="str">
        <f>IFERROR(VLOOKUP(C155,'Incident Intake'!$E:$G,3,FALSE())&amp;" "&amp;VLOOKUP(C155,'Incident Intake'!$E:$F,2,FALSE()),"")</f>
        <v/>
      </c>
      <c r="E155" s="8"/>
      <c r="F155" s="4"/>
      <c r="G155" s="4"/>
      <c r="H155" s="4"/>
      <c r="I155" s="4"/>
      <c r="J155" s="4"/>
      <c r="K155" s="10" t="str">
        <f t="shared" si="2"/>
        <v/>
      </c>
      <c r="L155" s="40" t="str">
        <f>IFERROR(VLOOKUP(M155,Lists!$T:$U,2,FALSE()),"Select an offense in col M to load the phone script →")</f>
        <v>Select an offense in col M to load the phone script →</v>
      </c>
      <c r="M155" s="4"/>
      <c r="N155" s="4"/>
      <c r="O155" s="4"/>
      <c r="P155" s="4"/>
      <c r="Q155" s="4"/>
      <c r="R155" s="8"/>
      <c r="S155" s="4"/>
      <c r="T155" s="4"/>
      <c r="U155" s="4"/>
    </row>
    <row r="156" spans="1:21" ht="60" customHeight="1" x14ac:dyDescent="0.45">
      <c r="A156" s="6"/>
      <c r="B156" s="6"/>
      <c r="C156" s="6"/>
      <c r="D156" s="10" t="str">
        <f>IFERROR(VLOOKUP(C156,'Incident Intake'!$E:$G,3,FALSE())&amp;" "&amp;VLOOKUP(C156,'Incident Intake'!$E:$F,2,FALSE()),"")</f>
        <v/>
      </c>
      <c r="E156" s="12"/>
      <c r="F156" s="6"/>
      <c r="G156" s="6"/>
      <c r="H156" s="6"/>
      <c r="I156" s="6"/>
      <c r="J156" s="6"/>
      <c r="K156" s="10" t="str">
        <f t="shared" si="2"/>
        <v/>
      </c>
      <c r="L156" s="41" t="str">
        <f>IFERROR(VLOOKUP(M156,Lists!$T:$U,2,FALSE()),"Select an offense in col M to load the phone script →")</f>
        <v>Select an offense in col M to load the phone script →</v>
      </c>
      <c r="M156" s="6"/>
      <c r="N156" s="6"/>
      <c r="O156" s="6"/>
      <c r="P156" s="6"/>
      <c r="Q156" s="6"/>
      <c r="R156" s="12"/>
      <c r="S156" s="6"/>
      <c r="T156" s="6"/>
      <c r="U156" s="6"/>
    </row>
    <row r="157" spans="1:21" ht="60" customHeight="1" x14ac:dyDescent="0.45">
      <c r="A157" s="4"/>
      <c r="B157" s="4"/>
      <c r="C157" s="4"/>
      <c r="D157" s="10" t="str">
        <f>IFERROR(VLOOKUP(C157,'Incident Intake'!$E:$G,3,FALSE())&amp;" "&amp;VLOOKUP(C157,'Incident Intake'!$E:$F,2,FALSE()),"")</f>
        <v/>
      </c>
      <c r="E157" s="8"/>
      <c r="F157" s="4"/>
      <c r="G157" s="4"/>
      <c r="H157" s="4"/>
      <c r="I157" s="4"/>
      <c r="J157" s="4"/>
      <c r="K157" s="10" t="str">
        <f t="shared" si="2"/>
        <v/>
      </c>
      <c r="L157" s="40" t="str">
        <f>IFERROR(VLOOKUP(M157,Lists!$T:$U,2,FALSE()),"Select an offense in col M to load the phone script →")</f>
        <v>Select an offense in col M to load the phone script →</v>
      </c>
      <c r="M157" s="4"/>
      <c r="N157" s="4"/>
      <c r="O157" s="4"/>
      <c r="P157" s="4"/>
      <c r="Q157" s="4"/>
      <c r="R157" s="8"/>
      <c r="S157" s="4"/>
      <c r="T157" s="4"/>
      <c r="U157" s="4"/>
    </row>
    <row r="158" spans="1:21" ht="60" customHeight="1" x14ac:dyDescent="0.45">
      <c r="A158" s="6"/>
      <c r="B158" s="6"/>
      <c r="C158" s="6"/>
      <c r="D158" s="10" t="str">
        <f>IFERROR(VLOOKUP(C158,'Incident Intake'!$E:$G,3,FALSE())&amp;" "&amp;VLOOKUP(C158,'Incident Intake'!$E:$F,2,FALSE()),"")</f>
        <v/>
      </c>
      <c r="E158" s="12"/>
      <c r="F158" s="6"/>
      <c r="G158" s="6"/>
      <c r="H158" s="6"/>
      <c r="I158" s="6"/>
      <c r="J158" s="6"/>
      <c r="K158" s="10" t="str">
        <f t="shared" si="2"/>
        <v/>
      </c>
      <c r="L158" s="41" t="str">
        <f>IFERROR(VLOOKUP(M158,Lists!$T:$U,2,FALSE()),"Select an offense in col M to load the phone script →")</f>
        <v>Select an offense in col M to load the phone script →</v>
      </c>
      <c r="M158" s="6"/>
      <c r="N158" s="6"/>
      <c r="O158" s="6"/>
      <c r="P158" s="6"/>
      <c r="Q158" s="6"/>
      <c r="R158" s="12"/>
      <c r="S158" s="6"/>
      <c r="T158" s="6"/>
      <c r="U158" s="6"/>
    </row>
    <row r="159" spans="1:21" ht="60" customHeight="1" x14ac:dyDescent="0.45">
      <c r="A159" s="4"/>
      <c r="B159" s="4"/>
      <c r="C159" s="4"/>
      <c r="D159" s="10" t="str">
        <f>IFERROR(VLOOKUP(C159,'Incident Intake'!$E:$G,3,FALSE())&amp;" "&amp;VLOOKUP(C159,'Incident Intake'!$E:$F,2,FALSE()),"")</f>
        <v/>
      </c>
      <c r="E159" s="8"/>
      <c r="F159" s="4"/>
      <c r="G159" s="4"/>
      <c r="H159" s="4"/>
      <c r="I159" s="4"/>
      <c r="J159" s="4"/>
      <c r="K159" s="10" t="str">
        <f t="shared" si="2"/>
        <v/>
      </c>
      <c r="L159" s="40" t="str">
        <f>IFERROR(VLOOKUP(M159,Lists!$T:$U,2,FALSE()),"Select an offense in col M to load the phone script →")</f>
        <v>Select an offense in col M to load the phone script →</v>
      </c>
      <c r="M159" s="4"/>
      <c r="N159" s="4"/>
      <c r="O159" s="4"/>
      <c r="P159" s="4"/>
      <c r="Q159" s="4"/>
      <c r="R159" s="8"/>
      <c r="S159" s="4"/>
      <c r="T159" s="4"/>
      <c r="U159" s="4"/>
    </row>
    <row r="160" spans="1:21" ht="60" customHeight="1" x14ac:dyDescent="0.45">
      <c r="A160" s="6"/>
      <c r="B160" s="6"/>
      <c r="C160" s="6"/>
      <c r="D160" s="10" t="str">
        <f>IFERROR(VLOOKUP(C160,'Incident Intake'!$E:$G,3,FALSE())&amp;" "&amp;VLOOKUP(C160,'Incident Intake'!$E:$F,2,FALSE()),"")</f>
        <v/>
      </c>
      <c r="E160" s="12"/>
      <c r="F160" s="6"/>
      <c r="G160" s="6"/>
      <c r="H160" s="6"/>
      <c r="I160" s="6"/>
      <c r="J160" s="6"/>
      <c r="K160" s="10" t="str">
        <f t="shared" si="2"/>
        <v/>
      </c>
      <c r="L160" s="41" t="str">
        <f>IFERROR(VLOOKUP(M160,Lists!$T:$U,2,FALSE()),"Select an offense in col M to load the phone script →")</f>
        <v>Select an offense in col M to load the phone script →</v>
      </c>
      <c r="M160" s="6"/>
      <c r="N160" s="6"/>
      <c r="O160" s="6"/>
      <c r="P160" s="6"/>
      <c r="Q160" s="6"/>
      <c r="R160" s="12"/>
      <c r="S160" s="6"/>
      <c r="T160" s="6"/>
      <c r="U160" s="6"/>
    </row>
    <row r="161" spans="1:21" ht="60" customHeight="1" x14ac:dyDescent="0.45">
      <c r="A161" s="4"/>
      <c r="B161" s="4"/>
      <c r="C161" s="4"/>
      <c r="D161" s="10" t="str">
        <f>IFERROR(VLOOKUP(C161,'Incident Intake'!$E:$G,3,FALSE())&amp;" "&amp;VLOOKUP(C161,'Incident Intake'!$E:$F,2,FALSE()),"")</f>
        <v/>
      </c>
      <c r="E161" s="8"/>
      <c r="F161" s="4"/>
      <c r="G161" s="4"/>
      <c r="H161" s="4"/>
      <c r="I161" s="4"/>
      <c r="J161" s="4"/>
      <c r="K161" s="10" t="str">
        <f t="shared" si="2"/>
        <v/>
      </c>
      <c r="L161" s="40" t="str">
        <f>IFERROR(VLOOKUP(M161,Lists!$T:$U,2,FALSE()),"Select an offense in col M to load the phone script →")</f>
        <v>Select an offense in col M to load the phone script →</v>
      </c>
      <c r="M161" s="4"/>
      <c r="N161" s="4"/>
      <c r="O161" s="4"/>
      <c r="P161" s="4"/>
      <c r="Q161" s="4"/>
      <c r="R161" s="8"/>
      <c r="S161" s="4"/>
      <c r="T161" s="4"/>
      <c r="U161" s="4"/>
    </row>
    <row r="162" spans="1:21" ht="60" customHeight="1" x14ac:dyDescent="0.45">
      <c r="A162" s="6"/>
      <c r="B162" s="6"/>
      <c r="C162" s="6"/>
      <c r="D162" s="10" t="str">
        <f>IFERROR(VLOOKUP(C162,'Incident Intake'!$E:$G,3,FALSE())&amp;" "&amp;VLOOKUP(C162,'Incident Intake'!$E:$F,2,FALSE()),"")</f>
        <v/>
      </c>
      <c r="E162" s="12"/>
      <c r="F162" s="6"/>
      <c r="G162" s="6"/>
      <c r="H162" s="6"/>
      <c r="I162" s="6"/>
      <c r="J162" s="6"/>
      <c r="K162" s="10" t="str">
        <f t="shared" si="2"/>
        <v/>
      </c>
      <c r="L162" s="41" t="str">
        <f>IFERROR(VLOOKUP(M162,Lists!$T:$U,2,FALSE()),"Select an offense in col M to load the phone script →")</f>
        <v>Select an offense in col M to load the phone script →</v>
      </c>
      <c r="M162" s="6"/>
      <c r="N162" s="6"/>
      <c r="O162" s="6"/>
      <c r="P162" s="6"/>
      <c r="Q162" s="6"/>
      <c r="R162" s="12"/>
      <c r="S162" s="6"/>
      <c r="T162" s="6"/>
      <c r="U162" s="6"/>
    </row>
    <row r="163" spans="1:21" ht="60" customHeight="1" x14ac:dyDescent="0.45">
      <c r="A163" s="4"/>
      <c r="B163" s="4"/>
      <c r="C163" s="4"/>
      <c r="D163" s="10" t="str">
        <f>IFERROR(VLOOKUP(C163,'Incident Intake'!$E:$G,3,FALSE())&amp;" "&amp;VLOOKUP(C163,'Incident Intake'!$E:$F,2,FALSE()),"")</f>
        <v/>
      </c>
      <c r="E163" s="8"/>
      <c r="F163" s="4"/>
      <c r="G163" s="4"/>
      <c r="H163" s="4"/>
      <c r="I163" s="4"/>
      <c r="J163" s="4"/>
      <c r="K163" s="10" t="str">
        <f t="shared" si="2"/>
        <v/>
      </c>
      <c r="L163" s="40" t="str">
        <f>IFERROR(VLOOKUP(M163,Lists!$T:$U,2,FALSE()),"Select an offense in col M to load the phone script →")</f>
        <v>Select an offense in col M to load the phone script →</v>
      </c>
      <c r="M163" s="4"/>
      <c r="N163" s="4"/>
      <c r="O163" s="4"/>
      <c r="P163" s="4"/>
      <c r="Q163" s="4"/>
      <c r="R163" s="8"/>
      <c r="S163" s="4"/>
      <c r="T163" s="4"/>
      <c r="U163" s="4"/>
    </row>
    <row r="164" spans="1:21" ht="60" customHeight="1" x14ac:dyDescent="0.45">
      <c r="A164" s="6"/>
      <c r="B164" s="6"/>
      <c r="C164" s="6"/>
      <c r="D164" s="10" t="str">
        <f>IFERROR(VLOOKUP(C164,'Incident Intake'!$E:$G,3,FALSE())&amp;" "&amp;VLOOKUP(C164,'Incident Intake'!$E:$F,2,FALSE()),"")</f>
        <v/>
      </c>
      <c r="E164" s="12"/>
      <c r="F164" s="6"/>
      <c r="G164" s="6"/>
      <c r="H164" s="6"/>
      <c r="I164" s="6"/>
      <c r="J164" s="6"/>
      <c r="K164" s="10" t="str">
        <f t="shared" si="2"/>
        <v/>
      </c>
      <c r="L164" s="41" t="str">
        <f>IFERROR(VLOOKUP(M164,Lists!$T:$U,2,FALSE()),"Select an offense in col M to load the phone script →")</f>
        <v>Select an offense in col M to load the phone script →</v>
      </c>
      <c r="M164" s="6"/>
      <c r="N164" s="6"/>
      <c r="O164" s="6"/>
      <c r="P164" s="6"/>
      <c r="Q164" s="6"/>
      <c r="R164" s="12"/>
      <c r="S164" s="6"/>
      <c r="T164" s="6"/>
      <c r="U164" s="6"/>
    </row>
    <row r="165" spans="1:21" ht="60" customHeight="1" x14ac:dyDescent="0.45">
      <c r="A165" s="4"/>
      <c r="B165" s="4"/>
      <c r="C165" s="4"/>
      <c r="D165" s="10" t="str">
        <f>IFERROR(VLOOKUP(C165,'Incident Intake'!$E:$G,3,FALSE())&amp;" "&amp;VLOOKUP(C165,'Incident Intake'!$E:$F,2,FALSE()),"")</f>
        <v/>
      </c>
      <c r="E165" s="8"/>
      <c r="F165" s="4"/>
      <c r="G165" s="4"/>
      <c r="H165" s="4"/>
      <c r="I165" s="4"/>
      <c r="J165" s="4"/>
      <c r="K165" s="10" t="str">
        <f t="shared" si="2"/>
        <v/>
      </c>
      <c r="L165" s="40" t="str">
        <f>IFERROR(VLOOKUP(M165,Lists!$T:$U,2,FALSE()),"Select an offense in col M to load the phone script →")</f>
        <v>Select an offense in col M to load the phone script →</v>
      </c>
      <c r="M165" s="4"/>
      <c r="N165" s="4"/>
      <c r="O165" s="4"/>
      <c r="P165" s="4"/>
      <c r="Q165" s="4"/>
      <c r="R165" s="8"/>
      <c r="S165" s="4"/>
      <c r="T165" s="4"/>
      <c r="U165" s="4"/>
    </row>
    <row r="166" spans="1:21" ht="60" customHeight="1" x14ac:dyDescent="0.45">
      <c r="A166" s="6"/>
      <c r="B166" s="6"/>
      <c r="C166" s="6"/>
      <c r="D166" s="10" t="str">
        <f>IFERROR(VLOOKUP(C166,'Incident Intake'!$E:$G,3,FALSE())&amp;" "&amp;VLOOKUP(C166,'Incident Intake'!$E:$F,2,FALSE()),"")</f>
        <v/>
      </c>
      <c r="E166" s="12"/>
      <c r="F166" s="6"/>
      <c r="G166" s="6"/>
      <c r="H166" s="6"/>
      <c r="I166" s="6"/>
      <c r="J166" s="6"/>
      <c r="K166" s="10" t="str">
        <f t="shared" si="2"/>
        <v/>
      </c>
      <c r="L166" s="41" t="str">
        <f>IFERROR(VLOOKUP(M166,Lists!$T:$U,2,FALSE()),"Select an offense in col M to load the phone script →")</f>
        <v>Select an offense in col M to load the phone script →</v>
      </c>
      <c r="M166" s="6"/>
      <c r="N166" s="6"/>
      <c r="O166" s="6"/>
      <c r="P166" s="6"/>
      <c r="Q166" s="6"/>
      <c r="R166" s="12"/>
      <c r="S166" s="6"/>
      <c r="T166" s="6"/>
      <c r="U166" s="6"/>
    </row>
    <row r="167" spans="1:21" ht="60" customHeight="1" x14ac:dyDescent="0.45">
      <c r="A167" s="4"/>
      <c r="B167" s="4"/>
      <c r="C167" s="4"/>
      <c r="D167" s="10" t="str">
        <f>IFERROR(VLOOKUP(C167,'Incident Intake'!$E:$G,3,FALSE())&amp;" "&amp;VLOOKUP(C167,'Incident Intake'!$E:$F,2,FALSE()),"")</f>
        <v/>
      </c>
      <c r="E167" s="8"/>
      <c r="F167" s="4"/>
      <c r="G167" s="4"/>
      <c r="H167" s="4"/>
      <c r="I167" s="4"/>
      <c r="J167" s="4"/>
      <c r="K167" s="10" t="str">
        <f t="shared" si="2"/>
        <v/>
      </c>
      <c r="L167" s="40" t="str">
        <f>IFERROR(VLOOKUP(M167,Lists!$T:$U,2,FALSE()),"Select an offense in col M to load the phone script →")</f>
        <v>Select an offense in col M to load the phone script →</v>
      </c>
      <c r="M167" s="4"/>
      <c r="N167" s="4"/>
      <c r="O167" s="4"/>
      <c r="P167" s="4"/>
      <c r="Q167" s="4"/>
      <c r="R167" s="8"/>
      <c r="S167" s="4"/>
      <c r="T167" s="4"/>
      <c r="U167" s="4"/>
    </row>
    <row r="168" spans="1:21" ht="60" customHeight="1" x14ac:dyDescent="0.45">
      <c r="A168" s="6"/>
      <c r="B168" s="6"/>
      <c r="C168" s="6"/>
      <c r="D168" s="10" t="str">
        <f>IFERROR(VLOOKUP(C168,'Incident Intake'!$E:$G,3,FALSE())&amp;" "&amp;VLOOKUP(C168,'Incident Intake'!$E:$F,2,FALSE()),"")</f>
        <v/>
      </c>
      <c r="E168" s="12"/>
      <c r="F168" s="6"/>
      <c r="G168" s="6"/>
      <c r="H168" s="6"/>
      <c r="I168" s="6"/>
      <c r="J168" s="6"/>
      <c r="K168" s="10" t="str">
        <f t="shared" si="2"/>
        <v/>
      </c>
      <c r="L168" s="41" t="str">
        <f>IFERROR(VLOOKUP(M168,Lists!$T:$U,2,FALSE()),"Select an offense in col M to load the phone script →")</f>
        <v>Select an offense in col M to load the phone script →</v>
      </c>
      <c r="M168" s="6"/>
      <c r="N168" s="6"/>
      <c r="O168" s="6"/>
      <c r="P168" s="6"/>
      <c r="Q168" s="6"/>
      <c r="R168" s="12"/>
      <c r="S168" s="6"/>
      <c r="T168" s="6"/>
      <c r="U168" s="6"/>
    </row>
    <row r="169" spans="1:21" ht="60" customHeight="1" x14ac:dyDescent="0.45">
      <c r="A169" s="4"/>
      <c r="B169" s="4"/>
      <c r="C169" s="4"/>
      <c r="D169" s="10" t="str">
        <f>IFERROR(VLOOKUP(C169,'Incident Intake'!$E:$G,3,FALSE())&amp;" "&amp;VLOOKUP(C169,'Incident Intake'!$E:$F,2,FALSE()),"")</f>
        <v/>
      </c>
      <c r="E169" s="8"/>
      <c r="F169" s="4"/>
      <c r="G169" s="4"/>
      <c r="H169" s="4"/>
      <c r="I169" s="4"/>
      <c r="J169" s="4"/>
      <c r="K169" s="10" t="str">
        <f t="shared" si="2"/>
        <v/>
      </c>
      <c r="L169" s="40" t="str">
        <f>IFERROR(VLOOKUP(M169,Lists!$T:$U,2,FALSE()),"Select an offense in col M to load the phone script →")</f>
        <v>Select an offense in col M to load the phone script →</v>
      </c>
      <c r="M169" s="4"/>
      <c r="N169" s="4"/>
      <c r="O169" s="4"/>
      <c r="P169" s="4"/>
      <c r="Q169" s="4"/>
      <c r="R169" s="8"/>
      <c r="S169" s="4"/>
      <c r="T169" s="4"/>
      <c r="U169" s="4"/>
    </row>
    <row r="170" spans="1:21" ht="60" customHeight="1" x14ac:dyDescent="0.45">
      <c r="A170" s="6"/>
      <c r="B170" s="6"/>
      <c r="C170" s="6"/>
      <c r="D170" s="10" t="str">
        <f>IFERROR(VLOOKUP(C170,'Incident Intake'!$E:$G,3,FALSE())&amp;" "&amp;VLOOKUP(C170,'Incident Intake'!$E:$F,2,FALSE()),"")</f>
        <v/>
      </c>
      <c r="E170" s="12"/>
      <c r="F170" s="6"/>
      <c r="G170" s="6"/>
      <c r="H170" s="6"/>
      <c r="I170" s="6"/>
      <c r="J170" s="6"/>
      <c r="K170" s="10" t="str">
        <f t="shared" si="2"/>
        <v/>
      </c>
      <c r="L170" s="41" t="str">
        <f>IFERROR(VLOOKUP(M170,Lists!$T:$U,2,FALSE()),"Select an offense in col M to load the phone script →")</f>
        <v>Select an offense in col M to load the phone script →</v>
      </c>
      <c r="M170" s="6"/>
      <c r="N170" s="6"/>
      <c r="O170" s="6"/>
      <c r="P170" s="6"/>
      <c r="Q170" s="6"/>
      <c r="R170" s="12"/>
      <c r="S170" s="6"/>
      <c r="T170" s="6"/>
      <c r="U170" s="6"/>
    </row>
    <row r="171" spans="1:21" ht="60" customHeight="1" x14ac:dyDescent="0.45">
      <c r="A171" s="4"/>
      <c r="B171" s="4"/>
      <c r="C171" s="4"/>
      <c r="D171" s="10" t="str">
        <f>IFERROR(VLOOKUP(C171,'Incident Intake'!$E:$G,3,FALSE())&amp;" "&amp;VLOOKUP(C171,'Incident Intake'!$E:$F,2,FALSE()),"")</f>
        <v/>
      </c>
      <c r="E171" s="8"/>
      <c r="F171" s="4"/>
      <c r="G171" s="4"/>
      <c r="H171" s="4"/>
      <c r="I171" s="4"/>
      <c r="J171" s="4"/>
      <c r="K171" s="10" t="str">
        <f t="shared" si="2"/>
        <v/>
      </c>
      <c r="L171" s="40" t="str">
        <f>IFERROR(VLOOKUP(M171,Lists!$T:$U,2,FALSE()),"Select an offense in col M to load the phone script →")</f>
        <v>Select an offense in col M to load the phone script →</v>
      </c>
      <c r="M171" s="4"/>
      <c r="N171" s="4"/>
      <c r="O171" s="4"/>
      <c r="P171" s="4"/>
      <c r="Q171" s="4"/>
      <c r="R171" s="8"/>
      <c r="S171" s="4"/>
      <c r="T171" s="4"/>
      <c r="U171" s="4"/>
    </row>
    <row r="172" spans="1:21" ht="60" customHeight="1" x14ac:dyDescent="0.45">
      <c r="A172" s="6"/>
      <c r="B172" s="6"/>
      <c r="C172" s="6"/>
      <c r="D172" s="10" t="str">
        <f>IFERROR(VLOOKUP(C172,'Incident Intake'!$E:$G,3,FALSE())&amp;" "&amp;VLOOKUP(C172,'Incident Intake'!$E:$F,2,FALSE()),"")</f>
        <v/>
      </c>
      <c r="E172" s="12"/>
      <c r="F172" s="6"/>
      <c r="G172" s="6"/>
      <c r="H172" s="6"/>
      <c r="I172" s="6"/>
      <c r="J172" s="6"/>
      <c r="K172" s="10" t="str">
        <f t="shared" si="2"/>
        <v/>
      </c>
      <c r="L172" s="41" t="str">
        <f>IFERROR(VLOOKUP(M172,Lists!$T:$U,2,FALSE()),"Select an offense in col M to load the phone script →")</f>
        <v>Select an offense in col M to load the phone script →</v>
      </c>
      <c r="M172" s="6"/>
      <c r="N172" s="6"/>
      <c r="O172" s="6"/>
      <c r="P172" s="6"/>
      <c r="Q172" s="6"/>
      <c r="R172" s="12"/>
      <c r="S172" s="6"/>
      <c r="T172" s="6"/>
      <c r="U172" s="6"/>
    </row>
    <row r="173" spans="1:21" ht="60" customHeight="1" x14ac:dyDescent="0.45">
      <c r="A173" s="4"/>
      <c r="B173" s="4"/>
      <c r="C173" s="4"/>
      <c r="D173" s="10" t="str">
        <f>IFERROR(VLOOKUP(C173,'Incident Intake'!$E:$G,3,FALSE())&amp;" "&amp;VLOOKUP(C173,'Incident Intake'!$E:$F,2,FALSE()),"")</f>
        <v/>
      </c>
      <c r="E173" s="8"/>
      <c r="F173" s="4"/>
      <c r="G173" s="4"/>
      <c r="H173" s="4"/>
      <c r="I173" s="4"/>
      <c r="J173" s="4"/>
      <c r="K173" s="10" t="str">
        <f t="shared" si="2"/>
        <v/>
      </c>
      <c r="L173" s="40" t="str">
        <f>IFERROR(VLOOKUP(M173,Lists!$T:$U,2,FALSE()),"Select an offense in col M to load the phone script →")</f>
        <v>Select an offense in col M to load the phone script →</v>
      </c>
      <c r="M173" s="4"/>
      <c r="N173" s="4"/>
      <c r="O173" s="4"/>
      <c r="P173" s="4"/>
      <c r="Q173" s="4"/>
      <c r="R173" s="8"/>
      <c r="S173" s="4"/>
      <c r="T173" s="4"/>
      <c r="U173" s="4"/>
    </row>
    <row r="174" spans="1:21" ht="60" customHeight="1" x14ac:dyDescent="0.45">
      <c r="A174" s="6"/>
      <c r="B174" s="6"/>
      <c r="C174" s="6"/>
      <c r="D174" s="10" t="str">
        <f>IFERROR(VLOOKUP(C174,'Incident Intake'!$E:$G,3,FALSE())&amp;" "&amp;VLOOKUP(C174,'Incident Intake'!$E:$F,2,FALSE()),"")</f>
        <v/>
      </c>
      <c r="E174" s="12"/>
      <c r="F174" s="6"/>
      <c r="G174" s="6"/>
      <c r="H174" s="6"/>
      <c r="I174" s="6"/>
      <c r="J174" s="6"/>
      <c r="K174" s="10" t="str">
        <f t="shared" si="2"/>
        <v/>
      </c>
      <c r="L174" s="41" t="str">
        <f>IFERROR(VLOOKUP(M174,Lists!$T:$U,2,FALSE()),"Select an offense in col M to load the phone script →")</f>
        <v>Select an offense in col M to load the phone script →</v>
      </c>
      <c r="M174" s="6"/>
      <c r="N174" s="6"/>
      <c r="O174" s="6"/>
      <c r="P174" s="6"/>
      <c r="Q174" s="6"/>
      <c r="R174" s="12"/>
      <c r="S174" s="6"/>
      <c r="T174" s="6"/>
      <c r="U174" s="6"/>
    </row>
    <row r="175" spans="1:21" ht="60" customHeight="1" x14ac:dyDescent="0.45">
      <c r="A175" s="4"/>
      <c r="B175" s="4"/>
      <c r="C175" s="4"/>
      <c r="D175" s="10" t="str">
        <f>IFERROR(VLOOKUP(C175,'Incident Intake'!$E:$G,3,FALSE())&amp;" "&amp;VLOOKUP(C175,'Incident Intake'!$E:$F,2,FALSE()),"")</f>
        <v/>
      </c>
      <c r="E175" s="8"/>
      <c r="F175" s="4"/>
      <c r="G175" s="4"/>
      <c r="H175" s="4"/>
      <c r="I175" s="4"/>
      <c r="J175" s="4"/>
      <c r="K175" s="10" t="str">
        <f t="shared" si="2"/>
        <v/>
      </c>
      <c r="L175" s="40" t="str">
        <f>IFERROR(VLOOKUP(M175,Lists!$T:$U,2,FALSE()),"Select an offense in col M to load the phone script →")</f>
        <v>Select an offense in col M to load the phone script →</v>
      </c>
      <c r="M175" s="4"/>
      <c r="N175" s="4"/>
      <c r="O175" s="4"/>
      <c r="P175" s="4"/>
      <c r="Q175" s="4"/>
      <c r="R175" s="8"/>
      <c r="S175" s="4"/>
      <c r="T175" s="4"/>
      <c r="U175" s="4"/>
    </row>
    <row r="176" spans="1:21" ht="60" customHeight="1" x14ac:dyDescent="0.45">
      <c r="A176" s="6"/>
      <c r="B176" s="6"/>
      <c r="C176" s="6"/>
      <c r="D176" s="10" t="str">
        <f>IFERROR(VLOOKUP(C176,'Incident Intake'!$E:$G,3,FALSE())&amp;" "&amp;VLOOKUP(C176,'Incident Intake'!$E:$F,2,FALSE()),"")</f>
        <v/>
      </c>
      <c r="E176" s="12"/>
      <c r="F176" s="6"/>
      <c r="G176" s="6"/>
      <c r="H176" s="6"/>
      <c r="I176" s="6"/>
      <c r="J176" s="6"/>
      <c r="K176" s="10" t="str">
        <f t="shared" si="2"/>
        <v/>
      </c>
      <c r="L176" s="41" t="str">
        <f>IFERROR(VLOOKUP(M176,Lists!$T:$U,2,FALSE()),"Select an offense in col M to load the phone script →")</f>
        <v>Select an offense in col M to load the phone script →</v>
      </c>
      <c r="M176" s="6"/>
      <c r="N176" s="6"/>
      <c r="O176" s="6"/>
      <c r="P176" s="6"/>
      <c r="Q176" s="6"/>
      <c r="R176" s="12"/>
      <c r="S176" s="6"/>
      <c r="T176" s="6"/>
      <c r="U176" s="6"/>
    </row>
    <row r="177" spans="1:21" ht="60" customHeight="1" x14ac:dyDescent="0.45">
      <c r="A177" s="4"/>
      <c r="B177" s="4"/>
      <c r="C177" s="4"/>
      <c r="D177" s="10" t="str">
        <f>IFERROR(VLOOKUP(C177,'Incident Intake'!$E:$G,3,FALSE())&amp;" "&amp;VLOOKUP(C177,'Incident Intake'!$E:$F,2,FALSE()),"")</f>
        <v/>
      </c>
      <c r="E177" s="8"/>
      <c r="F177" s="4"/>
      <c r="G177" s="4"/>
      <c r="H177" s="4"/>
      <c r="I177" s="4"/>
      <c r="J177" s="4"/>
      <c r="K177" s="10" t="str">
        <f t="shared" si="2"/>
        <v/>
      </c>
      <c r="L177" s="40" t="str">
        <f>IFERROR(VLOOKUP(M177,Lists!$T:$U,2,FALSE()),"Select an offense in col M to load the phone script →")</f>
        <v>Select an offense in col M to load the phone script →</v>
      </c>
      <c r="M177" s="4"/>
      <c r="N177" s="4"/>
      <c r="O177" s="4"/>
      <c r="P177" s="4"/>
      <c r="Q177" s="4"/>
      <c r="R177" s="8"/>
      <c r="S177" s="4"/>
      <c r="T177" s="4"/>
      <c r="U177" s="4"/>
    </row>
    <row r="178" spans="1:21" ht="60" customHeight="1" x14ac:dyDescent="0.45">
      <c r="A178" s="6"/>
      <c r="B178" s="6"/>
      <c r="C178" s="6"/>
      <c r="D178" s="10" t="str">
        <f>IFERROR(VLOOKUP(C178,'Incident Intake'!$E:$G,3,FALSE())&amp;" "&amp;VLOOKUP(C178,'Incident Intake'!$E:$F,2,FALSE()),"")</f>
        <v/>
      </c>
      <c r="E178" s="12"/>
      <c r="F178" s="6"/>
      <c r="G178" s="6"/>
      <c r="H178" s="6"/>
      <c r="I178" s="6"/>
      <c r="J178" s="6"/>
      <c r="K178" s="10" t="str">
        <f t="shared" si="2"/>
        <v/>
      </c>
      <c r="L178" s="41" t="str">
        <f>IFERROR(VLOOKUP(M178,Lists!$T:$U,2,FALSE()),"Select an offense in col M to load the phone script →")</f>
        <v>Select an offense in col M to load the phone script →</v>
      </c>
      <c r="M178" s="6"/>
      <c r="N178" s="6"/>
      <c r="O178" s="6"/>
      <c r="P178" s="6"/>
      <c r="Q178" s="6"/>
      <c r="R178" s="12"/>
      <c r="S178" s="6"/>
      <c r="T178" s="6"/>
      <c r="U178" s="6"/>
    </row>
    <row r="179" spans="1:21" ht="60" customHeight="1" x14ac:dyDescent="0.45">
      <c r="A179" s="4"/>
      <c r="B179" s="4"/>
      <c r="C179" s="4"/>
      <c r="D179" s="10" t="str">
        <f>IFERROR(VLOOKUP(C179,'Incident Intake'!$E:$G,3,FALSE())&amp;" "&amp;VLOOKUP(C179,'Incident Intake'!$E:$F,2,FALSE()),"")</f>
        <v/>
      </c>
      <c r="E179" s="8"/>
      <c r="F179" s="4"/>
      <c r="G179" s="4"/>
      <c r="H179" s="4"/>
      <c r="I179" s="4"/>
      <c r="J179" s="4"/>
      <c r="K179" s="10" t="str">
        <f t="shared" si="2"/>
        <v/>
      </c>
      <c r="L179" s="40" t="str">
        <f>IFERROR(VLOOKUP(M179,Lists!$T:$U,2,FALSE()),"Select an offense in col M to load the phone script →")</f>
        <v>Select an offense in col M to load the phone script →</v>
      </c>
      <c r="M179" s="4"/>
      <c r="N179" s="4"/>
      <c r="O179" s="4"/>
      <c r="P179" s="4"/>
      <c r="Q179" s="4"/>
      <c r="R179" s="8"/>
      <c r="S179" s="4"/>
      <c r="T179" s="4"/>
      <c r="U179" s="4"/>
    </row>
    <row r="180" spans="1:21" ht="60" customHeight="1" x14ac:dyDescent="0.45">
      <c r="A180" s="6"/>
      <c r="B180" s="6"/>
      <c r="C180" s="6"/>
      <c r="D180" s="10" t="str">
        <f>IFERROR(VLOOKUP(C180,'Incident Intake'!$E:$G,3,FALSE())&amp;" "&amp;VLOOKUP(C180,'Incident Intake'!$E:$F,2,FALSE()),"")</f>
        <v/>
      </c>
      <c r="E180" s="12"/>
      <c r="F180" s="6"/>
      <c r="G180" s="6"/>
      <c r="H180" s="6"/>
      <c r="I180" s="6"/>
      <c r="J180" s="6"/>
      <c r="K180" s="10" t="str">
        <f t="shared" si="2"/>
        <v/>
      </c>
      <c r="L180" s="41" t="str">
        <f>IFERROR(VLOOKUP(M180,Lists!$T:$U,2,FALSE()),"Select an offense in col M to load the phone script →")</f>
        <v>Select an offense in col M to load the phone script →</v>
      </c>
      <c r="M180" s="6"/>
      <c r="N180" s="6"/>
      <c r="O180" s="6"/>
      <c r="P180" s="6"/>
      <c r="Q180" s="6"/>
      <c r="R180" s="12"/>
      <c r="S180" s="6"/>
      <c r="T180" s="6"/>
      <c r="U180" s="6"/>
    </row>
    <row r="181" spans="1:21" ht="60" customHeight="1" x14ac:dyDescent="0.45">
      <c r="A181" s="4"/>
      <c r="B181" s="4"/>
      <c r="C181" s="4"/>
      <c r="D181" s="10" t="str">
        <f>IFERROR(VLOOKUP(C181,'Incident Intake'!$E:$G,3,FALSE())&amp;" "&amp;VLOOKUP(C181,'Incident Intake'!$E:$F,2,FALSE()),"")</f>
        <v/>
      </c>
      <c r="E181" s="8"/>
      <c r="F181" s="4"/>
      <c r="G181" s="4"/>
      <c r="H181" s="4"/>
      <c r="I181" s="4"/>
      <c r="J181" s="4"/>
      <c r="K181" s="10" t="str">
        <f t="shared" si="2"/>
        <v/>
      </c>
      <c r="L181" s="40" t="str">
        <f>IFERROR(VLOOKUP(M181,Lists!$T:$U,2,FALSE()),"Select an offense in col M to load the phone script →")</f>
        <v>Select an offense in col M to load the phone script →</v>
      </c>
      <c r="M181" s="4"/>
      <c r="N181" s="4"/>
      <c r="O181" s="4"/>
      <c r="P181" s="4"/>
      <c r="Q181" s="4"/>
      <c r="R181" s="8"/>
      <c r="S181" s="4"/>
      <c r="T181" s="4"/>
      <c r="U181" s="4"/>
    </row>
    <row r="182" spans="1:21" ht="60" customHeight="1" x14ac:dyDescent="0.45">
      <c r="A182" s="6"/>
      <c r="B182" s="6"/>
      <c r="C182" s="6"/>
      <c r="D182" s="10" t="str">
        <f>IFERROR(VLOOKUP(C182,'Incident Intake'!$E:$G,3,FALSE())&amp;" "&amp;VLOOKUP(C182,'Incident Intake'!$E:$F,2,FALSE()),"")</f>
        <v/>
      </c>
      <c r="E182" s="12"/>
      <c r="F182" s="6"/>
      <c r="G182" s="6"/>
      <c r="H182" s="6"/>
      <c r="I182" s="6"/>
      <c r="J182" s="6"/>
      <c r="K182" s="10" t="str">
        <f t="shared" si="2"/>
        <v/>
      </c>
      <c r="L182" s="41" t="str">
        <f>IFERROR(VLOOKUP(M182,Lists!$T:$U,2,FALSE()),"Select an offense in col M to load the phone script →")</f>
        <v>Select an offense in col M to load the phone script →</v>
      </c>
      <c r="M182" s="6"/>
      <c r="N182" s="6"/>
      <c r="O182" s="6"/>
      <c r="P182" s="6"/>
      <c r="Q182" s="6"/>
      <c r="R182" s="12"/>
      <c r="S182" s="6"/>
      <c r="T182" s="6"/>
      <c r="U182" s="6"/>
    </row>
    <row r="183" spans="1:21" ht="60" customHeight="1" x14ac:dyDescent="0.45">
      <c r="A183" s="4"/>
      <c r="B183" s="4"/>
      <c r="C183" s="4"/>
      <c r="D183" s="10" t="str">
        <f>IFERROR(VLOOKUP(C183,'Incident Intake'!$E:$G,3,FALSE())&amp;" "&amp;VLOOKUP(C183,'Incident Intake'!$E:$F,2,FALSE()),"")</f>
        <v/>
      </c>
      <c r="E183" s="8"/>
      <c r="F183" s="4"/>
      <c r="G183" s="4"/>
      <c r="H183" s="4"/>
      <c r="I183" s="4"/>
      <c r="J183" s="4"/>
      <c r="K183" s="10" t="str">
        <f t="shared" si="2"/>
        <v/>
      </c>
      <c r="L183" s="40" t="str">
        <f>IFERROR(VLOOKUP(M183,Lists!$T:$U,2,FALSE()),"Select an offense in col M to load the phone script →")</f>
        <v>Select an offense in col M to load the phone script →</v>
      </c>
      <c r="M183" s="4"/>
      <c r="N183" s="4"/>
      <c r="O183" s="4"/>
      <c r="P183" s="4"/>
      <c r="Q183" s="4"/>
      <c r="R183" s="8"/>
      <c r="S183" s="4"/>
      <c r="T183" s="4"/>
      <c r="U183" s="4"/>
    </row>
    <row r="184" spans="1:21" ht="60" customHeight="1" x14ac:dyDescent="0.45">
      <c r="A184" s="6"/>
      <c r="B184" s="6"/>
      <c r="C184" s="6"/>
      <c r="D184" s="10" t="str">
        <f>IFERROR(VLOOKUP(C184,'Incident Intake'!$E:$G,3,FALSE())&amp;" "&amp;VLOOKUP(C184,'Incident Intake'!$E:$F,2,FALSE()),"")</f>
        <v/>
      </c>
      <c r="E184" s="12"/>
      <c r="F184" s="6"/>
      <c r="G184" s="6"/>
      <c r="H184" s="6"/>
      <c r="I184" s="6"/>
      <c r="J184" s="6"/>
      <c r="K184" s="10" t="str">
        <f t="shared" si="2"/>
        <v/>
      </c>
      <c r="L184" s="41" t="str">
        <f>IFERROR(VLOOKUP(M184,Lists!$T:$U,2,FALSE()),"Select an offense in col M to load the phone script →")</f>
        <v>Select an offense in col M to load the phone script →</v>
      </c>
      <c r="M184" s="6"/>
      <c r="N184" s="6"/>
      <c r="O184" s="6"/>
      <c r="P184" s="6"/>
      <c r="Q184" s="6"/>
      <c r="R184" s="12"/>
      <c r="S184" s="6"/>
      <c r="T184" s="6"/>
      <c r="U184" s="6"/>
    </row>
    <row r="185" spans="1:21" ht="60" customHeight="1" x14ac:dyDescent="0.45">
      <c r="A185" s="4"/>
      <c r="B185" s="4"/>
      <c r="C185" s="4"/>
      <c r="D185" s="10" t="str">
        <f>IFERROR(VLOOKUP(C185,'Incident Intake'!$E:$G,3,FALSE())&amp;" "&amp;VLOOKUP(C185,'Incident Intake'!$E:$F,2,FALSE()),"")</f>
        <v/>
      </c>
      <c r="E185" s="8"/>
      <c r="F185" s="4"/>
      <c r="G185" s="4"/>
      <c r="H185" s="4"/>
      <c r="I185" s="4"/>
      <c r="J185" s="4"/>
      <c r="K185" s="10" t="str">
        <f t="shared" si="2"/>
        <v/>
      </c>
      <c r="L185" s="40" t="str">
        <f>IFERROR(VLOOKUP(M185,Lists!$T:$U,2,FALSE()),"Select an offense in col M to load the phone script →")</f>
        <v>Select an offense in col M to load the phone script →</v>
      </c>
      <c r="M185" s="4"/>
      <c r="N185" s="4"/>
      <c r="O185" s="4"/>
      <c r="P185" s="4"/>
      <c r="Q185" s="4"/>
      <c r="R185" s="8"/>
      <c r="S185" s="4"/>
      <c r="T185" s="4"/>
      <c r="U185" s="4"/>
    </row>
    <row r="186" spans="1:21" ht="60" customHeight="1" x14ac:dyDescent="0.45">
      <c r="A186" s="6"/>
      <c r="B186" s="6"/>
      <c r="C186" s="6"/>
      <c r="D186" s="10" t="str">
        <f>IFERROR(VLOOKUP(C186,'Incident Intake'!$E:$G,3,FALSE())&amp;" "&amp;VLOOKUP(C186,'Incident Intake'!$E:$F,2,FALSE()),"")</f>
        <v/>
      </c>
      <c r="E186" s="12"/>
      <c r="F186" s="6"/>
      <c r="G186" s="6"/>
      <c r="H186" s="6"/>
      <c r="I186" s="6"/>
      <c r="J186" s="6"/>
      <c r="K186" s="10" t="str">
        <f t="shared" si="2"/>
        <v/>
      </c>
      <c r="L186" s="41" t="str">
        <f>IFERROR(VLOOKUP(M186,Lists!$T:$U,2,FALSE()),"Select an offense in col M to load the phone script →")</f>
        <v>Select an offense in col M to load the phone script →</v>
      </c>
      <c r="M186" s="6"/>
      <c r="N186" s="6"/>
      <c r="O186" s="6"/>
      <c r="P186" s="6"/>
      <c r="Q186" s="6"/>
      <c r="R186" s="12"/>
      <c r="S186" s="6"/>
      <c r="T186" s="6"/>
      <c r="U186" s="6"/>
    </row>
    <row r="187" spans="1:21" ht="60" customHeight="1" x14ac:dyDescent="0.45">
      <c r="A187" s="4"/>
      <c r="B187" s="4"/>
      <c r="C187" s="4"/>
      <c r="D187" s="10" t="str">
        <f>IFERROR(VLOOKUP(C187,'Incident Intake'!$E:$G,3,FALSE())&amp;" "&amp;VLOOKUP(C187,'Incident Intake'!$E:$F,2,FALSE()),"")</f>
        <v/>
      </c>
      <c r="E187" s="8"/>
      <c r="F187" s="4"/>
      <c r="G187" s="4"/>
      <c r="H187" s="4"/>
      <c r="I187" s="4"/>
      <c r="J187" s="4"/>
      <c r="K187" s="10" t="str">
        <f t="shared" si="2"/>
        <v/>
      </c>
      <c r="L187" s="40" t="str">
        <f>IFERROR(VLOOKUP(M187,Lists!$T:$U,2,FALSE()),"Select an offense in col M to load the phone script →")</f>
        <v>Select an offense in col M to load the phone script →</v>
      </c>
      <c r="M187" s="4"/>
      <c r="N187" s="4"/>
      <c r="O187" s="4"/>
      <c r="P187" s="4"/>
      <c r="Q187" s="4"/>
      <c r="R187" s="8"/>
      <c r="S187" s="4"/>
      <c r="T187" s="4"/>
      <c r="U187" s="4"/>
    </row>
    <row r="188" spans="1:21" ht="60" customHeight="1" x14ac:dyDescent="0.45">
      <c r="A188" s="6"/>
      <c r="B188" s="6"/>
      <c r="C188" s="6"/>
      <c r="D188" s="10" t="str">
        <f>IFERROR(VLOOKUP(C188,'Incident Intake'!$E:$G,3,FALSE())&amp;" "&amp;VLOOKUP(C188,'Incident Intake'!$E:$F,2,FALSE()),"")</f>
        <v/>
      </c>
      <c r="E188" s="12"/>
      <c r="F188" s="6"/>
      <c r="G188" s="6"/>
      <c r="H188" s="6"/>
      <c r="I188" s="6"/>
      <c r="J188" s="6"/>
      <c r="K188" s="10" t="str">
        <f t="shared" si="2"/>
        <v/>
      </c>
      <c r="L188" s="41" t="str">
        <f>IFERROR(VLOOKUP(M188,Lists!$T:$U,2,FALSE()),"Select an offense in col M to load the phone script →")</f>
        <v>Select an offense in col M to load the phone script →</v>
      </c>
      <c r="M188" s="6"/>
      <c r="N188" s="6"/>
      <c r="O188" s="6"/>
      <c r="P188" s="6"/>
      <c r="Q188" s="6"/>
      <c r="R188" s="12"/>
      <c r="S188" s="6"/>
      <c r="T188" s="6"/>
      <c r="U188" s="6"/>
    </row>
    <row r="189" spans="1:21" ht="60" customHeight="1" x14ac:dyDescent="0.45">
      <c r="A189" s="4"/>
      <c r="B189" s="4"/>
      <c r="C189" s="4"/>
      <c r="D189" s="10" t="str">
        <f>IFERROR(VLOOKUP(C189,'Incident Intake'!$E:$G,3,FALSE())&amp;" "&amp;VLOOKUP(C189,'Incident Intake'!$E:$F,2,FALSE()),"")</f>
        <v/>
      </c>
      <c r="E189" s="8"/>
      <c r="F189" s="4"/>
      <c r="G189" s="4"/>
      <c r="H189" s="4"/>
      <c r="I189" s="4"/>
      <c r="J189" s="4"/>
      <c r="K189" s="10" t="str">
        <f t="shared" si="2"/>
        <v/>
      </c>
      <c r="L189" s="40" t="str">
        <f>IFERROR(VLOOKUP(M189,Lists!$T:$U,2,FALSE()),"Select an offense in col M to load the phone script →")</f>
        <v>Select an offense in col M to load the phone script →</v>
      </c>
      <c r="M189" s="4"/>
      <c r="N189" s="4"/>
      <c r="O189" s="4"/>
      <c r="P189" s="4"/>
      <c r="Q189" s="4"/>
      <c r="R189" s="8"/>
      <c r="S189" s="4"/>
      <c r="T189" s="4"/>
      <c r="U189" s="4"/>
    </row>
    <row r="190" spans="1:21" ht="60" customHeight="1" x14ac:dyDescent="0.45">
      <c r="A190" s="6"/>
      <c r="B190" s="6"/>
      <c r="C190" s="6"/>
      <c r="D190" s="10" t="str">
        <f>IFERROR(VLOOKUP(C190,'Incident Intake'!$E:$G,3,FALSE())&amp;" "&amp;VLOOKUP(C190,'Incident Intake'!$E:$F,2,FALSE()),"")</f>
        <v/>
      </c>
      <c r="E190" s="12"/>
      <c r="F190" s="6"/>
      <c r="G190" s="6"/>
      <c r="H190" s="6"/>
      <c r="I190" s="6"/>
      <c r="J190" s="6"/>
      <c r="K190" s="10" t="str">
        <f t="shared" si="2"/>
        <v/>
      </c>
      <c r="L190" s="41" t="str">
        <f>IFERROR(VLOOKUP(M190,Lists!$T:$U,2,FALSE()),"Select an offense in col M to load the phone script →")</f>
        <v>Select an offense in col M to load the phone script →</v>
      </c>
      <c r="M190" s="6"/>
      <c r="N190" s="6"/>
      <c r="O190" s="6"/>
      <c r="P190" s="6"/>
      <c r="Q190" s="6"/>
      <c r="R190" s="12"/>
      <c r="S190" s="6"/>
      <c r="T190" s="6"/>
      <c r="U190" s="6"/>
    </row>
    <row r="191" spans="1:21" ht="60" customHeight="1" x14ac:dyDescent="0.45">
      <c r="A191" s="4"/>
      <c r="B191" s="4"/>
      <c r="C191" s="4"/>
      <c r="D191" s="10" t="str">
        <f>IFERROR(VLOOKUP(C191,'Incident Intake'!$E:$G,3,FALSE())&amp;" "&amp;VLOOKUP(C191,'Incident Intake'!$E:$F,2,FALSE()),"")</f>
        <v/>
      </c>
      <c r="E191" s="8"/>
      <c r="F191" s="4"/>
      <c r="G191" s="4"/>
      <c r="H191" s="4"/>
      <c r="I191" s="4"/>
      <c r="J191" s="4"/>
      <c r="K191" s="10" t="str">
        <f t="shared" si="2"/>
        <v/>
      </c>
      <c r="L191" s="40" t="str">
        <f>IFERROR(VLOOKUP(M191,Lists!$T:$U,2,FALSE()),"Select an offense in col M to load the phone script →")</f>
        <v>Select an offense in col M to load the phone script →</v>
      </c>
      <c r="M191" s="4"/>
      <c r="N191" s="4"/>
      <c r="O191" s="4"/>
      <c r="P191" s="4"/>
      <c r="Q191" s="4"/>
      <c r="R191" s="8"/>
      <c r="S191" s="4"/>
      <c r="T191" s="4"/>
      <c r="U191" s="4"/>
    </row>
    <row r="192" spans="1:21" ht="60" customHeight="1" x14ac:dyDescent="0.45">
      <c r="A192" s="6"/>
      <c r="B192" s="6"/>
      <c r="C192" s="6"/>
      <c r="D192" s="10" t="str">
        <f>IFERROR(VLOOKUP(C192,'Incident Intake'!$E:$G,3,FALSE())&amp;" "&amp;VLOOKUP(C192,'Incident Intake'!$E:$F,2,FALSE()),"")</f>
        <v/>
      </c>
      <c r="E192" s="12"/>
      <c r="F192" s="6"/>
      <c r="G192" s="6"/>
      <c r="H192" s="6"/>
      <c r="I192" s="6"/>
      <c r="J192" s="6"/>
      <c r="K192" s="10" t="str">
        <f t="shared" si="2"/>
        <v/>
      </c>
      <c r="L192" s="41" t="str">
        <f>IFERROR(VLOOKUP(M192,Lists!$T:$U,2,FALSE()),"Select an offense in col M to load the phone script →")</f>
        <v>Select an offense in col M to load the phone script →</v>
      </c>
      <c r="M192" s="6"/>
      <c r="N192" s="6"/>
      <c r="O192" s="6"/>
      <c r="P192" s="6"/>
      <c r="Q192" s="6"/>
      <c r="R192" s="12"/>
      <c r="S192" s="6"/>
      <c r="T192" s="6"/>
      <c r="U192" s="6"/>
    </row>
    <row r="193" spans="1:21" ht="60" customHeight="1" x14ac:dyDescent="0.45">
      <c r="A193" s="4"/>
      <c r="B193" s="4"/>
      <c r="C193" s="4"/>
      <c r="D193" s="10" t="str">
        <f>IFERROR(VLOOKUP(C193,'Incident Intake'!$E:$G,3,FALSE())&amp;" "&amp;VLOOKUP(C193,'Incident Intake'!$E:$F,2,FALSE()),"")</f>
        <v/>
      </c>
      <c r="E193" s="8"/>
      <c r="F193" s="4"/>
      <c r="G193" s="4"/>
      <c r="H193" s="4"/>
      <c r="I193" s="4"/>
      <c r="J193" s="4"/>
      <c r="K193" s="10" t="str">
        <f t="shared" si="2"/>
        <v/>
      </c>
      <c r="L193" s="40" t="str">
        <f>IFERROR(VLOOKUP(M193,Lists!$T:$U,2,FALSE()),"Select an offense in col M to load the phone script →")</f>
        <v>Select an offense in col M to load the phone script →</v>
      </c>
      <c r="M193" s="4"/>
      <c r="N193" s="4"/>
      <c r="O193" s="4"/>
      <c r="P193" s="4"/>
      <c r="Q193" s="4"/>
      <c r="R193" s="8"/>
      <c r="S193" s="4"/>
      <c r="T193" s="4"/>
      <c r="U193" s="4"/>
    </row>
    <row r="194" spans="1:21" ht="60" customHeight="1" x14ac:dyDescent="0.45">
      <c r="A194" s="6"/>
      <c r="B194" s="6"/>
      <c r="C194" s="6"/>
      <c r="D194" s="10" t="str">
        <f>IFERROR(VLOOKUP(C194,'Incident Intake'!$E:$G,3,FALSE())&amp;" "&amp;VLOOKUP(C194,'Incident Intake'!$E:$F,2,FALSE()),"")</f>
        <v/>
      </c>
      <c r="E194" s="12"/>
      <c r="F194" s="6"/>
      <c r="G194" s="6"/>
      <c r="H194" s="6"/>
      <c r="I194" s="6"/>
      <c r="J194" s="6"/>
      <c r="K194" s="10" t="str">
        <f t="shared" si="2"/>
        <v/>
      </c>
      <c r="L194" s="41" t="str">
        <f>IFERROR(VLOOKUP(M194,Lists!$T:$U,2,FALSE()),"Select an offense in col M to load the phone script →")</f>
        <v>Select an offense in col M to load the phone script →</v>
      </c>
      <c r="M194" s="6"/>
      <c r="N194" s="6"/>
      <c r="O194" s="6"/>
      <c r="P194" s="6"/>
      <c r="Q194" s="6"/>
      <c r="R194" s="12"/>
      <c r="S194" s="6"/>
      <c r="T194" s="6"/>
      <c r="U194" s="6"/>
    </row>
    <row r="195" spans="1:21" ht="60" customHeight="1" x14ac:dyDescent="0.45">
      <c r="A195" s="4"/>
      <c r="B195" s="4"/>
      <c r="C195" s="4"/>
      <c r="D195" s="10" t="str">
        <f>IFERROR(VLOOKUP(C195,'Incident Intake'!$E:$G,3,FALSE())&amp;" "&amp;VLOOKUP(C195,'Incident Intake'!$E:$F,2,FALSE()),"")</f>
        <v/>
      </c>
      <c r="E195" s="8"/>
      <c r="F195" s="4"/>
      <c r="G195" s="4"/>
      <c r="H195" s="4"/>
      <c r="I195" s="4"/>
      <c r="J195" s="4"/>
      <c r="K195" s="10" t="str">
        <f t="shared" si="2"/>
        <v/>
      </c>
      <c r="L195" s="40" t="str">
        <f>IFERROR(VLOOKUP(M195,Lists!$T:$U,2,FALSE()),"Select an offense in col M to load the phone script →")</f>
        <v>Select an offense in col M to load the phone script →</v>
      </c>
      <c r="M195" s="4"/>
      <c r="N195" s="4"/>
      <c r="O195" s="4"/>
      <c r="P195" s="4"/>
      <c r="Q195" s="4"/>
      <c r="R195" s="8"/>
      <c r="S195" s="4"/>
      <c r="T195" s="4"/>
      <c r="U195" s="4"/>
    </row>
    <row r="196" spans="1:21" ht="60" customHeight="1" x14ac:dyDescent="0.45">
      <c r="A196" s="6"/>
      <c r="B196" s="6"/>
      <c r="C196" s="6"/>
      <c r="D196" s="10" t="str">
        <f>IFERROR(VLOOKUP(C196,'Incident Intake'!$E:$G,3,FALSE())&amp;" "&amp;VLOOKUP(C196,'Incident Intake'!$E:$F,2,FALSE()),"")</f>
        <v/>
      </c>
      <c r="E196" s="12"/>
      <c r="F196" s="6"/>
      <c r="G196" s="6"/>
      <c r="H196" s="6"/>
      <c r="I196" s="6"/>
      <c r="J196" s="6"/>
      <c r="K196" s="10" t="str">
        <f t="shared" si="2"/>
        <v/>
      </c>
      <c r="L196" s="41" t="str">
        <f>IFERROR(VLOOKUP(M196,Lists!$T:$U,2,FALSE()),"Select an offense in col M to load the phone script →")</f>
        <v>Select an offense in col M to load the phone script →</v>
      </c>
      <c r="M196" s="6"/>
      <c r="N196" s="6"/>
      <c r="O196" s="6"/>
      <c r="P196" s="6"/>
      <c r="Q196" s="6"/>
      <c r="R196" s="12"/>
      <c r="S196" s="6"/>
      <c r="T196" s="6"/>
      <c r="U196" s="6"/>
    </row>
    <row r="197" spans="1:21" ht="60" customHeight="1" x14ac:dyDescent="0.45">
      <c r="A197" s="4"/>
      <c r="B197" s="4"/>
      <c r="C197" s="4"/>
      <c r="D197" s="10" t="str">
        <f>IFERROR(VLOOKUP(C197,'Incident Intake'!$E:$G,3,FALSE())&amp;" "&amp;VLOOKUP(C197,'Incident Intake'!$E:$F,2,FALSE()),"")</f>
        <v/>
      </c>
      <c r="E197" s="8"/>
      <c r="F197" s="4"/>
      <c r="G197" s="4"/>
      <c r="H197" s="4"/>
      <c r="I197" s="4"/>
      <c r="J197" s="4"/>
      <c r="K197" s="10" t="str">
        <f t="shared" ref="K197:K260" si="3">IF(J197="","",IF(ISNUMBER(SEARCH("TEC-Required",J197)),"YES — Required","Voluntary"))</f>
        <v/>
      </c>
      <c r="L197" s="40" t="str">
        <f>IFERROR(VLOOKUP(M197,Lists!$T:$U,2,FALSE()),"Select an offense in col M to load the phone script →")</f>
        <v>Select an offense in col M to load the phone script →</v>
      </c>
      <c r="M197" s="4"/>
      <c r="N197" s="4"/>
      <c r="O197" s="4"/>
      <c r="P197" s="4"/>
      <c r="Q197" s="4"/>
      <c r="R197" s="8"/>
      <c r="S197" s="4"/>
      <c r="T197" s="4"/>
      <c r="U197" s="4"/>
    </row>
    <row r="198" spans="1:21" ht="60" customHeight="1" x14ac:dyDescent="0.45">
      <c r="A198" s="6"/>
      <c r="B198" s="6"/>
      <c r="C198" s="6"/>
      <c r="D198" s="10" t="str">
        <f>IFERROR(VLOOKUP(C198,'Incident Intake'!$E:$G,3,FALSE())&amp;" "&amp;VLOOKUP(C198,'Incident Intake'!$E:$F,2,FALSE()),"")</f>
        <v/>
      </c>
      <c r="E198" s="12"/>
      <c r="F198" s="6"/>
      <c r="G198" s="6"/>
      <c r="H198" s="6"/>
      <c r="I198" s="6"/>
      <c r="J198" s="6"/>
      <c r="K198" s="10" t="str">
        <f t="shared" si="3"/>
        <v/>
      </c>
      <c r="L198" s="41" t="str">
        <f>IFERROR(VLOOKUP(M198,Lists!$T:$U,2,FALSE()),"Select an offense in col M to load the phone script →")</f>
        <v>Select an offense in col M to load the phone script →</v>
      </c>
      <c r="M198" s="6"/>
      <c r="N198" s="6"/>
      <c r="O198" s="6"/>
      <c r="P198" s="6"/>
      <c r="Q198" s="6"/>
      <c r="R198" s="12"/>
      <c r="S198" s="6"/>
      <c r="T198" s="6"/>
      <c r="U198" s="6"/>
    </row>
    <row r="199" spans="1:21" ht="60" customHeight="1" x14ac:dyDescent="0.45">
      <c r="A199" s="4"/>
      <c r="B199" s="4"/>
      <c r="C199" s="4"/>
      <c r="D199" s="10" t="str">
        <f>IFERROR(VLOOKUP(C199,'Incident Intake'!$E:$G,3,FALSE())&amp;" "&amp;VLOOKUP(C199,'Incident Intake'!$E:$F,2,FALSE()),"")</f>
        <v/>
      </c>
      <c r="E199" s="8"/>
      <c r="F199" s="4"/>
      <c r="G199" s="4"/>
      <c r="H199" s="4"/>
      <c r="I199" s="4"/>
      <c r="J199" s="4"/>
      <c r="K199" s="10" t="str">
        <f t="shared" si="3"/>
        <v/>
      </c>
      <c r="L199" s="40" t="str">
        <f>IFERROR(VLOOKUP(M199,Lists!$T:$U,2,FALSE()),"Select an offense in col M to load the phone script →")</f>
        <v>Select an offense in col M to load the phone script →</v>
      </c>
      <c r="M199" s="4"/>
      <c r="N199" s="4"/>
      <c r="O199" s="4"/>
      <c r="P199" s="4"/>
      <c r="Q199" s="4"/>
      <c r="R199" s="8"/>
      <c r="S199" s="4"/>
      <c r="T199" s="4"/>
      <c r="U199" s="4"/>
    </row>
    <row r="200" spans="1:21" ht="60" customHeight="1" x14ac:dyDescent="0.45">
      <c r="A200" s="6"/>
      <c r="B200" s="6"/>
      <c r="C200" s="6"/>
      <c r="D200" s="10" t="str">
        <f>IFERROR(VLOOKUP(C200,'Incident Intake'!$E:$G,3,FALSE())&amp;" "&amp;VLOOKUP(C200,'Incident Intake'!$E:$F,2,FALSE()),"")</f>
        <v/>
      </c>
      <c r="E200" s="12"/>
      <c r="F200" s="6"/>
      <c r="G200" s="6"/>
      <c r="H200" s="6"/>
      <c r="I200" s="6"/>
      <c r="J200" s="6"/>
      <c r="K200" s="10" t="str">
        <f t="shared" si="3"/>
        <v/>
      </c>
      <c r="L200" s="41" t="str">
        <f>IFERROR(VLOOKUP(M200,Lists!$T:$U,2,FALSE()),"Select an offense in col M to load the phone script →")</f>
        <v>Select an offense in col M to load the phone script →</v>
      </c>
      <c r="M200" s="6"/>
      <c r="N200" s="6"/>
      <c r="O200" s="6"/>
      <c r="P200" s="6"/>
      <c r="Q200" s="6"/>
      <c r="R200" s="12"/>
      <c r="S200" s="6"/>
      <c r="T200" s="6"/>
      <c r="U200" s="6"/>
    </row>
    <row r="201" spans="1:21" ht="60" customHeight="1" x14ac:dyDescent="0.45">
      <c r="A201" s="4"/>
      <c r="B201" s="4"/>
      <c r="C201" s="4"/>
      <c r="D201" s="10" t="str">
        <f>IFERROR(VLOOKUP(C201,'Incident Intake'!$E:$G,3,FALSE())&amp;" "&amp;VLOOKUP(C201,'Incident Intake'!$E:$F,2,FALSE()),"")</f>
        <v/>
      </c>
      <c r="E201" s="8"/>
      <c r="F201" s="4"/>
      <c r="G201" s="4"/>
      <c r="H201" s="4"/>
      <c r="I201" s="4"/>
      <c r="J201" s="4"/>
      <c r="K201" s="10" t="str">
        <f t="shared" si="3"/>
        <v/>
      </c>
      <c r="L201" s="40" t="str">
        <f>IFERROR(VLOOKUP(M201,Lists!$T:$U,2,FALSE()),"Select an offense in col M to load the phone script →")</f>
        <v>Select an offense in col M to load the phone script →</v>
      </c>
      <c r="M201" s="4"/>
      <c r="N201" s="4"/>
      <c r="O201" s="4"/>
      <c r="P201" s="4"/>
      <c r="Q201" s="4"/>
      <c r="R201" s="8"/>
      <c r="S201" s="4"/>
      <c r="T201" s="4"/>
      <c r="U201" s="4"/>
    </row>
    <row r="202" spans="1:21" ht="60" customHeight="1" x14ac:dyDescent="0.45">
      <c r="A202" s="6"/>
      <c r="B202" s="6"/>
      <c r="C202" s="6"/>
      <c r="D202" s="10" t="str">
        <f>IFERROR(VLOOKUP(C202,'Incident Intake'!$E:$G,3,FALSE())&amp;" "&amp;VLOOKUP(C202,'Incident Intake'!$E:$F,2,FALSE()),"")</f>
        <v/>
      </c>
      <c r="E202" s="12"/>
      <c r="F202" s="6"/>
      <c r="G202" s="6"/>
      <c r="H202" s="6"/>
      <c r="I202" s="6"/>
      <c r="J202" s="6"/>
      <c r="K202" s="10" t="str">
        <f t="shared" si="3"/>
        <v/>
      </c>
      <c r="L202" s="41" t="str">
        <f>IFERROR(VLOOKUP(M202,Lists!$T:$U,2,FALSE()),"Select an offense in col M to load the phone script →")</f>
        <v>Select an offense in col M to load the phone script →</v>
      </c>
      <c r="M202" s="6"/>
      <c r="N202" s="6"/>
      <c r="O202" s="6"/>
      <c r="P202" s="6"/>
      <c r="Q202" s="6"/>
      <c r="R202" s="12"/>
      <c r="S202" s="6"/>
      <c r="T202" s="6"/>
      <c r="U202" s="6"/>
    </row>
    <row r="203" spans="1:21" ht="60" customHeight="1" x14ac:dyDescent="0.45">
      <c r="A203" s="4"/>
      <c r="B203" s="4"/>
      <c r="C203" s="4"/>
      <c r="D203" s="10" t="str">
        <f>IFERROR(VLOOKUP(C203,'Incident Intake'!$E:$G,3,FALSE())&amp;" "&amp;VLOOKUP(C203,'Incident Intake'!$E:$F,2,FALSE()),"")</f>
        <v/>
      </c>
      <c r="E203" s="8"/>
      <c r="F203" s="4"/>
      <c r="G203" s="4"/>
      <c r="H203" s="4"/>
      <c r="I203" s="4"/>
      <c r="J203" s="4"/>
      <c r="K203" s="10" t="str">
        <f t="shared" si="3"/>
        <v/>
      </c>
      <c r="L203" s="40" t="str">
        <f>IFERROR(VLOOKUP(M203,Lists!$T:$U,2,FALSE()),"Select an offense in col M to load the phone script →")</f>
        <v>Select an offense in col M to load the phone script →</v>
      </c>
      <c r="M203" s="4"/>
      <c r="N203" s="4"/>
      <c r="O203" s="4"/>
      <c r="P203" s="4"/>
      <c r="Q203" s="4"/>
      <c r="R203" s="8"/>
      <c r="S203" s="4"/>
      <c r="T203" s="4"/>
      <c r="U203" s="4"/>
    </row>
    <row r="204" spans="1:21" ht="60" customHeight="1" x14ac:dyDescent="0.45">
      <c r="A204" s="6"/>
      <c r="B204" s="6"/>
      <c r="C204" s="6"/>
      <c r="D204" s="10" t="str">
        <f>IFERROR(VLOOKUP(C204,'Incident Intake'!$E:$G,3,FALSE())&amp;" "&amp;VLOOKUP(C204,'Incident Intake'!$E:$F,2,FALSE()),"")</f>
        <v/>
      </c>
      <c r="E204" s="12"/>
      <c r="F204" s="6"/>
      <c r="G204" s="6"/>
      <c r="H204" s="6"/>
      <c r="I204" s="6"/>
      <c r="J204" s="6"/>
      <c r="K204" s="10" t="str">
        <f t="shared" si="3"/>
        <v/>
      </c>
      <c r="L204" s="41" t="str">
        <f>IFERROR(VLOOKUP(M204,Lists!$T:$U,2,FALSE()),"Select an offense in col M to load the phone script →")</f>
        <v>Select an offense in col M to load the phone script →</v>
      </c>
      <c r="M204" s="6"/>
      <c r="N204" s="6"/>
      <c r="O204" s="6"/>
      <c r="P204" s="6"/>
      <c r="Q204" s="6"/>
      <c r="R204" s="12"/>
      <c r="S204" s="6"/>
      <c r="T204" s="6"/>
      <c r="U204" s="6"/>
    </row>
    <row r="205" spans="1:21" ht="60" customHeight="1" x14ac:dyDescent="0.45">
      <c r="A205" s="4"/>
      <c r="B205" s="4"/>
      <c r="C205" s="4"/>
      <c r="D205" s="10" t="str">
        <f>IFERROR(VLOOKUP(C205,'Incident Intake'!$E:$G,3,FALSE())&amp;" "&amp;VLOOKUP(C205,'Incident Intake'!$E:$F,2,FALSE()),"")</f>
        <v/>
      </c>
      <c r="E205" s="8"/>
      <c r="F205" s="4"/>
      <c r="G205" s="4"/>
      <c r="H205" s="4"/>
      <c r="I205" s="4"/>
      <c r="J205" s="4"/>
      <c r="K205" s="10" t="str">
        <f t="shared" si="3"/>
        <v/>
      </c>
      <c r="L205" s="40" t="str">
        <f>IFERROR(VLOOKUP(M205,Lists!$T:$U,2,FALSE()),"Select an offense in col M to load the phone script →")</f>
        <v>Select an offense in col M to load the phone script →</v>
      </c>
      <c r="M205" s="4"/>
      <c r="N205" s="4"/>
      <c r="O205" s="4"/>
      <c r="P205" s="4"/>
      <c r="Q205" s="4"/>
      <c r="R205" s="8"/>
      <c r="S205" s="4"/>
      <c r="T205" s="4"/>
      <c r="U205" s="4"/>
    </row>
    <row r="206" spans="1:21" ht="60" customHeight="1" x14ac:dyDescent="0.45">
      <c r="A206" s="6"/>
      <c r="B206" s="6"/>
      <c r="C206" s="6"/>
      <c r="D206" s="10" t="str">
        <f>IFERROR(VLOOKUP(C206,'Incident Intake'!$E:$G,3,FALSE())&amp;" "&amp;VLOOKUP(C206,'Incident Intake'!$E:$F,2,FALSE()),"")</f>
        <v/>
      </c>
      <c r="E206" s="12"/>
      <c r="F206" s="6"/>
      <c r="G206" s="6"/>
      <c r="H206" s="6"/>
      <c r="I206" s="6"/>
      <c r="J206" s="6"/>
      <c r="K206" s="10" t="str">
        <f t="shared" si="3"/>
        <v/>
      </c>
      <c r="L206" s="41" t="str">
        <f>IFERROR(VLOOKUP(M206,Lists!$T:$U,2,FALSE()),"Select an offense in col M to load the phone script →")</f>
        <v>Select an offense in col M to load the phone script →</v>
      </c>
      <c r="M206" s="6"/>
      <c r="N206" s="6"/>
      <c r="O206" s="6"/>
      <c r="P206" s="6"/>
      <c r="Q206" s="6"/>
      <c r="R206" s="12"/>
      <c r="S206" s="6"/>
      <c r="T206" s="6"/>
      <c r="U206" s="6"/>
    </row>
    <row r="207" spans="1:21" ht="60" customHeight="1" x14ac:dyDescent="0.45">
      <c r="A207" s="4"/>
      <c r="B207" s="4"/>
      <c r="C207" s="4"/>
      <c r="D207" s="10" t="str">
        <f>IFERROR(VLOOKUP(C207,'Incident Intake'!$E:$G,3,FALSE())&amp;" "&amp;VLOOKUP(C207,'Incident Intake'!$E:$F,2,FALSE()),"")</f>
        <v/>
      </c>
      <c r="E207" s="8"/>
      <c r="F207" s="4"/>
      <c r="G207" s="4"/>
      <c r="H207" s="4"/>
      <c r="I207" s="4"/>
      <c r="J207" s="4"/>
      <c r="K207" s="10" t="str">
        <f t="shared" si="3"/>
        <v/>
      </c>
      <c r="L207" s="40" t="str">
        <f>IFERROR(VLOOKUP(M207,Lists!$T:$U,2,FALSE()),"Select an offense in col M to load the phone script →")</f>
        <v>Select an offense in col M to load the phone script →</v>
      </c>
      <c r="M207" s="4"/>
      <c r="N207" s="4"/>
      <c r="O207" s="4"/>
      <c r="P207" s="4"/>
      <c r="Q207" s="4"/>
      <c r="R207" s="8"/>
      <c r="S207" s="4"/>
      <c r="T207" s="4"/>
      <c r="U207" s="4"/>
    </row>
    <row r="208" spans="1:21" ht="60" customHeight="1" x14ac:dyDescent="0.45">
      <c r="A208" s="6"/>
      <c r="B208" s="6"/>
      <c r="C208" s="6"/>
      <c r="D208" s="10" t="str">
        <f>IFERROR(VLOOKUP(C208,'Incident Intake'!$E:$G,3,FALSE())&amp;" "&amp;VLOOKUP(C208,'Incident Intake'!$E:$F,2,FALSE()),"")</f>
        <v/>
      </c>
      <c r="E208" s="12"/>
      <c r="F208" s="6"/>
      <c r="G208" s="6"/>
      <c r="H208" s="6"/>
      <c r="I208" s="6"/>
      <c r="J208" s="6"/>
      <c r="K208" s="10" t="str">
        <f t="shared" si="3"/>
        <v/>
      </c>
      <c r="L208" s="41" t="str">
        <f>IFERROR(VLOOKUP(M208,Lists!$T:$U,2,FALSE()),"Select an offense in col M to load the phone script →")</f>
        <v>Select an offense in col M to load the phone script →</v>
      </c>
      <c r="M208" s="6"/>
      <c r="N208" s="6"/>
      <c r="O208" s="6"/>
      <c r="P208" s="6"/>
      <c r="Q208" s="6"/>
      <c r="R208" s="12"/>
      <c r="S208" s="6"/>
      <c r="T208" s="6"/>
      <c r="U208" s="6"/>
    </row>
    <row r="209" spans="1:21" ht="60" customHeight="1" x14ac:dyDescent="0.45">
      <c r="A209" s="4"/>
      <c r="B209" s="4"/>
      <c r="C209" s="4"/>
      <c r="D209" s="10" t="str">
        <f>IFERROR(VLOOKUP(C209,'Incident Intake'!$E:$G,3,FALSE())&amp;" "&amp;VLOOKUP(C209,'Incident Intake'!$E:$F,2,FALSE()),"")</f>
        <v/>
      </c>
      <c r="E209" s="8"/>
      <c r="F209" s="4"/>
      <c r="G209" s="4"/>
      <c r="H209" s="4"/>
      <c r="I209" s="4"/>
      <c r="J209" s="4"/>
      <c r="K209" s="10" t="str">
        <f t="shared" si="3"/>
        <v/>
      </c>
      <c r="L209" s="40" t="str">
        <f>IFERROR(VLOOKUP(M209,Lists!$T:$U,2,FALSE()),"Select an offense in col M to load the phone script →")</f>
        <v>Select an offense in col M to load the phone script →</v>
      </c>
      <c r="M209" s="4"/>
      <c r="N209" s="4"/>
      <c r="O209" s="4"/>
      <c r="P209" s="4"/>
      <c r="Q209" s="4"/>
      <c r="R209" s="8"/>
      <c r="S209" s="4"/>
      <c r="T209" s="4"/>
      <c r="U209" s="4"/>
    </row>
    <row r="210" spans="1:21" ht="60" customHeight="1" x14ac:dyDescent="0.45">
      <c r="A210" s="6"/>
      <c r="B210" s="6"/>
      <c r="C210" s="6"/>
      <c r="D210" s="10" t="str">
        <f>IFERROR(VLOOKUP(C210,'Incident Intake'!$E:$G,3,FALSE())&amp;" "&amp;VLOOKUP(C210,'Incident Intake'!$E:$F,2,FALSE()),"")</f>
        <v/>
      </c>
      <c r="E210" s="12"/>
      <c r="F210" s="6"/>
      <c r="G210" s="6"/>
      <c r="H210" s="6"/>
      <c r="I210" s="6"/>
      <c r="J210" s="6"/>
      <c r="K210" s="10" t="str">
        <f t="shared" si="3"/>
        <v/>
      </c>
      <c r="L210" s="41" t="str">
        <f>IFERROR(VLOOKUP(M210,Lists!$T:$U,2,FALSE()),"Select an offense in col M to load the phone script →")</f>
        <v>Select an offense in col M to load the phone script →</v>
      </c>
      <c r="M210" s="6"/>
      <c r="N210" s="6"/>
      <c r="O210" s="6"/>
      <c r="P210" s="6"/>
      <c r="Q210" s="6"/>
      <c r="R210" s="12"/>
      <c r="S210" s="6"/>
      <c r="T210" s="6"/>
      <c r="U210" s="6"/>
    </row>
    <row r="211" spans="1:21" ht="60" customHeight="1" x14ac:dyDescent="0.45">
      <c r="A211" s="4"/>
      <c r="B211" s="4"/>
      <c r="C211" s="4"/>
      <c r="D211" s="10" t="str">
        <f>IFERROR(VLOOKUP(C211,'Incident Intake'!$E:$G,3,FALSE())&amp;" "&amp;VLOOKUP(C211,'Incident Intake'!$E:$F,2,FALSE()),"")</f>
        <v/>
      </c>
      <c r="E211" s="8"/>
      <c r="F211" s="4"/>
      <c r="G211" s="4"/>
      <c r="H211" s="4"/>
      <c r="I211" s="4"/>
      <c r="J211" s="4"/>
      <c r="K211" s="10" t="str">
        <f t="shared" si="3"/>
        <v/>
      </c>
      <c r="L211" s="40" t="str">
        <f>IFERROR(VLOOKUP(M211,Lists!$T:$U,2,FALSE()),"Select an offense in col M to load the phone script →")</f>
        <v>Select an offense in col M to load the phone script →</v>
      </c>
      <c r="M211" s="4"/>
      <c r="N211" s="4"/>
      <c r="O211" s="4"/>
      <c r="P211" s="4"/>
      <c r="Q211" s="4"/>
      <c r="R211" s="8"/>
      <c r="S211" s="4"/>
      <c r="T211" s="4"/>
      <c r="U211" s="4"/>
    </row>
    <row r="212" spans="1:21" ht="60" customHeight="1" x14ac:dyDescent="0.45">
      <c r="A212" s="6"/>
      <c r="B212" s="6"/>
      <c r="C212" s="6"/>
      <c r="D212" s="10" t="str">
        <f>IFERROR(VLOOKUP(C212,'Incident Intake'!$E:$G,3,FALSE())&amp;" "&amp;VLOOKUP(C212,'Incident Intake'!$E:$F,2,FALSE()),"")</f>
        <v/>
      </c>
      <c r="E212" s="12"/>
      <c r="F212" s="6"/>
      <c r="G212" s="6"/>
      <c r="H212" s="6"/>
      <c r="I212" s="6"/>
      <c r="J212" s="6"/>
      <c r="K212" s="10" t="str">
        <f t="shared" si="3"/>
        <v/>
      </c>
      <c r="L212" s="41" t="str">
        <f>IFERROR(VLOOKUP(M212,Lists!$T:$U,2,FALSE()),"Select an offense in col M to load the phone script →")</f>
        <v>Select an offense in col M to load the phone script →</v>
      </c>
      <c r="M212" s="6"/>
      <c r="N212" s="6"/>
      <c r="O212" s="6"/>
      <c r="P212" s="6"/>
      <c r="Q212" s="6"/>
      <c r="R212" s="12"/>
      <c r="S212" s="6"/>
      <c r="T212" s="6"/>
      <c r="U212" s="6"/>
    </row>
    <row r="213" spans="1:21" ht="60" customHeight="1" x14ac:dyDescent="0.45">
      <c r="A213" s="4"/>
      <c r="B213" s="4"/>
      <c r="C213" s="4"/>
      <c r="D213" s="10" t="str">
        <f>IFERROR(VLOOKUP(C213,'Incident Intake'!$E:$G,3,FALSE())&amp;" "&amp;VLOOKUP(C213,'Incident Intake'!$E:$F,2,FALSE()),"")</f>
        <v/>
      </c>
      <c r="E213" s="8"/>
      <c r="F213" s="4"/>
      <c r="G213" s="4"/>
      <c r="H213" s="4"/>
      <c r="I213" s="4"/>
      <c r="J213" s="4"/>
      <c r="K213" s="10" t="str">
        <f t="shared" si="3"/>
        <v/>
      </c>
      <c r="L213" s="40" t="str">
        <f>IFERROR(VLOOKUP(M213,Lists!$T:$U,2,FALSE()),"Select an offense in col M to load the phone script →")</f>
        <v>Select an offense in col M to load the phone script →</v>
      </c>
      <c r="M213" s="4"/>
      <c r="N213" s="4"/>
      <c r="O213" s="4"/>
      <c r="P213" s="4"/>
      <c r="Q213" s="4"/>
      <c r="R213" s="8"/>
      <c r="S213" s="4"/>
      <c r="T213" s="4"/>
      <c r="U213" s="4"/>
    </row>
    <row r="214" spans="1:21" ht="60" customHeight="1" x14ac:dyDescent="0.45">
      <c r="A214" s="6"/>
      <c r="B214" s="6"/>
      <c r="C214" s="6"/>
      <c r="D214" s="10" t="str">
        <f>IFERROR(VLOOKUP(C214,'Incident Intake'!$E:$G,3,FALSE())&amp;" "&amp;VLOOKUP(C214,'Incident Intake'!$E:$F,2,FALSE()),"")</f>
        <v/>
      </c>
      <c r="E214" s="12"/>
      <c r="F214" s="6"/>
      <c r="G214" s="6"/>
      <c r="H214" s="6"/>
      <c r="I214" s="6"/>
      <c r="J214" s="6"/>
      <c r="K214" s="10" t="str">
        <f t="shared" si="3"/>
        <v/>
      </c>
      <c r="L214" s="41" t="str">
        <f>IFERROR(VLOOKUP(M214,Lists!$T:$U,2,FALSE()),"Select an offense in col M to load the phone script →")</f>
        <v>Select an offense in col M to load the phone script →</v>
      </c>
      <c r="M214" s="6"/>
      <c r="N214" s="6"/>
      <c r="O214" s="6"/>
      <c r="P214" s="6"/>
      <c r="Q214" s="6"/>
      <c r="R214" s="12"/>
      <c r="S214" s="6"/>
      <c r="T214" s="6"/>
      <c r="U214" s="6"/>
    </row>
    <row r="215" spans="1:21" ht="60" customHeight="1" x14ac:dyDescent="0.45">
      <c r="A215" s="4"/>
      <c r="B215" s="4"/>
      <c r="C215" s="4"/>
      <c r="D215" s="10" t="str">
        <f>IFERROR(VLOOKUP(C215,'Incident Intake'!$E:$G,3,FALSE())&amp;" "&amp;VLOOKUP(C215,'Incident Intake'!$E:$F,2,FALSE()),"")</f>
        <v/>
      </c>
      <c r="E215" s="8"/>
      <c r="F215" s="4"/>
      <c r="G215" s="4"/>
      <c r="H215" s="4"/>
      <c r="I215" s="4"/>
      <c r="J215" s="4"/>
      <c r="K215" s="10" t="str">
        <f t="shared" si="3"/>
        <v/>
      </c>
      <c r="L215" s="40" t="str">
        <f>IFERROR(VLOOKUP(M215,Lists!$T:$U,2,FALSE()),"Select an offense in col M to load the phone script →")</f>
        <v>Select an offense in col M to load the phone script →</v>
      </c>
      <c r="M215" s="4"/>
      <c r="N215" s="4"/>
      <c r="O215" s="4"/>
      <c r="P215" s="4"/>
      <c r="Q215" s="4"/>
      <c r="R215" s="8"/>
      <c r="S215" s="4"/>
      <c r="T215" s="4"/>
      <c r="U215" s="4"/>
    </row>
    <row r="216" spans="1:21" ht="60" customHeight="1" x14ac:dyDescent="0.45">
      <c r="A216" s="6"/>
      <c r="B216" s="6"/>
      <c r="C216" s="6"/>
      <c r="D216" s="10" t="str">
        <f>IFERROR(VLOOKUP(C216,'Incident Intake'!$E:$G,3,FALSE())&amp;" "&amp;VLOOKUP(C216,'Incident Intake'!$E:$F,2,FALSE()),"")</f>
        <v/>
      </c>
      <c r="E216" s="12"/>
      <c r="F216" s="6"/>
      <c r="G216" s="6"/>
      <c r="H216" s="6"/>
      <c r="I216" s="6"/>
      <c r="J216" s="6"/>
      <c r="K216" s="10" t="str">
        <f t="shared" si="3"/>
        <v/>
      </c>
      <c r="L216" s="41" t="str">
        <f>IFERROR(VLOOKUP(M216,Lists!$T:$U,2,FALSE()),"Select an offense in col M to load the phone script →")</f>
        <v>Select an offense in col M to load the phone script →</v>
      </c>
      <c r="M216" s="6"/>
      <c r="N216" s="6"/>
      <c r="O216" s="6"/>
      <c r="P216" s="6"/>
      <c r="Q216" s="6"/>
      <c r="R216" s="12"/>
      <c r="S216" s="6"/>
      <c r="T216" s="6"/>
      <c r="U216" s="6"/>
    </row>
    <row r="217" spans="1:21" ht="60" customHeight="1" x14ac:dyDescent="0.45">
      <c r="A217" s="4"/>
      <c r="B217" s="4"/>
      <c r="C217" s="4"/>
      <c r="D217" s="10" t="str">
        <f>IFERROR(VLOOKUP(C217,'Incident Intake'!$E:$G,3,FALSE())&amp;" "&amp;VLOOKUP(C217,'Incident Intake'!$E:$F,2,FALSE()),"")</f>
        <v/>
      </c>
      <c r="E217" s="8"/>
      <c r="F217" s="4"/>
      <c r="G217" s="4"/>
      <c r="H217" s="4"/>
      <c r="I217" s="4"/>
      <c r="J217" s="4"/>
      <c r="K217" s="10" t="str">
        <f t="shared" si="3"/>
        <v/>
      </c>
      <c r="L217" s="40" t="str">
        <f>IFERROR(VLOOKUP(M217,Lists!$T:$U,2,FALSE()),"Select an offense in col M to load the phone script →")</f>
        <v>Select an offense in col M to load the phone script →</v>
      </c>
      <c r="M217" s="4"/>
      <c r="N217" s="4"/>
      <c r="O217" s="4"/>
      <c r="P217" s="4"/>
      <c r="Q217" s="4"/>
      <c r="R217" s="8"/>
      <c r="S217" s="4"/>
      <c r="T217" s="4"/>
      <c r="U217" s="4"/>
    </row>
    <row r="218" spans="1:21" ht="60" customHeight="1" x14ac:dyDescent="0.45">
      <c r="A218" s="6"/>
      <c r="B218" s="6"/>
      <c r="C218" s="6"/>
      <c r="D218" s="10" t="str">
        <f>IFERROR(VLOOKUP(C218,'Incident Intake'!$E:$G,3,FALSE())&amp;" "&amp;VLOOKUP(C218,'Incident Intake'!$E:$F,2,FALSE()),"")</f>
        <v/>
      </c>
      <c r="E218" s="12"/>
      <c r="F218" s="6"/>
      <c r="G218" s="6"/>
      <c r="H218" s="6"/>
      <c r="I218" s="6"/>
      <c r="J218" s="6"/>
      <c r="K218" s="10" t="str">
        <f t="shared" si="3"/>
        <v/>
      </c>
      <c r="L218" s="41" t="str">
        <f>IFERROR(VLOOKUP(M218,Lists!$T:$U,2,FALSE()),"Select an offense in col M to load the phone script →")</f>
        <v>Select an offense in col M to load the phone script →</v>
      </c>
      <c r="M218" s="6"/>
      <c r="N218" s="6"/>
      <c r="O218" s="6"/>
      <c r="P218" s="6"/>
      <c r="Q218" s="6"/>
      <c r="R218" s="12"/>
      <c r="S218" s="6"/>
      <c r="T218" s="6"/>
      <c r="U218" s="6"/>
    </row>
    <row r="219" spans="1:21" ht="60" customHeight="1" x14ac:dyDescent="0.45">
      <c r="A219" s="4"/>
      <c r="B219" s="4"/>
      <c r="C219" s="4"/>
      <c r="D219" s="10" t="str">
        <f>IFERROR(VLOOKUP(C219,'Incident Intake'!$E:$G,3,FALSE())&amp;" "&amp;VLOOKUP(C219,'Incident Intake'!$E:$F,2,FALSE()),"")</f>
        <v/>
      </c>
      <c r="E219" s="8"/>
      <c r="F219" s="4"/>
      <c r="G219" s="4"/>
      <c r="H219" s="4"/>
      <c r="I219" s="4"/>
      <c r="J219" s="4"/>
      <c r="K219" s="10" t="str">
        <f t="shared" si="3"/>
        <v/>
      </c>
      <c r="L219" s="40" t="str">
        <f>IFERROR(VLOOKUP(M219,Lists!$T:$U,2,FALSE()),"Select an offense in col M to load the phone script →")</f>
        <v>Select an offense in col M to load the phone script →</v>
      </c>
      <c r="M219" s="4"/>
      <c r="N219" s="4"/>
      <c r="O219" s="4"/>
      <c r="P219" s="4"/>
      <c r="Q219" s="4"/>
      <c r="R219" s="8"/>
      <c r="S219" s="4"/>
      <c r="T219" s="4"/>
      <c r="U219" s="4"/>
    </row>
    <row r="220" spans="1:21" ht="60" customHeight="1" x14ac:dyDescent="0.45">
      <c r="A220" s="6"/>
      <c r="B220" s="6"/>
      <c r="C220" s="6"/>
      <c r="D220" s="10" t="str">
        <f>IFERROR(VLOOKUP(C220,'Incident Intake'!$E:$G,3,FALSE())&amp;" "&amp;VLOOKUP(C220,'Incident Intake'!$E:$F,2,FALSE()),"")</f>
        <v/>
      </c>
      <c r="E220" s="12"/>
      <c r="F220" s="6"/>
      <c r="G220" s="6"/>
      <c r="H220" s="6"/>
      <c r="I220" s="6"/>
      <c r="J220" s="6"/>
      <c r="K220" s="10" t="str">
        <f t="shared" si="3"/>
        <v/>
      </c>
      <c r="L220" s="41" t="str">
        <f>IFERROR(VLOOKUP(M220,Lists!$T:$U,2,FALSE()),"Select an offense in col M to load the phone script →")</f>
        <v>Select an offense in col M to load the phone script →</v>
      </c>
      <c r="M220" s="6"/>
      <c r="N220" s="6"/>
      <c r="O220" s="6"/>
      <c r="P220" s="6"/>
      <c r="Q220" s="6"/>
      <c r="R220" s="12"/>
      <c r="S220" s="6"/>
      <c r="T220" s="6"/>
      <c r="U220" s="6"/>
    </row>
    <row r="221" spans="1:21" ht="60" customHeight="1" x14ac:dyDescent="0.45">
      <c r="A221" s="4"/>
      <c r="B221" s="4"/>
      <c r="C221" s="4"/>
      <c r="D221" s="10" t="str">
        <f>IFERROR(VLOOKUP(C221,'Incident Intake'!$E:$G,3,FALSE())&amp;" "&amp;VLOOKUP(C221,'Incident Intake'!$E:$F,2,FALSE()),"")</f>
        <v/>
      </c>
      <c r="E221" s="8"/>
      <c r="F221" s="4"/>
      <c r="G221" s="4"/>
      <c r="H221" s="4"/>
      <c r="I221" s="4"/>
      <c r="J221" s="4"/>
      <c r="K221" s="10" t="str">
        <f t="shared" si="3"/>
        <v/>
      </c>
      <c r="L221" s="40" t="str">
        <f>IFERROR(VLOOKUP(M221,Lists!$T:$U,2,FALSE()),"Select an offense in col M to load the phone script →")</f>
        <v>Select an offense in col M to load the phone script →</v>
      </c>
      <c r="M221" s="4"/>
      <c r="N221" s="4"/>
      <c r="O221" s="4"/>
      <c r="P221" s="4"/>
      <c r="Q221" s="4"/>
      <c r="R221" s="8"/>
      <c r="S221" s="4"/>
      <c r="T221" s="4"/>
      <c r="U221" s="4"/>
    </row>
    <row r="222" spans="1:21" ht="60" customHeight="1" x14ac:dyDescent="0.45">
      <c r="A222" s="6"/>
      <c r="B222" s="6"/>
      <c r="C222" s="6"/>
      <c r="D222" s="10" t="str">
        <f>IFERROR(VLOOKUP(C222,'Incident Intake'!$E:$G,3,FALSE())&amp;" "&amp;VLOOKUP(C222,'Incident Intake'!$E:$F,2,FALSE()),"")</f>
        <v/>
      </c>
      <c r="E222" s="12"/>
      <c r="F222" s="6"/>
      <c r="G222" s="6"/>
      <c r="H222" s="6"/>
      <c r="I222" s="6"/>
      <c r="J222" s="6"/>
      <c r="K222" s="10" t="str">
        <f t="shared" si="3"/>
        <v/>
      </c>
      <c r="L222" s="41" t="str">
        <f>IFERROR(VLOOKUP(M222,Lists!$T:$U,2,FALSE()),"Select an offense in col M to load the phone script →")</f>
        <v>Select an offense in col M to load the phone script →</v>
      </c>
      <c r="M222" s="6"/>
      <c r="N222" s="6"/>
      <c r="O222" s="6"/>
      <c r="P222" s="6"/>
      <c r="Q222" s="6"/>
      <c r="R222" s="12"/>
      <c r="S222" s="6"/>
      <c r="T222" s="6"/>
      <c r="U222" s="6"/>
    </row>
    <row r="223" spans="1:21" ht="60" customHeight="1" x14ac:dyDescent="0.45">
      <c r="A223" s="4"/>
      <c r="B223" s="4"/>
      <c r="C223" s="4"/>
      <c r="D223" s="10" t="str">
        <f>IFERROR(VLOOKUP(C223,'Incident Intake'!$E:$G,3,FALSE())&amp;" "&amp;VLOOKUP(C223,'Incident Intake'!$E:$F,2,FALSE()),"")</f>
        <v/>
      </c>
      <c r="E223" s="8"/>
      <c r="F223" s="4"/>
      <c r="G223" s="4"/>
      <c r="H223" s="4"/>
      <c r="I223" s="4"/>
      <c r="J223" s="4"/>
      <c r="K223" s="10" t="str">
        <f t="shared" si="3"/>
        <v/>
      </c>
      <c r="L223" s="40" t="str">
        <f>IFERROR(VLOOKUP(M223,Lists!$T:$U,2,FALSE()),"Select an offense in col M to load the phone script →")</f>
        <v>Select an offense in col M to load the phone script →</v>
      </c>
      <c r="M223" s="4"/>
      <c r="N223" s="4"/>
      <c r="O223" s="4"/>
      <c r="P223" s="4"/>
      <c r="Q223" s="4"/>
      <c r="R223" s="8"/>
      <c r="S223" s="4"/>
      <c r="T223" s="4"/>
      <c r="U223" s="4"/>
    </row>
    <row r="224" spans="1:21" ht="60" customHeight="1" x14ac:dyDescent="0.45">
      <c r="A224" s="6"/>
      <c r="B224" s="6"/>
      <c r="C224" s="6"/>
      <c r="D224" s="10" t="str">
        <f>IFERROR(VLOOKUP(C224,'Incident Intake'!$E:$G,3,FALSE())&amp;" "&amp;VLOOKUP(C224,'Incident Intake'!$E:$F,2,FALSE()),"")</f>
        <v/>
      </c>
      <c r="E224" s="12"/>
      <c r="F224" s="6"/>
      <c r="G224" s="6"/>
      <c r="H224" s="6"/>
      <c r="I224" s="6"/>
      <c r="J224" s="6"/>
      <c r="K224" s="10" t="str">
        <f t="shared" si="3"/>
        <v/>
      </c>
      <c r="L224" s="41" t="str">
        <f>IFERROR(VLOOKUP(M224,Lists!$T:$U,2,FALSE()),"Select an offense in col M to load the phone script →")</f>
        <v>Select an offense in col M to load the phone script →</v>
      </c>
      <c r="M224" s="6"/>
      <c r="N224" s="6"/>
      <c r="O224" s="6"/>
      <c r="P224" s="6"/>
      <c r="Q224" s="6"/>
      <c r="R224" s="12"/>
      <c r="S224" s="6"/>
      <c r="T224" s="6"/>
      <c r="U224" s="6"/>
    </row>
    <row r="225" spans="1:21" ht="60" customHeight="1" x14ac:dyDescent="0.45">
      <c r="A225" s="4"/>
      <c r="B225" s="4"/>
      <c r="C225" s="4"/>
      <c r="D225" s="10" t="str">
        <f>IFERROR(VLOOKUP(C225,'Incident Intake'!$E:$G,3,FALSE())&amp;" "&amp;VLOOKUP(C225,'Incident Intake'!$E:$F,2,FALSE()),"")</f>
        <v/>
      </c>
      <c r="E225" s="8"/>
      <c r="F225" s="4"/>
      <c r="G225" s="4"/>
      <c r="H225" s="4"/>
      <c r="I225" s="4"/>
      <c r="J225" s="4"/>
      <c r="K225" s="10" t="str">
        <f t="shared" si="3"/>
        <v/>
      </c>
      <c r="L225" s="40" t="str">
        <f>IFERROR(VLOOKUP(M225,Lists!$T:$U,2,FALSE()),"Select an offense in col M to load the phone script →")</f>
        <v>Select an offense in col M to load the phone script →</v>
      </c>
      <c r="M225" s="4"/>
      <c r="N225" s="4"/>
      <c r="O225" s="4"/>
      <c r="P225" s="4"/>
      <c r="Q225" s="4"/>
      <c r="R225" s="8"/>
      <c r="S225" s="4"/>
      <c r="T225" s="4"/>
      <c r="U225" s="4"/>
    </row>
    <row r="226" spans="1:21" ht="60" customHeight="1" x14ac:dyDescent="0.45">
      <c r="A226" s="6"/>
      <c r="B226" s="6"/>
      <c r="C226" s="6"/>
      <c r="D226" s="10" t="str">
        <f>IFERROR(VLOOKUP(C226,'Incident Intake'!$E:$G,3,FALSE())&amp;" "&amp;VLOOKUP(C226,'Incident Intake'!$E:$F,2,FALSE()),"")</f>
        <v/>
      </c>
      <c r="E226" s="12"/>
      <c r="F226" s="6"/>
      <c r="G226" s="6"/>
      <c r="H226" s="6"/>
      <c r="I226" s="6"/>
      <c r="J226" s="6"/>
      <c r="K226" s="10" t="str">
        <f t="shared" si="3"/>
        <v/>
      </c>
      <c r="L226" s="41" t="str">
        <f>IFERROR(VLOOKUP(M226,Lists!$T:$U,2,FALSE()),"Select an offense in col M to load the phone script →")</f>
        <v>Select an offense in col M to load the phone script →</v>
      </c>
      <c r="M226" s="6"/>
      <c r="N226" s="6"/>
      <c r="O226" s="6"/>
      <c r="P226" s="6"/>
      <c r="Q226" s="6"/>
      <c r="R226" s="12"/>
      <c r="S226" s="6"/>
      <c r="T226" s="6"/>
      <c r="U226" s="6"/>
    </row>
    <row r="227" spans="1:21" ht="60" customHeight="1" x14ac:dyDescent="0.45">
      <c r="A227" s="4"/>
      <c r="B227" s="4"/>
      <c r="C227" s="4"/>
      <c r="D227" s="10" t="str">
        <f>IFERROR(VLOOKUP(C227,'Incident Intake'!$E:$G,3,FALSE())&amp;" "&amp;VLOOKUP(C227,'Incident Intake'!$E:$F,2,FALSE()),"")</f>
        <v/>
      </c>
      <c r="E227" s="8"/>
      <c r="F227" s="4"/>
      <c r="G227" s="4"/>
      <c r="H227" s="4"/>
      <c r="I227" s="4"/>
      <c r="J227" s="4"/>
      <c r="K227" s="10" t="str">
        <f t="shared" si="3"/>
        <v/>
      </c>
      <c r="L227" s="40" t="str">
        <f>IFERROR(VLOOKUP(M227,Lists!$T:$U,2,FALSE()),"Select an offense in col M to load the phone script →")</f>
        <v>Select an offense in col M to load the phone script →</v>
      </c>
      <c r="M227" s="4"/>
      <c r="N227" s="4"/>
      <c r="O227" s="4"/>
      <c r="P227" s="4"/>
      <c r="Q227" s="4"/>
      <c r="R227" s="8"/>
      <c r="S227" s="4"/>
      <c r="T227" s="4"/>
      <c r="U227" s="4"/>
    </row>
    <row r="228" spans="1:21" ht="60" customHeight="1" x14ac:dyDescent="0.45">
      <c r="A228" s="6"/>
      <c r="B228" s="6"/>
      <c r="C228" s="6"/>
      <c r="D228" s="10" t="str">
        <f>IFERROR(VLOOKUP(C228,'Incident Intake'!$E:$G,3,FALSE())&amp;" "&amp;VLOOKUP(C228,'Incident Intake'!$E:$F,2,FALSE()),"")</f>
        <v/>
      </c>
      <c r="E228" s="12"/>
      <c r="F228" s="6"/>
      <c r="G228" s="6"/>
      <c r="H228" s="6"/>
      <c r="I228" s="6"/>
      <c r="J228" s="6"/>
      <c r="K228" s="10" t="str">
        <f t="shared" si="3"/>
        <v/>
      </c>
      <c r="L228" s="41" t="str">
        <f>IFERROR(VLOOKUP(M228,Lists!$T:$U,2,FALSE()),"Select an offense in col M to load the phone script →")</f>
        <v>Select an offense in col M to load the phone script →</v>
      </c>
      <c r="M228" s="6"/>
      <c r="N228" s="6"/>
      <c r="O228" s="6"/>
      <c r="P228" s="6"/>
      <c r="Q228" s="6"/>
      <c r="R228" s="12"/>
      <c r="S228" s="6"/>
      <c r="T228" s="6"/>
      <c r="U228" s="6"/>
    </row>
    <row r="229" spans="1:21" ht="60" customHeight="1" x14ac:dyDescent="0.45">
      <c r="A229" s="4"/>
      <c r="B229" s="4"/>
      <c r="C229" s="4"/>
      <c r="D229" s="10" t="str">
        <f>IFERROR(VLOOKUP(C229,'Incident Intake'!$E:$G,3,FALSE())&amp;" "&amp;VLOOKUP(C229,'Incident Intake'!$E:$F,2,FALSE()),"")</f>
        <v/>
      </c>
      <c r="E229" s="8"/>
      <c r="F229" s="4"/>
      <c r="G229" s="4"/>
      <c r="H229" s="4"/>
      <c r="I229" s="4"/>
      <c r="J229" s="4"/>
      <c r="K229" s="10" t="str">
        <f t="shared" si="3"/>
        <v/>
      </c>
      <c r="L229" s="40" t="str">
        <f>IFERROR(VLOOKUP(M229,Lists!$T:$U,2,FALSE()),"Select an offense in col M to load the phone script →")</f>
        <v>Select an offense in col M to load the phone script →</v>
      </c>
      <c r="M229" s="4"/>
      <c r="N229" s="4"/>
      <c r="O229" s="4"/>
      <c r="P229" s="4"/>
      <c r="Q229" s="4"/>
      <c r="R229" s="8"/>
      <c r="S229" s="4"/>
      <c r="T229" s="4"/>
      <c r="U229" s="4"/>
    </row>
    <row r="230" spans="1:21" ht="60" customHeight="1" x14ac:dyDescent="0.45">
      <c r="A230" s="6"/>
      <c r="B230" s="6"/>
      <c r="C230" s="6"/>
      <c r="D230" s="10" t="str">
        <f>IFERROR(VLOOKUP(C230,'Incident Intake'!$E:$G,3,FALSE())&amp;" "&amp;VLOOKUP(C230,'Incident Intake'!$E:$F,2,FALSE()),"")</f>
        <v/>
      </c>
      <c r="E230" s="12"/>
      <c r="F230" s="6"/>
      <c r="G230" s="6"/>
      <c r="H230" s="6"/>
      <c r="I230" s="6"/>
      <c r="J230" s="6"/>
      <c r="K230" s="10" t="str">
        <f t="shared" si="3"/>
        <v/>
      </c>
      <c r="L230" s="41" t="str">
        <f>IFERROR(VLOOKUP(M230,Lists!$T:$U,2,FALSE()),"Select an offense in col M to load the phone script →")</f>
        <v>Select an offense in col M to load the phone script →</v>
      </c>
      <c r="M230" s="6"/>
      <c r="N230" s="6"/>
      <c r="O230" s="6"/>
      <c r="P230" s="6"/>
      <c r="Q230" s="6"/>
      <c r="R230" s="12"/>
      <c r="S230" s="6"/>
      <c r="T230" s="6"/>
      <c r="U230" s="6"/>
    </row>
    <row r="231" spans="1:21" ht="60" customHeight="1" x14ac:dyDescent="0.45">
      <c r="A231" s="4"/>
      <c r="B231" s="4"/>
      <c r="C231" s="4"/>
      <c r="D231" s="10" t="str">
        <f>IFERROR(VLOOKUP(C231,'Incident Intake'!$E:$G,3,FALSE())&amp;" "&amp;VLOOKUP(C231,'Incident Intake'!$E:$F,2,FALSE()),"")</f>
        <v/>
      </c>
      <c r="E231" s="8"/>
      <c r="F231" s="4"/>
      <c r="G231" s="4"/>
      <c r="H231" s="4"/>
      <c r="I231" s="4"/>
      <c r="J231" s="4"/>
      <c r="K231" s="10" t="str">
        <f t="shared" si="3"/>
        <v/>
      </c>
      <c r="L231" s="40" t="str">
        <f>IFERROR(VLOOKUP(M231,Lists!$T:$U,2,FALSE()),"Select an offense in col M to load the phone script →")</f>
        <v>Select an offense in col M to load the phone script →</v>
      </c>
      <c r="M231" s="4"/>
      <c r="N231" s="4"/>
      <c r="O231" s="4"/>
      <c r="P231" s="4"/>
      <c r="Q231" s="4"/>
      <c r="R231" s="8"/>
      <c r="S231" s="4"/>
      <c r="T231" s="4"/>
      <c r="U231" s="4"/>
    </row>
    <row r="232" spans="1:21" ht="60" customHeight="1" x14ac:dyDescent="0.45">
      <c r="A232" s="6"/>
      <c r="B232" s="6"/>
      <c r="C232" s="6"/>
      <c r="D232" s="10" t="str">
        <f>IFERROR(VLOOKUP(C232,'Incident Intake'!$E:$G,3,FALSE())&amp;" "&amp;VLOOKUP(C232,'Incident Intake'!$E:$F,2,FALSE()),"")</f>
        <v/>
      </c>
      <c r="E232" s="12"/>
      <c r="F232" s="6"/>
      <c r="G232" s="6"/>
      <c r="H232" s="6"/>
      <c r="I232" s="6"/>
      <c r="J232" s="6"/>
      <c r="K232" s="10" t="str">
        <f t="shared" si="3"/>
        <v/>
      </c>
      <c r="L232" s="41" t="str">
        <f>IFERROR(VLOOKUP(M232,Lists!$T:$U,2,FALSE()),"Select an offense in col M to load the phone script →")</f>
        <v>Select an offense in col M to load the phone script →</v>
      </c>
      <c r="M232" s="6"/>
      <c r="N232" s="6"/>
      <c r="O232" s="6"/>
      <c r="P232" s="6"/>
      <c r="Q232" s="6"/>
      <c r="R232" s="12"/>
      <c r="S232" s="6"/>
      <c r="T232" s="6"/>
      <c r="U232" s="6"/>
    </row>
    <row r="233" spans="1:21" ht="60" customHeight="1" x14ac:dyDescent="0.45">
      <c r="A233" s="4"/>
      <c r="B233" s="4"/>
      <c r="C233" s="4"/>
      <c r="D233" s="10" t="str">
        <f>IFERROR(VLOOKUP(C233,'Incident Intake'!$E:$G,3,FALSE())&amp;" "&amp;VLOOKUP(C233,'Incident Intake'!$E:$F,2,FALSE()),"")</f>
        <v/>
      </c>
      <c r="E233" s="8"/>
      <c r="F233" s="4"/>
      <c r="G233" s="4"/>
      <c r="H233" s="4"/>
      <c r="I233" s="4"/>
      <c r="J233" s="4"/>
      <c r="K233" s="10" t="str">
        <f t="shared" si="3"/>
        <v/>
      </c>
      <c r="L233" s="40" t="str">
        <f>IFERROR(VLOOKUP(M233,Lists!$T:$U,2,FALSE()),"Select an offense in col M to load the phone script →")</f>
        <v>Select an offense in col M to load the phone script →</v>
      </c>
      <c r="M233" s="4"/>
      <c r="N233" s="4"/>
      <c r="O233" s="4"/>
      <c r="P233" s="4"/>
      <c r="Q233" s="4"/>
      <c r="R233" s="8"/>
      <c r="S233" s="4"/>
      <c r="T233" s="4"/>
      <c r="U233" s="4"/>
    </row>
    <row r="234" spans="1:21" ht="60" customHeight="1" x14ac:dyDescent="0.45">
      <c r="A234" s="6"/>
      <c r="B234" s="6"/>
      <c r="C234" s="6"/>
      <c r="D234" s="10" t="str">
        <f>IFERROR(VLOOKUP(C234,'Incident Intake'!$E:$G,3,FALSE())&amp;" "&amp;VLOOKUP(C234,'Incident Intake'!$E:$F,2,FALSE()),"")</f>
        <v/>
      </c>
      <c r="E234" s="12"/>
      <c r="F234" s="6"/>
      <c r="G234" s="6"/>
      <c r="H234" s="6"/>
      <c r="I234" s="6"/>
      <c r="J234" s="6"/>
      <c r="K234" s="10" t="str">
        <f t="shared" si="3"/>
        <v/>
      </c>
      <c r="L234" s="41" t="str">
        <f>IFERROR(VLOOKUP(M234,Lists!$T:$U,2,FALSE()),"Select an offense in col M to load the phone script →")</f>
        <v>Select an offense in col M to load the phone script →</v>
      </c>
      <c r="M234" s="6"/>
      <c r="N234" s="6"/>
      <c r="O234" s="6"/>
      <c r="P234" s="6"/>
      <c r="Q234" s="6"/>
      <c r="R234" s="12"/>
      <c r="S234" s="6"/>
      <c r="T234" s="6"/>
      <c r="U234" s="6"/>
    </row>
    <row r="235" spans="1:21" ht="60" customHeight="1" x14ac:dyDescent="0.45">
      <c r="A235" s="4"/>
      <c r="B235" s="4"/>
      <c r="C235" s="4"/>
      <c r="D235" s="10" t="str">
        <f>IFERROR(VLOOKUP(C235,'Incident Intake'!$E:$G,3,FALSE())&amp;" "&amp;VLOOKUP(C235,'Incident Intake'!$E:$F,2,FALSE()),"")</f>
        <v/>
      </c>
      <c r="E235" s="8"/>
      <c r="F235" s="4"/>
      <c r="G235" s="4"/>
      <c r="H235" s="4"/>
      <c r="I235" s="4"/>
      <c r="J235" s="4"/>
      <c r="K235" s="10" t="str">
        <f t="shared" si="3"/>
        <v/>
      </c>
      <c r="L235" s="40" t="str">
        <f>IFERROR(VLOOKUP(M235,Lists!$T:$U,2,FALSE()),"Select an offense in col M to load the phone script →")</f>
        <v>Select an offense in col M to load the phone script →</v>
      </c>
      <c r="M235" s="4"/>
      <c r="N235" s="4"/>
      <c r="O235" s="4"/>
      <c r="P235" s="4"/>
      <c r="Q235" s="4"/>
      <c r="R235" s="8"/>
      <c r="S235" s="4"/>
      <c r="T235" s="4"/>
      <c r="U235" s="4"/>
    </row>
    <row r="236" spans="1:21" ht="60" customHeight="1" x14ac:dyDescent="0.45">
      <c r="A236" s="6"/>
      <c r="B236" s="6"/>
      <c r="C236" s="6"/>
      <c r="D236" s="10" t="str">
        <f>IFERROR(VLOOKUP(C236,'Incident Intake'!$E:$G,3,FALSE())&amp;" "&amp;VLOOKUP(C236,'Incident Intake'!$E:$F,2,FALSE()),"")</f>
        <v/>
      </c>
      <c r="E236" s="12"/>
      <c r="F236" s="6"/>
      <c r="G236" s="6"/>
      <c r="H236" s="6"/>
      <c r="I236" s="6"/>
      <c r="J236" s="6"/>
      <c r="K236" s="10" t="str">
        <f t="shared" si="3"/>
        <v/>
      </c>
      <c r="L236" s="41" t="str">
        <f>IFERROR(VLOOKUP(M236,Lists!$T:$U,2,FALSE()),"Select an offense in col M to load the phone script →")</f>
        <v>Select an offense in col M to load the phone script →</v>
      </c>
      <c r="M236" s="6"/>
      <c r="N236" s="6"/>
      <c r="O236" s="6"/>
      <c r="P236" s="6"/>
      <c r="Q236" s="6"/>
      <c r="R236" s="12"/>
      <c r="S236" s="6"/>
      <c r="T236" s="6"/>
      <c r="U236" s="6"/>
    </row>
    <row r="237" spans="1:21" ht="60" customHeight="1" x14ac:dyDescent="0.45">
      <c r="A237" s="4"/>
      <c r="B237" s="4"/>
      <c r="C237" s="4"/>
      <c r="D237" s="10" t="str">
        <f>IFERROR(VLOOKUP(C237,'Incident Intake'!$E:$G,3,FALSE())&amp;" "&amp;VLOOKUP(C237,'Incident Intake'!$E:$F,2,FALSE()),"")</f>
        <v/>
      </c>
      <c r="E237" s="8"/>
      <c r="F237" s="4"/>
      <c r="G237" s="4"/>
      <c r="H237" s="4"/>
      <c r="I237" s="4"/>
      <c r="J237" s="4"/>
      <c r="K237" s="10" t="str">
        <f t="shared" si="3"/>
        <v/>
      </c>
      <c r="L237" s="40" t="str">
        <f>IFERROR(VLOOKUP(M237,Lists!$T:$U,2,FALSE()),"Select an offense in col M to load the phone script →")</f>
        <v>Select an offense in col M to load the phone script →</v>
      </c>
      <c r="M237" s="4"/>
      <c r="N237" s="4"/>
      <c r="O237" s="4"/>
      <c r="P237" s="4"/>
      <c r="Q237" s="4"/>
      <c r="R237" s="8"/>
      <c r="S237" s="4"/>
      <c r="T237" s="4"/>
      <c r="U237" s="4"/>
    </row>
    <row r="238" spans="1:21" ht="60" customHeight="1" x14ac:dyDescent="0.45">
      <c r="A238" s="6"/>
      <c r="B238" s="6"/>
      <c r="C238" s="6"/>
      <c r="D238" s="10" t="str">
        <f>IFERROR(VLOOKUP(C238,'Incident Intake'!$E:$G,3,FALSE())&amp;" "&amp;VLOOKUP(C238,'Incident Intake'!$E:$F,2,FALSE()),"")</f>
        <v/>
      </c>
      <c r="E238" s="12"/>
      <c r="F238" s="6"/>
      <c r="G238" s="6"/>
      <c r="H238" s="6"/>
      <c r="I238" s="6"/>
      <c r="J238" s="6"/>
      <c r="K238" s="10" t="str">
        <f t="shared" si="3"/>
        <v/>
      </c>
      <c r="L238" s="41" t="str">
        <f>IFERROR(VLOOKUP(M238,Lists!$T:$U,2,FALSE()),"Select an offense in col M to load the phone script →")</f>
        <v>Select an offense in col M to load the phone script →</v>
      </c>
      <c r="M238" s="6"/>
      <c r="N238" s="6"/>
      <c r="O238" s="6"/>
      <c r="P238" s="6"/>
      <c r="Q238" s="6"/>
      <c r="R238" s="12"/>
      <c r="S238" s="6"/>
      <c r="T238" s="6"/>
      <c r="U238" s="6"/>
    </row>
    <row r="239" spans="1:21" ht="60" customHeight="1" x14ac:dyDescent="0.45">
      <c r="A239" s="4"/>
      <c r="B239" s="4"/>
      <c r="C239" s="4"/>
      <c r="D239" s="10" t="str">
        <f>IFERROR(VLOOKUP(C239,'Incident Intake'!$E:$G,3,FALSE())&amp;" "&amp;VLOOKUP(C239,'Incident Intake'!$E:$F,2,FALSE()),"")</f>
        <v/>
      </c>
      <c r="E239" s="8"/>
      <c r="F239" s="4"/>
      <c r="G239" s="4"/>
      <c r="H239" s="4"/>
      <c r="I239" s="4"/>
      <c r="J239" s="4"/>
      <c r="K239" s="10" t="str">
        <f t="shared" si="3"/>
        <v/>
      </c>
      <c r="L239" s="40" t="str">
        <f>IFERROR(VLOOKUP(M239,Lists!$T:$U,2,FALSE()),"Select an offense in col M to load the phone script →")</f>
        <v>Select an offense in col M to load the phone script →</v>
      </c>
      <c r="M239" s="4"/>
      <c r="N239" s="4"/>
      <c r="O239" s="4"/>
      <c r="P239" s="4"/>
      <c r="Q239" s="4"/>
      <c r="R239" s="8"/>
      <c r="S239" s="4"/>
      <c r="T239" s="4"/>
      <c r="U239" s="4"/>
    </row>
    <row r="240" spans="1:21" ht="60" customHeight="1" x14ac:dyDescent="0.45">
      <c r="A240" s="6"/>
      <c r="B240" s="6"/>
      <c r="C240" s="6"/>
      <c r="D240" s="10" t="str">
        <f>IFERROR(VLOOKUP(C240,'Incident Intake'!$E:$G,3,FALSE())&amp;" "&amp;VLOOKUP(C240,'Incident Intake'!$E:$F,2,FALSE()),"")</f>
        <v/>
      </c>
      <c r="E240" s="12"/>
      <c r="F240" s="6"/>
      <c r="G240" s="6"/>
      <c r="H240" s="6"/>
      <c r="I240" s="6"/>
      <c r="J240" s="6"/>
      <c r="K240" s="10" t="str">
        <f t="shared" si="3"/>
        <v/>
      </c>
      <c r="L240" s="41" t="str">
        <f>IFERROR(VLOOKUP(M240,Lists!$T:$U,2,FALSE()),"Select an offense in col M to load the phone script →")</f>
        <v>Select an offense in col M to load the phone script →</v>
      </c>
      <c r="M240" s="6"/>
      <c r="N240" s="6"/>
      <c r="O240" s="6"/>
      <c r="P240" s="6"/>
      <c r="Q240" s="6"/>
      <c r="R240" s="12"/>
      <c r="S240" s="6"/>
      <c r="T240" s="6"/>
      <c r="U240" s="6"/>
    </row>
    <row r="241" spans="1:21" ht="60" customHeight="1" x14ac:dyDescent="0.45">
      <c r="A241" s="4"/>
      <c r="B241" s="4"/>
      <c r="C241" s="4"/>
      <c r="D241" s="10" t="str">
        <f>IFERROR(VLOOKUP(C241,'Incident Intake'!$E:$G,3,FALSE())&amp;" "&amp;VLOOKUP(C241,'Incident Intake'!$E:$F,2,FALSE()),"")</f>
        <v/>
      </c>
      <c r="E241" s="8"/>
      <c r="F241" s="4"/>
      <c r="G241" s="4"/>
      <c r="H241" s="4"/>
      <c r="I241" s="4"/>
      <c r="J241" s="4"/>
      <c r="K241" s="10" t="str">
        <f t="shared" si="3"/>
        <v/>
      </c>
      <c r="L241" s="40" t="str">
        <f>IFERROR(VLOOKUP(M241,Lists!$T:$U,2,FALSE()),"Select an offense in col M to load the phone script →")</f>
        <v>Select an offense in col M to load the phone script →</v>
      </c>
      <c r="M241" s="4"/>
      <c r="N241" s="4"/>
      <c r="O241" s="4"/>
      <c r="P241" s="4"/>
      <c r="Q241" s="4"/>
      <c r="R241" s="8"/>
      <c r="S241" s="4"/>
      <c r="T241" s="4"/>
      <c r="U241" s="4"/>
    </row>
    <row r="242" spans="1:21" ht="60" customHeight="1" x14ac:dyDescent="0.45">
      <c r="A242" s="6"/>
      <c r="B242" s="6"/>
      <c r="C242" s="6"/>
      <c r="D242" s="10" t="str">
        <f>IFERROR(VLOOKUP(C242,'Incident Intake'!$E:$G,3,FALSE())&amp;" "&amp;VLOOKUP(C242,'Incident Intake'!$E:$F,2,FALSE()),"")</f>
        <v/>
      </c>
      <c r="E242" s="12"/>
      <c r="F242" s="6"/>
      <c r="G242" s="6"/>
      <c r="H242" s="6"/>
      <c r="I242" s="6"/>
      <c r="J242" s="6"/>
      <c r="K242" s="10" t="str">
        <f t="shared" si="3"/>
        <v/>
      </c>
      <c r="L242" s="41" t="str">
        <f>IFERROR(VLOOKUP(M242,Lists!$T:$U,2,FALSE()),"Select an offense in col M to load the phone script →")</f>
        <v>Select an offense in col M to load the phone script →</v>
      </c>
      <c r="M242" s="6"/>
      <c r="N242" s="6"/>
      <c r="O242" s="6"/>
      <c r="P242" s="6"/>
      <c r="Q242" s="6"/>
      <c r="R242" s="12"/>
      <c r="S242" s="6"/>
      <c r="T242" s="6"/>
      <c r="U242" s="6"/>
    </row>
    <row r="243" spans="1:21" ht="60" customHeight="1" x14ac:dyDescent="0.45">
      <c r="A243" s="4"/>
      <c r="B243" s="4"/>
      <c r="C243" s="4"/>
      <c r="D243" s="10" t="str">
        <f>IFERROR(VLOOKUP(C243,'Incident Intake'!$E:$G,3,FALSE())&amp;" "&amp;VLOOKUP(C243,'Incident Intake'!$E:$F,2,FALSE()),"")</f>
        <v/>
      </c>
      <c r="E243" s="8"/>
      <c r="F243" s="4"/>
      <c r="G243" s="4"/>
      <c r="H243" s="4"/>
      <c r="I243" s="4"/>
      <c r="J243" s="4"/>
      <c r="K243" s="10" t="str">
        <f t="shared" si="3"/>
        <v/>
      </c>
      <c r="L243" s="40" t="str">
        <f>IFERROR(VLOOKUP(M243,Lists!$T:$U,2,FALSE()),"Select an offense in col M to load the phone script →")</f>
        <v>Select an offense in col M to load the phone script →</v>
      </c>
      <c r="M243" s="4"/>
      <c r="N243" s="4"/>
      <c r="O243" s="4"/>
      <c r="P243" s="4"/>
      <c r="Q243" s="4"/>
      <c r="R243" s="8"/>
      <c r="S243" s="4"/>
      <c r="T243" s="4"/>
      <c r="U243" s="4"/>
    </row>
    <row r="244" spans="1:21" ht="60" customHeight="1" x14ac:dyDescent="0.45">
      <c r="A244" s="6"/>
      <c r="B244" s="6"/>
      <c r="C244" s="6"/>
      <c r="D244" s="10" t="str">
        <f>IFERROR(VLOOKUP(C244,'Incident Intake'!$E:$G,3,FALSE())&amp;" "&amp;VLOOKUP(C244,'Incident Intake'!$E:$F,2,FALSE()),"")</f>
        <v/>
      </c>
      <c r="E244" s="12"/>
      <c r="F244" s="6"/>
      <c r="G244" s="6"/>
      <c r="H244" s="6"/>
      <c r="I244" s="6"/>
      <c r="J244" s="6"/>
      <c r="K244" s="10" t="str">
        <f t="shared" si="3"/>
        <v/>
      </c>
      <c r="L244" s="41" t="str">
        <f>IFERROR(VLOOKUP(M244,Lists!$T:$U,2,FALSE()),"Select an offense in col M to load the phone script →")</f>
        <v>Select an offense in col M to load the phone script →</v>
      </c>
      <c r="M244" s="6"/>
      <c r="N244" s="6"/>
      <c r="O244" s="6"/>
      <c r="P244" s="6"/>
      <c r="Q244" s="6"/>
      <c r="R244" s="12"/>
      <c r="S244" s="6"/>
      <c r="T244" s="6"/>
      <c r="U244" s="6"/>
    </row>
    <row r="245" spans="1:21" ht="60" customHeight="1" x14ac:dyDescent="0.45">
      <c r="A245" s="4"/>
      <c r="B245" s="4"/>
      <c r="C245" s="4"/>
      <c r="D245" s="10" t="str">
        <f>IFERROR(VLOOKUP(C245,'Incident Intake'!$E:$G,3,FALSE())&amp;" "&amp;VLOOKUP(C245,'Incident Intake'!$E:$F,2,FALSE()),"")</f>
        <v/>
      </c>
      <c r="E245" s="8"/>
      <c r="F245" s="4"/>
      <c r="G245" s="4"/>
      <c r="H245" s="4"/>
      <c r="I245" s="4"/>
      <c r="J245" s="4"/>
      <c r="K245" s="10" t="str">
        <f t="shared" si="3"/>
        <v/>
      </c>
      <c r="L245" s="40" t="str">
        <f>IFERROR(VLOOKUP(M245,Lists!$T:$U,2,FALSE()),"Select an offense in col M to load the phone script →")</f>
        <v>Select an offense in col M to load the phone script →</v>
      </c>
      <c r="M245" s="4"/>
      <c r="N245" s="4"/>
      <c r="O245" s="4"/>
      <c r="P245" s="4"/>
      <c r="Q245" s="4"/>
      <c r="R245" s="8"/>
      <c r="S245" s="4"/>
      <c r="T245" s="4"/>
      <c r="U245" s="4"/>
    </row>
    <row r="246" spans="1:21" ht="60" customHeight="1" x14ac:dyDescent="0.45">
      <c r="A246" s="6"/>
      <c r="B246" s="6"/>
      <c r="C246" s="6"/>
      <c r="D246" s="10" t="str">
        <f>IFERROR(VLOOKUP(C246,'Incident Intake'!$E:$G,3,FALSE())&amp;" "&amp;VLOOKUP(C246,'Incident Intake'!$E:$F,2,FALSE()),"")</f>
        <v/>
      </c>
      <c r="E246" s="12"/>
      <c r="F246" s="6"/>
      <c r="G246" s="6"/>
      <c r="H246" s="6"/>
      <c r="I246" s="6"/>
      <c r="J246" s="6"/>
      <c r="K246" s="10" t="str">
        <f t="shared" si="3"/>
        <v/>
      </c>
      <c r="L246" s="41" t="str">
        <f>IFERROR(VLOOKUP(M246,Lists!$T:$U,2,FALSE()),"Select an offense in col M to load the phone script →")</f>
        <v>Select an offense in col M to load the phone script →</v>
      </c>
      <c r="M246" s="6"/>
      <c r="N246" s="6"/>
      <c r="O246" s="6"/>
      <c r="P246" s="6"/>
      <c r="Q246" s="6"/>
      <c r="R246" s="12"/>
      <c r="S246" s="6"/>
      <c r="T246" s="6"/>
      <c r="U246" s="6"/>
    </row>
    <row r="247" spans="1:21" ht="60" customHeight="1" x14ac:dyDescent="0.45">
      <c r="A247" s="4"/>
      <c r="B247" s="4"/>
      <c r="C247" s="4"/>
      <c r="D247" s="10" t="str">
        <f>IFERROR(VLOOKUP(C247,'Incident Intake'!$E:$G,3,FALSE())&amp;" "&amp;VLOOKUP(C247,'Incident Intake'!$E:$F,2,FALSE()),"")</f>
        <v/>
      </c>
      <c r="E247" s="8"/>
      <c r="F247" s="4"/>
      <c r="G247" s="4"/>
      <c r="H247" s="4"/>
      <c r="I247" s="4"/>
      <c r="J247" s="4"/>
      <c r="K247" s="10" t="str">
        <f t="shared" si="3"/>
        <v/>
      </c>
      <c r="L247" s="40" t="str">
        <f>IFERROR(VLOOKUP(M247,Lists!$T:$U,2,FALSE()),"Select an offense in col M to load the phone script →")</f>
        <v>Select an offense in col M to load the phone script →</v>
      </c>
      <c r="M247" s="4"/>
      <c r="N247" s="4"/>
      <c r="O247" s="4"/>
      <c r="P247" s="4"/>
      <c r="Q247" s="4"/>
      <c r="R247" s="8"/>
      <c r="S247" s="4"/>
      <c r="T247" s="4"/>
      <c r="U247" s="4"/>
    </row>
    <row r="248" spans="1:21" ht="60" customHeight="1" x14ac:dyDescent="0.45">
      <c r="A248" s="6"/>
      <c r="B248" s="6"/>
      <c r="C248" s="6"/>
      <c r="D248" s="10" t="str">
        <f>IFERROR(VLOOKUP(C248,'Incident Intake'!$E:$G,3,FALSE())&amp;" "&amp;VLOOKUP(C248,'Incident Intake'!$E:$F,2,FALSE()),"")</f>
        <v/>
      </c>
      <c r="E248" s="12"/>
      <c r="F248" s="6"/>
      <c r="G248" s="6"/>
      <c r="H248" s="6"/>
      <c r="I248" s="6"/>
      <c r="J248" s="6"/>
      <c r="K248" s="10" t="str">
        <f t="shared" si="3"/>
        <v/>
      </c>
      <c r="L248" s="41" t="str">
        <f>IFERROR(VLOOKUP(M248,Lists!$T:$U,2,FALSE()),"Select an offense in col M to load the phone script →")</f>
        <v>Select an offense in col M to load the phone script →</v>
      </c>
      <c r="M248" s="6"/>
      <c r="N248" s="6"/>
      <c r="O248" s="6"/>
      <c r="P248" s="6"/>
      <c r="Q248" s="6"/>
      <c r="R248" s="12"/>
      <c r="S248" s="6"/>
      <c r="T248" s="6"/>
      <c r="U248" s="6"/>
    </row>
    <row r="249" spans="1:21" ht="60" customHeight="1" x14ac:dyDescent="0.45">
      <c r="A249" s="4"/>
      <c r="B249" s="4"/>
      <c r="C249" s="4"/>
      <c r="D249" s="10" t="str">
        <f>IFERROR(VLOOKUP(C249,'Incident Intake'!$E:$G,3,FALSE())&amp;" "&amp;VLOOKUP(C249,'Incident Intake'!$E:$F,2,FALSE()),"")</f>
        <v/>
      </c>
      <c r="E249" s="8"/>
      <c r="F249" s="4"/>
      <c r="G249" s="4"/>
      <c r="H249" s="4"/>
      <c r="I249" s="4"/>
      <c r="J249" s="4"/>
      <c r="K249" s="10" t="str">
        <f t="shared" si="3"/>
        <v/>
      </c>
      <c r="L249" s="40" t="str">
        <f>IFERROR(VLOOKUP(M249,Lists!$T:$U,2,FALSE()),"Select an offense in col M to load the phone script →")</f>
        <v>Select an offense in col M to load the phone script →</v>
      </c>
      <c r="M249" s="4"/>
      <c r="N249" s="4"/>
      <c r="O249" s="4"/>
      <c r="P249" s="4"/>
      <c r="Q249" s="4"/>
      <c r="R249" s="8"/>
      <c r="S249" s="4"/>
      <c r="T249" s="4"/>
      <c r="U249" s="4"/>
    </row>
    <row r="250" spans="1:21" ht="60" customHeight="1" x14ac:dyDescent="0.45">
      <c r="A250" s="6"/>
      <c r="B250" s="6"/>
      <c r="C250" s="6"/>
      <c r="D250" s="10" t="str">
        <f>IFERROR(VLOOKUP(C250,'Incident Intake'!$E:$G,3,FALSE())&amp;" "&amp;VLOOKUP(C250,'Incident Intake'!$E:$F,2,FALSE()),"")</f>
        <v/>
      </c>
      <c r="E250" s="12"/>
      <c r="F250" s="6"/>
      <c r="G250" s="6"/>
      <c r="H250" s="6"/>
      <c r="I250" s="6"/>
      <c r="J250" s="6"/>
      <c r="K250" s="10" t="str">
        <f t="shared" si="3"/>
        <v/>
      </c>
      <c r="L250" s="41" t="str">
        <f>IFERROR(VLOOKUP(M250,Lists!$T:$U,2,FALSE()),"Select an offense in col M to load the phone script →")</f>
        <v>Select an offense in col M to load the phone script →</v>
      </c>
      <c r="M250" s="6"/>
      <c r="N250" s="6"/>
      <c r="O250" s="6"/>
      <c r="P250" s="6"/>
      <c r="Q250" s="6"/>
      <c r="R250" s="12"/>
      <c r="S250" s="6"/>
      <c r="T250" s="6"/>
      <c r="U250" s="6"/>
    </row>
    <row r="251" spans="1:21" ht="60" customHeight="1" x14ac:dyDescent="0.45">
      <c r="A251" s="4"/>
      <c r="B251" s="4"/>
      <c r="C251" s="4"/>
      <c r="D251" s="10" t="str">
        <f>IFERROR(VLOOKUP(C251,'Incident Intake'!$E:$G,3,FALSE())&amp;" "&amp;VLOOKUP(C251,'Incident Intake'!$E:$F,2,FALSE()),"")</f>
        <v/>
      </c>
      <c r="E251" s="8"/>
      <c r="F251" s="4"/>
      <c r="G251" s="4"/>
      <c r="H251" s="4"/>
      <c r="I251" s="4"/>
      <c r="J251" s="4"/>
      <c r="K251" s="10" t="str">
        <f t="shared" si="3"/>
        <v/>
      </c>
      <c r="L251" s="40" t="str">
        <f>IFERROR(VLOOKUP(M251,Lists!$T:$U,2,FALSE()),"Select an offense in col M to load the phone script →")</f>
        <v>Select an offense in col M to load the phone script →</v>
      </c>
      <c r="M251" s="4"/>
      <c r="N251" s="4"/>
      <c r="O251" s="4"/>
      <c r="P251" s="4"/>
      <c r="Q251" s="4"/>
      <c r="R251" s="8"/>
      <c r="S251" s="4"/>
      <c r="T251" s="4"/>
      <c r="U251" s="4"/>
    </row>
    <row r="252" spans="1:21" ht="60" customHeight="1" x14ac:dyDescent="0.45">
      <c r="A252" s="6"/>
      <c r="B252" s="6"/>
      <c r="C252" s="6"/>
      <c r="D252" s="10" t="str">
        <f>IFERROR(VLOOKUP(C252,'Incident Intake'!$E:$G,3,FALSE())&amp;" "&amp;VLOOKUP(C252,'Incident Intake'!$E:$F,2,FALSE()),"")</f>
        <v/>
      </c>
      <c r="E252" s="12"/>
      <c r="F252" s="6"/>
      <c r="G252" s="6"/>
      <c r="H252" s="6"/>
      <c r="I252" s="6"/>
      <c r="J252" s="6"/>
      <c r="K252" s="10" t="str">
        <f t="shared" si="3"/>
        <v/>
      </c>
      <c r="L252" s="41" t="str">
        <f>IFERROR(VLOOKUP(M252,Lists!$T:$U,2,FALSE()),"Select an offense in col M to load the phone script →")</f>
        <v>Select an offense in col M to load the phone script →</v>
      </c>
      <c r="M252" s="6"/>
      <c r="N252" s="6"/>
      <c r="O252" s="6"/>
      <c r="P252" s="6"/>
      <c r="Q252" s="6"/>
      <c r="R252" s="12"/>
      <c r="S252" s="6"/>
      <c r="T252" s="6"/>
      <c r="U252" s="6"/>
    </row>
    <row r="253" spans="1:21" ht="60" customHeight="1" x14ac:dyDescent="0.45">
      <c r="A253" s="4"/>
      <c r="B253" s="4"/>
      <c r="C253" s="4"/>
      <c r="D253" s="10" t="str">
        <f>IFERROR(VLOOKUP(C253,'Incident Intake'!$E:$G,3,FALSE())&amp;" "&amp;VLOOKUP(C253,'Incident Intake'!$E:$F,2,FALSE()),"")</f>
        <v/>
      </c>
      <c r="E253" s="8"/>
      <c r="F253" s="4"/>
      <c r="G253" s="4"/>
      <c r="H253" s="4"/>
      <c r="I253" s="4"/>
      <c r="J253" s="4"/>
      <c r="K253" s="10" t="str">
        <f t="shared" si="3"/>
        <v/>
      </c>
      <c r="L253" s="40" t="str">
        <f>IFERROR(VLOOKUP(M253,Lists!$T:$U,2,FALSE()),"Select an offense in col M to load the phone script →")</f>
        <v>Select an offense in col M to load the phone script →</v>
      </c>
      <c r="M253" s="4"/>
      <c r="N253" s="4"/>
      <c r="O253" s="4"/>
      <c r="P253" s="4"/>
      <c r="Q253" s="4"/>
      <c r="R253" s="8"/>
      <c r="S253" s="4"/>
      <c r="T253" s="4"/>
      <c r="U253" s="4"/>
    </row>
    <row r="254" spans="1:21" ht="60" customHeight="1" x14ac:dyDescent="0.45">
      <c r="A254" s="6"/>
      <c r="B254" s="6"/>
      <c r="C254" s="6"/>
      <c r="D254" s="10" t="str">
        <f>IFERROR(VLOOKUP(C254,'Incident Intake'!$E:$G,3,FALSE())&amp;" "&amp;VLOOKUP(C254,'Incident Intake'!$E:$F,2,FALSE()),"")</f>
        <v/>
      </c>
      <c r="E254" s="12"/>
      <c r="F254" s="6"/>
      <c r="G254" s="6"/>
      <c r="H254" s="6"/>
      <c r="I254" s="6"/>
      <c r="J254" s="6"/>
      <c r="K254" s="10" t="str">
        <f t="shared" si="3"/>
        <v/>
      </c>
      <c r="L254" s="41" t="str">
        <f>IFERROR(VLOOKUP(M254,Lists!$T:$U,2,FALSE()),"Select an offense in col M to load the phone script →")</f>
        <v>Select an offense in col M to load the phone script →</v>
      </c>
      <c r="M254" s="6"/>
      <c r="N254" s="6"/>
      <c r="O254" s="6"/>
      <c r="P254" s="6"/>
      <c r="Q254" s="6"/>
      <c r="R254" s="12"/>
      <c r="S254" s="6"/>
      <c r="T254" s="6"/>
      <c r="U254" s="6"/>
    </row>
    <row r="255" spans="1:21" ht="19.5" customHeight="1" x14ac:dyDescent="0.45">
      <c r="A255" s="87" t="s">
        <v>72</v>
      </c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</row>
  </sheetData>
  <mergeCells count="4">
    <mergeCell ref="A1:U1"/>
    <mergeCell ref="A2:U2"/>
    <mergeCell ref="A3:U3"/>
    <mergeCell ref="A255:U255"/>
  </mergeCells>
  <conditionalFormatting sqref="A5:U254">
    <cfRule type="expression" dxfId="11" priority="2">
      <formula>$K5="YES — Required"</formula>
    </cfRule>
    <cfRule type="expression" dxfId="10" priority="3">
      <formula>AND($Q5="Yes",$S5&lt;&gt;"Yes")</formula>
    </cfRule>
    <cfRule type="expression" dxfId="9" priority="4">
      <formula>$S5="Yes"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600-000000000000}">
          <x14:formula1>
            <xm:f>Lists!$K$2:$K$7</xm:f>
          </x14:formula1>
          <xm:sqref>G5:G254</xm:sqref>
        </x14:dataValidation>
        <x14:dataValidation type="list" allowBlank="1" xr:uid="{00000000-0002-0000-0600-000001000000}">
          <x14:formula1>
            <xm:f>Lists!$L$2:$L$10</xm:f>
          </x14:formula1>
          <xm:sqref>J5:J254</xm:sqref>
        </x14:dataValidation>
        <x14:dataValidation type="list" allowBlank="1" xr:uid="{00000000-0002-0000-0600-000002000000}">
          <x14:formula1>
            <xm:f>Lists!$A$2:$A$19</xm:f>
          </x14:formula1>
          <xm:sqref>M5:M254</xm:sqref>
        </x14:dataValidation>
        <x14:dataValidation type="list" allowBlank="1" xr:uid="{00000000-0002-0000-0600-000003000000}">
          <x14:formula1>
            <xm:f>Lists!$F$2:$F$3</xm:f>
          </x14:formula1>
          <xm:sqref>Q5:Q254 S5:S254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A620"/>
  </sheetPr>
  <dimension ref="A1:D55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25" x14ac:dyDescent="0.45"/>
  <cols>
    <col min="1" max="1" width="38" customWidth="1"/>
    <col min="2" max="3" width="18" customWidth="1"/>
    <col min="4" max="4" width="4" customWidth="1"/>
  </cols>
  <sheetData>
    <row r="1" spans="1:4" ht="51.75" customHeight="1" x14ac:dyDescent="0.45">
      <c r="A1" s="107" t="s">
        <v>220</v>
      </c>
      <c r="B1" s="76"/>
      <c r="C1" s="76"/>
      <c r="D1" s="76"/>
    </row>
    <row r="2" spans="1:4" ht="21.75" customHeight="1" x14ac:dyDescent="0.45">
      <c r="A2" s="110" t="str">
        <f ca="1">"Auto-updated: "&amp;TEXT(TODAY(),"MMMM D, YYYY")&amp;"  ·  All data pulls from Incident Intake tab"</f>
        <v>Auto-updated: July 14, 2026  ·  All data pulls from Incident Intake tab</v>
      </c>
      <c r="B2" s="76"/>
      <c r="C2" s="76"/>
      <c r="D2" s="76"/>
    </row>
    <row r="3" spans="1:4" ht="27.75" customHeight="1" x14ac:dyDescent="0.45">
      <c r="A3" s="77" t="s">
        <v>221</v>
      </c>
      <c r="B3" s="76"/>
      <c r="C3" s="76"/>
      <c r="D3" s="76"/>
    </row>
    <row r="4" spans="1:4" ht="27.75" customHeight="1" x14ac:dyDescent="0.45">
      <c r="A4" s="42" t="s">
        <v>222</v>
      </c>
      <c r="B4" s="43">
        <f>COUNTA('Incident Intake'!A5:A304)</f>
        <v>0</v>
      </c>
      <c r="C4" s="19"/>
    </row>
    <row r="5" spans="1:4" ht="27.75" customHeight="1" x14ac:dyDescent="0.45">
      <c r="A5" s="44" t="s">
        <v>223</v>
      </c>
      <c r="B5" s="45">
        <f>COUNTIF('Incident Intake'!X5:X304,"Open")</f>
        <v>0</v>
      </c>
      <c r="C5" s="23"/>
    </row>
    <row r="6" spans="1:4" ht="27.75" customHeight="1" x14ac:dyDescent="0.45">
      <c r="A6" s="42" t="s">
        <v>82</v>
      </c>
      <c r="B6" s="43">
        <f>COUNTIF('Incident Intake'!X5:X304,"In Progress")</f>
        <v>0</v>
      </c>
      <c r="C6" s="19"/>
    </row>
    <row r="7" spans="1:4" ht="27.75" customHeight="1" x14ac:dyDescent="0.45">
      <c r="A7" s="44" t="s">
        <v>84</v>
      </c>
      <c r="B7" s="45">
        <f>COUNTIF('Incident Intake'!X5:X304,"Closed")</f>
        <v>0</v>
      </c>
      <c r="C7" s="23"/>
    </row>
    <row r="8" spans="1:4" ht="27.75" customHeight="1" x14ac:dyDescent="0.45">
      <c r="A8" s="42" t="s">
        <v>224</v>
      </c>
      <c r="B8" s="43">
        <f>COUNTIF('Incident Intake'!AF5:AF304,"Yes")</f>
        <v>0</v>
      </c>
      <c r="C8" s="19"/>
    </row>
    <row r="9" spans="1:4" ht="27.75" customHeight="1" x14ac:dyDescent="0.45">
      <c r="A9" s="44" t="s">
        <v>225</v>
      </c>
      <c r="B9" s="45">
        <f ca="1">COUNTIFS('Incident Intake'!Z5:Z304,"&gt;="&amp;5,'Incident Intake'!X5:X304,"&lt;&gt;Closed")</f>
        <v>0</v>
      </c>
      <c r="C9" s="23"/>
    </row>
    <row r="10" spans="1:4" ht="7.5" customHeight="1" x14ac:dyDescent="0.45"/>
    <row r="11" spans="1:4" ht="27.75" customHeight="1" x14ac:dyDescent="0.45">
      <c r="A11" s="82" t="s">
        <v>226</v>
      </c>
      <c r="B11" s="76"/>
      <c r="C11" s="76"/>
      <c r="D11" s="76"/>
    </row>
    <row r="12" spans="1:4" ht="27.75" customHeight="1" x14ac:dyDescent="0.45">
      <c r="A12" s="42" t="s">
        <v>227</v>
      </c>
      <c r="B12" s="46">
        <f>COUNTIF('Incident Intake'!$J:$J,"Fighting")</f>
        <v>0</v>
      </c>
      <c r="C12" s="19"/>
    </row>
    <row r="13" spans="1:4" ht="27.75" customHeight="1" x14ac:dyDescent="0.45">
      <c r="A13" s="44" t="s">
        <v>228</v>
      </c>
      <c r="B13" s="47">
        <f>COUNTIF('Incident Intake'!$J:$J,"Assault — Bodily Injury")</f>
        <v>0</v>
      </c>
      <c r="C13" s="23"/>
    </row>
    <row r="14" spans="1:4" ht="27.75" customHeight="1" x14ac:dyDescent="0.45">
      <c r="A14" s="42" t="s">
        <v>229</v>
      </c>
      <c r="B14" s="46">
        <f>COUNTIF('Incident Intake'!$J:$J,"Assault — Threat / Fear")</f>
        <v>0</v>
      </c>
      <c r="C14" s="19"/>
    </row>
    <row r="15" spans="1:4" ht="27.75" customHeight="1" x14ac:dyDescent="0.45">
      <c r="A15" s="44" t="s">
        <v>230</v>
      </c>
      <c r="B15" s="47">
        <f>COUNTIF('Incident Intake'!$J:$J,"Defiance / Insubordination")</f>
        <v>0</v>
      </c>
      <c r="C15" s="23"/>
    </row>
    <row r="16" spans="1:4" ht="27.75" customHeight="1" x14ac:dyDescent="0.45">
      <c r="A16" s="42" t="s">
        <v>231</v>
      </c>
      <c r="B16" s="46">
        <f>COUNTIF('Incident Intake'!$J:$J,"Disruption of Class")</f>
        <v>0</v>
      </c>
      <c r="C16" s="19"/>
    </row>
    <row r="17" spans="1:4" ht="27.75" customHeight="1" x14ac:dyDescent="0.45">
      <c r="A17" s="44" t="s">
        <v>232</v>
      </c>
      <c r="B17" s="47">
        <f>COUNTIF('Incident Intake'!$J:$J,"Bullying / Cyberbullying")</f>
        <v>0</v>
      </c>
      <c r="C17" s="23"/>
    </row>
    <row r="18" spans="1:4" ht="27.75" customHeight="1" x14ac:dyDescent="0.45">
      <c r="A18" s="42" t="s">
        <v>233</v>
      </c>
      <c r="B18" s="46">
        <f>COUNTIF('Incident Intake'!$J:$J,"Controlled Substance — Possession")</f>
        <v>0</v>
      </c>
      <c r="C18" s="19"/>
    </row>
    <row r="19" spans="1:4" ht="27.75" customHeight="1" x14ac:dyDescent="0.45">
      <c r="A19" s="44" t="s">
        <v>234</v>
      </c>
      <c r="B19" s="47">
        <f>COUNTIF('Incident Intake'!$J:$J,"Dangerous Weapon")</f>
        <v>0</v>
      </c>
      <c r="C19" s="23"/>
    </row>
    <row r="20" spans="1:4" ht="27.75" customHeight="1" x14ac:dyDescent="0.45">
      <c r="A20" s="42" t="s">
        <v>235</v>
      </c>
      <c r="B20" s="46">
        <f>COUNTIF('Incident Intake'!$J:$J,"Terroristic Threat")</f>
        <v>0</v>
      </c>
      <c r="C20" s="19"/>
    </row>
    <row r="21" spans="1:4" ht="27.75" customHeight="1" x14ac:dyDescent="0.45">
      <c r="A21" s="44" t="s">
        <v>236</v>
      </c>
      <c r="B21" s="47">
        <f>COUNTIF('Incident Intake'!$J:$J,"Theft")</f>
        <v>0</v>
      </c>
      <c r="C21" s="23"/>
    </row>
    <row r="22" spans="1:4" ht="27.75" customHeight="1" x14ac:dyDescent="0.45">
      <c r="A22" s="42" t="s">
        <v>237</v>
      </c>
      <c r="B22" s="46">
        <f>COUNTIF('Incident Intake'!$J:$J,"Vandalism / Property Damage")</f>
        <v>0</v>
      </c>
      <c r="C22" s="19"/>
    </row>
    <row r="23" spans="1:4" ht="27.75" customHeight="1" x14ac:dyDescent="0.45">
      <c r="A23" s="44" t="s">
        <v>238</v>
      </c>
      <c r="B23" s="47">
        <f>COUNTIF('Incident Intake'!$J:$J,"Harassment")</f>
        <v>0</v>
      </c>
      <c r="C23" s="23"/>
    </row>
    <row r="24" spans="1:4" ht="27.75" customHeight="1" x14ac:dyDescent="0.45">
      <c r="A24" s="42" t="s">
        <v>239</v>
      </c>
      <c r="B24" s="46">
        <f>COUNTIF('Incident Intake'!$J:$J,"Tobacco / E-Cigarette / Vaping")</f>
        <v>0</v>
      </c>
      <c r="C24" s="19"/>
    </row>
    <row r="25" spans="1:4" ht="7.5" customHeight="1" x14ac:dyDescent="0.45"/>
    <row r="26" spans="1:4" ht="27.75" customHeight="1" x14ac:dyDescent="0.45">
      <c r="A26" s="109" t="s">
        <v>240</v>
      </c>
      <c r="B26" s="76"/>
      <c r="C26" s="76"/>
      <c r="D26" s="76"/>
    </row>
    <row r="27" spans="1:4" ht="27.75" customHeight="1" x14ac:dyDescent="0.45">
      <c r="A27" s="44" t="s">
        <v>241</v>
      </c>
      <c r="B27" s="48">
        <f>COUNTIF('Incident Intake'!AC5:AC304,"ISS*")</f>
        <v>0</v>
      </c>
      <c r="C27" s="23"/>
    </row>
    <row r="28" spans="1:4" ht="27.75" customHeight="1" x14ac:dyDescent="0.45">
      <c r="A28" s="42" t="s">
        <v>242</v>
      </c>
      <c r="B28" s="49">
        <f>COUNTIF('Incident Intake'!AC5:AC304,"OSS*")</f>
        <v>0</v>
      </c>
      <c r="C28" s="19"/>
    </row>
    <row r="29" spans="1:4" ht="27.75" customHeight="1" x14ac:dyDescent="0.45">
      <c r="A29" s="44" t="s">
        <v>243</v>
      </c>
      <c r="B29" s="48">
        <f>COUNTIF('Incident Intake'!AC5:AC304,"DAEP — Mandatory")</f>
        <v>0</v>
      </c>
      <c r="C29" s="23"/>
    </row>
    <row r="30" spans="1:4" ht="27.75" customHeight="1" x14ac:dyDescent="0.45">
      <c r="A30" s="42" t="s">
        <v>244</v>
      </c>
      <c r="B30" s="49">
        <f>COUNTIF('Incident Intake'!AC5:AC304,"DAEP — Discretionary")</f>
        <v>0</v>
      </c>
      <c r="C30" s="19"/>
    </row>
    <row r="31" spans="1:4" ht="27.75" customHeight="1" x14ac:dyDescent="0.45">
      <c r="A31" s="44" t="s">
        <v>92</v>
      </c>
      <c r="B31" s="48">
        <f>COUNTIF('Incident Intake'!AC5:AC304,"Expulsion Referral")</f>
        <v>0</v>
      </c>
      <c r="C31" s="23"/>
    </row>
    <row r="32" spans="1:4" ht="27.75" customHeight="1" x14ac:dyDescent="0.45">
      <c r="A32" s="42" t="s">
        <v>93</v>
      </c>
      <c r="B32" s="49">
        <f>COUNTIF('Incident Intake'!S5:S304,"Yes")</f>
        <v>0</v>
      </c>
      <c r="C32" s="19"/>
    </row>
    <row r="33" spans="1:4" ht="27.75" customHeight="1" x14ac:dyDescent="0.45">
      <c r="A33" s="44" t="s">
        <v>245</v>
      </c>
      <c r="B33" s="48">
        <f>COUNTIF('Incident Intake'!AC5:AC304,"No Action — Unfounded")</f>
        <v>0</v>
      </c>
      <c r="C33" s="23"/>
    </row>
    <row r="34" spans="1:4" ht="7.5" customHeight="1" x14ac:dyDescent="0.45"/>
    <row r="35" spans="1:4" ht="27.75" customHeight="1" x14ac:dyDescent="0.45">
      <c r="A35" s="108" t="s">
        <v>246</v>
      </c>
      <c r="B35" s="76"/>
      <c r="C35" s="76"/>
      <c r="D35" s="76"/>
    </row>
    <row r="36" spans="1:4" ht="27.75" customHeight="1" x14ac:dyDescent="0.45">
      <c r="A36" s="42" t="s">
        <v>247</v>
      </c>
      <c r="B36" s="50">
        <f>COUNTIF('Incident Intake'!U5:U304,"&lt;&gt;No")</f>
        <v>300</v>
      </c>
      <c r="C36" s="19"/>
    </row>
    <row r="37" spans="1:4" ht="27.75" customHeight="1" x14ac:dyDescent="0.45">
      <c r="A37" s="44" t="s">
        <v>248</v>
      </c>
      <c r="B37" s="51">
        <f>COUNTIF('10-Day Compliance'!AA5:AA154,"*WARNING*")+COUNTIF('10-Day Compliance'!AA5:AA154,"*URGENT*")+COUNTIF('10-Day Compliance'!AA5:AA154,"*EXCEEDED*")</f>
        <v>0</v>
      </c>
      <c r="C37" s="23"/>
    </row>
    <row r="38" spans="1:4" ht="27.75" customHeight="1" x14ac:dyDescent="0.45">
      <c r="A38" s="42" t="s">
        <v>249</v>
      </c>
      <c r="B38" s="50">
        <f>COUNTIF('10-Day Compliance'!AA5:AA154,"*EXCEEDED*")</f>
        <v>0</v>
      </c>
      <c r="C38" s="19"/>
    </row>
    <row r="39" spans="1:4" ht="27.75" customHeight="1" x14ac:dyDescent="0.45">
      <c r="A39" s="44" t="s">
        <v>250</v>
      </c>
      <c r="B39" s="51">
        <f>COUNTIF('Incident Intake'!P5:P304,"Yes")</f>
        <v>0</v>
      </c>
      <c r="C39" s="23"/>
    </row>
    <row r="40" spans="1:4" ht="27.75" customHeight="1" x14ac:dyDescent="0.45">
      <c r="A40" s="42" t="s">
        <v>251</v>
      </c>
      <c r="B40" s="50">
        <f>COUNTIF('Incident Intake'!S5:S304,"Yes")</f>
        <v>0</v>
      </c>
      <c r="C40" s="19"/>
    </row>
    <row r="41" spans="1:4" ht="27.75" customHeight="1" x14ac:dyDescent="0.45">
      <c r="A41" s="44" t="s">
        <v>252</v>
      </c>
      <c r="B41" s="51">
        <f>COUNTIF('Incident Intake'!AA5:AA304,"No")</f>
        <v>0</v>
      </c>
      <c r="C41" s="23"/>
    </row>
    <row r="42" spans="1:4" ht="7.5" customHeight="1" x14ac:dyDescent="0.45"/>
    <row r="43" spans="1:4" ht="27.75" customHeight="1" x14ac:dyDescent="0.45">
      <c r="A43" s="83" t="s">
        <v>253</v>
      </c>
      <c r="B43" s="76"/>
      <c r="C43" s="76"/>
      <c r="D43" s="76"/>
    </row>
    <row r="44" spans="1:4" ht="27.75" customHeight="1" x14ac:dyDescent="0.45">
      <c r="A44" s="42" t="s">
        <v>254</v>
      </c>
      <c r="B44" s="52">
        <f>SUMPRODUCT((COUNTIF('Incident Intake'!E5:E304,'Incident Intake'!E5:E304)&gt;=3)/COUNTIF('Incident Intake'!E5:E304,'Incident Intake'!E5:E304&amp;""))</f>
        <v>0</v>
      </c>
      <c r="C44" s="19"/>
    </row>
    <row r="45" spans="1:4" ht="27.75" customHeight="1" x14ac:dyDescent="0.45">
      <c r="A45" s="44" t="s">
        <v>255</v>
      </c>
      <c r="B45" s="53">
        <f>COUNTIF('Evidence Tracker'!S5:S304,"Yes")</f>
        <v>0</v>
      </c>
      <c r="C45" s="23"/>
    </row>
    <row r="46" spans="1:4" ht="27.75" customHeight="1" x14ac:dyDescent="0.45">
      <c r="A46" s="42" t="s">
        <v>256</v>
      </c>
      <c r="B46" s="52">
        <f>COUNTIFS('Incident Intake'!X5:X304,"Open",'Incident Intake'!AA5:AA304,"No")</f>
        <v>0</v>
      </c>
      <c r="C46" s="19"/>
    </row>
    <row r="47" spans="1:4" ht="27.75" customHeight="1" x14ac:dyDescent="0.45">
      <c r="A47" s="44" t="s">
        <v>257</v>
      </c>
      <c r="B47" s="53">
        <f>COUNTIFS('Investigation Tracker'!AK6:AK205,"Filed*")</f>
        <v>0</v>
      </c>
      <c r="C47" s="23"/>
    </row>
    <row r="48" spans="1:4" ht="7.5" customHeight="1" x14ac:dyDescent="0.45"/>
    <row r="49" spans="1:4" ht="27.75" customHeight="1" x14ac:dyDescent="0.45">
      <c r="A49" s="77" t="s">
        <v>258</v>
      </c>
      <c r="B49" s="76"/>
      <c r="C49" s="76"/>
      <c r="D49" s="76"/>
    </row>
    <row r="50" spans="1:4" ht="27.75" customHeight="1" x14ac:dyDescent="0.45">
      <c r="B50" s="1" t="s">
        <v>259</v>
      </c>
      <c r="C50" s="54">
        <v>1</v>
      </c>
      <c r="D50" s="19"/>
    </row>
    <row r="51" spans="1:4" ht="27.75" customHeight="1" x14ac:dyDescent="0.45">
      <c r="A51" s="44" t="s">
        <v>260</v>
      </c>
      <c r="B51" s="45">
        <f>IFERROR(SUMPRODUCT(('Incident Intake'!$B$5:$B$304&lt;&gt;"")*(MONTH('Incident Intake'!$B$5:$B$304)=C50)),0)</f>
        <v>0</v>
      </c>
      <c r="C51" s="23"/>
    </row>
    <row r="52" spans="1:4" ht="27.75" customHeight="1" x14ac:dyDescent="0.45">
      <c r="A52" s="42" t="s">
        <v>261</v>
      </c>
      <c r="B52" s="55">
        <f>IFERROR(SUMPRODUCT(('Incident Intake'!$B$5:$B$304&lt;&gt;"")*(MONTH('Incident Intake'!$B$5:$B$304)=C50)*('Incident Intake'!$U$5:$U$304&lt;&gt;"No")*('Incident Intake'!$U$5:$U$304&lt;&gt;"")),0)</f>
        <v>0</v>
      </c>
      <c r="C52" s="19"/>
    </row>
    <row r="53" spans="1:4" ht="27.75" customHeight="1" x14ac:dyDescent="0.45">
      <c r="A53" s="44" t="s">
        <v>262</v>
      </c>
      <c r="B53" s="56">
        <f>IFERROR(SUMPRODUCT(('Incident Intake'!$AD$5:$AD$304&lt;&gt;"")*(MONTH('Incident Intake'!$AD$5:$AD$304)=C50)),0)</f>
        <v>0</v>
      </c>
      <c r="C53" s="23"/>
    </row>
    <row r="54" spans="1:4" ht="7.5" customHeight="1" x14ac:dyDescent="0.45"/>
    <row r="55" spans="1:4" ht="33.75" customHeight="1" x14ac:dyDescent="0.45">
      <c r="A55" s="82" t="s">
        <v>263</v>
      </c>
      <c r="B55" s="76"/>
      <c r="C55" s="76"/>
      <c r="D55" s="76"/>
    </row>
  </sheetData>
  <mergeCells count="9">
    <mergeCell ref="A1:D1"/>
    <mergeCell ref="A35:D35"/>
    <mergeCell ref="A26:D26"/>
    <mergeCell ref="A3:D3"/>
    <mergeCell ref="A55:D55"/>
    <mergeCell ref="A43:D43"/>
    <mergeCell ref="A2:D2"/>
    <mergeCell ref="A11:D11"/>
    <mergeCell ref="A49:D4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8650A"/>
  </sheetPr>
  <dimension ref="A1:F39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25" x14ac:dyDescent="0.45"/>
  <cols>
    <col min="1" max="1" width="3" customWidth="1"/>
    <col min="2" max="2" width="20" customWidth="1"/>
    <col min="3" max="3" width="22" customWidth="1"/>
    <col min="4" max="5" width="18" customWidth="1"/>
    <col min="6" max="6" width="3" customWidth="1"/>
  </cols>
  <sheetData>
    <row r="1" spans="1:6" ht="48" customHeight="1" x14ac:dyDescent="0.45">
      <c r="A1" s="107" t="s">
        <v>264</v>
      </c>
      <c r="B1" s="76"/>
      <c r="C1" s="76"/>
      <c r="D1" s="76"/>
      <c r="E1" s="76"/>
      <c r="F1" s="76"/>
    </row>
    <row r="2" spans="1:6" ht="24" customHeight="1" x14ac:dyDescent="0.45">
      <c r="B2" s="111" t="str">
        <f ca="1">"Week of: "&amp;TEXT(TODAY(),"MMMM D, YYYY")&amp;"   ·   Campus: (enter campus name on Cover tab)"</f>
        <v>Week of: July 14, 2026   ·   Campus: (enter campus name on Cover tab)</v>
      </c>
      <c r="C2" s="76"/>
      <c r="D2" s="76"/>
      <c r="E2" s="76"/>
    </row>
    <row r="3" spans="1:6" ht="27.75" customHeight="1" x14ac:dyDescent="0.45">
      <c r="A3" s="15"/>
      <c r="B3" s="108" t="s">
        <v>265</v>
      </c>
      <c r="C3" s="76"/>
      <c r="D3" s="76"/>
      <c r="E3" s="76"/>
      <c r="F3" s="15"/>
    </row>
    <row r="4" spans="1:6" ht="24" customHeight="1" x14ac:dyDescent="0.45">
      <c r="B4" s="7" t="s">
        <v>38</v>
      </c>
      <c r="C4" s="7" t="s">
        <v>266</v>
      </c>
      <c r="D4" s="7" t="s">
        <v>267</v>
      </c>
      <c r="E4" s="7" t="s">
        <v>268</v>
      </c>
    </row>
    <row r="5" spans="1:6" ht="19.5" customHeight="1" x14ac:dyDescent="0.45">
      <c r="B5" s="4" t="str">
        <f ca="1">IFERROR(INDEX('Incident Intake'!$A$5:$A$304,MATCH(1,('Incident Intake'!$X$5:$X$304="Open")*('Incident Intake'!$Z$5:$Z$304&gt;=1),0)),"—")</f>
        <v>—</v>
      </c>
      <c r="C5" s="4" t="str">
        <f ca="1">IF(B5="—","",IFERROR(VLOOKUP(B5,'Incident Intake'!$A:$G,7,FALSE())&amp;" "&amp;VLOOKUP(B5,'Incident Intake'!$A:$F,6,FALSE()),""))</f>
        <v/>
      </c>
      <c r="D5" s="4" t="str">
        <f ca="1">IF(B5="—","",IFERROR(VLOOKUP(B5,'Incident Intake'!$A:$J,10,FALSE()),""))</f>
        <v/>
      </c>
      <c r="E5" s="4" t="str">
        <f ca="1">IF(B5="—","",IFERROR(VLOOKUP(B5,'Incident Intake'!$A:$Z,26,FALSE()),""))</f>
        <v/>
      </c>
    </row>
    <row r="6" spans="1:6" ht="19.5" customHeight="1" x14ac:dyDescent="0.45">
      <c r="B6" s="6" t="str">
        <f ca="1">IFERROR(INDEX('Incident Intake'!$A$5:$A$304,MATCH(1,('Incident Intake'!$X$5:$X$304="Open")*('Incident Intake'!$Z$5:$Z$304&gt;=2),0)),"—")</f>
        <v>—</v>
      </c>
      <c r="C6" s="6" t="str">
        <f ca="1">IF(B6="—","",IFERROR(VLOOKUP(B6,'Incident Intake'!$A:$G,7,FALSE())&amp;" "&amp;VLOOKUP(B6,'Incident Intake'!$A:$F,6,FALSE()),""))</f>
        <v/>
      </c>
      <c r="D6" s="6" t="str">
        <f ca="1">IF(B6="—","",IFERROR(VLOOKUP(B6,'Incident Intake'!$A:$J,10,FALSE()),""))</f>
        <v/>
      </c>
      <c r="E6" s="6" t="str">
        <f ca="1">IF(B6="—","",IFERROR(VLOOKUP(B6,'Incident Intake'!$A:$Z,26,FALSE()),""))</f>
        <v/>
      </c>
    </row>
    <row r="7" spans="1:6" ht="19.5" customHeight="1" x14ac:dyDescent="0.45">
      <c r="B7" s="4" t="str">
        <f ca="1">IFERROR(INDEX('Incident Intake'!$A$5:$A$304,MATCH(1,('Incident Intake'!$X$5:$X$304="Open")*('Incident Intake'!$Z$5:$Z$304&gt;=3),0)),"—")</f>
        <v>—</v>
      </c>
      <c r="C7" s="4" t="str">
        <f ca="1">IF(B7="—","",IFERROR(VLOOKUP(B7,'Incident Intake'!$A:$G,7,FALSE())&amp;" "&amp;VLOOKUP(B7,'Incident Intake'!$A:$F,6,FALSE()),""))</f>
        <v/>
      </c>
      <c r="D7" s="4" t="str">
        <f ca="1">IF(B7="—","",IFERROR(VLOOKUP(B7,'Incident Intake'!$A:$J,10,FALSE()),""))</f>
        <v/>
      </c>
      <c r="E7" s="4" t="str">
        <f ca="1">IF(B7="—","",IFERROR(VLOOKUP(B7,'Incident Intake'!$A:$Z,26,FALSE()),""))</f>
        <v/>
      </c>
    </row>
    <row r="8" spans="1:6" ht="19.5" customHeight="1" x14ac:dyDescent="0.45">
      <c r="B8" s="6" t="str">
        <f ca="1">IFERROR(INDEX('Incident Intake'!$A$5:$A$304,MATCH(1,('Incident Intake'!$X$5:$X$304="Open")*('Incident Intake'!$Z$5:$Z$304&gt;=4),0)),"—")</f>
        <v>—</v>
      </c>
      <c r="C8" s="6" t="str">
        <f ca="1">IF(B8="—","",IFERROR(VLOOKUP(B8,'Incident Intake'!$A:$G,7,FALSE())&amp;" "&amp;VLOOKUP(B8,'Incident Intake'!$A:$F,6,FALSE()),""))</f>
        <v/>
      </c>
      <c r="D8" s="6" t="str">
        <f ca="1">IF(B8="—","",IFERROR(VLOOKUP(B8,'Incident Intake'!$A:$J,10,FALSE()),""))</f>
        <v/>
      </c>
      <c r="E8" s="6" t="str">
        <f ca="1">IF(B8="—","",IFERROR(VLOOKUP(B8,'Incident Intake'!$A:$Z,26,FALSE()),""))</f>
        <v/>
      </c>
    </row>
    <row r="9" spans="1:6" ht="19.5" customHeight="1" x14ac:dyDescent="0.45">
      <c r="B9" s="4" t="str">
        <f ca="1">IFERROR(INDEX('Incident Intake'!$A$5:$A$304,MATCH(1,('Incident Intake'!$X$5:$X$304="Open")*('Incident Intake'!$Z$5:$Z$304&gt;=5),0)),"—")</f>
        <v>—</v>
      </c>
      <c r="C9" s="4" t="str">
        <f ca="1">IF(B9="—","",IFERROR(VLOOKUP(B9,'Incident Intake'!$A:$G,7,FALSE())&amp;" "&amp;VLOOKUP(B9,'Incident Intake'!$A:$F,6,FALSE()),""))</f>
        <v/>
      </c>
      <c r="D9" s="4" t="str">
        <f ca="1">IF(B9="—","",IFERROR(VLOOKUP(B9,'Incident Intake'!$A:$J,10,FALSE()),""))</f>
        <v/>
      </c>
      <c r="E9" s="4" t="str">
        <f ca="1">IF(B9="—","",IFERROR(VLOOKUP(B9,'Incident Intake'!$A:$Z,26,FALSE()),""))</f>
        <v/>
      </c>
    </row>
    <row r="10" spans="1:6" ht="19.5" customHeight="1" x14ac:dyDescent="0.45">
      <c r="B10" s="6" t="str">
        <f ca="1">IFERROR(INDEX('Incident Intake'!$A$5:$A$304,MATCH(1,('Incident Intake'!$X$5:$X$304="Open")*('Incident Intake'!$Z$5:$Z$304&gt;=6),0)),"—")</f>
        <v>—</v>
      </c>
      <c r="C10" s="6" t="str">
        <f ca="1">IF(B10="—","",IFERROR(VLOOKUP(B10,'Incident Intake'!$A:$G,7,FALSE())&amp;" "&amp;VLOOKUP(B10,'Incident Intake'!$A:$F,6,FALSE()),""))</f>
        <v/>
      </c>
      <c r="D10" s="6" t="str">
        <f ca="1">IF(B10="—","",IFERROR(VLOOKUP(B10,'Incident Intake'!$A:$J,10,FALSE()),""))</f>
        <v/>
      </c>
      <c r="E10" s="6" t="str">
        <f ca="1">IF(B10="—","",IFERROR(VLOOKUP(B10,'Incident Intake'!$A:$Z,26,FALSE()),""))</f>
        <v/>
      </c>
    </row>
    <row r="11" spans="1:6" ht="19.5" customHeight="1" x14ac:dyDescent="0.45">
      <c r="B11" s="4" t="str">
        <f ca="1">IFERROR(INDEX('Incident Intake'!$A$5:$A$304,MATCH(1,('Incident Intake'!$X$5:$X$304="Open")*('Incident Intake'!$Z$5:$Z$304&gt;=7),0)),"—")</f>
        <v>—</v>
      </c>
      <c r="C11" s="4" t="str">
        <f ca="1">IF(B11="—","",IFERROR(VLOOKUP(B11,'Incident Intake'!$A:$G,7,FALSE())&amp;" "&amp;VLOOKUP(B11,'Incident Intake'!$A:$F,6,FALSE()),""))</f>
        <v/>
      </c>
      <c r="D11" s="4" t="str">
        <f ca="1">IF(B11="—","",IFERROR(VLOOKUP(B11,'Incident Intake'!$A:$J,10,FALSE()),""))</f>
        <v/>
      </c>
      <c r="E11" s="4" t="str">
        <f ca="1">IF(B11="—","",IFERROR(VLOOKUP(B11,'Incident Intake'!$A:$Z,26,FALSE()),""))</f>
        <v/>
      </c>
    </row>
    <row r="12" spans="1:6" ht="19.5" customHeight="1" x14ac:dyDescent="0.45">
      <c r="B12" s="6" t="str">
        <f ca="1">IFERROR(INDEX('Incident Intake'!$A$5:$A$304,MATCH(1,('Incident Intake'!$X$5:$X$304="Open")*('Incident Intake'!$Z$5:$Z$304&gt;=8),0)),"—")</f>
        <v>—</v>
      </c>
      <c r="C12" s="6" t="str">
        <f ca="1">IF(B12="—","",IFERROR(VLOOKUP(B12,'Incident Intake'!$A:$G,7,FALSE())&amp;" "&amp;VLOOKUP(B12,'Incident Intake'!$A:$F,6,FALSE()),""))</f>
        <v/>
      </c>
      <c r="D12" s="6" t="str">
        <f ca="1">IF(B12="—","",IFERROR(VLOOKUP(B12,'Incident Intake'!$A:$J,10,FALSE()),""))</f>
        <v/>
      </c>
      <c r="E12" s="6" t="str">
        <f ca="1">IF(B12="—","",IFERROR(VLOOKUP(B12,'Incident Intake'!$A:$Z,26,FALSE()),""))</f>
        <v/>
      </c>
    </row>
    <row r="13" spans="1:6" ht="9.75" customHeight="1" x14ac:dyDescent="0.45"/>
    <row r="14" spans="1:6" ht="27.75" customHeight="1" x14ac:dyDescent="0.45">
      <c r="A14" s="57"/>
      <c r="B14" s="82" t="s">
        <v>269</v>
      </c>
      <c r="C14" s="76"/>
      <c r="D14" s="76"/>
      <c r="E14" s="76"/>
      <c r="F14" s="57"/>
    </row>
    <row r="15" spans="1:6" ht="24" customHeight="1" x14ac:dyDescent="0.45">
      <c r="B15" s="7" t="s">
        <v>42</v>
      </c>
      <c r="C15" s="7" t="s">
        <v>270</v>
      </c>
      <c r="D15" s="7" t="s">
        <v>271</v>
      </c>
      <c r="E15" s="7" t="s">
        <v>272</v>
      </c>
    </row>
    <row r="16" spans="1:6" ht="19.5" customHeight="1" x14ac:dyDescent="0.45">
      <c r="B16" s="6" t="str">
        <f>IFERROR(INDEX('10-Day Compliance'!$A$5:$A$154,MATCH(1,('10-Day Compliance'!$E$5:$E$154&gt;=7)*ROW('10-Day Compliance'!$E$5:$E$154)/ROW('10-Day Compliance'!$E$5:$E$154)&gt;=1,0)),"—")</f>
        <v>—</v>
      </c>
      <c r="C16" s="6" t="str">
        <f>IF(B16="—","",IFERROR(VLOOKUP(B16,'10-Day Compliance'!$A:$C,3,FALSE())&amp;" "&amp;VLOOKUP(B16,'10-Day Compliance'!$A:$B,2,FALSE()),""))</f>
        <v/>
      </c>
      <c r="D16" s="6" t="str">
        <f>IF(B16="—","",IFERROR(VLOOKUP(B16,'10-Day Compliance'!$A:$E,5,FALSE()),""))</f>
        <v/>
      </c>
      <c r="E16" s="6" t="str">
        <f>IF(B16="—","",IFERROR(VLOOKUP(B16,'10-Day Compliance'!$A:$AA,27,FALSE()),""))</f>
        <v/>
      </c>
    </row>
    <row r="17" spans="1:6" ht="19.5" customHeight="1" x14ac:dyDescent="0.45">
      <c r="B17" s="4" t="str">
        <f>IFERROR(INDEX('10-Day Compliance'!$A$5:$A$154,MATCH(1,('10-Day Compliance'!$E$5:$E$154&gt;=7)*ROW('10-Day Compliance'!$E$5:$E$154)/ROW('10-Day Compliance'!$E$5:$E$154)&gt;=2,0)),"—")</f>
        <v>—</v>
      </c>
      <c r="C17" s="4" t="str">
        <f>IF(B17="—","",IFERROR(VLOOKUP(B17,'10-Day Compliance'!$A:$C,3,FALSE())&amp;" "&amp;VLOOKUP(B17,'10-Day Compliance'!$A:$B,2,FALSE()),""))</f>
        <v/>
      </c>
      <c r="D17" s="4" t="str">
        <f>IF(B17="—","",IFERROR(VLOOKUP(B17,'10-Day Compliance'!$A:$E,5,FALSE()),""))</f>
        <v/>
      </c>
      <c r="E17" s="4" t="str">
        <f>IF(B17="—","",IFERROR(VLOOKUP(B17,'10-Day Compliance'!$A:$AA,27,FALSE()),""))</f>
        <v/>
      </c>
    </row>
    <row r="18" spans="1:6" ht="19.5" customHeight="1" x14ac:dyDescent="0.45">
      <c r="B18" s="6" t="str">
        <f>IFERROR(INDEX('10-Day Compliance'!$A$5:$A$154,MATCH(1,('10-Day Compliance'!$E$5:$E$154&gt;=7)*ROW('10-Day Compliance'!$E$5:$E$154)/ROW('10-Day Compliance'!$E$5:$E$154)&gt;=3,0)),"—")</f>
        <v>—</v>
      </c>
      <c r="C18" s="6" t="str">
        <f>IF(B18="—","",IFERROR(VLOOKUP(B18,'10-Day Compliance'!$A:$C,3,FALSE())&amp;" "&amp;VLOOKUP(B18,'10-Day Compliance'!$A:$B,2,FALSE()),""))</f>
        <v/>
      </c>
      <c r="D18" s="6" t="str">
        <f>IF(B18="—","",IFERROR(VLOOKUP(B18,'10-Day Compliance'!$A:$E,5,FALSE()),""))</f>
        <v/>
      </c>
      <c r="E18" s="6" t="str">
        <f>IF(B18="—","",IFERROR(VLOOKUP(B18,'10-Day Compliance'!$A:$AA,27,FALSE()),""))</f>
        <v/>
      </c>
    </row>
    <row r="19" spans="1:6" ht="19.5" customHeight="1" x14ac:dyDescent="0.45">
      <c r="B19" s="4" t="str">
        <f>IFERROR(INDEX('10-Day Compliance'!$A$5:$A$154,MATCH(1,('10-Day Compliance'!$E$5:$E$154&gt;=7)*ROW('10-Day Compliance'!$E$5:$E$154)/ROW('10-Day Compliance'!$E$5:$E$154)&gt;=4,0)),"—")</f>
        <v>—</v>
      </c>
      <c r="C19" s="4" t="str">
        <f>IF(B19="—","",IFERROR(VLOOKUP(B19,'10-Day Compliance'!$A:$C,3,FALSE())&amp;" "&amp;VLOOKUP(B19,'10-Day Compliance'!$A:$B,2,FALSE()),""))</f>
        <v/>
      </c>
      <c r="D19" s="4" t="str">
        <f>IF(B19="—","",IFERROR(VLOOKUP(B19,'10-Day Compliance'!$A:$E,5,FALSE()),""))</f>
        <v/>
      </c>
      <c r="E19" s="4" t="str">
        <f>IF(B19="—","",IFERROR(VLOOKUP(B19,'10-Day Compliance'!$A:$AA,27,FALSE()),""))</f>
        <v/>
      </c>
    </row>
    <row r="20" spans="1:6" ht="19.5" customHeight="1" x14ac:dyDescent="0.45">
      <c r="B20" s="6" t="str">
        <f>IFERROR(INDEX('10-Day Compliance'!$A$5:$A$154,MATCH(1,('10-Day Compliance'!$E$5:$E$154&gt;=7)*ROW('10-Day Compliance'!$E$5:$E$154)/ROW('10-Day Compliance'!$E$5:$E$154)&gt;=5,0)),"—")</f>
        <v>—</v>
      </c>
      <c r="C20" s="6" t="str">
        <f>IF(B20="—","",IFERROR(VLOOKUP(B20,'10-Day Compliance'!$A:$C,3,FALSE())&amp;" "&amp;VLOOKUP(B20,'10-Day Compliance'!$A:$B,2,FALSE()),""))</f>
        <v/>
      </c>
      <c r="D20" s="6" t="str">
        <f>IF(B20="—","",IFERROR(VLOOKUP(B20,'10-Day Compliance'!$A:$E,5,FALSE()),""))</f>
        <v/>
      </c>
      <c r="E20" s="6" t="str">
        <f>IF(B20="—","",IFERROR(VLOOKUP(B20,'10-Day Compliance'!$A:$AA,27,FALSE()),""))</f>
        <v/>
      </c>
    </row>
    <row r="21" spans="1:6" ht="19.5" customHeight="1" x14ac:dyDescent="0.45">
      <c r="B21" s="4" t="str">
        <f>IFERROR(INDEX('10-Day Compliance'!$A$5:$A$154,MATCH(1,('10-Day Compliance'!$E$5:$E$154&gt;=7)*ROW('10-Day Compliance'!$E$5:$E$154)/ROW('10-Day Compliance'!$E$5:$E$154)&gt;=6,0)),"—")</f>
        <v>—</v>
      </c>
      <c r="C21" s="4" t="str">
        <f>IF(B21="—","",IFERROR(VLOOKUP(B21,'10-Day Compliance'!$A:$C,3,FALSE())&amp;" "&amp;VLOOKUP(B21,'10-Day Compliance'!$A:$B,2,FALSE()),""))</f>
        <v/>
      </c>
      <c r="D21" s="4" t="str">
        <f>IF(B21="—","",IFERROR(VLOOKUP(B21,'10-Day Compliance'!$A:$E,5,FALSE()),""))</f>
        <v/>
      </c>
      <c r="E21" s="4" t="str">
        <f>IF(B21="—","",IFERROR(VLOOKUP(B21,'10-Day Compliance'!$A:$AA,27,FALSE()),""))</f>
        <v/>
      </c>
    </row>
    <row r="22" spans="1:6" ht="9.75" customHeight="1" x14ac:dyDescent="0.45"/>
    <row r="23" spans="1:6" ht="27.75" customHeight="1" x14ac:dyDescent="0.45">
      <c r="A23" s="31"/>
      <c r="B23" s="109" t="s">
        <v>273</v>
      </c>
      <c r="C23" s="76"/>
      <c r="D23" s="76"/>
      <c r="E23" s="76"/>
      <c r="F23" s="31"/>
    </row>
    <row r="24" spans="1:6" ht="24" customHeight="1" x14ac:dyDescent="0.45">
      <c r="B24" s="7" t="s">
        <v>266</v>
      </c>
      <c r="C24" s="7" t="s">
        <v>274</v>
      </c>
      <c r="D24" s="7" t="s">
        <v>217</v>
      </c>
      <c r="E24" s="7" t="s">
        <v>275</v>
      </c>
    </row>
    <row r="25" spans="1:6" ht="19.5" customHeight="1" x14ac:dyDescent="0.45">
      <c r="B25" s="4" t="str">
        <f ca="1">IFERROR(INDEX('Parent Contact Log'!$D$5:$D$254,MATCH(1,('Parent Contact Log'!$Q$5:$Q$254="Yes")*('Parent Contact Log'!$S$5:$S$254&lt;&gt;"Yes")*('Parent Contact Log'!$R$5:$R$254&lt;=TODAY()+7),0)),"—")</f>
        <v>—</v>
      </c>
      <c r="C25" s="4" t="str">
        <f ca="1">IF(B25="—","",IFERROR(INDEX('Parent Contact Log'!$B$5:$B$254,MATCH(B25,'Parent Contact Log'!$D$5:$D$254,0)),""))</f>
        <v/>
      </c>
      <c r="D25" s="8" t="str">
        <f ca="1">IF(B25="—","",IFERROR(INDEX('Parent Contact Log'!$R$5:$R$254,MATCH(B25,'Parent Contact Log'!$D$5:$D$254,0)),""))</f>
        <v/>
      </c>
      <c r="E25" s="4" t="str">
        <f ca="1">IF(B25="—","",IFERROR(INDEX('Parent Contact Log'!$T$5:$T$254,MATCH(B25,'Parent Contact Log'!$D$5:$D$254,0)),""))</f>
        <v/>
      </c>
    </row>
    <row r="26" spans="1:6" ht="19.5" customHeight="1" x14ac:dyDescent="0.45">
      <c r="B26" s="6" t="str">
        <f ca="1">IFERROR(INDEX('Parent Contact Log'!$D$5:$D$254,MATCH(1,('Parent Contact Log'!$Q$5:$Q$254="Yes")*('Parent Contact Log'!$S$5:$S$254&lt;&gt;"Yes")*('Parent Contact Log'!$R$5:$R$254&lt;=TODAY()+7),0)),"—")</f>
        <v>—</v>
      </c>
      <c r="C26" s="6" t="str">
        <f ca="1">IF(B26="—","",IFERROR(INDEX('Parent Contact Log'!$B$5:$B$254,MATCH(B26,'Parent Contact Log'!$D$5:$D$254,0)),""))</f>
        <v/>
      </c>
      <c r="D26" s="12" t="str">
        <f ca="1">IF(B26="—","",IFERROR(INDEX('Parent Contact Log'!$R$5:$R$254,MATCH(B26,'Parent Contact Log'!$D$5:$D$254,0)),""))</f>
        <v/>
      </c>
      <c r="E26" s="6" t="str">
        <f ca="1">IF(B26="—","",IFERROR(INDEX('Parent Contact Log'!$T$5:$T$254,MATCH(B26,'Parent Contact Log'!$D$5:$D$254,0)),""))</f>
        <v/>
      </c>
    </row>
    <row r="27" spans="1:6" ht="19.5" customHeight="1" x14ac:dyDescent="0.45">
      <c r="B27" s="4" t="str">
        <f ca="1">IFERROR(INDEX('Parent Contact Log'!$D$5:$D$254,MATCH(1,('Parent Contact Log'!$Q$5:$Q$254="Yes")*('Parent Contact Log'!$S$5:$S$254&lt;&gt;"Yes")*('Parent Contact Log'!$R$5:$R$254&lt;=TODAY()+7),0)),"—")</f>
        <v>—</v>
      </c>
      <c r="C27" s="4" t="str">
        <f ca="1">IF(B27="—","",IFERROR(INDEX('Parent Contact Log'!$B$5:$B$254,MATCH(B27,'Parent Contact Log'!$D$5:$D$254,0)),""))</f>
        <v/>
      </c>
      <c r="D27" s="8" t="str">
        <f ca="1">IF(B27="—","",IFERROR(INDEX('Parent Contact Log'!$R$5:$R$254,MATCH(B27,'Parent Contact Log'!$D$5:$D$254,0)),""))</f>
        <v/>
      </c>
      <c r="E27" s="4" t="str">
        <f ca="1">IF(B27="—","",IFERROR(INDEX('Parent Contact Log'!$T$5:$T$254,MATCH(B27,'Parent Contact Log'!$D$5:$D$254,0)),""))</f>
        <v/>
      </c>
    </row>
    <row r="28" spans="1:6" ht="19.5" customHeight="1" x14ac:dyDescent="0.45">
      <c r="B28" s="6" t="str">
        <f ca="1">IFERROR(INDEX('Parent Contact Log'!$D$5:$D$254,MATCH(1,('Parent Contact Log'!$Q$5:$Q$254="Yes")*('Parent Contact Log'!$S$5:$S$254&lt;&gt;"Yes")*('Parent Contact Log'!$R$5:$R$254&lt;=TODAY()+7),0)),"—")</f>
        <v>—</v>
      </c>
      <c r="C28" s="6" t="str">
        <f ca="1">IF(B28="—","",IFERROR(INDEX('Parent Contact Log'!$B$5:$B$254,MATCH(B28,'Parent Contact Log'!$D$5:$D$254,0)),""))</f>
        <v/>
      </c>
      <c r="D28" s="12" t="str">
        <f ca="1">IF(B28="—","",IFERROR(INDEX('Parent Contact Log'!$R$5:$R$254,MATCH(B28,'Parent Contact Log'!$D$5:$D$254,0)),""))</f>
        <v/>
      </c>
      <c r="E28" s="6" t="str">
        <f ca="1">IF(B28="—","",IFERROR(INDEX('Parent Contact Log'!$T$5:$T$254,MATCH(B28,'Parent Contact Log'!$D$5:$D$254,0)),""))</f>
        <v/>
      </c>
    </row>
    <row r="29" spans="1:6" ht="19.5" customHeight="1" x14ac:dyDescent="0.45">
      <c r="B29" s="4" t="str">
        <f ca="1">IFERROR(INDEX('Parent Contact Log'!$D$5:$D$254,MATCH(1,('Parent Contact Log'!$Q$5:$Q$254="Yes")*('Parent Contact Log'!$S$5:$S$254&lt;&gt;"Yes")*('Parent Contact Log'!$R$5:$R$254&lt;=TODAY()+7),0)),"—")</f>
        <v>—</v>
      </c>
      <c r="C29" s="4" t="str">
        <f ca="1">IF(B29="—","",IFERROR(INDEX('Parent Contact Log'!$B$5:$B$254,MATCH(B29,'Parent Contact Log'!$D$5:$D$254,0)),""))</f>
        <v/>
      </c>
      <c r="D29" s="8" t="str">
        <f ca="1">IF(B29="—","",IFERROR(INDEX('Parent Contact Log'!$R$5:$R$254,MATCH(B29,'Parent Contact Log'!$D$5:$D$254,0)),""))</f>
        <v/>
      </c>
      <c r="E29" s="4" t="str">
        <f ca="1">IF(B29="—","",IFERROR(INDEX('Parent Contact Log'!$T$5:$T$254,MATCH(B29,'Parent Contact Log'!$D$5:$D$254,0)),""))</f>
        <v/>
      </c>
    </row>
    <row r="30" spans="1:6" ht="19.5" customHeight="1" x14ac:dyDescent="0.45">
      <c r="B30" s="6" t="str">
        <f ca="1">IFERROR(INDEX('Parent Contact Log'!$D$5:$D$254,MATCH(1,('Parent Contact Log'!$Q$5:$Q$254="Yes")*('Parent Contact Log'!$S$5:$S$254&lt;&gt;"Yes")*('Parent Contact Log'!$R$5:$R$254&lt;=TODAY()+7),0)),"—")</f>
        <v>—</v>
      </c>
      <c r="C30" s="6" t="str">
        <f ca="1">IF(B30="—","",IFERROR(INDEX('Parent Contact Log'!$B$5:$B$254,MATCH(B30,'Parent Contact Log'!$D$5:$D$254,0)),""))</f>
        <v/>
      </c>
      <c r="D30" s="12" t="str">
        <f ca="1">IF(B30="—","",IFERROR(INDEX('Parent Contact Log'!$R$5:$R$254,MATCH(B30,'Parent Contact Log'!$D$5:$D$254,0)),""))</f>
        <v/>
      </c>
      <c r="E30" s="6" t="str">
        <f ca="1">IF(B30="—","",IFERROR(INDEX('Parent Contact Log'!$T$5:$T$254,MATCH(B30,'Parent Contact Log'!$D$5:$D$254,0)),""))</f>
        <v/>
      </c>
    </row>
    <row r="31" spans="1:6" ht="9.75" customHeight="1" x14ac:dyDescent="0.45"/>
    <row r="32" spans="1:6" ht="27.75" customHeight="1" x14ac:dyDescent="0.45">
      <c r="A32" s="26"/>
      <c r="B32" s="77" t="s">
        <v>276</v>
      </c>
      <c r="C32" s="76"/>
      <c r="D32" s="76"/>
      <c r="E32" s="76"/>
      <c r="F32" s="26"/>
    </row>
    <row r="33" spans="1:6" ht="25.5" customHeight="1" x14ac:dyDescent="0.45">
      <c r="B33" s="58" t="s">
        <v>277</v>
      </c>
      <c r="C33" s="59">
        <f>COUNTIF('Incident Intake'!X5:X304,"Open")</f>
        <v>0</v>
      </c>
      <c r="D33" s="58"/>
      <c r="E33" s="58"/>
    </row>
    <row r="34" spans="1:6" ht="25.5" customHeight="1" x14ac:dyDescent="0.45">
      <c r="B34" s="60" t="s">
        <v>82</v>
      </c>
      <c r="C34" s="61">
        <f>COUNTIF('Incident Intake'!X5:X304,"In Progress")</f>
        <v>0</v>
      </c>
      <c r="D34" s="60"/>
      <c r="E34" s="60"/>
    </row>
    <row r="35" spans="1:6" ht="25.5" customHeight="1" x14ac:dyDescent="0.45">
      <c r="B35" s="58" t="s">
        <v>278</v>
      </c>
      <c r="C35" s="59">
        <f ca="1">COUNTIFS('Parent Contact Log'!E5:E254,"&gt;="&amp;(TODAY()-7),'Parent Contact Log'!E5:E254,"&lt;="&amp;TODAY())</f>
        <v>0</v>
      </c>
      <c r="D35" s="58"/>
      <c r="E35" s="58"/>
    </row>
    <row r="36" spans="1:6" ht="25.5" customHeight="1" x14ac:dyDescent="0.45">
      <c r="B36" s="60" t="s">
        <v>279</v>
      </c>
      <c r="C36" s="61">
        <f>COUNTIF('Evidence Tracker'!S5:S304,"Yes")</f>
        <v>0</v>
      </c>
      <c r="D36" s="60"/>
      <c r="E36" s="60"/>
    </row>
    <row r="37" spans="1:6" ht="25.5" customHeight="1" x14ac:dyDescent="0.45">
      <c r="B37" s="58" t="s">
        <v>280</v>
      </c>
      <c r="C37" s="59">
        <f>COUNTIF('10-Day Compliance'!AA5:AA154,"*WARNING*")+COUNTIF('10-Day Compliance'!AA5:AA154,"*URGENT*")+COUNTIF('10-Day Compliance'!AA5:AA154,"*EXCEEDED*")</f>
        <v>0</v>
      </c>
      <c r="D37" s="58"/>
      <c r="E37" s="58"/>
    </row>
    <row r="38" spans="1:6" ht="7.5" customHeight="1" x14ac:dyDescent="0.45"/>
    <row r="39" spans="1:6" ht="30" customHeight="1" x14ac:dyDescent="0.45">
      <c r="A39" s="112" t="s">
        <v>281</v>
      </c>
      <c r="B39" s="76"/>
      <c r="C39" s="76"/>
      <c r="D39" s="76"/>
      <c r="E39" s="76"/>
      <c r="F39" s="76"/>
    </row>
  </sheetData>
  <mergeCells count="7">
    <mergeCell ref="B23:E23"/>
    <mergeCell ref="A1:F1"/>
    <mergeCell ref="B3:E3"/>
    <mergeCell ref="B2:E2"/>
    <mergeCell ref="A39:F39"/>
    <mergeCell ref="B14:E14"/>
    <mergeCell ref="B32:E32"/>
  </mergeCells>
  <pageMargins left="0.75" right="0.75" top="1" bottom="1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B2D7F"/>
  </sheetPr>
  <dimension ref="A1:P35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10" customWidth="1"/>
    <col min="2" max="2" width="14" customWidth="1"/>
    <col min="3" max="3" width="22" customWidth="1"/>
    <col min="4" max="4" width="28" customWidth="1"/>
    <col min="5" max="5" width="13" customWidth="1"/>
    <col min="6" max="6" width="10" customWidth="1"/>
    <col min="7" max="8" width="24" customWidth="1"/>
    <col min="9" max="10" width="18" customWidth="1"/>
    <col min="11" max="11" width="20" customWidth="1"/>
    <col min="12" max="12" width="60" customWidth="1"/>
    <col min="13" max="13" width="36" customWidth="1"/>
    <col min="14" max="14" width="28" customWidth="1"/>
    <col min="15" max="15" width="14" customWidth="1"/>
    <col min="16" max="16" width="36" customWidth="1"/>
  </cols>
  <sheetData>
    <row r="1" spans="1:16" ht="43.5" customHeight="1" x14ac:dyDescent="0.45">
      <c r="A1" s="86" t="s">
        <v>282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16" ht="21.75" customHeight="1" x14ac:dyDescent="0.45">
      <c r="A2" s="85" t="s">
        <v>283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16" ht="18" customHeight="1" x14ac:dyDescent="0.45">
      <c r="A3" s="113" t="s">
        <v>284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16" ht="36" customHeight="1" x14ac:dyDescent="0.45">
      <c r="A4" s="7" t="s">
        <v>285</v>
      </c>
      <c r="B4" s="7" t="s">
        <v>38</v>
      </c>
      <c r="C4" s="7" t="s">
        <v>121</v>
      </c>
      <c r="D4" s="7" t="s">
        <v>122</v>
      </c>
      <c r="E4" s="7" t="s">
        <v>286</v>
      </c>
      <c r="F4" s="7" t="s">
        <v>287</v>
      </c>
      <c r="G4" s="7" t="s">
        <v>288</v>
      </c>
      <c r="H4" s="7" t="s">
        <v>289</v>
      </c>
      <c r="I4" s="7" t="s">
        <v>290</v>
      </c>
      <c r="J4" s="7" t="s">
        <v>291</v>
      </c>
      <c r="K4" s="7" t="s">
        <v>292</v>
      </c>
      <c r="L4" s="7" t="s">
        <v>293</v>
      </c>
      <c r="M4" s="7" t="s">
        <v>294</v>
      </c>
      <c r="N4" s="7" t="s">
        <v>295</v>
      </c>
      <c r="O4" s="7" t="s">
        <v>216</v>
      </c>
      <c r="P4" s="7" t="s">
        <v>296</v>
      </c>
    </row>
    <row r="5" spans="1:16" ht="60" customHeight="1" x14ac:dyDescent="0.45">
      <c r="A5" s="4"/>
      <c r="B5" s="4"/>
      <c r="C5" s="10" t="str">
        <f>IFERROR(VLOOKUP(B5,'Incident Intake'!$A:$G,7,FALSE())&amp;" "&amp;VLOOKUP(B5,'Incident Intake'!$A:$F,6,FALSE()),"")</f>
        <v/>
      </c>
      <c r="D5" s="10" t="str">
        <f>IFERROR(VLOOKUP(B5,'Incident Intake'!$A:$J,10,FALSE()),"")</f>
        <v/>
      </c>
      <c r="E5" s="8"/>
      <c r="F5" s="4"/>
      <c r="G5" s="4"/>
      <c r="H5" s="4"/>
      <c r="I5" s="4"/>
      <c r="J5" s="4"/>
      <c r="K5" s="4"/>
      <c r="L5" s="62"/>
      <c r="M5" s="4"/>
      <c r="N5" s="4"/>
      <c r="O5" s="4"/>
      <c r="P5" s="4"/>
    </row>
    <row r="6" spans="1:16" ht="60" customHeight="1" x14ac:dyDescent="0.45">
      <c r="A6" s="6"/>
      <c r="B6" s="6"/>
      <c r="C6" s="10" t="str">
        <f>IFERROR(VLOOKUP(B6,'Incident Intake'!$A:$G,7,FALSE())&amp;" "&amp;VLOOKUP(B6,'Incident Intake'!$A:$F,6,FALSE()),"")</f>
        <v/>
      </c>
      <c r="D6" s="10" t="str">
        <f>IFERROR(VLOOKUP(B6,'Incident Intake'!$A:$J,10,FALSE()),"")</f>
        <v/>
      </c>
      <c r="E6" s="12"/>
      <c r="F6" s="6"/>
      <c r="G6" s="6"/>
      <c r="H6" s="6"/>
      <c r="I6" s="6"/>
      <c r="J6" s="6"/>
      <c r="K6" s="6"/>
      <c r="L6" s="63"/>
      <c r="M6" s="6"/>
      <c r="N6" s="6"/>
      <c r="O6" s="6"/>
      <c r="P6" s="6"/>
    </row>
    <row r="7" spans="1:16" ht="60" customHeight="1" x14ac:dyDescent="0.45">
      <c r="A7" s="4"/>
      <c r="B7" s="4"/>
      <c r="C7" s="10" t="str">
        <f>IFERROR(VLOOKUP(B7,'Incident Intake'!$A:$G,7,FALSE())&amp;" "&amp;VLOOKUP(B7,'Incident Intake'!$A:$F,6,FALSE()),"")</f>
        <v/>
      </c>
      <c r="D7" s="10" t="str">
        <f>IFERROR(VLOOKUP(B7,'Incident Intake'!$A:$J,10,FALSE()),"")</f>
        <v/>
      </c>
      <c r="E7" s="8"/>
      <c r="F7" s="4"/>
      <c r="G7" s="4"/>
      <c r="H7" s="4"/>
      <c r="I7" s="4"/>
      <c r="J7" s="4"/>
      <c r="K7" s="4"/>
      <c r="L7" s="62"/>
      <c r="M7" s="4"/>
      <c r="N7" s="4"/>
      <c r="O7" s="4"/>
      <c r="P7" s="4"/>
    </row>
    <row r="8" spans="1:16" ht="60" customHeight="1" x14ac:dyDescent="0.45">
      <c r="A8" s="6"/>
      <c r="B8" s="6"/>
      <c r="C8" s="10" t="str">
        <f>IFERROR(VLOOKUP(B8,'Incident Intake'!$A:$G,7,FALSE())&amp;" "&amp;VLOOKUP(B8,'Incident Intake'!$A:$F,6,FALSE()),"")</f>
        <v/>
      </c>
      <c r="D8" s="10" t="str">
        <f>IFERROR(VLOOKUP(B8,'Incident Intake'!$A:$J,10,FALSE()),"")</f>
        <v/>
      </c>
      <c r="E8" s="12"/>
      <c r="F8" s="6"/>
      <c r="G8" s="6"/>
      <c r="H8" s="6"/>
      <c r="I8" s="6"/>
      <c r="J8" s="6"/>
      <c r="K8" s="6"/>
      <c r="L8" s="63"/>
      <c r="M8" s="6"/>
      <c r="N8" s="6"/>
      <c r="O8" s="6"/>
      <c r="P8" s="6"/>
    </row>
    <row r="9" spans="1:16" ht="60" customHeight="1" x14ac:dyDescent="0.45">
      <c r="A9" s="4"/>
      <c r="B9" s="4"/>
      <c r="C9" s="10" t="str">
        <f>IFERROR(VLOOKUP(B9,'Incident Intake'!$A:$G,7,FALSE())&amp;" "&amp;VLOOKUP(B9,'Incident Intake'!$A:$F,6,FALSE()),"")</f>
        <v/>
      </c>
      <c r="D9" s="10" t="str">
        <f>IFERROR(VLOOKUP(B9,'Incident Intake'!$A:$J,10,FALSE()),"")</f>
        <v/>
      </c>
      <c r="E9" s="8"/>
      <c r="F9" s="4"/>
      <c r="G9" s="4"/>
      <c r="H9" s="4"/>
      <c r="I9" s="4"/>
      <c r="J9" s="4"/>
      <c r="K9" s="4"/>
      <c r="L9" s="62"/>
      <c r="M9" s="4"/>
      <c r="N9" s="4"/>
      <c r="O9" s="4"/>
      <c r="P9" s="4"/>
    </row>
    <row r="10" spans="1:16" ht="60" customHeight="1" x14ac:dyDescent="0.45">
      <c r="A10" s="6"/>
      <c r="B10" s="6"/>
      <c r="C10" s="10" t="str">
        <f>IFERROR(VLOOKUP(B10,'Incident Intake'!$A:$G,7,FALSE())&amp;" "&amp;VLOOKUP(B10,'Incident Intake'!$A:$F,6,FALSE()),"")</f>
        <v/>
      </c>
      <c r="D10" s="10" t="str">
        <f>IFERROR(VLOOKUP(B10,'Incident Intake'!$A:$J,10,FALSE()),"")</f>
        <v/>
      </c>
      <c r="E10" s="12"/>
      <c r="F10" s="6"/>
      <c r="G10" s="6"/>
      <c r="H10" s="6"/>
      <c r="I10" s="6"/>
      <c r="J10" s="6"/>
      <c r="K10" s="6"/>
      <c r="L10" s="63"/>
      <c r="M10" s="6"/>
      <c r="N10" s="6"/>
      <c r="O10" s="6"/>
      <c r="P10" s="6"/>
    </row>
    <row r="11" spans="1:16" ht="60" customHeight="1" x14ac:dyDescent="0.45">
      <c r="A11" s="4"/>
      <c r="B11" s="4"/>
      <c r="C11" s="10" t="str">
        <f>IFERROR(VLOOKUP(B11,'Incident Intake'!$A:$G,7,FALSE())&amp;" "&amp;VLOOKUP(B11,'Incident Intake'!$A:$F,6,FALSE()),"")</f>
        <v/>
      </c>
      <c r="D11" s="10" t="str">
        <f>IFERROR(VLOOKUP(B11,'Incident Intake'!$A:$J,10,FALSE()),"")</f>
        <v/>
      </c>
      <c r="E11" s="8"/>
      <c r="F11" s="4"/>
      <c r="G11" s="4"/>
      <c r="H11" s="4"/>
      <c r="I11" s="4"/>
      <c r="J11" s="4"/>
      <c r="K11" s="4"/>
      <c r="L11" s="62"/>
      <c r="M11" s="4"/>
      <c r="N11" s="4"/>
      <c r="O11" s="4"/>
      <c r="P11" s="4"/>
    </row>
    <row r="12" spans="1:16" ht="60" customHeight="1" x14ac:dyDescent="0.45">
      <c r="A12" s="6"/>
      <c r="B12" s="6"/>
      <c r="C12" s="10" t="str">
        <f>IFERROR(VLOOKUP(B12,'Incident Intake'!$A:$G,7,FALSE())&amp;" "&amp;VLOOKUP(B12,'Incident Intake'!$A:$F,6,FALSE()),"")</f>
        <v/>
      </c>
      <c r="D12" s="10" t="str">
        <f>IFERROR(VLOOKUP(B12,'Incident Intake'!$A:$J,10,FALSE()),"")</f>
        <v/>
      </c>
      <c r="E12" s="12"/>
      <c r="F12" s="6"/>
      <c r="G12" s="6"/>
      <c r="H12" s="6"/>
      <c r="I12" s="6"/>
      <c r="J12" s="6"/>
      <c r="K12" s="6"/>
      <c r="L12" s="63"/>
      <c r="M12" s="6"/>
      <c r="N12" s="6"/>
      <c r="O12" s="6"/>
      <c r="P12" s="6"/>
    </row>
    <row r="13" spans="1:16" ht="60" customHeight="1" x14ac:dyDescent="0.45">
      <c r="A13" s="4"/>
      <c r="B13" s="4"/>
      <c r="C13" s="10" t="str">
        <f>IFERROR(VLOOKUP(B13,'Incident Intake'!$A:$G,7,FALSE())&amp;" "&amp;VLOOKUP(B13,'Incident Intake'!$A:$F,6,FALSE()),"")</f>
        <v/>
      </c>
      <c r="D13" s="10" t="str">
        <f>IFERROR(VLOOKUP(B13,'Incident Intake'!$A:$J,10,FALSE()),"")</f>
        <v/>
      </c>
      <c r="E13" s="8"/>
      <c r="F13" s="4"/>
      <c r="G13" s="4"/>
      <c r="H13" s="4"/>
      <c r="I13" s="4"/>
      <c r="J13" s="4"/>
      <c r="K13" s="4"/>
      <c r="L13" s="62"/>
      <c r="M13" s="4"/>
      <c r="N13" s="4"/>
      <c r="O13" s="4"/>
      <c r="P13" s="4"/>
    </row>
    <row r="14" spans="1:16" ht="60" customHeight="1" x14ac:dyDescent="0.45">
      <c r="A14" s="6"/>
      <c r="B14" s="6"/>
      <c r="C14" s="10" t="str">
        <f>IFERROR(VLOOKUP(B14,'Incident Intake'!$A:$G,7,FALSE())&amp;" "&amp;VLOOKUP(B14,'Incident Intake'!$A:$F,6,FALSE()),"")</f>
        <v/>
      </c>
      <c r="D14" s="10" t="str">
        <f>IFERROR(VLOOKUP(B14,'Incident Intake'!$A:$J,10,FALSE()),"")</f>
        <v/>
      </c>
      <c r="E14" s="12"/>
      <c r="F14" s="6"/>
      <c r="G14" s="6"/>
      <c r="H14" s="6"/>
      <c r="I14" s="6"/>
      <c r="J14" s="6"/>
      <c r="K14" s="6"/>
      <c r="L14" s="63"/>
      <c r="M14" s="6"/>
      <c r="N14" s="6"/>
      <c r="O14" s="6"/>
      <c r="P14" s="6"/>
    </row>
    <row r="15" spans="1:16" ht="60" customHeight="1" x14ac:dyDescent="0.45">
      <c r="A15" s="4"/>
      <c r="B15" s="4"/>
      <c r="C15" s="10" t="str">
        <f>IFERROR(VLOOKUP(B15,'Incident Intake'!$A:$G,7,FALSE())&amp;" "&amp;VLOOKUP(B15,'Incident Intake'!$A:$F,6,FALSE()),"")</f>
        <v/>
      </c>
      <c r="D15" s="10" t="str">
        <f>IFERROR(VLOOKUP(B15,'Incident Intake'!$A:$J,10,FALSE()),"")</f>
        <v/>
      </c>
      <c r="E15" s="8"/>
      <c r="F15" s="4"/>
      <c r="G15" s="4"/>
      <c r="H15" s="4"/>
      <c r="I15" s="4"/>
      <c r="J15" s="4"/>
      <c r="K15" s="4"/>
      <c r="L15" s="62"/>
      <c r="M15" s="4"/>
      <c r="N15" s="4"/>
      <c r="O15" s="4"/>
      <c r="P15" s="4"/>
    </row>
    <row r="16" spans="1:16" ht="60" customHeight="1" x14ac:dyDescent="0.45">
      <c r="A16" s="6"/>
      <c r="B16" s="6"/>
      <c r="C16" s="10" t="str">
        <f>IFERROR(VLOOKUP(B16,'Incident Intake'!$A:$G,7,FALSE())&amp;" "&amp;VLOOKUP(B16,'Incident Intake'!$A:$F,6,FALSE()),"")</f>
        <v/>
      </c>
      <c r="D16" s="10" t="str">
        <f>IFERROR(VLOOKUP(B16,'Incident Intake'!$A:$J,10,FALSE()),"")</f>
        <v/>
      </c>
      <c r="E16" s="12"/>
      <c r="F16" s="6"/>
      <c r="G16" s="6"/>
      <c r="H16" s="6"/>
      <c r="I16" s="6"/>
      <c r="J16" s="6"/>
      <c r="K16" s="6"/>
      <c r="L16" s="63"/>
      <c r="M16" s="6"/>
      <c r="N16" s="6"/>
      <c r="O16" s="6"/>
      <c r="P16" s="6"/>
    </row>
    <row r="17" spans="1:16" ht="60" customHeight="1" x14ac:dyDescent="0.45">
      <c r="A17" s="4"/>
      <c r="B17" s="4"/>
      <c r="C17" s="10" t="str">
        <f>IFERROR(VLOOKUP(B17,'Incident Intake'!$A:$G,7,FALSE())&amp;" "&amp;VLOOKUP(B17,'Incident Intake'!$A:$F,6,FALSE()),"")</f>
        <v/>
      </c>
      <c r="D17" s="10" t="str">
        <f>IFERROR(VLOOKUP(B17,'Incident Intake'!$A:$J,10,FALSE()),"")</f>
        <v/>
      </c>
      <c r="E17" s="8"/>
      <c r="F17" s="4"/>
      <c r="G17" s="4"/>
      <c r="H17" s="4"/>
      <c r="I17" s="4"/>
      <c r="J17" s="4"/>
      <c r="K17" s="4"/>
      <c r="L17" s="62"/>
      <c r="M17" s="4"/>
      <c r="N17" s="4"/>
      <c r="O17" s="4"/>
      <c r="P17" s="4"/>
    </row>
    <row r="18" spans="1:16" ht="60" customHeight="1" x14ac:dyDescent="0.45">
      <c r="A18" s="6"/>
      <c r="B18" s="6"/>
      <c r="C18" s="10" t="str">
        <f>IFERROR(VLOOKUP(B18,'Incident Intake'!$A:$G,7,FALSE())&amp;" "&amp;VLOOKUP(B18,'Incident Intake'!$A:$F,6,FALSE()),"")</f>
        <v/>
      </c>
      <c r="D18" s="10" t="str">
        <f>IFERROR(VLOOKUP(B18,'Incident Intake'!$A:$J,10,FALSE()),"")</f>
        <v/>
      </c>
      <c r="E18" s="12"/>
      <c r="F18" s="6"/>
      <c r="G18" s="6"/>
      <c r="H18" s="6"/>
      <c r="I18" s="6"/>
      <c r="J18" s="6"/>
      <c r="K18" s="6"/>
      <c r="L18" s="63"/>
      <c r="M18" s="6"/>
      <c r="N18" s="6"/>
      <c r="O18" s="6"/>
      <c r="P18" s="6"/>
    </row>
    <row r="19" spans="1:16" ht="60" customHeight="1" x14ac:dyDescent="0.45">
      <c r="A19" s="4"/>
      <c r="B19" s="4"/>
      <c r="C19" s="10" t="str">
        <f>IFERROR(VLOOKUP(B19,'Incident Intake'!$A:$G,7,FALSE())&amp;" "&amp;VLOOKUP(B19,'Incident Intake'!$A:$F,6,FALSE()),"")</f>
        <v/>
      </c>
      <c r="D19" s="10" t="str">
        <f>IFERROR(VLOOKUP(B19,'Incident Intake'!$A:$J,10,FALSE()),"")</f>
        <v/>
      </c>
      <c r="E19" s="8"/>
      <c r="F19" s="4"/>
      <c r="G19" s="4"/>
      <c r="H19" s="4"/>
      <c r="I19" s="4"/>
      <c r="J19" s="4"/>
      <c r="K19" s="4"/>
      <c r="L19" s="62"/>
      <c r="M19" s="4"/>
      <c r="N19" s="4"/>
      <c r="O19" s="4"/>
      <c r="P19" s="4"/>
    </row>
    <row r="20" spans="1:16" ht="60" customHeight="1" x14ac:dyDescent="0.45">
      <c r="A20" s="6"/>
      <c r="B20" s="6"/>
      <c r="C20" s="10" t="str">
        <f>IFERROR(VLOOKUP(B20,'Incident Intake'!$A:$G,7,FALSE())&amp;" "&amp;VLOOKUP(B20,'Incident Intake'!$A:$F,6,FALSE()),"")</f>
        <v/>
      </c>
      <c r="D20" s="10" t="str">
        <f>IFERROR(VLOOKUP(B20,'Incident Intake'!$A:$J,10,FALSE()),"")</f>
        <v/>
      </c>
      <c r="E20" s="12"/>
      <c r="F20" s="6"/>
      <c r="G20" s="6"/>
      <c r="H20" s="6"/>
      <c r="I20" s="6"/>
      <c r="J20" s="6"/>
      <c r="K20" s="6"/>
      <c r="L20" s="63"/>
      <c r="M20" s="6"/>
      <c r="N20" s="6"/>
      <c r="O20" s="6"/>
      <c r="P20" s="6"/>
    </row>
    <row r="21" spans="1:16" ht="60" customHeight="1" x14ac:dyDescent="0.45">
      <c r="A21" s="4"/>
      <c r="B21" s="4"/>
      <c r="C21" s="10" t="str">
        <f>IFERROR(VLOOKUP(B21,'Incident Intake'!$A:$G,7,FALSE())&amp;" "&amp;VLOOKUP(B21,'Incident Intake'!$A:$F,6,FALSE()),"")</f>
        <v/>
      </c>
      <c r="D21" s="10" t="str">
        <f>IFERROR(VLOOKUP(B21,'Incident Intake'!$A:$J,10,FALSE()),"")</f>
        <v/>
      </c>
      <c r="E21" s="8"/>
      <c r="F21" s="4"/>
      <c r="G21" s="4"/>
      <c r="H21" s="4"/>
      <c r="I21" s="4"/>
      <c r="J21" s="4"/>
      <c r="K21" s="4"/>
      <c r="L21" s="62"/>
      <c r="M21" s="4"/>
      <c r="N21" s="4"/>
      <c r="O21" s="4"/>
      <c r="P21" s="4"/>
    </row>
    <row r="22" spans="1:16" ht="60" customHeight="1" x14ac:dyDescent="0.45">
      <c r="A22" s="6"/>
      <c r="B22" s="6"/>
      <c r="C22" s="10" t="str">
        <f>IFERROR(VLOOKUP(B22,'Incident Intake'!$A:$G,7,FALSE())&amp;" "&amp;VLOOKUP(B22,'Incident Intake'!$A:$F,6,FALSE()),"")</f>
        <v/>
      </c>
      <c r="D22" s="10" t="str">
        <f>IFERROR(VLOOKUP(B22,'Incident Intake'!$A:$J,10,FALSE()),"")</f>
        <v/>
      </c>
      <c r="E22" s="12"/>
      <c r="F22" s="6"/>
      <c r="G22" s="6"/>
      <c r="H22" s="6"/>
      <c r="I22" s="6"/>
      <c r="J22" s="6"/>
      <c r="K22" s="6"/>
      <c r="L22" s="63"/>
      <c r="M22" s="6"/>
      <c r="N22" s="6"/>
      <c r="O22" s="6"/>
      <c r="P22" s="6"/>
    </row>
    <row r="23" spans="1:16" ht="60" customHeight="1" x14ac:dyDescent="0.45">
      <c r="A23" s="4"/>
      <c r="B23" s="4"/>
      <c r="C23" s="10" t="str">
        <f>IFERROR(VLOOKUP(B23,'Incident Intake'!$A:$G,7,FALSE())&amp;" "&amp;VLOOKUP(B23,'Incident Intake'!$A:$F,6,FALSE()),"")</f>
        <v/>
      </c>
      <c r="D23" s="10" t="str">
        <f>IFERROR(VLOOKUP(B23,'Incident Intake'!$A:$J,10,FALSE()),"")</f>
        <v/>
      </c>
      <c r="E23" s="8"/>
      <c r="F23" s="4"/>
      <c r="G23" s="4"/>
      <c r="H23" s="4"/>
      <c r="I23" s="4"/>
      <c r="J23" s="4"/>
      <c r="K23" s="4"/>
      <c r="L23" s="62"/>
      <c r="M23" s="4"/>
      <c r="N23" s="4"/>
      <c r="O23" s="4"/>
      <c r="P23" s="4"/>
    </row>
    <row r="24" spans="1:16" ht="60" customHeight="1" x14ac:dyDescent="0.45">
      <c r="A24" s="6"/>
      <c r="B24" s="6"/>
      <c r="C24" s="10" t="str">
        <f>IFERROR(VLOOKUP(B24,'Incident Intake'!$A:$G,7,FALSE())&amp;" "&amp;VLOOKUP(B24,'Incident Intake'!$A:$F,6,FALSE()),"")</f>
        <v/>
      </c>
      <c r="D24" s="10" t="str">
        <f>IFERROR(VLOOKUP(B24,'Incident Intake'!$A:$J,10,FALSE()),"")</f>
        <v/>
      </c>
      <c r="E24" s="12"/>
      <c r="F24" s="6"/>
      <c r="G24" s="6"/>
      <c r="H24" s="6"/>
      <c r="I24" s="6"/>
      <c r="J24" s="6"/>
      <c r="K24" s="6"/>
      <c r="L24" s="63"/>
      <c r="M24" s="6"/>
      <c r="N24" s="6"/>
      <c r="O24" s="6"/>
      <c r="P24" s="6"/>
    </row>
    <row r="25" spans="1:16" ht="60" customHeight="1" x14ac:dyDescent="0.45">
      <c r="A25" s="4"/>
      <c r="B25" s="4"/>
      <c r="C25" s="10" t="str">
        <f>IFERROR(VLOOKUP(B25,'Incident Intake'!$A:$G,7,FALSE())&amp;" "&amp;VLOOKUP(B25,'Incident Intake'!$A:$F,6,FALSE()),"")</f>
        <v/>
      </c>
      <c r="D25" s="10" t="str">
        <f>IFERROR(VLOOKUP(B25,'Incident Intake'!$A:$J,10,FALSE()),"")</f>
        <v/>
      </c>
      <c r="E25" s="8"/>
      <c r="F25" s="4"/>
      <c r="G25" s="4"/>
      <c r="H25" s="4"/>
      <c r="I25" s="4"/>
      <c r="J25" s="4"/>
      <c r="K25" s="4"/>
      <c r="L25" s="62"/>
      <c r="M25" s="4"/>
      <c r="N25" s="4"/>
      <c r="O25" s="4"/>
      <c r="P25" s="4"/>
    </row>
    <row r="26" spans="1:16" ht="60" customHeight="1" x14ac:dyDescent="0.45">
      <c r="A26" s="6"/>
      <c r="B26" s="6"/>
      <c r="C26" s="10" t="str">
        <f>IFERROR(VLOOKUP(B26,'Incident Intake'!$A:$G,7,FALSE())&amp;" "&amp;VLOOKUP(B26,'Incident Intake'!$A:$F,6,FALSE()),"")</f>
        <v/>
      </c>
      <c r="D26" s="10" t="str">
        <f>IFERROR(VLOOKUP(B26,'Incident Intake'!$A:$J,10,FALSE()),"")</f>
        <v/>
      </c>
      <c r="E26" s="12"/>
      <c r="F26" s="6"/>
      <c r="G26" s="6"/>
      <c r="H26" s="6"/>
      <c r="I26" s="6"/>
      <c r="J26" s="6"/>
      <c r="K26" s="6"/>
      <c r="L26" s="63"/>
      <c r="M26" s="6"/>
      <c r="N26" s="6"/>
      <c r="O26" s="6"/>
      <c r="P26" s="6"/>
    </row>
    <row r="27" spans="1:16" ht="60" customHeight="1" x14ac:dyDescent="0.45">
      <c r="A27" s="4"/>
      <c r="B27" s="4"/>
      <c r="C27" s="10" t="str">
        <f>IFERROR(VLOOKUP(B27,'Incident Intake'!$A:$G,7,FALSE())&amp;" "&amp;VLOOKUP(B27,'Incident Intake'!$A:$F,6,FALSE()),"")</f>
        <v/>
      </c>
      <c r="D27" s="10" t="str">
        <f>IFERROR(VLOOKUP(B27,'Incident Intake'!$A:$J,10,FALSE()),"")</f>
        <v/>
      </c>
      <c r="E27" s="8"/>
      <c r="F27" s="4"/>
      <c r="G27" s="4"/>
      <c r="H27" s="4"/>
      <c r="I27" s="4"/>
      <c r="J27" s="4"/>
      <c r="K27" s="4"/>
      <c r="L27" s="62"/>
      <c r="M27" s="4"/>
      <c r="N27" s="4"/>
      <c r="O27" s="4"/>
      <c r="P27" s="4"/>
    </row>
    <row r="28" spans="1:16" ht="60" customHeight="1" x14ac:dyDescent="0.45">
      <c r="A28" s="6"/>
      <c r="B28" s="6"/>
      <c r="C28" s="10" t="str">
        <f>IFERROR(VLOOKUP(B28,'Incident Intake'!$A:$G,7,FALSE())&amp;" "&amp;VLOOKUP(B28,'Incident Intake'!$A:$F,6,FALSE()),"")</f>
        <v/>
      </c>
      <c r="D28" s="10" t="str">
        <f>IFERROR(VLOOKUP(B28,'Incident Intake'!$A:$J,10,FALSE()),"")</f>
        <v/>
      </c>
      <c r="E28" s="12"/>
      <c r="F28" s="6"/>
      <c r="G28" s="6"/>
      <c r="H28" s="6"/>
      <c r="I28" s="6"/>
      <c r="J28" s="6"/>
      <c r="K28" s="6"/>
      <c r="L28" s="63"/>
      <c r="M28" s="6"/>
      <c r="N28" s="6"/>
      <c r="O28" s="6"/>
      <c r="P28" s="6"/>
    </row>
    <row r="29" spans="1:16" ht="60" customHeight="1" x14ac:dyDescent="0.45">
      <c r="A29" s="4"/>
      <c r="B29" s="4"/>
      <c r="C29" s="10" t="str">
        <f>IFERROR(VLOOKUP(B29,'Incident Intake'!$A:$G,7,FALSE())&amp;" "&amp;VLOOKUP(B29,'Incident Intake'!$A:$F,6,FALSE()),"")</f>
        <v/>
      </c>
      <c r="D29" s="10" t="str">
        <f>IFERROR(VLOOKUP(B29,'Incident Intake'!$A:$J,10,FALSE()),"")</f>
        <v/>
      </c>
      <c r="E29" s="8"/>
      <c r="F29" s="4"/>
      <c r="G29" s="4"/>
      <c r="H29" s="4"/>
      <c r="I29" s="4"/>
      <c r="J29" s="4"/>
      <c r="K29" s="4"/>
      <c r="L29" s="62"/>
      <c r="M29" s="4"/>
      <c r="N29" s="4"/>
      <c r="O29" s="4"/>
      <c r="P29" s="4"/>
    </row>
    <row r="30" spans="1:16" ht="60" customHeight="1" x14ac:dyDescent="0.45">
      <c r="A30" s="6"/>
      <c r="B30" s="6"/>
      <c r="C30" s="10" t="str">
        <f>IFERROR(VLOOKUP(B30,'Incident Intake'!$A:$G,7,FALSE())&amp;" "&amp;VLOOKUP(B30,'Incident Intake'!$A:$F,6,FALSE()),"")</f>
        <v/>
      </c>
      <c r="D30" s="10" t="str">
        <f>IFERROR(VLOOKUP(B30,'Incident Intake'!$A:$J,10,FALSE()),"")</f>
        <v/>
      </c>
      <c r="E30" s="12"/>
      <c r="F30" s="6"/>
      <c r="G30" s="6"/>
      <c r="H30" s="6"/>
      <c r="I30" s="6"/>
      <c r="J30" s="6"/>
      <c r="K30" s="6"/>
      <c r="L30" s="63"/>
      <c r="M30" s="6"/>
      <c r="N30" s="6"/>
      <c r="O30" s="6"/>
      <c r="P30" s="6"/>
    </row>
    <row r="31" spans="1:16" ht="60" customHeight="1" x14ac:dyDescent="0.45">
      <c r="A31" s="4"/>
      <c r="B31" s="4"/>
      <c r="C31" s="10" t="str">
        <f>IFERROR(VLOOKUP(B31,'Incident Intake'!$A:$G,7,FALSE())&amp;" "&amp;VLOOKUP(B31,'Incident Intake'!$A:$F,6,FALSE()),"")</f>
        <v/>
      </c>
      <c r="D31" s="10" t="str">
        <f>IFERROR(VLOOKUP(B31,'Incident Intake'!$A:$J,10,FALSE()),"")</f>
        <v/>
      </c>
      <c r="E31" s="8"/>
      <c r="F31" s="4"/>
      <c r="G31" s="4"/>
      <c r="H31" s="4"/>
      <c r="I31" s="4"/>
      <c r="J31" s="4"/>
      <c r="K31" s="4"/>
      <c r="L31" s="62"/>
      <c r="M31" s="4"/>
      <c r="N31" s="4"/>
      <c r="O31" s="4"/>
      <c r="P31" s="4"/>
    </row>
    <row r="32" spans="1:16" ht="60" customHeight="1" x14ac:dyDescent="0.45">
      <c r="A32" s="6"/>
      <c r="B32" s="6"/>
      <c r="C32" s="10" t="str">
        <f>IFERROR(VLOOKUP(B32,'Incident Intake'!$A:$G,7,FALSE())&amp;" "&amp;VLOOKUP(B32,'Incident Intake'!$A:$F,6,FALSE()),"")</f>
        <v/>
      </c>
      <c r="D32" s="10" t="str">
        <f>IFERROR(VLOOKUP(B32,'Incident Intake'!$A:$J,10,FALSE()),"")</f>
        <v/>
      </c>
      <c r="E32" s="12"/>
      <c r="F32" s="6"/>
      <c r="G32" s="6"/>
      <c r="H32" s="6"/>
      <c r="I32" s="6"/>
      <c r="J32" s="6"/>
      <c r="K32" s="6"/>
      <c r="L32" s="63"/>
      <c r="M32" s="6"/>
      <c r="N32" s="6"/>
      <c r="O32" s="6"/>
      <c r="P32" s="6"/>
    </row>
    <row r="33" spans="1:16" ht="60" customHeight="1" x14ac:dyDescent="0.45">
      <c r="A33" s="4"/>
      <c r="B33" s="4"/>
      <c r="C33" s="10" t="str">
        <f>IFERROR(VLOOKUP(B33,'Incident Intake'!$A:$G,7,FALSE())&amp;" "&amp;VLOOKUP(B33,'Incident Intake'!$A:$F,6,FALSE()),"")</f>
        <v/>
      </c>
      <c r="D33" s="10" t="str">
        <f>IFERROR(VLOOKUP(B33,'Incident Intake'!$A:$J,10,FALSE()),"")</f>
        <v/>
      </c>
      <c r="E33" s="8"/>
      <c r="F33" s="4"/>
      <c r="G33" s="4"/>
      <c r="H33" s="4"/>
      <c r="I33" s="4"/>
      <c r="J33" s="4"/>
      <c r="K33" s="4"/>
      <c r="L33" s="62"/>
      <c r="M33" s="4"/>
      <c r="N33" s="4"/>
      <c r="O33" s="4"/>
      <c r="P33" s="4"/>
    </row>
    <row r="34" spans="1:16" ht="60" customHeight="1" x14ac:dyDescent="0.45">
      <c r="A34" s="6"/>
      <c r="B34" s="6"/>
      <c r="C34" s="10" t="str">
        <f>IFERROR(VLOOKUP(B34,'Incident Intake'!$A:$G,7,FALSE())&amp;" "&amp;VLOOKUP(B34,'Incident Intake'!$A:$F,6,FALSE()),"")</f>
        <v/>
      </c>
      <c r="D34" s="10" t="str">
        <f>IFERROR(VLOOKUP(B34,'Incident Intake'!$A:$J,10,FALSE()),"")</f>
        <v/>
      </c>
      <c r="E34" s="12"/>
      <c r="F34" s="6"/>
      <c r="G34" s="6"/>
      <c r="H34" s="6"/>
      <c r="I34" s="6"/>
      <c r="J34" s="6"/>
      <c r="K34" s="6"/>
      <c r="L34" s="63"/>
      <c r="M34" s="6"/>
      <c r="N34" s="6"/>
      <c r="O34" s="6"/>
      <c r="P34" s="6"/>
    </row>
    <row r="35" spans="1:16" ht="60" customHeight="1" x14ac:dyDescent="0.45">
      <c r="A35" s="4"/>
      <c r="B35" s="4"/>
      <c r="C35" s="10" t="str">
        <f>IFERROR(VLOOKUP(B35,'Incident Intake'!$A:$G,7,FALSE())&amp;" "&amp;VLOOKUP(B35,'Incident Intake'!$A:$F,6,FALSE()),"")</f>
        <v/>
      </c>
      <c r="D35" s="10" t="str">
        <f>IFERROR(VLOOKUP(B35,'Incident Intake'!$A:$J,10,FALSE()),"")</f>
        <v/>
      </c>
      <c r="E35" s="8"/>
      <c r="F35" s="4"/>
      <c r="G35" s="4"/>
      <c r="H35" s="4"/>
      <c r="I35" s="4"/>
      <c r="J35" s="4"/>
      <c r="K35" s="4"/>
      <c r="L35" s="62"/>
      <c r="M35" s="4"/>
      <c r="N35" s="4"/>
      <c r="O35" s="4"/>
      <c r="P35" s="4"/>
    </row>
    <row r="36" spans="1:16" ht="60" customHeight="1" x14ac:dyDescent="0.45">
      <c r="A36" s="6"/>
      <c r="B36" s="6"/>
      <c r="C36" s="10" t="str">
        <f>IFERROR(VLOOKUP(B36,'Incident Intake'!$A:$G,7,FALSE())&amp;" "&amp;VLOOKUP(B36,'Incident Intake'!$A:$F,6,FALSE()),"")</f>
        <v/>
      </c>
      <c r="D36" s="10" t="str">
        <f>IFERROR(VLOOKUP(B36,'Incident Intake'!$A:$J,10,FALSE()),"")</f>
        <v/>
      </c>
      <c r="E36" s="12"/>
      <c r="F36" s="6"/>
      <c r="G36" s="6"/>
      <c r="H36" s="6"/>
      <c r="I36" s="6"/>
      <c r="J36" s="6"/>
      <c r="K36" s="6"/>
      <c r="L36" s="63"/>
      <c r="M36" s="6"/>
      <c r="N36" s="6"/>
      <c r="O36" s="6"/>
      <c r="P36" s="6"/>
    </row>
    <row r="37" spans="1:16" ht="60" customHeight="1" x14ac:dyDescent="0.45">
      <c r="A37" s="4"/>
      <c r="B37" s="4"/>
      <c r="C37" s="10" t="str">
        <f>IFERROR(VLOOKUP(B37,'Incident Intake'!$A:$G,7,FALSE())&amp;" "&amp;VLOOKUP(B37,'Incident Intake'!$A:$F,6,FALSE()),"")</f>
        <v/>
      </c>
      <c r="D37" s="10" t="str">
        <f>IFERROR(VLOOKUP(B37,'Incident Intake'!$A:$J,10,FALSE()),"")</f>
        <v/>
      </c>
      <c r="E37" s="8"/>
      <c r="F37" s="4"/>
      <c r="G37" s="4"/>
      <c r="H37" s="4"/>
      <c r="I37" s="4"/>
      <c r="J37" s="4"/>
      <c r="K37" s="4"/>
      <c r="L37" s="62"/>
      <c r="M37" s="4"/>
      <c r="N37" s="4"/>
      <c r="O37" s="4"/>
      <c r="P37" s="4"/>
    </row>
    <row r="38" spans="1:16" ht="60" customHeight="1" x14ac:dyDescent="0.45">
      <c r="A38" s="6"/>
      <c r="B38" s="6"/>
      <c r="C38" s="10" t="str">
        <f>IFERROR(VLOOKUP(B38,'Incident Intake'!$A:$G,7,FALSE())&amp;" "&amp;VLOOKUP(B38,'Incident Intake'!$A:$F,6,FALSE()),"")</f>
        <v/>
      </c>
      <c r="D38" s="10" t="str">
        <f>IFERROR(VLOOKUP(B38,'Incident Intake'!$A:$J,10,FALSE()),"")</f>
        <v/>
      </c>
      <c r="E38" s="12"/>
      <c r="F38" s="6"/>
      <c r="G38" s="6"/>
      <c r="H38" s="6"/>
      <c r="I38" s="6"/>
      <c r="J38" s="6"/>
      <c r="K38" s="6"/>
      <c r="L38" s="63"/>
      <c r="M38" s="6"/>
      <c r="N38" s="6"/>
      <c r="O38" s="6"/>
      <c r="P38" s="6"/>
    </row>
    <row r="39" spans="1:16" ht="60" customHeight="1" x14ac:dyDescent="0.45">
      <c r="A39" s="4"/>
      <c r="B39" s="4"/>
      <c r="C39" s="10" t="str">
        <f>IFERROR(VLOOKUP(B39,'Incident Intake'!$A:$G,7,FALSE())&amp;" "&amp;VLOOKUP(B39,'Incident Intake'!$A:$F,6,FALSE()),"")</f>
        <v/>
      </c>
      <c r="D39" s="10" t="str">
        <f>IFERROR(VLOOKUP(B39,'Incident Intake'!$A:$J,10,FALSE()),"")</f>
        <v/>
      </c>
      <c r="E39" s="8"/>
      <c r="F39" s="4"/>
      <c r="G39" s="4"/>
      <c r="H39" s="4"/>
      <c r="I39" s="4"/>
      <c r="J39" s="4"/>
      <c r="K39" s="4"/>
      <c r="L39" s="62"/>
      <c r="M39" s="4"/>
      <c r="N39" s="4"/>
      <c r="O39" s="4"/>
      <c r="P39" s="4"/>
    </row>
    <row r="40" spans="1:16" ht="60" customHeight="1" x14ac:dyDescent="0.45">
      <c r="A40" s="6"/>
      <c r="B40" s="6"/>
      <c r="C40" s="10" t="str">
        <f>IFERROR(VLOOKUP(B40,'Incident Intake'!$A:$G,7,FALSE())&amp;" "&amp;VLOOKUP(B40,'Incident Intake'!$A:$F,6,FALSE()),"")</f>
        <v/>
      </c>
      <c r="D40" s="10" t="str">
        <f>IFERROR(VLOOKUP(B40,'Incident Intake'!$A:$J,10,FALSE()),"")</f>
        <v/>
      </c>
      <c r="E40" s="12"/>
      <c r="F40" s="6"/>
      <c r="G40" s="6"/>
      <c r="H40" s="6"/>
      <c r="I40" s="6"/>
      <c r="J40" s="6"/>
      <c r="K40" s="6"/>
      <c r="L40" s="63"/>
      <c r="M40" s="6"/>
      <c r="N40" s="6"/>
      <c r="O40" s="6"/>
      <c r="P40" s="6"/>
    </row>
    <row r="41" spans="1:16" ht="60" customHeight="1" x14ac:dyDescent="0.45">
      <c r="A41" s="4"/>
      <c r="B41" s="4"/>
      <c r="C41" s="10" t="str">
        <f>IFERROR(VLOOKUP(B41,'Incident Intake'!$A:$G,7,FALSE())&amp;" "&amp;VLOOKUP(B41,'Incident Intake'!$A:$F,6,FALSE()),"")</f>
        <v/>
      </c>
      <c r="D41" s="10" t="str">
        <f>IFERROR(VLOOKUP(B41,'Incident Intake'!$A:$J,10,FALSE()),"")</f>
        <v/>
      </c>
      <c r="E41" s="8"/>
      <c r="F41" s="4"/>
      <c r="G41" s="4"/>
      <c r="H41" s="4"/>
      <c r="I41" s="4"/>
      <c r="J41" s="4"/>
      <c r="K41" s="4"/>
      <c r="L41" s="62"/>
      <c r="M41" s="4"/>
      <c r="N41" s="4"/>
      <c r="O41" s="4"/>
      <c r="P41" s="4"/>
    </row>
    <row r="42" spans="1:16" ht="60" customHeight="1" x14ac:dyDescent="0.45">
      <c r="A42" s="6"/>
      <c r="B42" s="6"/>
      <c r="C42" s="10" t="str">
        <f>IFERROR(VLOOKUP(B42,'Incident Intake'!$A:$G,7,FALSE())&amp;" "&amp;VLOOKUP(B42,'Incident Intake'!$A:$F,6,FALSE()),"")</f>
        <v/>
      </c>
      <c r="D42" s="10" t="str">
        <f>IFERROR(VLOOKUP(B42,'Incident Intake'!$A:$J,10,FALSE()),"")</f>
        <v/>
      </c>
      <c r="E42" s="12"/>
      <c r="F42" s="6"/>
      <c r="G42" s="6"/>
      <c r="H42" s="6"/>
      <c r="I42" s="6"/>
      <c r="J42" s="6"/>
      <c r="K42" s="6"/>
      <c r="L42" s="63"/>
      <c r="M42" s="6"/>
      <c r="N42" s="6"/>
      <c r="O42" s="6"/>
      <c r="P42" s="6"/>
    </row>
    <row r="43" spans="1:16" ht="60" customHeight="1" x14ac:dyDescent="0.45">
      <c r="A43" s="4"/>
      <c r="B43" s="4"/>
      <c r="C43" s="10" t="str">
        <f>IFERROR(VLOOKUP(B43,'Incident Intake'!$A:$G,7,FALSE())&amp;" "&amp;VLOOKUP(B43,'Incident Intake'!$A:$F,6,FALSE()),"")</f>
        <v/>
      </c>
      <c r="D43" s="10" t="str">
        <f>IFERROR(VLOOKUP(B43,'Incident Intake'!$A:$J,10,FALSE()),"")</f>
        <v/>
      </c>
      <c r="E43" s="8"/>
      <c r="F43" s="4"/>
      <c r="G43" s="4"/>
      <c r="H43" s="4"/>
      <c r="I43" s="4"/>
      <c r="J43" s="4"/>
      <c r="K43" s="4"/>
      <c r="L43" s="62"/>
      <c r="M43" s="4"/>
      <c r="N43" s="4"/>
      <c r="O43" s="4"/>
      <c r="P43" s="4"/>
    </row>
    <row r="44" spans="1:16" ht="60" customHeight="1" x14ac:dyDescent="0.45">
      <c r="A44" s="6"/>
      <c r="B44" s="6"/>
      <c r="C44" s="10" t="str">
        <f>IFERROR(VLOOKUP(B44,'Incident Intake'!$A:$G,7,FALSE())&amp;" "&amp;VLOOKUP(B44,'Incident Intake'!$A:$F,6,FALSE()),"")</f>
        <v/>
      </c>
      <c r="D44" s="10" t="str">
        <f>IFERROR(VLOOKUP(B44,'Incident Intake'!$A:$J,10,FALSE()),"")</f>
        <v/>
      </c>
      <c r="E44" s="12"/>
      <c r="F44" s="6"/>
      <c r="G44" s="6"/>
      <c r="H44" s="6"/>
      <c r="I44" s="6"/>
      <c r="J44" s="6"/>
      <c r="K44" s="6"/>
      <c r="L44" s="63"/>
      <c r="M44" s="6"/>
      <c r="N44" s="6"/>
      <c r="O44" s="6"/>
      <c r="P44" s="6"/>
    </row>
    <row r="45" spans="1:16" ht="60" customHeight="1" x14ac:dyDescent="0.45">
      <c r="A45" s="4"/>
      <c r="B45" s="4"/>
      <c r="C45" s="10" t="str">
        <f>IFERROR(VLOOKUP(B45,'Incident Intake'!$A:$G,7,FALSE())&amp;" "&amp;VLOOKUP(B45,'Incident Intake'!$A:$F,6,FALSE()),"")</f>
        <v/>
      </c>
      <c r="D45" s="10" t="str">
        <f>IFERROR(VLOOKUP(B45,'Incident Intake'!$A:$J,10,FALSE()),"")</f>
        <v/>
      </c>
      <c r="E45" s="8"/>
      <c r="F45" s="4"/>
      <c r="G45" s="4"/>
      <c r="H45" s="4"/>
      <c r="I45" s="4"/>
      <c r="J45" s="4"/>
      <c r="K45" s="4"/>
      <c r="L45" s="62"/>
      <c r="M45" s="4"/>
      <c r="N45" s="4"/>
      <c r="O45" s="4"/>
      <c r="P45" s="4"/>
    </row>
    <row r="46" spans="1:16" ht="60" customHeight="1" x14ac:dyDescent="0.45">
      <c r="A46" s="6"/>
      <c r="B46" s="6"/>
      <c r="C46" s="10" t="str">
        <f>IFERROR(VLOOKUP(B46,'Incident Intake'!$A:$G,7,FALSE())&amp;" "&amp;VLOOKUP(B46,'Incident Intake'!$A:$F,6,FALSE()),"")</f>
        <v/>
      </c>
      <c r="D46" s="10" t="str">
        <f>IFERROR(VLOOKUP(B46,'Incident Intake'!$A:$J,10,FALSE()),"")</f>
        <v/>
      </c>
      <c r="E46" s="12"/>
      <c r="F46" s="6"/>
      <c r="G46" s="6"/>
      <c r="H46" s="6"/>
      <c r="I46" s="6"/>
      <c r="J46" s="6"/>
      <c r="K46" s="6"/>
      <c r="L46" s="63"/>
      <c r="M46" s="6"/>
      <c r="N46" s="6"/>
      <c r="O46" s="6"/>
      <c r="P46" s="6"/>
    </row>
    <row r="47" spans="1:16" ht="60" customHeight="1" x14ac:dyDescent="0.45">
      <c r="A47" s="4"/>
      <c r="B47" s="4"/>
      <c r="C47" s="10" t="str">
        <f>IFERROR(VLOOKUP(B47,'Incident Intake'!$A:$G,7,FALSE())&amp;" "&amp;VLOOKUP(B47,'Incident Intake'!$A:$F,6,FALSE()),"")</f>
        <v/>
      </c>
      <c r="D47" s="10" t="str">
        <f>IFERROR(VLOOKUP(B47,'Incident Intake'!$A:$J,10,FALSE()),"")</f>
        <v/>
      </c>
      <c r="E47" s="8"/>
      <c r="F47" s="4"/>
      <c r="G47" s="4"/>
      <c r="H47" s="4"/>
      <c r="I47" s="4"/>
      <c r="J47" s="4"/>
      <c r="K47" s="4"/>
      <c r="L47" s="62"/>
      <c r="M47" s="4"/>
      <c r="N47" s="4"/>
      <c r="O47" s="4"/>
      <c r="P47" s="4"/>
    </row>
    <row r="48" spans="1:16" ht="60" customHeight="1" x14ac:dyDescent="0.45">
      <c r="A48" s="6"/>
      <c r="B48" s="6"/>
      <c r="C48" s="10" t="str">
        <f>IFERROR(VLOOKUP(B48,'Incident Intake'!$A:$G,7,FALSE())&amp;" "&amp;VLOOKUP(B48,'Incident Intake'!$A:$F,6,FALSE()),"")</f>
        <v/>
      </c>
      <c r="D48" s="10" t="str">
        <f>IFERROR(VLOOKUP(B48,'Incident Intake'!$A:$J,10,FALSE()),"")</f>
        <v/>
      </c>
      <c r="E48" s="12"/>
      <c r="F48" s="6"/>
      <c r="G48" s="6"/>
      <c r="H48" s="6"/>
      <c r="I48" s="6"/>
      <c r="J48" s="6"/>
      <c r="K48" s="6"/>
      <c r="L48" s="63"/>
      <c r="M48" s="6"/>
      <c r="N48" s="6"/>
      <c r="O48" s="6"/>
      <c r="P48" s="6"/>
    </row>
    <row r="49" spans="1:16" ht="60" customHeight="1" x14ac:dyDescent="0.45">
      <c r="A49" s="4"/>
      <c r="B49" s="4"/>
      <c r="C49" s="10" t="str">
        <f>IFERROR(VLOOKUP(B49,'Incident Intake'!$A:$G,7,FALSE())&amp;" "&amp;VLOOKUP(B49,'Incident Intake'!$A:$F,6,FALSE()),"")</f>
        <v/>
      </c>
      <c r="D49" s="10" t="str">
        <f>IFERROR(VLOOKUP(B49,'Incident Intake'!$A:$J,10,FALSE()),"")</f>
        <v/>
      </c>
      <c r="E49" s="8"/>
      <c r="F49" s="4"/>
      <c r="G49" s="4"/>
      <c r="H49" s="4"/>
      <c r="I49" s="4"/>
      <c r="J49" s="4"/>
      <c r="K49" s="4"/>
      <c r="L49" s="62"/>
      <c r="M49" s="4"/>
      <c r="N49" s="4"/>
      <c r="O49" s="4"/>
      <c r="P49" s="4"/>
    </row>
    <row r="50" spans="1:16" ht="60" customHeight="1" x14ac:dyDescent="0.45">
      <c r="A50" s="6"/>
      <c r="B50" s="6"/>
      <c r="C50" s="10" t="str">
        <f>IFERROR(VLOOKUP(B50,'Incident Intake'!$A:$G,7,FALSE())&amp;" "&amp;VLOOKUP(B50,'Incident Intake'!$A:$F,6,FALSE()),"")</f>
        <v/>
      </c>
      <c r="D50" s="10" t="str">
        <f>IFERROR(VLOOKUP(B50,'Incident Intake'!$A:$J,10,FALSE()),"")</f>
        <v/>
      </c>
      <c r="E50" s="12"/>
      <c r="F50" s="6"/>
      <c r="G50" s="6"/>
      <c r="H50" s="6"/>
      <c r="I50" s="6"/>
      <c r="J50" s="6"/>
      <c r="K50" s="6"/>
      <c r="L50" s="63"/>
      <c r="M50" s="6"/>
      <c r="N50" s="6"/>
      <c r="O50" s="6"/>
      <c r="P50" s="6"/>
    </row>
    <row r="51" spans="1:16" ht="60" customHeight="1" x14ac:dyDescent="0.45">
      <c r="A51" s="4"/>
      <c r="B51" s="4"/>
      <c r="C51" s="10" t="str">
        <f>IFERROR(VLOOKUP(B51,'Incident Intake'!$A:$G,7,FALSE())&amp;" "&amp;VLOOKUP(B51,'Incident Intake'!$A:$F,6,FALSE()),"")</f>
        <v/>
      </c>
      <c r="D51" s="10" t="str">
        <f>IFERROR(VLOOKUP(B51,'Incident Intake'!$A:$J,10,FALSE()),"")</f>
        <v/>
      </c>
      <c r="E51" s="8"/>
      <c r="F51" s="4"/>
      <c r="G51" s="4"/>
      <c r="H51" s="4"/>
      <c r="I51" s="4"/>
      <c r="J51" s="4"/>
      <c r="K51" s="4"/>
      <c r="L51" s="62"/>
      <c r="M51" s="4"/>
      <c r="N51" s="4"/>
      <c r="O51" s="4"/>
      <c r="P51" s="4"/>
    </row>
    <row r="52" spans="1:16" ht="60" customHeight="1" x14ac:dyDescent="0.45">
      <c r="A52" s="6"/>
      <c r="B52" s="6"/>
      <c r="C52" s="10" t="str">
        <f>IFERROR(VLOOKUP(B52,'Incident Intake'!$A:$G,7,FALSE())&amp;" "&amp;VLOOKUP(B52,'Incident Intake'!$A:$F,6,FALSE()),"")</f>
        <v/>
      </c>
      <c r="D52" s="10" t="str">
        <f>IFERROR(VLOOKUP(B52,'Incident Intake'!$A:$J,10,FALSE()),"")</f>
        <v/>
      </c>
      <c r="E52" s="12"/>
      <c r="F52" s="6"/>
      <c r="G52" s="6"/>
      <c r="H52" s="6"/>
      <c r="I52" s="6"/>
      <c r="J52" s="6"/>
      <c r="K52" s="6"/>
      <c r="L52" s="63"/>
      <c r="M52" s="6"/>
      <c r="N52" s="6"/>
      <c r="O52" s="6"/>
      <c r="P52" s="6"/>
    </row>
    <row r="53" spans="1:16" ht="60" customHeight="1" x14ac:dyDescent="0.45">
      <c r="A53" s="4"/>
      <c r="B53" s="4"/>
      <c r="C53" s="10" t="str">
        <f>IFERROR(VLOOKUP(B53,'Incident Intake'!$A:$G,7,FALSE())&amp;" "&amp;VLOOKUP(B53,'Incident Intake'!$A:$F,6,FALSE()),"")</f>
        <v/>
      </c>
      <c r="D53" s="10" t="str">
        <f>IFERROR(VLOOKUP(B53,'Incident Intake'!$A:$J,10,FALSE()),"")</f>
        <v/>
      </c>
      <c r="E53" s="8"/>
      <c r="F53" s="4"/>
      <c r="G53" s="4"/>
      <c r="H53" s="4"/>
      <c r="I53" s="4"/>
      <c r="J53" s="4"/>
      <c r="K53" s="4"/>
      <c r="L53" s="62"/>
      <c r="M53" s="4"/>
      <c r="N53" s="4"/>
      <c r="O53" s="4"/>
      <c r="P53" s="4"/>
    </row>
    <row r="54" spans="1:16" ht="60" customHeight="1" x14ac:dyDescent="0.45">
      <c r="A54" s="6"/>
      <c r="B54" s="6"/>
      <c r="C54" s="10" t="str">
        <f>IFERROR(VLOOKUP(B54,'Incident Intake'!$A:$G,7,FALSE())&amp;" "&amp;VLOOKUP(B54,'Incident Intake'!$A:$F,6,FALSE()),"")</f>
        <v/>
      </c>
      <c r="D54" s="10" t="str">
        <f>IFERROR(VLOOKUP(B54,'Incident Intake'!$A:$J,10,FALSE()),"")</f>
        <v/>
      </c>
      <c r="E54" s="12"/>
      <c r="F54" s="6"/>
      <c r="G54" s="6"/>
      <c r="H54" s="6"/>
      <c r="I54" s="6"/>
      <c r="J54" s="6"/>
      <c r="K54" s="6"/>
      <c r="L54" s="63"/>
      <c r="M54" s="6"/>
      <c r="N54" s="6"/>
      <c r="O54" s="6"/>
      <c r="P54" s="6"/>
    </row>
    <row r="55" spans="1:16" ht="60" customHeight="1" x14ac:dyDescent="0.45">
      <c r="A55" s="4"/>
      <c r="B55" s="4"/>
      <c r="C55" s="10" t="str">
        <f>IFERROR(VLOOKUP(B55,'Incident Intake'!$A:$G,7,FALSE())&amp;" "&amp;VLOOKUP(B55,'Incident Intake'!$A:$F,6,FALSE()),"")</f>
        <v/>
      </c>
      <c r="D55" s="10" t="str">
        <f>IFERROR(VLOOKUP(B55,'Incident Intake'!$A:$J,10,FALSE()),"")</f>
        <v/>
      </c>
      <c r="E55" s="8"/>
      <c r="F55" s="4"/>
      <c r="G55" s="4"/>
      <c r="H55" s="4"/>
      <c r="I55" s="4"/>
      <c r="J55" s="4"/>
      <c r="K55" s="4"/>
      <c r="L55" s="62"/>
      <c r="M55" s="4"/>
      <c r="N55" s="4"/>
      <c r="O55" s="4"/>
      <c r="P55" s="4"/>
    </row>
    <row r="56" spans="1:16" ht="60" customHeight="1" x14ac:dyDescent="0.45">
      <c r="A56" s="6"/>
      <c r="B56" s="6"/>
      <c r="C56" s="10" t="str">
        <f>IFERROR(VLOOKUP(B56,'Incident Intake'!$A:$G,7,FALSE())&amp;" "&amp;VLOOKUP(B56,'Incident Intake'!$A:$F,6,FALSE()),"")</f>
        <v/>
      </c>
      <c r="D56" s="10" t="str">
        <f>IFERROR(VLOOKUP(B56,'Incident Intake'!$A:$J,10,FALSE()),"")</f>
        <v/>
      </c>
      <c r="E56" s="12"/>
      <c r="F56" s="6"/>
      <c r="G56" s="6"/>
      <c r="H56" s="6"/>
      <c r="I56" s="6"/>
      <c r="J56" s="6"/>
      <c r="K56" s="6"/>
      <c r="L56" s="63"/>
      <c r="M56" s="6"/>
      <c r="N56" s="6"/>
      <c r="O56" s="6"/>
      <c r="P56" s="6"/>
    </row>
    <row r="57" spans="1:16" ht="60" customHeight="1" x14ac:dyDescent="0.45">
      <c r="A57" s="4"/>
      <c r="B57" s="4"/>
      <c r="C57" s="10" t="str">
        <f>IFERROR(VLOOKUP(B57,'Incident Intake'!$A:$G,7,FALSE())&amp;" "&amp;VLOOKUP(B57,'Incident Intake'!$A:$F,6,FALSE()),"")</f>
        <v/>
      </c>
      <c r="D57" s="10" t="str">
        <f>IFERROR(VLOOKUP(B57,'Incident Intake'!$A:$J,10,FALSE()),"")</f>
        <v/>
      </c>
      <c r="E57" s="8"/>
      <c r="F57" s="4"/>
      <c r="G57" s="4"/>
      <c r="H57" s="4"/>
      <c r="I57" s="4"/>
      <c r="J57" s="4"/>
      <c r="K57" s="4"/>
      <c r="L57" s="62"/>
      <c r="M57" s="4"/>
      <c r="N57" s="4"/>
      <c r="O57" s="4"/>
      <c r="P57" s="4"/>
    </row>
    <row r="58" spans="1:16" ht="60" customHeight="1" x14ac:dyDescent="0.45">
      <c r="A58" s="6"/>
      <c r="B58" s="6"/>
      <c r="C58" s="10" t="str">
        <f>IFERROR(VLOOKUP(B58,'Incident Intake'!$A:$G,7,FALSE())&amp;" "&amp;VLOOKUP(B58,'Incident Intake'!$A:$F,6,FALSE()),"")</f>
        <v/>
      </c>
      <c r="D58" s="10" t="str">
        <f>IFERROR(VLOOKUP(B58,'Incident Intake'!$A:$J,10,FALSE()),"")</f>
        <v/>
      </c>
      <c r="E58" s="12"/>
      <c r="F58" s="6"/>
      <c r="G58" s="6"/>
      <c r="H58" s="6"/>
      <c r="I58" s="6"/>
      <c r="J58" s="6"/>
      <c r="K58" s="6"/>
      <c r="L58" s="63"/>
      <c r="M58" s="6"/>
      <c r="N58" s="6"/>
      <c r="O58" s="6"/>
      <c r="P58" s="6"/>
    </row>
    <row r="59" spans="1:16" ht="60" customHeight="1" x14ac:dyDescent="0.45">
      <c r="A59" s="4"/>
      <c r="B59" s="4"/>
      <c r="C59" s="10" t="str">
        <f>IFERROR(VLOOKUP(B59,'Incident Intake'!$A:$G,7,FALSE())&amp;" "&amp;VLOOKUP(B59,'Incident Intake'!$A:$F,6,FALSE()),"")</f>
        <v/>
      </c>
      <c r="D59" s="10" t="str">
        <f>IFERROR(VLOOKUP(B59,'Incident Intake'!$A:$J,10,FALSE()),"")</f>
        <v/>
      </c>
      <c r="E59" s="8"/>
      <c r="F59" s="4"/>
      <c r="G59" s="4"/>
      <c r="H59" s="4"/>
      <c r="I59" s="4"/>
      <c r="J59" s="4"/>
      <c r="K59" s="4"/>
      <c r="L59" s="62"/>
      <c r="M59" s="4"/>
      <c r="N59" s="4"/>
      <c r="O59" s="4"/>
      <c r="P59" s="4"/>
    </row>
    <row r="60" spans="1:16" ht="60" customHeight="1" x14ac:dyDescent="0.45">
      <c r="A60" s="6"/>
      <c r="B60" s="6"/>
      <c r="C60" s="10" t="str">
        <f>IFERROR(VLOOKUP(B60,'Incident Intake'!$A:$G,7,FALSE())&amp;" "&amp;VLOOKUP(B60,'Incident Intake'!$A:$F,6,FALSE()),"")</f>
        <v/>
      </c>
      <c r="D60" s="10" t="str">
        <f>IFERROR(VLOOKUP(B60,'Incident Intake'!$A:$J,10,FALSE()),"")</f>
        <v/>
      </c>
      <c r="E60" s="12"/>
      <c r="F60" s="6"/>
      <c r="G60" s="6"/>
      <c r="H60" s="6"/>
      <c r="I60" s="6"/>
      <c r="J60" s="6"/>
      <c r="K60" s="6"/>
      <c r="L60" s="63"/>
      <c r="M60" s="6"/>
      <c r="N60" s="6"/>
      <c r="O60" s="6"/>
      <c r="P60" s="6"/>
    </row>
    <row r="61" spans="1:16" ht="60" customHeight="1" x14ac:dyDescent="0.45">
      <c r="A61" s="4"/>
      <c r="B61" s="4"/>
      <c r="C61" s="10" t="str">
        <f>IFERROR(VLOOKUP(B61,'Incident Intake'!$A:$G,7,FALSE())&amp;" "&amp;VLOOKUP(B61,'Incident Intake'!$A:$F,6,FALSE()),"")</f>
        <v/>
      </c>
      <c r="D61" s="10" t="str">
        <f>IFERROR(VLOOKUP(B61,'Incident Intake'!$A:$J,10,FALSE()),"")</f>
        <v/>
      </c>
      <c r="E61" s="8"/>
      <c r="F61" s="4"/>
      <c r="G61" s="4"/>
      <c r="H61" s="4"/>
      <c r="I61" s="4"/>
      <c r="J61" s="4"/>
      <c r="K61" s="4"/>
      <c r="L61" s="62"/>
      <c r="M61" s="4"/>
      <c r="N61" s="4"/>
      <c r="O61" s="4"/>
      <c r="P61" s="4"/>
    </row>
    <row r="62" spans="1:16" ht="60" customHeight="1" x14ac:dyDescent="0.45">
      <c r="A62" s="6"/>
      <c r="B62" s="6"/>
      <c r="C62" s="10" t="str">
        <f>IFERROR(VLOOKUP(B62,'Incident Intake'!$A:$G,7,FALSE())&amp;" "&amp;VLOOKUP(B62,'Incident Intake'!$A:$F,6,FALSE()),"")</f>
        <v/>
      </c>
      <c r="D62" s="10" t="str">
        <f>IFERROR(VLOOKUP(B62,'Incident Intake'!$A:$J,10,FALSE()),"")</f>
        <v/>
      </c>
      <c r="E62" s="12"/>
      <c r="F62" s="6"/>
      <c r="G62" s="6"/>
      <c r="H62" s="6"/>
      <c r="I62" s="6"/>
      <c r="J62" s="6"/>
      <c r="K62" s="6"/>
      <c r="L62" s="63"/>
      <c r="M62" s="6"/>
      <c r="N62" s="6"/>
      <c r="O62" s="6"/>
      <c r="P62" s="6"/>
    </row>
    <row r="63" spans="1:16" ht="60" customHeight="1" x14ac:dyDescent="0.45">
      <c r="A63" s="4"/>
      <c r="B63" s="4"/>
      <c r="C63" s="10" t="str">
        <f>IFERROR(VLOOKUP(B63,'Incident Intake'!$A:$G,7,FALSE())&amp;" "&amp;VLOOKUP(B63,'Incident Intake'!$A:$F,6,FALSE()),"")</f>
        <v/>
      </c>
      <c r="D63" s="10" t="str">
        <f>IFERROR(VLOOKUP(B63,'Incident Intake'!$A:$J,10,FALSE()),"")</f>
        <v/>
      </c>
      <c r="E63" s="8"/>
      <c r="F63" s="4"/>
      <c r="G63" s="4"/>
      <c r="H63" s="4"/>
      <c r="I63" s="4"/>
      <c r="J63" s="4"/>
      <c r="K63" s="4"/>
      <c r="L63" s="62"/>
      <c r="M63" s="4"/>
      <c r="N63" s="4"/>
      <c r="O63" s="4"/>
      <c r="P63" s="4"/>
    </row>
    <row r="64" spans="1:16" ht="60" customHeight="1" x14ac:dyDescent="0.45">
      <c r="A64" s="6"/>
      <c r="B64" s="6"/>
      <c r="C64" s="10" t="str">
        <f>IFERROR(VLOOKUP(B64,'Incident Intake'!$A:$G,7,FALSE())&amp;" "&amp;VLOOKUP(B64,'Incident Intake'!$A:$F,6,FALSE()),"")</f>
        <v/>
      </c>
      <c r="D64" s="10" t="str">
        <f>IFERROR(VLOOKUP(B64,'Incident Intake'!$A:$J,10,FALSE()),"")</f>
        <v/>
      </c>
      <c r="E64" s="12"/>
      <c r="F64" s="6"/>
      <c r="G64" s="6"/>
      <c r="H64" s="6"/>
      <c r="I64" s="6"/>
      <c r="J64" s="6"/>
      <c r="K64" s="6"/>
      <c r="L64" s="63"/>
      <c r="M64" s="6"/>
      <c r="N64" s="6"/>
      <c r="O64" s="6"/>
      <c r="P64" s="6"/>
    </row>
    <row r="65" spans="1:16" ht="60" customHeight="1" x14ac:dyDescent="0.45">
      <c r="A65" s="4"/>
      <c r="B65" s="4"/>
      <c r="C65" s="10" t="str">
        <f>IFERROR(VLOOKUP(B65,'Incident Intake'!$A:$G,7,FALSE())&amp;" "&amp;VLOOKUP(B65,'Incident Intake'!$A:$F,6,FALSE()),"")</f>
        <v/>
      </c>
      <c r="D65" s="10" t="str">
        <f>IFERROR(VLOOKUP(B65,'Incident Intake'!$A:$J,10,FALSE()),"")</f>
        <v/>
      </c>
      <c r="E65" s="8"/>
      <c r="F65" s="4"/>
      <c r="G65" s="4"/>
      <c r="H65" s="4"/>
      <c r="I65" s="4"/>
      <c r="J65" s="4"/>
      <c r="K65" s="4"/>
      <c r="L65" s="62"/>
      <c r="M65" s="4"/>
      <c r="N65" s="4"/>
      <c r="O65" s="4"/>
      <c r="P65" s="4"/>
    </row>
    <row r="66" spans="1:16" ht="60" customHeight="1" x14ac:dyDescent="0.45">
      <c r="A66" s="6"/>
      <c r="B66" s="6"/>
      <c r="C66" s="10" t="str">
        <f>IFERROR(VLOOKUP(B66,'Incident Intake'!$A:$G,7,FALSE())&amp;" "&amp;VLOOKUP(B66,'Incident Intake'!$A:$F,6,FALSE()),"")</f>
        <v/>
      </c>
      <c r="D66" s="10" t="str">
        <f>IFERROR(VLOOKUP(B66,'Incident Intake'!$A:$J,10,FALSE()),"")</f>
        <v/>
      </c>
      <c r="E66" s="12"/>
      <c r="F66" s="6"/>
      <c r="G66" s="6"/>
      <c r="H66" s="6"/>
      <c r="I66" s="6"/>
      <c r="J66" s="6"/>
      <c r="K66" s="6"/>
      <c r="L66" s="63"/>
      <c r="M66" s="6"/>
      <c r="N66" s="6"/>
      <c r="O66" s="6"/>
      <c r="P66" s="6"/>
    </row>
    <row r="67" spans="1:16" ht="60" customHeight="1" x14ac:dyDescent="0.45">
      <c r="A67" s="4"/>
      <c r="B67" s="4"/>
      <c r="C67" s="10" t="str">
        <f>IFERROR(VLOOKUP(B67,'Incident Intake'!$A:$G,7,FALSE())&amp;" "&amp;VLOOKUP(B67,'Incident Intake'!$A:$F,6,FALSE()),"")</f>
        <v/>
      </c>
      <c r="D67" s="10" t="str">
        <f>IFERROR(VLOOKUP(B67,'Incident Intake'!$A:$J,10,FALSE()),"")</f>
        <v/>
      </c>
      <c r="E67" s="8"/>
      <c r="F67" s="4"/>
      <c r="G67" s="4"/>
      <c r="H67" s="4"/>
      <c r="I67" s="4"/>
      <c r="J67" s="4"/>
      <c r="K67" s="4"/>
      <c r="L67" s="62"/>
      <c r="M67" s="4"/>
      <c r="N67" s="4"/>
      <c r="O67" s="4"/>
      <c r="P67" s="4"/>
    </row>
    <row r="68" spans="1:16" ht="60" customHeight="1" x14ac:dyDescent="0.45">
      <c r="A68" s="6"/>
      <c r="B68" s="6"/>
      <c r="C68" s="10" t="str">
        <f>IFERROR(VLOOKUP(B68,'Incident Intake'!$A:$G,7,FALSE())&amp;" "&amp;VLOOKUP(B68,'Incident Intake'!$A:$F,6,FALSE()),"")</f>
        <v/>
      </c>
      <c r="D68" s="10" t="str">
        <f>IFERROR(VLOOKUP(B68,'Incident Intake'!$A:$J,10,FALSE()),"")</f>
        <v/>
      </c>
      <c r="E68" s="12"/>
      <c r="F68" s="6"/>
      <c r="G68" s="6"/>
      <c r="H68" s="6"/>
      <c r="I68" s="6"/>
      <c r="J68" s="6"/>
      <c r="K68" s="6"/>
      <c r="L68" s="63"/>
      <c r="M68" s="6"/>
      <c r="N68" s="6"/>
      <c r="O68" s="6"/>
      <c r="P68" s="6"/>
    </row>
    <row r="69" spans="1:16" ht="60" customHeight="1" x14ac:dyDescent="0.45">
      <c r="A69" s="4"/>
      <c r="B69" s="4"/>
      <c r="C69" s="10" t="str">
        <f>IFERROR(VLOOKUP(B69,'Incident Intake'!$A:$G,7,FALSE())&amp;" "&amp;VLOOKUP(B69,'Incident Intake'!$A:$F,6,FALSE()),"")</f>
        <v/>
      </c>
      <c r="D69" s="10" t="str">
        <f>IFERROR(VLOOKUP(B69,'Incident Intake'!$A:$J,10,FALSE()),"")</f>
        <v/>
      </c>
      <c r="E69" s="8"/>
      <c r="F69" s="4"/>
      <c r="G69" s="4"/>
      <c r="H69" s="4"/>
      <c r="I69" s="4"/>
      <c r="J69" s="4"/>
      <c r="K69" s="4"/>
      <c r="L69" s="62"/>
      <c r="M69" s="4"/>
      <c r="N69" s="4"/>
      <c r="O69" s="4"/>
      <c r="P69" s="4"/>
    </row>
    <row r="70" spans="1:16" ht="60" customHeight="1" x14ac:dyDescent="0.45">
      <c r="A70" s="6"/>
      <c r="B70" s="6"/>
      <c r="C70" s="10" t="str">
        <f>IFERROR(VLOOKUP(B70,'Incident Intake'!$A:$G,7,FALSE())&amp;" "&amp;VLOOKUP(B70,'Incident Intake'!$A:$F,6,FALSE()),"")</f>
        <v/>
      </c>
      <c r="D70" s="10" t="str">
        <f>IFERROR(VLOOKUP(B70,'Incident Intake'!$A:$J,10,FALSE()),"")</f>
        <v/>
      </c>
      <c r="E70" s="12"/>
      <c r="F70" s="6"/>
      <c r="G70" s="6"/>
      <c r="H70" s="6"/>
      <c r="I70" s="6"/>
      <c r="J70" s="6"/>
      <c r="K70" s="6"/>
      <c r="L70" s="63"/>
      <c r="M70" s="6"/>
      <c r="N70" s="6"/>
      <c r="O70" s="6"/>
      <c r="P70" s="6"/>
    </row>
    <row r="71" spans="1:16" ht="60" customHeight="1" x14ac:dyDescent="0.45">
      <c r="A71" s="4"/>
      <c r="B71" s="4"/>
      <c r="C71" s="10" t="str">
        <f>IFERROR(VLOOKUP(B71,'Incident Intake'!$A:$G,7,FALSE())&amp;" "&amp;VLOOKUP(B71,'Incident Intake'!$A:$F,6,FALSE()),"")</f>
        <v/>
      </c>
      <c r="D71" s="10" t="str">
        <f>IFERROR(VLOOKUP(B71,'Incident Intake'!$A:$J,10,FALSE()),"")</f>
        <v/>
      </c>
      <c r="E71" s="8"/>
      <c r="F71" s="4"/>
      <c r="G71" s="4"/>
      <c r="H71" s="4"/>
      <c r="I71" s="4"/>
      <c r="J71" s="4"/>
      <c r="K71" s="4"/>
      <c r="L71" s="62"/>
      <c r="M71" s="4"/>
      <c r="N71" s="4"/>
      <c r="O71" s="4"/>
      <c r="P71" s="4"/>
    </row>
    <row r="72" spans="1:16" ht="60" customHeight="1" x14ac:dyDescent="0.45">
      <c r="A72" s="6"/>
      <c r="B72" s="6"/>
      <c r="C72" s="10" t="str">
        <f>IFERROR(VLOOKUP(B72,'Incident Intake'!$A:$G,7,FALSE())&amp;" "&amp;VLOOKUP(B72,'Incident Intake'!$A:$F,6,FALSE()),"")</f>
        <v/>
      </c>
      <c r="D72" s="10" t="str">
        <f>IFERROR(VLOOKUP(B72,'Incident Intake'!$A:$J,10,FALSE()),"")</f>
        <v/>
      </c>
      <c r="E72" s="12"/>
      <c r="F72" s="6"/>
      <c r="G72" s="6"/>
      <c r="H72" s="6"/>
      <c r="I72" s="6"/>
      <c r="J72" s="6"/>
      <c r="K72" s="6"/>
      <c r="L72" s="63"/>
      <c r="M72" s="6"/>
      <c r="N72" s="6"/>
      <c r="O72" s="6"/>
      <c r="P72" s="6"/>
    </row>
    <row r="73" spans="1:16" ht="60" customHeight="1" x14ac:dyDescent="0.45">
      <c r="A73" s="4"/>
      <c r="B73" s="4"/>
      <c r="C73" s="10" t="str">
        <f>IFERROR(VLOOKUP(B73,'Incident Intake'!$A:$G,7,FALSE())&amp;" "&amp;VLOOKUP(B73,'Incident Intake'!$A:$F,6,FALSE()),"")</f>
        <v/>
      </c>
      <c r="D73" s="10" t="str">
        <f>IFERROR(VLOOKUP(B73,'Incident Intake'!$A:$J,10,FALSE()),"")</f>
        <v/>
      </c>
      <c r="E73" s="8"/>
      <c r="F73" s="4"/>
      <c r="G73" s="4"/>
      <c r="H73" s="4"/>
      <c r="I73" s="4"/>
      <c r="J73" s="4"/>
      <c r="K73" s="4"/>
      <c r="L73" s="62"/>
      <c r="M73" s="4"/>
      <c r="N73" s="4"/>
      <c r="O73" s="4"/>
      <c r="P73" s="4"/>
    </row>
    <row r="74" spans="1:16" ht="60" customHeight="1" x14ac:dyDescent="0.45">
      <c r="A74" s="6"/>
      <c r="B74" s="6"/>
      <c r="C74" s="10" t="str">
        <f>IFERROR(VLOOKUP(B74,'Incident Intake'!$A:$G,7,FALSE())&amp;" "&amp;VLOOKUP(B74,'Incident Intake'!$A:$F,6,FALSE()),"")</f>
        <v/>
      </c>
      <c r="D74" s="10" t="str">
        <f>IFERROR(VLOOKUP(B74,'Incident Intake'!$A:$J,10,FALSE()),"")</f>
        <v/>
      </c>
      <c r="E74" s="12"/>
      <c r="F74" s="6"/>
      <c r="G74" s="6"/>
      <c r="H74" s="6"/>
      <c r="I74" s="6"/>
      <c r="J74" s="6"/>
      <c r="K74" s="6"/>
      <c r="L74" s="63"/>
      <c r="M74" s="6"/>
      <c r="N74" s="6"/>
      <c r="O74" s="6"/>
      <c r="P74" s="6"/>
    </row>
    <row r="75" spans="1:16" ht="60" customHeight="1" x14ac:dyDescent="0.45">
      <c r="A75" s="4"/>
      <c r="B75" s="4"/>
      <c r="C75" s="10" t="str">
        <f>IFERROR(VLOOKUP(B75,'Incident Intake'!$A:$G,7,FALSE())&amp;" "&amp;VLOOKUP(B75,'Incident Intake'!$A:$F,6,FALSE()),"")</f>
        <v/>
      </c>
      <c r="D75" s="10" t="str">
        <f>IFERROR(VLOOKUP(B75,'Incident Intake'!$A:$J,10,FALSE()),"")</f>
        <v/>
      </c>
      <c r="E75" s="8"/>
      <c r="F75" s="4"/>
      <c r="G75" s="4"/>
      <c r="H75" s="4"/>
      <c r="I75" s="4"/>
      <c r="J75" s="4"/>
      <c r="K75" s="4"/>
      <c r="L75" s="62"/>
      <c r="M75" s="4"/>
      <c r="N75" s="4"/>
      <c r="O75" s="4"/>
      <c r="P75" s="4"/>
    </row>
    <row r="76" spans="1:16" ht="60" customHeight="1" x14ac:dyDescent="0.45">
      <c r="A76" s="6"/>
      <c r="B76" s="6"/>
      <c r="C76" s="10" t="str">
        <f>IFERROR(VLOOKUP(B76,'Incident Intake'!$A:$G,7,FALSE())&amp;" "&amp;VLOOKUP(B76,'Incident Intake'!$A:$F,6,FALSE()),"")</f>
        <v/>
      </c>
      <c r="D76" s="10" t="str">
        <f>IFERROR(VLOOKUP(B76,'Incident Intake'!$A:$J,10,FALSE()),"")</f>
        <v/>
      </c>
      <c r="E76" s="12"/>
      <c r="F76" s="6"/>
      <c r="G76" s="6"/>
      <c r="H76" s="6"/>
      <c r="I76" s="6"/>
      <c r="J76" s="6"/>
      <c r="K76" s="6"/>
      <c r="L76" s="63"/>
      <c r="M76" s="6"/>
      <c r="N76" s="6"/>
      <c r="O76" s="6"/>
      <c r="P76" s="6"/>
    </row>
    <row r="77" spans="1:16" ht="60" customHeight="1" x14ac:dyDescent="0.45">
      <c r="A77" s="4"/>
      <c r="B77" s="4"/>
      <c r="C77" s="10" t="str">
        <f>IFERROR(VLOOKUP(B77,'Incident Intake'!$A:$G,7,FALSE())&amp;" "&amp;VLOOKUP(B77,'Incident Intake'!$A:$F,6,FALSE()),"")</f>
        <v/>
      </c>
      <c r="D77" s="10" t="str">
        <f>IFERROR(VLOOKUP(B77,'Incident Intake'!$A:$J,10,FALSE()),"")</f>
        <v/>
      </c>
      <c r="E77" s="8"/>
      <c r="F77" s="4"/>
      <c r="G77" s="4"/>
      <c r="H77" s="4"/>
      <c r="I77" s="4"/>
      <c r="J77" s="4"/>
      <c r="K77" s="4"/>
      <c r="L77" s="62"/>
      <c r="M77" s="4"/>
      <c r="N77" s="4"/>
      <c r="O77" s="4"/>
      <c r="P77" s="4"/>
    </row>
    <row r="78" spans="1:16" ht="60" customHeight="1" x14ac:dyDescent="0.45">
      <c r="A78" s="6"/>
      <c r="B78" s="6"/>
      <c r="C78" s="10" t="str">
        <f>IFERROR(VLOOKUP(B78,'Incident Intake'!$A:$G,7,FALSE())&amp;" "&amp;VLOOKUP(B78,'Incident Intake'!$A:$F,6,FALSE()),"")</f>
        <v/>
      </c>
      <c r="D78" s="10" t="str">
        <f>IFERROR(VLOOKUP(B78,'Incident Intake'!$A:$J,10,FALSE()),"")</f>
        <v/>
      </c>
      <c r="E78" s="12"/>
      <c r="F78" s="6"/>
      <c r="G78" s="6"/>
      <c r="H78" s="6"/>
      <c r="I78" s="6"/>
      <c r="J78" s="6"/>
      <c r="K78" s="6"/>
      <c r="L78" s="63"/>
      <c r="M78" s="6"/>
      <c r="N78" s="6"/>
      <c r="O78" s="6"/>
      <c r="P78" s="6"/>
    </row>
    <row r="79" spans="1:16" ht="60" customHeight="1" x14ac:dyDescent="0.45">
      <c r="A79" s="4"/>
      <c r="B79" s="4"/>
      <c r="C79" s="10" t="str">
        <f>IFERROR(VLOOKUP(B79,'Incident Intake'!$A:$G,7,FALSE())&amp;" "&amp;VLOOKUP(B79,'Incident Intake'!$A:$F,6,FALSE()),"")</f>
        <v/>
      </c>
      <c r="D79" s="10" t="str">
        <f>IFERROR(VLOOKUP(B79,'Incident Intake'!$A:$J,10,FALSE()),"")</f>
        <v/>
      </c>
      <c r="E79" s="8"/>
      <c r="F79" s="4"/>
      <c r="G79" s="4"/>
      <c r="H79" s="4"/>
      <c r="I79" s="4"/>
      <c r="J79" s="4"/>
      <c r="K79" s="4"/>
      <c r="L79" s="62"/>
      <c r="M79" s="4"/>
      <c r="N79" s="4"/>
      <c r="O79" s="4"/>
      <c r="P79" s="4"/>
    </row>
    <row r="80" spans="1:16" ht="60" customHeight="1" x14ac:dyDescent="0.45">
      <c r="A80" s="6"/>
      <c r="B80" s="6"/>
      <c r="C80" s="10" t="str">
        <f>IFERROR(VLOOKUP(B80,'Incident Intake'!$A:$G,7,FALSE())&amp;" "&amp;VLOOKUP(B80,'Incident Intake'!$A:$F,6,FALSE()),"")</f>
        <v/>
      </c>
      <c r="D80" s="10" t="str">
        <f>IFERROR(VLOOKUP(B80,'Incident Intake'!$A:$J,10,FALSE()),"")</f>
        <v/>
      </c>
      <c r="E80" s="12"/>
      <c r="F80" s="6"/>
      <c r="G80" s="6"/>
      <c r="H80" s="6"/>
      <c r="I80" s="6"/>
      <c r="J80" s="6"/>
      <c r="K80" s="6"/>
      <c r="L80" s="63"/>
      <c r="M80" s="6"/>
      <c r="N80" s="6"/>
      <c r="O80" s="6"/>
      <c r="P80" s="6"/>
    </row>
    <row r="81" spans="1:16" ht="60" customHeight="1" x14ac:dyDescent="0.45">
      <c r="A81" s="4"/>
      <c r="B81" s="4"/>
      <c r="C81" s="10" t="str">
        <f>IFERROR(VLOOKUP(B81,'Incident Intake'!$A:$G,7,FALSE())&amp;" "&amp;VLOOKUP(B81,'Incident Intake'!$A:$F,6,FALSE()),"")</f>
        <v/>
      </c>
      <c r="D81" s="10" t="str">
        <f>IFERROR(VLOOKUP(B81,'Incident Intake'!$A:$J,10,FALSE()),"")</f>
        <v/>
      </c>
      <c r="E81" s="8"/>
      <c r="F81" s="4"/>
      <c r="G81" s="4"/>
      <c r="H81" s="4"/>
      <c r="I81" s="4"/>
      <c r="J81" s="4"/>
      <c r="K81" s="4"/>
      <c r="L81" s="62"/>
      <c r="M81" s="4"/>
      <c r="N81" s="4"/>
      <c r="O81" s="4"/>
      <c r="P81" s="4"/>
    </row>
    <row r="82" spans="1:16" ht="60" customHeight="1" x14ac:dyDescent="0.45">
      <c r="A82" s="6"/>
      <c r="B82" s="6"/>
      <c r="C82" s="10" t="str">
        <f>IFERROR(VLOOKUP(B82,'Incident Intake'!$A:$G,7,FALSE())&amp;" "&amp;VLOOKUP(B82,'Incident Intake'!$A:$F,6,FALSE()),"")</f>
        <v/>
      </c>
      <c r="D82" s="10" t="str">
        <f>IFERROR(VLOOKUP(B82,'Incident Intake'!$A:$J,10,FALSE()),"")</f>
        <v/>
      </c>
      <c r="E82" s="12"/>
      <c r="F82" s="6"/>
      <c r="G82" s="6"/>
      <c r="H82" s="6"/>
      <c r="I82" s="6"/>
      <c r="J82" s="6"/>
      <c r="K82" s="6"/>
      <c r="L82" s="63"/>
      <c r="M82" s="6"/>
      <c r="N82" s="6"/>
      <c r="O82" s="6"/>
      <c r="P82" s="6"/>
    </row>
    <row r="83" spans="1:16" ht="60" customHeight="1" x14ac:dyDescent="0.45">
      <c r="A83" s="4"/>
      <c r="B83" s="4"/>
      <c r="C83" s="10" t="str">
        <f>IFERROR(VLOOKUP(B83,'Incident Intake'!$A:$G,7,FALSE())&amp;" "&amp;VLOOKUP(B83,'Incident Intake'!$A:$F,6,FALSE()),"")</f>
        <v/>
      </c>
      <c r="D83" s="10" t="str">
        <f>IFERROR(VLOOKUP(B83,'Incident Intake'!$A:$J,10,FALSE()),"")</f>
        <v/>
      </c>
      <c r="E83" s="8"/>
      <c r="F83" s="4"/>
      <c r="G83" s="4"/>
      <c r="H83" s="4"/>
      <c r="I83" s="4"/>
      <c r="J83" s="4"/>
      <c r="K83" s="4"/>
      <c r="L83" s="62"/>
      <c r="M83" s="4"/>
      <c r="N83" s="4"/>
      <c r="O83" s="4"/>
      <c r="P83" s="4"/>
    </row>
    <row r="84" spans="1:16" ht="60" customHeight="1" x14ac:dyDescent="0.45">
      <c r="A84" s="6"/>
      <c r="B84" s="6"/>
      <c r="C84" s="10" t="str">
        <f>IFERROR(VLOOKUP(B84,'Incident Intake'!$A:$G,7,FALSE())&amp;" "&amp;VLOOKUP(B84,'Incident Intake'!$A:$F,6,FALSE()),"")</f>
        <v/>
      </c>
      <c r="D84" s="10" t="str">
        <f>IFERROR(VLOOKUP(B84,'Incident Intake'!$A:$J,10,FALSE()),"")</f>
        <v/>
      </c>
      <c r="E84" s="12"/>
      <c r="F84" s="6"/>
      <c r="G84" s="6"/>
      <c r="H84" s="6"/>
      <c r="I84" s="6"/>
      <c r="J84" s="6"/>
      <c r="K84" s="6"/>
      <c r="L84" s="63"/>
      <c r="M84" s="6"/>
      <c r="N84" s="6"/>
      <c r="O84" s="6"/>
      <c r="P84" s="6"/>
    </row>
    <row r="85" spans="1:16" ht="60" customHeight="1" x14ac:dyDescent="0.45">
      <c r="A85" s="4"/>
      <c r="B85" s="4"/>
      <c r="C85" s="10" t="str">
        <f>IFERROR(VLOOKUP(B85,'Incident Intake'!$A:$G,7,FALSE())&amp;" "&amp;VLOOKUP(B85,'Incident Intake'!$A:$F,6,FALSE()),"")</f>
        <v/>
      </c>
      <c r="D85" s="10" t="str">
        <f>IFERROR(VLOOKUP(B85,'Incident Intake'!$A:$J,10,FALSE()),"")</f>
        <v/>
      </c>
      <c r="E85" s="8"/>
      <c r="F85" s="4"/>
      <c r="G85" s="4"/>
      <c r="H85" s="4"/>
      <c r="I85" s="4"/>
      <c r="J85" s="4"/>
      <c r="K85" s="4"/>
      <c r="L85" s="62"/>
      <c r="M85" s="4"/>
      <c r="N85" s="4"/>
      <c r="O85" s="4"/>
      <c r="P85" s="4"/>
    </row>
    <row r="86" spans="1:16" ht="60" customHeight="1" x14ac:dyDescent="0.45">
      <c r="A86" s="6"/>
      <c r="B86" s="6"/>
      <c r="C86" s="10" t="str">
        <f>IFERROR(VLOOKUP(B86,'Incident Intake'!$A:$G,7,FALSE())&amp;" "&amp;VLOOKUP(B86,'Incident Intake'!$A:$F,6,FALSE()),"")</f>
        <v/>
      </c>
      <c r="D86" s="10" t="str">
        <f>IFERROR(VLOOKUP(B86,'Incident Intake'!$A:$J,10,FALSE()),"")</f>
        <v/>
      </c>
      <c r="E86" s="12"/>
      <c r="F86" s="6"/>
      <c r="G86" s="6"/>
      <c r="H86" s="6"/>
      <c r="I86" s="6"/>
      <c r="J86" s="6"/>
      <c r="K86" s="6"/>
      <c r="L86" s="63"/>
      <c r="M86" s="6"/>
      <c r="N86" s="6"/>
      <c r="O86" s="6"/>
      <c r="P86" s="6"/>
    </row>
    <row r="87" spans="1:16" ht="60" customHeight="1" x14ac:dyDescent="0.45">
      <c r="A87" s="4"/>
      <c r="B87" s="4"/>
      <c r="C87" s="10" t="str">
        <f>IFERROR(VLOOKUP(B87,'Incident Intake'!$A:$G,7,FALSE())&amp;" "&amp;VLOOKUP(B87,'Incident Intake'!$A:$F,6,FALSE()),"")</f>
        <v/>
      </c>
      <c r="D87" s="10" t="str">
        <f>IFERROR(VLOOKUP(B87,'Incident Intake'!$A:$J,10,FALSE()),"")</f>
        <v/>
      </c>
      <c r="E87" s="8"/>
      <c r="F87" s="4"/>
      <c r="G87" s="4"/>
      <c r="H87" s="4"/>
      <c r="I87" s="4"/>
      <c r="J87" s="4"/>
      <c r="K87" s="4"/>
      <c r="L87" s="62"/>
      <c r="M87" s="4"/>
      <c r="N87" s="4"/>
      <c r="O87" s="4"/>
      <c r="P87" s="4"/>
    </row>
    <row r="88" spans="1:16" ht="60" customHeight="1" x14ac:dyDescent="0.45">
      <c r="A88" s="6"/>
      <c r="B88" s="6"/>
      <c r="C88" s="10" t="str">
        <f>IFERROR(VLOOKUP(B88,'Incident Intake'!$A:$G,7,FALSE())&amp;" "&amp;VLOOKUP(B88,'Incident Intake'!$A:$F,6,FALSE()),"")</f>
        <v/>
      </c>
      <c r="D88" s="10" t="str">
        <f>IFERROR(VLOOKUP(B88,'Incident Intake'!$A:$J,10,FALSE()),"")</f>
        <v/>
      </c>
      <c r="E88" s="12"/>
      <c r="F88" s="6"/>
      <c r="G88" s="6"/>
      <c r="H88" s="6"/>
      <c r="I88" s="6"/>
      <c r="J88" s="6"/>
      <c r="K88" s="6"/>
      <c r="L88" s="63"/>
      <c r="M88" s="6"/>
      <c r="N88" s="6"/>
      <c r="O88" s="6"/>
      <c r="P88" s="6"/>
    </row>
    <row r="89" spans="1:16" ht="60" customHeight="1" x14ac:dyDescent="0.45">
      <c r="A89" s="4"/>
      <c r="B89" s="4"/>
      <c r="C89" s="10" t="str">
        <f>IFERROR(VLOOKUP(B89,'Incident Intake'!$A:$G,7,FALSE())&amp;" "&amp;VLOOKUP(B89,'Incident Intake'!$A:$F,6,FALSE()),"")</f>
        <v/>
      </c>
      <c r="D89" s="10" t="str">
        <f>IFERROR(VLOOKUP(B89,'Incident Intake'!$A:$J,10,FALSE()),"")</f>
        <v/>
      </c>
      <c r="E89" s="8"/>
      <c r="F89" s="4"/>
      <c r="G89" s="4"/>
      <c r="H89" s="4"/>
      <c r="I89" s="4"/>
      <c r="J89" s="4"/>
      <c r="K89" s="4"/>
      <c r="L89" s="62"/>
      <c r="M89" s="4"/>
      <c r="N89" s="4"/>
      <c r="O89" s="4"/>
      <c r="P89" s="4"/>
    </row>
    <row r="90" spans="1:16" ht="60" customHeight="1" x14ac:dyDescent="0.45">
      <c r="A90" s="6"/>
      <c r="B90" s="6"/>
      <c r="C90" s="10" t="str">
        <f>IFERROR(VLOOKUP(B90,'Incident Intake'!$A:$G,7,FALSE())&amp;" "&amp;VLOOKUP(B90,'Incident Intake'!$A:$F,6,FALSE()),"")</f>
        <v/>
      </c>
      <c r="D90" s="10" t="str">
        <f>IFERROR(VLOOKUP(B90,'Incident Intake'!$A:$J,10,FALSE()),"")</f>
        <v/>
      </c>
      <c r="E90" s="12"/>
      <c r="F90" s="6"/>
      <c r="G90" s="6"/>
      <c r="H90" s="6"/>
      <c r="I90" s="6"/>
      <c r="J90" s="6"/>
      <c r="K90" s="6"/>
      <c r="L90" s="63"/>
      <c r="M90" s="6"/>
      <c r="N90" s="6"/>
      <c r="O90" s="6"/>
      <c r="P90" s="6"/>
    </row>
    <row r="91" spans="1:16" ht="60" customHeight="1" x14ac:dyDescent="0.45">
      <c r="A91" s="4"/>
      <c r="B91" s="4"/>
      <c r="C91" s="10" t="str">
        <f>IFERROR(VLOOKUP(B91,'Incident Intake'!$A:$G,7,FALSE())&amp;" "&amp;VLOOKUP(B91,'Incident Intake'!$A:$F,6,FALSE()),"")</f>
        <v/>
      </c>
      <c r="D91" s="10" t="str">
        <f>IFERROR(VLOOKUP(B91,'Incident Intake'!$A:$J,10,FALSE()),"")</f>
        <v/>
      </c>
      <c r="E91" s="8"/>
      <c r="F91" s="4"/>
      <c r="G91" s="4"/>
      <c r="H91" s="4"/>
      <c r="I91" s="4"/>
      <c r="J91" s="4"/>
      <c r="K91" s="4"/>
      <c r="L91" s="62"/>
      <c r="M91" s="4"/>
      <c r="N91" s="4"/>
      <c r="O91" s="4"/>
      <c r="P91" s="4"/>
    </row>
    <row r="92" spans="1:16" ht="60" customHeight="1" x14ac:dyDescent="0.45">
      <c r="A92" s="6"/>
      <c r="B92" s="6"/>
      <c r="C92" s="10" t="str">
        <f>IFERROR(VLOOKUP(B92,'Incident Intake'!$A:$G,7,FALSE())&amp;" "&amp;VLOOKUP(B92,'Incident Intake'!$A:$F,6,FALSE()),"")</f>
        <v/>
      </c>
      <c r="D92" s="10" t="str">
        <f>IFERROR(VLOOKUP(B92,'Incident Intake'!$A:$J,10,FALSE()),"")</f>
        <v/>
      </c>
      <c r="E92" s="12"/>
      <c r="F92" s="6"/>
      <c r="G92" s="6"/>
      <c r="H92" s="6"/>
      <c r="I92" s="6"/>
      <c r="J92" s="6"/>
      <c r="K92" s="6"/>
      <c r="L92" s="63"/>
      <c r="M92" s="6"/>
      <c r="N92" s="6"/>
      <c r="O92" s="6"/>
      <c r="P92" s="6"/>
    </row>
    <row r="93" spans="1:16" ht="60" customHeight="1" x14ac:dyDescent="0.45">
      <c r="A93" s="4"/>
      <c r="B93" s="4"/>
      <c r="C93" s="10" t="str">
        <f>IFERROR(VLOOKUP(B93,'Incident Intake'!$A:$G,7,FALSE())&amp;" "&amp;VLOOKUP(B93,'Incident Intake'!$A:$F,6,FALSE()),"")</f>
        <v/>
      </c>
      <c r="D93" s="10" t="str">
        <f>IFERROR(VLOOKUP(B93,'Incident Intake'!$A:$J,10,FALSE()),"")</f>
        <v/>
      </c>
      <c r="E93" s="8"/>
      <c r="F93" s="4"/>
      <c r="G93" s="4"/>
      <c r="H93" s="4"/>
      <c r="I93" s="4"/>
      <c r="J93" s="4"/>
      <c r="K93" s="4"/>
      <c r="L93" s="62"/>
      <c r="M93" s="4"/>
      <c r="N93" s="4"/>
      <c r="O93" s="4"/>
      <c r="P93" s="4"/>
    </row>
    <row r="94" spans="1:16" ht="60" customHeight="1" x14ac:dyDescent="0.45">
      <c r="A94" s="6"/>
      <c r="B94" s="6"/>
      <c r="C94" s="10" t="str">
        <f>IFERROR(VLOOKUP(B94,'Incident Intake'!$A:$G,7,FALSE())&amp;" "&amp;VLOOKUP(B94,'Incident Intake'!$A:$F,6,FALSE()),"")</f>
        <v/>
      </c>
      <c r="D94" s="10" t="str">
        <f>IFERROR(VLOOKUP(B94,'Incident Intake'!$A:$J,10,FALSE()),"")</f>
        <v/>
      </c>
      <c r="E94" s="12"/>
      <c r="F94" s="6"/>
      <c r="G94" s="6"/>
      <c r="H94" s="6"/>
      <c r="I94" s="6"/>
      <c r="J94" s="6"/>
      <c r="K94" s="6"/>
      <c r="L94" s="63"/>
      <c r="M94" s="6"/>
      <c r="N94" s="6"/>
      <c r="O94" s="6"/>
      <c r="P94" s="6"/>
    </row>
    <row r="95" spans="1:16" ht="60" customHeight="1" x14ac:dyDescent="0.45">
      <c r="A95" s="4"/>
      <c r="B95" s="4"/>
      <c r="C95" s="10" t="str">
        <f>IFERROR(VLOOKUP(B95,'Incident Intake'!$A:$G,7,FALSE())&amp;" "&amp;VLOOKUP(B95,'Incident Intake'!$A:$F,6,FALSE()),"")</f>
        <v/>
      </c>
      <c r="D95" s="10" t="str">
        <f>IFERROR(VLOOKUP(B95,'Incident Intake'!$A:$J,10,FALSE()),"")</f>
        <v/>
      </c>
      <c r="E95" s="8"/>
      <c r="F95" s="4"/>
      <c r="G95" s="4"/>
      <c r="H95" s="4"/>
      <c r="I95" s="4"/>
      <c r="J95" s="4"/>
      <c r="K95" s="4"/>
      <c r="L95" s="62"/>
      <c r="M95" s="4"/>
      <c r="N95" s="4"/>
      <c r="O95" s="4"/>
      <c r="P95" s="4"/>
    </row>
    <row r="96" spans="1:16" ht="60" customHeight="1" x14ac:dyDescent="0.45">
      <c r="A96" s="6"/>
      <c r="B96" s="6"/>
      <c r="C96" s="10" t="str">
        <f>IFERROR(VLOOKUP(B96,'Incident Intake'!$A:$G,7,FALSE())&amp;" "&amp;VLOOKUP(B96,'Incident Intake'!$A:$F,6,FALSE()),"")</f>
        <v/>
      </c>
      <c r="D96" s="10" t="str">
        <f>IFERROR(VLOOKUP(B96,'Incident Intake'!$A:$J,10,FALSE()),"")</f>
        <v/>
      </c>
      <c r="E96" s="12"/>
      <c r="F96" s="6"/>
      <c r="G96" s="6"/>
      <c r="H96" s="6"/>
      <c r="I96" s="6"/>
      <c r="J96" s="6"/>
      <c r="K96" s="6"/>
      <c r="L96" s="63"/>
      <c r="M96" s="6"/>
      <c r="N96" s="6"/>
      <c r="O96" s="6"/>
      <c r="P96" s="6"/>
    </row>
    <row r="97" spans="1:16" ht="60" customHeight="1" x14ac:dyDescent="0.45">
      <c r="A97" s="4"/>
      <c r="B97" s="4"/>
      <c r="C97" s="10" t="str">
        <f>IFERROR(VLOOKUP(B97,'Incident Intake'!$A:$G,7,FALSE())&amp;" "&amp;VLOOKUP(B97,'Incident Intake'!$A:$F,6,FALSE()),"")</f>
        <v/>
      </c>
      <c r="D97" s="10" t="str">
        <f>IFERROR(VLOOKUP(B97,'Incident Intake'!$A:$J,10,FALSE()),"")</f>
        <v/>
      </c>
      <c r="E97" s="8"/>
      <c r="F97" s="4"/>
      <c r="G97" s="4"/>
      <c r="H97" s="4"/>
      <c r="I97" s="4"/>
      <c r="J97" s="4"/>
      <c r="K97" s="4"/>
      <c r="L97" s="62"/>
      <c r="M97" s="4"/>
      <c r="N97" s="4"/>
      <c r="O97" s="4"/>
      <c r="P97" s="4"/>
    </row>
    <row r="98" spans="1:16" ht="60" customHeight="1" x14ac:dyDescent="0.45">
      <c r="A98" s="6"/>
      <c r="B98" s="6"/>
      <c r="C98" s="10" t="str">
        <f>IFERROR(VLOOKUP(B98,'Incident Intake'!$A:$G,7,FALSE())&amp;" "&amp;VLOOKUP(B98,'Incident Intake'!$A:$F,6,FALSE()),"")</f>
        <v/>
      </c>
      <c r="D98" s="10" t="str">
        <f>IFERROR(VLOOKUP(B98,'Incident Intake'!$A:$J,10,FALSE()),"")</f>
        <v/>
      </c>
      <c r="E98" s="12"/>
      <c r="F98" s="6"/>
      <c r="G98" s="6"/>
      <c r="H98" s="6"/>
      <c r="I98" s="6"/>
      <c r="J98" s="6"/>
      <c r="K98" s="6"/>
      <c r="L98" s="63"/>
      <c r="M98" s="6"/>
      <c r="N98" s="6"/>
      <c r="O98" s="6"/>
      <c r="P98" s="6"/>
    </row>
    <row r="99" spans="1:16" ht="60" customHeight="1" x14ac:dyDescent="0.45">
      <c r="A99" s="4"/>
      <c r="B99" s="4"/>
      <c r="C99" s="10" t="str">
        <f>IFERROR(VLOOKUP(B99,'Incident Intake'!$A:$G,7,FALSE())&amp;" "&amp;VLOOKUP(B99,'Incident Intake'!$A:$F,6,FALSE()),"")</f>
        <v/>
      </c>
      <c r="D99" s="10" t="str">
        <f>IFERROR(VLOOKUP(B99,'Incident Intake'!$A:$J,10,FALSE()),"")</f>
        <v/>
      </c>
      <c r="E99" s="8"/>
      <c r="F99" s="4"/>
      <c r="G99" s="4"/>
      <c r="H99" s="4"/>
      <c r="I99" s="4"/>
      <c r="J99" s="4"/>
      <c r="K99" s="4"/>
      <c r="L99" s="62"/>
      <c r="M99" s="4"/>
      <c r="N99" s="4"/>
      <c r="O99" s="4"/>
      <c r="P99" s="4"/>
    </row>
    <row r="100" spans="1:16" ht="60" customHeight="1" x14ac:dyDescent="0.45">
      <c r="A100" s="6"/>
      <c r="B100" s="6"/>
      <c r="C100" s="10" t="str">
        <f>IFERROR(VLOOKUP(B100,'Incident Intake'!$A:$G,7,FALSE())&amp;" "&amp;VLOOKUP(B100,'Incident Intake'!$A:$F,6,FALSE()),"")</f>
        <v/>
      </c>
      <c r="D100" s="10" t="str">
        <f>IFERROR(VLOOKUP(B100,'Incident Intake'!$A:$J,10,FALSE()),"")</f>
        <v/>
      </c>
      <c r="E100" s="12"/>
      <c r="F100" s="6"/>
      <c r="G100" s="6"/>
      <c r="H100" s="6"/>
      <c r="I100" s="6"/>
      <c r="J100" s="6"/>
      <c r="K100" s="6"/>
      <c r="L100" s="63"/>
      <c r="M100" s="6"/>
      <c r="N100" s="6"/>
      <c r="O100" s="6"/>
      <c r="P100" s="6"/>
    </row>
    <row r="101" spans="1:16" ht="60" customHeight="1" x14ac:dyDescent="0.45">
      <c r="A101" s="4"/>
      <c r="B101" s="4"/>
      <c r="C101" s="10" t="str">
        <f>IFERROR(VLOOKUP(B101,'Incident Intake'!$A:$G,7,FALSE())&amp;" "&amp;VLOOKUP(B101,'Incident Intake'!$A:$F,6,FALSE()),"")</f>
        <v/>
      </c>
      <c r="D101" s="10" t="str">
        <f>IFERROR(VLOOKUP(B101,'Incident Intake'!$A:$J,10,FALSE()),"")</f>
        <v/>
      </c>
      <c r="E101" s="8"/>
      <c r="F101" s="4"/>
      <c r="G101" s="4"/>
      <c r="H101" s="4"/>
      <c r="I101" s="4"/>
      <c r="J101" s="4"/>
      <c r="K101" s="4"/>
      <c r="L101" s="62"/>
      <c r="M101" s="4"/>
      <c r="N101" s="4"/>
      <c r="O101" s="4"/>
      <c r="P101" s="4"/>
    </row>
    <row r="102" spans="1:16" ht="60" customHeight="1" x14ac:dyDescent="0.45">
      <c r="A102" s="6"/>
      <c r="B102" s="6"/>
      <c r="C102" s="10" t="str">
        <f>IFERROR(VLOOKUP(B102,'Incident Intake'!$A:$G,7,FALSE())&amp;" "&amp;VLOOKUP(B102,'Incident Intake'!$A:$F,6,FALSE()),"")</f>
        <v/>
      </c>
      <c r="D102" s="10" t="str">
        <f>IFERROR(VLOOKUP(B102,'Incident Intake'!$A:$J,10,FALSE()),"")</f>
        <v/>
      </c>
      <c r="E102" s="12"/>
      <c r="F102" s="6"/>
      <c r="G102" s="6"/>
      <c r="H102" s="6"/>
      <c r="I102" s="6"/>
      <c r="J102" s="6"/>
      <c r="K102" s="6"/>
      <c r="L102" s="63"/>
      <c r="M102" s="6"/>
      <c r="N102" s="6"/>
      <c r="O102" s="6"/>
      <c r="P102" s="6"/>
    </row>
    <row r="103" spans="1:16" ht="60" customHeight="1" x14ac:dyDescent="0.45">
      <c r="A103" s="4"/>
      <c r="B103" s="4"/>
      <c r="C103" s="10" t="str">
        <f>IFERROR(VLOOKUP(B103,'Incident Intake'!$A:$G,7,FALSE())&amp;" "&amp;VLOOKUP(B103,'Incident Intake'!$A:$F,6,FALSE()),"")</f>
        <v/>
      </c>
      <c r="D103" s="10" t="str">
        <f>IFERROR(VLOOKUP(B103,'Incident Intake'!$A:$J,10,FALSE()),"")</f>
        <v/>
      </c>
      <c r="E103" s="8"/>
      <c r="F103" s="4"/>
      <c r="G103" s="4"/>
      <c r="H103" s="4"/>
      <c r="I103" s="4"/>
      <c r="J103" s="4"/>
      <c r="K103" s="4"/>
      <c r="L103" s="62"/>
      <c r="M103" s="4"/>
      <c r="N103" s="4"/>
      <c r="O103" s="4"/>
      <c r="P103" s="4"/>
    </row>
    <row r="104" spans="1:16" ht="60" customHeight="1" x14ac:dyDescent="0.45">
      <c r="A104" s="6"/>
      <c r="B104" s="6"/>
      <c r="C104" s="10" t="str">
        <f>IFERROR(VLOOKUP(B104,'Incident Intake'!$A:$G,7,FALSE())&amp;" "&amp;VLOOKUP(B104,'Incident Intake'!$A:$F,6,FALSE()),"")</f>
        <v/>
      </c>
      <c r="D104" s="10" t="str">
        <f>IFERROR(VLOOKUP(B104,'Incident Intake'!$A:$J,10,FALSE()),"")</f>
        <v/>
      </c>
      <c r="E104" s="12"/>
      <c r="F104" s="6"/>
      <c r="G104" s="6"/>
      <c r="H104" s="6"/>
      <c r="I104" s="6"/>
      <c r="J104" s="6"/>
      <c r="K104" s="6"/>
      <c r="L104" s="63"/>
      <c r="M104" s="6"/>
      <c r="N104" s="6"/>
      <c r="O104" s="6"/>
      <c r="P104" s="6"/>
    </row>
    <row r="105" spans="1:16" ht="60" customHeight="1" x14ac:dyDescent="0.45">
      <c r="A105" s="4"/>
      <c r="B105" s="4"/>
      <c r="C105" s="10" t="str">
        <f>IFERROR(VLOOKUP(B105,'Incident Intake'!$A:$G,7,FALSE())&amp;" "&amp;VLOOKUP(B105,'Incident Intake'!$A:$F,6,FALSE()),"")</f>
        <v/>
      </c>
      <c r="D105" s="10" t="str">
        <f>IFERROR(VLOOKUP(B105,'Incident Intake'!$A:$J,10,FALSE()),"")</f>
        <v/>
      </c>
      <c r="E105" s="8"/>
      <c r="F105" s="4"/>
      <c r="G105" s="4"/>
      <c r="H105" s="4"/>
      <c r="I105" s="4"/>
      <c r="J105" s="4"/>
      <c r="K105" s="4"/>
      <c r="L105" s="62"/>
      <c r="M105" s="4"/>
      <c r="N105" s="4"/>
      <c r="O105" s="4"/>
      <c r="P105" s="4"/>
    </row>
    <row r="106" spans="1:16" ht="60" customHeight="1" x14ac:dyDescent="0.45">
      <c r="A106" s="6"/>
      <c r="B106" s="6"/>
      <c r="C106" s="10" t="str">
        <f>IFERROR(VLOOKUP(B106,'Incident Intake'!$A:$G,7,FALSE())&amp;" "&amp;VLOOKUP(B106,'Incident Intake'!$A:$F,6,FALSE()),"")</f>
        <v/>
      </c>
      <c r="D106" s="10" t="str">
        <f>IFERROR(VLOOKUP(B106,'Incident Intake'!$A:$J,10,FALSE()),"")</f>
        <v/>
      </c>
      <c r="E106" s="12"/>
      <c r="F106" s="6"/>
      <c r="G106" s="6"/>
      <c r="H106" s="6"/>
      <c r="I106" s="6"/>
      <c r="J106" s="6"/>
      <c r="K106" s="6"/>
      <c r="L106" s="63"/>
      <c r="M106" s="6"/>
      <c r="N106" s="6"/>
      <c r="O106" s="6"/>
      <c r="P106" s="6"/>
    </row>
    <row r="107" spans="1:16" ht="60" customHeight="1" x14ac:dyDescent="0.45">
      <c r="A107" s="4"/>
      <c r="B107" s="4"/>
      <c r="C107" s="10" t="str">
        <f>IFERROR(VLOOKUP(B107,'Incident Intake'!$A:$G,7,FALSE())&amp;" "&amp;VLOOKUP(B107,'Incident Intake'!$A:$F,6,FALSE()),"")</f>
        <v/>
      </c>
      <c r="D107" s="10" t="str">
        <f>IFERROR(VLOOKUP(B107,'Incident Intake'!$A:$J,10,FALSE()),"")</f>
        <v/>
      </c>
      <c r="E107" s="8"/>
      <c r="F107" s="4"/>
      <c r="G107" s="4"/>
      <c r="H107" s="4"/>
      <c r="I107" s="4"/>
      <c r="J107" s="4"/>
      <c r="K107" s="4"/>
      <c r="L107" s="62"/>
      <c r="M107" s="4"/>
      <c r="N107" s="4"/>
      <c r="O107" s="4"/>
      <c r="P107" s="4"/>
    </row>
    <row r="108" spans="1:16" ht="60" customHeight="1" x14ac:dyDescent="0.45">
      <c r="A108" s="6"/>
      <c r="B108" s="6"/>
      <c r="C108" s="10" t="str">
        <f>IFERROR(VLOOKUP(B108,'Incident Intake'!$A:$G,7,FALSE())&amp;" "&amp;VLOOKUP(B108,'Incident Intake'!$A:$F,6,FALSE()),"")</f>
        <v/>
      </c>
      <c r="D108" s="10" t="str">
        <f>IFERROR(VLOOKUP(B108,'Incident Intake'!$A:$J,10,FALSE()),"")</f>
        <v/>
      </c>
      <c r="E108" s="12"/>
      <c r="F108" s="6"/>
      <c r="G108" s="6"/>
      <c r="H108" s="6"/>
      <c r="I108" s="6"/>
      <c r="J108" s="6"/>
      <c r="K108" s="6"/>
      <c r="L108" s="63"/>
      <c r="M108" s="6"/>
      <c r="N108" s="6"/>
      <c r="O108" s="6"/>
      <c r="P108" s="6"/>
    </row>
    <row r="109" spans="1:16" ht="60" customHeight="1" x14ac:dyDescent="0.45">
      <c r="A109" s="4"/>
      <c r="B109" s="4"/>
      <c r="C109" s="10" t="str">
        <f>IFERROR(VLOOKUP(B109,'Incident Intake'!$A:$G,7,FALSE())&amp;" "&amp;VLOOKUP(B109,'Incident Intake'!$A:$F,6,FALSE()),"")</f>
        <v/>
      </c>
      <c r="D109" s="10" t="str">
        <f>IFERROR(VLOOKUP(B109,'Incident Intake'!$A:$J,10,FALSE()),"")</f>
        <v/>
      </c>
      <c r="E109" s="8"/>
      <c r="F109" s="4"/>
      <c r="G109" s="4"/>
      <c r="H109" s="4"/>
      <c r="I109" s="4"/>
      <c r="J109" s="4"/>
      <c r="K109" s="4"/>
      <c r="L109" s="62"/>
      <c r="M109" s="4"/>
      <c r="N109" s="4"/>
      <c r="O109" s="4"/>
      <c r="P109" s="4"/>
    </row>
    <row r="110" spans="1:16" ht="60" customHeight="1" x14ac:dyDescent="0.45">
      <c r="A110" s="6"/>
      <c r="B110" s="6"/>
      <c r="C110" s="10" t="str">
        <f>IFERROR(VLOOKUP(B110,'Incident Intake'!$A:$G,7,FALSE())&amp;" "&amp;VLOOKUP(B110,'Incident Intake'!$A:$F,6,FALSE()),"")</f>
        <v/>
      </c>
      <c r="D110" s="10" t="str">
        <f>IFERROR(VLOOKUP(B110,'Incident Intake'!$A:$J,10,FALSE()),"")</f>
        <v/>
      </c>
      <c r="E110" s="12"/>
      <c r="F110" s="6"/>
      <c r="G110" s="6"/>
      <c r="H110" s="6"/>
      <c r="I110" s="6"/>
      <c r="J110" s="6"/>
      <c r="K110" s="6"/>
      <c r="L110" s="63"/>
      <c r="M110" s="6"/>
      <c r="N110" s="6"/>
      <c r="O110" s="6"/>
      <c r="P110" s="6"/>
    </row>
    <row r="111" spans="1:16" ht="60" customHeight="1" x14ac:dyDescent="0.45">
      <c r="A111" s="4"/>
      <c r="B111" s="4"/>
      <c r="C111" s="10" t="str">
        <f>IFERROR(VLOOKUP(B111,'Incident Intake'!$A:$G,7,FALSE())&amp;" "&amp;VLOOKUP(B111,'Incident Intake'!$A:$F,6,FALSE()),"")</f>
        <v/>
      </c>
      <c r="D111" s="10" t="str">
        <f>IFERROR(VLOOKUP(B111,'Incident Intake'!$A:$J,10,FALSE()),"")</f>
        <v/>
      </c>
      <c r="E111" s="8"/>
      <c r="F111" s="4"/>
      <c r="G111" s="4"/>
      <c r="H111" s="4"/>
      <c r="I111" s="4"/>
      <c r="J111" s="4"/>
      <c r="K111" s="4"/>
      <c r="L111" s="62"/>
      <c r="M111" s="4"/>
      <c r="N111" s="4"/>
      <c r="O111" s="4"/>
      <c r="P111" s="4"/>
    </row>
    <row r="112" spans="1:16" ht="60" customHeight="1" x14ac:dyDescent="0.45">
      <c r="A112" s="6"/>
      <c r="B112" s="6"/>
      <c r="C112" s="10" t="str">
        <f>IFERROR(VLOOKUP(B112,'Incident Intake'!$A:$G,7,FALSE())&amp;" "&amp;VLOOKUP(B112,'Incident Intake'!$A:$F,6,FALSE()),"")</f>
        <v/>
      </c>
      <c r="D112" s="10" t="str">
        <f>IFERROR(VLOOKUP(B112,'Incident Intake'!$A:$J,10,FALSE()),"")</f>
        <v/>
      </c>
      <c r="E112" s="12"/>
      <c r="F112" s="6"/>
      <c r="G112" s="6"/>
      <c r="H112" s="6"/>
      <c r="I112" s="6"/>
      <c r="J112" s="6"/>
      <c r="K112" s="6"/>
      <c r="L112" s="63"/>
      <c r="M112" s="6"/>
      <c r="N112" s="6"/>
      <c r="O112" s="6"/>
      <c r="P112" s="6"/>
    </row>
    <row r="113" spans="1:16" ht="60" customHeight="1" x14ac:dyDescent="0.45">
      <c r="A113" s="4"/>
      <c r="B113" s="4"/>
      <c r="C113" s="10" t="str">
        <f>IFERROR(VLOOKUP(B113,'Incident Intake'!$A:$G,7,FALSE())&amp;" "&amp;VLOOKUP(B113,'Incident Intake'!$A:$F,6,FALSE()),"")</f>
        <v/>
      </c>
      <c r="D113" s="10" t="str">
        <f>IFERROR(VLOOKUP(B113,'Incident Intake'!$A:$J,10,FALSE()),"")</f>
        <v/>
      </c>
      <c r="E113" s="8"/>
      <c r="F113" s="4"/>
      <c r="G113" s="4"/>
      <c r="H113" s="4"/>
      <c r="I113" s="4"/>
      <c r="J113" s="4"/>
      <c r="K113" s="4"/>
      <c r="L113" s="62"/>
      <c r="M113" s="4"/>
      <c r="N113" s="4"/>
      <c r="O113" s="4"/>
      <c r="P113" s="4"/>
    </row>
    <row r="114" spans="1:16" ht="60" customHeight="1" x14ac:dyDescent="0.45">
      <c r="A114" s="6"/>
      <c r="B114" s="6"/>
      <c r="C114" s="10" t="str">
        <f>IFERROR(VLOOKUP(B114,'Incident Intake'!$A:$G,7,FALSE())&amp;" "&amp;VLOOKUP(B114,'Incident Intake'!$A:$F,6,FALSE()),"")</f>
        <v/>
      </c>
      <c r="D114" s="10" t="str">
        <f>IFERROR(VLOOKUP(B114,'Incident Intake'!$A:$J,10,FALSE()),"")</f>
        <v/>
      </c>
      <c r="E114" s="12"/>
      <c r="F114" s="6"/>
      <c r="G114" s="6"/>
      <c r="H114" s="6"/>
      <c r="I114" s="6"/>
      <c r="J114" s="6"/>
      <c r="K114" s="6"/>
      <c r="L114" s="63"/>
      <c r="M114" s="6"/>
      <c r="N114" s="6"/>
      <c r="O114" s="6"/>
      <c r="P114" s="6"/>
    </row>
    <row r="115" spans="1:16" ht="60" customHeight="1" x14ac:dyDescent="0.45">
      <c r="A115" s="4"/>
      <c r="B115" s="4"/>
      <c r="C115" s="10" t="str">
        <f>IFERROR(VLOOKUP(B115,'Incident Intake'!$A:$G,7,FALSE())&amp;" "&amp;VLOOKUP(B115,'Incident Intake'!$A:$F,6,FALSE()),"")</f>
        <v/>
      </c>
      <c r="D115" s="10" t="str">
        <f>IFERROR(VLOOKUP(B115,'Incident Intake'!$A:$J,10,FALSE()),"")</f>
        <v/>
      </c>
      <c r="E115" s="8"/>
      <c r="F115" s="4"/>
      <c r="G115" s="4"/>
      <c r="H115" s="4"/>
      <c r="I115" s="4"/>
      <c r="J115" s="4"/>
      <c r="K115" s="4"/>
      <c r="L115" s="62"/>
      <c r="M115" s="4"/>
      <c r="N115" s="4"/>
      <c r="O115" s="4"/>
      <c r="P115" s="4"/>
    </row>
    <row r="116" spans="1:16" ht="60" customHeight="1" x14ac:dyDescent="0.45">
      <c r="A116" s="6"/>
      <c r="B116" s="6"/>
      <c r="C116" s="10" t="str">
        <f>IFERROR(VLOOKUP(B116,'Incident Intake'!$A:$G,7,FALSE())&amp;" "&amp;VLOOKUP(B116,'Incident Intake'!$A:$F,6,FALSE()),"")</f>
        <v/>
      </c>
      <c r="D116" s="10" t="str">
        <f>IFERROR(VLOOKUP(B116,'Incident Intake'!$A:$J,10,FALSE()),"")</f>
        <v/>
      </c>
      <c r="E116" s="12"/>
      <c r="F116" s="6"/>
      <c r="G116" s="6"/>
      <c r="H116" s="6"/>
      <c r="I116" s="6"/>
      <c r="J116" s="6"/>
      <c r="K116" s="6"/>
      <c r="L116" s="63"/>
      <c r="M116" s="6"/>
      <c r="N116" s="6"/>
      <c r="O116" s="6"/>
      <c r="P116" s="6"/>
    </row>
    <row r="117" spans="1:16" ht="60" customHeight="1" x14ac:dyDescent="0.45">
      <c r="A117" s="4"/>
      <c r="B117" s="4"/>
      <c r="C117" s="10" t="str">
        <f>IFERROR(VLOOKUP(B117,'Incident Intake'!$A:$G,7,FALSE())&amp;" "&amp;VLOOKUP(B117,'Incident Intake'!$A:$F,6,FALSE()),"")</f>
        <v/>
      </c>
      <c r="D117" s="10" t="str">
        <f>IFERROR(VLOOKUP(B117,'Incident Intake'!$A:$J,10,FALSE()),"")</f>
        <v/>
      </c>
      <c r="E117" s="8"/>
      <c r="F117" s="4"/>
      <c r="G117" s="4"/>
      <c r="H117" s="4"/>
      <c r="I117" s="4"/>
      <c r="J117" s="4"/>
      <c r="K117" s="4"/>
      <c r="L117" s="62"/>
      <c r="M117" s="4"/>
      <c r="N117" s="4"/>
      <c r="O117" s="4"/>
      <c r="P117" s="4"/>
    </row>
    <row r="118" spans="1:16" ht="60" customHeight="1" x14ac:dyDescent="0.45">
      <c r="A118" s="6"/>
      <c r="B118" s="6"/>
      <c r="C118" s="10" t="str">
        <f>IFERROR(VLOOKUP(B118,'Incident Intake'!$A:$G,7,FALSE())&amp;" "&amp;VLOOKUP(B118,'Incident Intake'!$A:$F,6,FALSE()),"")</f>
        <v/>
      </c>
      <c r="D118" s="10" t="str">
        <f>IFERROR(VLOOKUP(B118,'Incident Intake'!$A:$J,10,FALSE()),"")</f>
        <v/>
      </c>
      <c r="E118" s="12"/>
      <c r="F118" s="6"/>
      <c r="G118" s="6"/>
      <c r="H118" s="6"/>
      <c r="I118" s="6"/>
      <c r="J118" s="6"/>
      <c r="K118" s="6"/>
      <c r="L118" s="63"/>
      <c r="M118" s="6"/>
      <c r="N118" s="6"/>
      <c r="O118" s="6"/>
      <c r="P118" s="6"/>
    </row>
    <row r="119" spans="1:16" ht="60" customHeight="1" x14ac:dyDescent="0.45">
      <c r="A119" s="4"/>
      <c r="B119" s="4"/>
      <c r="C119" s="10" t="str">
        <f>IFERROR(VLOOKUP(B119,'Incident Intake'!$A:$G,7,FALSE())&amp;" "&amp;VLOOKUP(B119,'Incident Intake'!$A:$F,6,FALSE()),"")</f>
        <v/>
      </c>
      <c r="D119" s="10" t="str">
        <f>IFERROR(VLOOKUP(B119,'Incident Intake'!$A:$J,10,FALSE()),"")</f>
        <v/>
      </c>
      <c r="E119" s="8"/>
      <c r="F119" s="4"/>
      <c r="G119" s="4"/>
      <c r="H119" s="4"/>
      <c r="I119" s="4"/>
      <c r="J119" s="4"/>
      <c r="K119" s="4"/>
      <c r="L119" s="62"/>
      <c r="M119" s="4"/>
      <c r="N119" s="4"/>
      <c r="O119" s="4"/>
      <c r="P119" s="4"/>
    </row>
    <row r="120" spans="1:16" ht="60" customHeight="1" x14ac:dyDescent="0.45">
      <c r="A120" s="6"/>
      <c r="B120" s="6"/>
      <c r="C120" s="10" t="str">
        <f>IFERROR(VLOOKUP(B120,'Incident Intake'!$A:$G,7,FALSE())&amp;" "&amp;VLOOKUP(B120,'Incident Intake'!$A:$F,6,FALSE()),"")</f>
        <v/>
      </c>
      <c r="D120" s="10" t="str">
        <f>IFERROR(VLOOKUP(B120,'Incident Intake'!$A:$J,10,FALSE()),"")</f>
        <v/>
      </c>
      <c r="E120" s="12"/>
      <c r="F120" s="6"/>
      <c r="G120" s="6"/>
      <c r="H120" s="6"/>
      <c r="I120" s="6"/>
      <c r="J120" s="6"/>
      <c r="K120" s="6"/>
      <c r="L120" s="63"/>
      <c r="M120" s="6"/>
      <c r="N120" s="6"/>
      <c r="O120" s="6"/>
      <c r="P120" s="6"/>
    </row>
    <row r="121" spans="1:16" ht="60" customHeight="1" x14ac:dyDescent="0.45">
      <c r="A121" s="4"/>
      <c r="B121" s="4"/>
      <c r="C121" s="10" t="str">
        <f>IFERROR(VLOOKUP(B121,'Incident Intake'!$A:$G,7,FALSE())&amp;" "&amp;VLOOKUP(B121,'Incident Intake'!$A:$F,6,FALSE()),"")</f>
        <v/>
      </c>
      <c r="D121" s="10" t="str">
        <f>IFERROR(VLOOKUP(B121,'Incident Intake'!$A:$J,10,FALSE()),"")</f>
        <v/>
      </c>
      <c r="E121" s="8"/>
      <c r="F121" s="4"/>
      <c r="G121" s="4"/>
      <c r="H121" s="4"/>
      <c r="I121" s="4"/>
      <c r="J121" s="4"/>
      <c r="K121" s="4"/>
      <c r="L121" s="62"/>
      <c r="M121" s="4"/>
      <c r="N121" s="4"/>
      <c r="O121" s="4"/>
      <c r="P121" s="4"/>
    </row>
    <row r="122" spans="1:16" ht="60" customHeight="1" x14ac:dyDescent="0.45">
      <c r="A122" s="6"/>
      <c r="B122" s="6"/>
      <c r="C122" s="10" t="str">
        <f>IFERROR(VLOOKUP(B122,'Incident Intake'!$A:$G,7,FALSE())&amp;" "&amp;VLOOKUP(B122,'Incident Intake'!$A:$F,6,FALSE()),"")</f>
        <v/>
      </c>
      <c r="D122" s="10" t="str">
        <f>IFERROR(VLOOKUP(B122,'Incident Intake'!$A:$J,10,FALSE()),"")</f>
        <v/>
      </c>
      <c r="E122" s="12"/>
      <c r="F122" s="6"/>
      <c r="G122" s="6"/>
      <c r="H122" s="6"/>
      <c r="I122" s="6"/>
      <c r="J122" s="6"/>
      <c r="K122" s="6"/>
      <c r="L122" s="63"/>
      <c r="M122" s="6"/>
      <c r="N122" s="6"/>
      <c r="O122" s="6"/>
      <c r="P122" s="6"/>
    </row>
    <row r="123" spans="1:16" ht="60" customHeight="1" x14ac:dyDescent="0.45">
      <c r="A123" s="4"/>
      <c r="B123" s="4"/>
      <c r="C123" s="10" t="str">
        <f>IFERROR(VLOOKUP(B123,'Incident Intake'!$A:$G,7,FALSE())&amp;" "&amp;VLOOKUP(B123,'Incident Intake'!$A:$F,6,FALSE()),"")</f>
        <v/>
      </c>
      <c r="D123" s="10" t="str">
        <f>IFERROR(VLOOKUP(B123,'Incident Intake'!$A:$J,10,FALSE()),"")</f>
        <v/>
      </c>
      <c r="E123" s="8"/>
      <c r="F123" s="4"/>
      <c r="G123" s="4"/>
      <c r="H123" s="4"/>
      <c r="I123" s="4"/>
      <c r="J123" s="4"/>
      <c r="K123" s="4"/>
      <c r="L123" s="62"/>
      <c r="M123" s="4"/>
      <c r="N123" s="4"/>
      <c r="O123" s="4"/>
      <c r="P123" s="4"/>
    </row>
    <row r="124" spans="1:16" ht="60" customHeight="1" x14ac:dyDescent="0.45">
      <c r="A124" s="6"/>
      <c r="B124" s="6"/>
      <c r="C124" s="10" t="str">
        <f>IFERROR(VLOOKUP(B124,'Incident Intake'!$A:$G,7,FALSE())&amp;" "&amp;VLOOKUP(B124,'Incident Intake'!$A:$F,6,FALSE()),"")</f>
        <v/>
      </c>
      <c r="D124" s="10" t="str">
        <f>IFERROR(VLOOKUP(B124,'Incident Intake'!$A:$J,10,FALSE()),"")</f>
        <v/>
      </c>
      <c r="E124" s="12"/>
      <c r="F124" s="6"/>
      <c r="G124" s="6"/>
      <c r="H124" s="6"/>
      <c r="I124" s="6"/>
      <c r="J124" s="6"/>
      <c r="K124" s="6"/>
      <c r="L124" s="63"/>
      <c r="M124" s="6"/>
      <c r="N124" s="6"/>
      <c r="O124" s="6"/>
      <c r="P124" s="6"/>
    </row>
    <row r="125" spans="1:16" ht="60" customHeight="1" x14ac:dyDescent="0.45">
      <c r="A125" s="4"/>
      <c r="B125" s="4"/>
      <c r="C125" s="10" t="str">
        <f>IFERROR(VLOOKUP(B125,'Incident Intake'!$A:$G,7,FALSE())&amp;" "&amp;VLOOKUP(B125,'Incident Intake'!$A:$F,6,FALSE()),"")</f>
        <v/>
      </c>
      <c r="D125" s="10" t="str">
        <f>IFERROR(VLOOKUP(B125,'Incident Intake'!$A:$J,10,FALSE()),"")</f>
        <v/>
      </c>
      <c r="E125" s="8"/>
      <c r="F125" s="4"/>
      <c r="G125" s="4"/>
      <c r="H125" s="4"/>
      <c r="I125" s="4"/>
      <c r="J125" s="4"/>
      <c r="K125" s="4"/>
      <c r="L125" s="62"/>
      <c r="M125" s="4"/>
      <c r="N125" s="4"/>
      <c r="O125" s="4"/>
      <c r="P125" s="4"/>
    </row>
    <row r="126" spans="1:16" ht="60" customHeight="1" x14ac:dyDescent="0.45">
      <c r="A126" s="6"/>
      <c r="B126" s="6"/>
      <c r="C126" s="10" t="str">
        <f>IFERROR(VLOOKUP(B126,'Incident Intake'!$A:$G,7,FALSE())&amp;" "&amp;VLOOKUP(B126,'Incident Intake'!$A:$F,6,FALSE()),"")</f>
        <v/>
      </c>
      <c r="D126" s="10" t="str">
        <f>IFERROR(VLOOKUP(B126,'Incident Intake'!$A:$J,10,FALSE()),"")</f>
        <v/>
      </c>
      <c r="E126" s="12"/>
      <c r="F126" s="6"/>
      <c r="G126" s="6"/>
      <c r="H126" s="6"/>
      <c r="I126" s="6"/>
      <c r="J126" s="6"/>
      <c r="K126" s="6"/>
      <c r="L126" s="63"/>
      <c r="M126" s="6"/>
      <c r="N126" s="6"/>
      <c r="O126" s="6"/>
      <c r="P126" s="6"/>
    </row>
    <row r="127" spans="1:16" ht="60" customHeight="1" x14ac:dyDescent="0.45">
      <c r="A127" s="4"/>
      <c r="B127" s="4"/>
      <c r="C127" s="10" t="str">
        <f>IFERROR(VLOOKUP(B127,'Incident Intake'!$A:$G,7,FALSE())&amp;" "&amp;VLOOKUP(B127,'Incident Intake'!$A:$F,6,FALSE()),"")</f>
        <v/>
      </c>
      <c r="D127" s="10" t="str">
        <f>IFERROR(VLOOKUP(B127,'Incident Intake'!$A:$J,10,FALSE()),"")</f>
        <v/>
      </c>
      <c r="E127" s="8"/>
      <c r="F127" s="4"/>
      <c r="G127" s="4"/>
      <c r="H127" s="4"/>
      <c r="I127" s="4"/>
      <c r="J127" s="4"/>
      <c r="K127" s="4"/>
      <c r="L127" s="62"/>
      <c r="M127" s="4"/>
      <c r="N127" s="4"/>
      <c r="O127" s="4"/>
      <c r="P127" s="4"/>
    </row>
    <row r="128" spans="1:16" ht="60" customHeight="1" x14ac:dyDescent="0.45">
      <c r="A128" s="6"/>
      <c r="B128" s="6"/>
      <c r="C128" s="10" t="str">
        <f>IFERROR(VLOOKUP(B128,'Incident Intake'!$A:$G,7,FALSE())&amp;" "&amp;VLOOKUP(B128,'Incident Intake'!$A:$F,6,FALSE()),"")</f>
        <v/>
      </c>
      <c r="D128" s="10" t="str">
        <f>IFERROR(VLOOKUP(B128,'Incident Intake'!$A:$J,10,FALSE()),"")</f>
        <v/>
      </c>
      <c r="E128" s="12"/>
      <c r="F128" s="6"/>
      <c r="G128" s="6"/>
      <c r="H128" s="6"/>
      <c r="I128" s="6"/>
      <c r="J128" s="6"/>
      <c r="K128" s="6"/>
      <c r="L128" s="63"/>
      <c r="M128" s="6"/>
      <c r="N128" s="6"/>
      <c r="O128" s="6"/>
      <c r="P128" s="6"/>
    </row>
    <row r="129" spans="1:16" ht="60" customHeight="1" x14ac:dyDescent="0.45">
      <c r="A129" s="4"/>
      <c r="B129" s="4"/>
      <c r="C129" s="10" t="str">
        <f>IFERROR(VLOOKUP(B129,'Incident Intake'!$A:$G,7,FALSE())&amp;" "&amp;VLOOKUP(B129,'Incident Intake'!$A:$F,6,FALSE()),"")</f>
        <v/>
      </c>
      <c r="D129" s="10" t="str">
        <f>IFERROR(VLOOKUP(B129,'Incident Intake'!$A:$J,10,FALSE()),"")</f>
        <v/>
      </c>
      <c r="E129" s="8"/>
      <c r="F129" s="4"/>
      <c r="G129" s="4"/>
      <c r="H129" s="4"/>
      <c r="I129" s="4"/>
      <c r="J129" s="4"/>
      <c r="K129" s="4"/>
      <c r="L129" s="62"/>
      <c r="M129" s="4"/>
      <c r="N129" s="4"/>
      <c r="O129" s="4"/>
      <c r="P129" s="4"/>
    </row>
    <row r="130" spans="1:16" ht="60" customHeight="1" x14ac:dyDescent="0.45">
      <c r="A130" s="6"/>
      <c r="B130" s="6"/>
      <c r="C130" s="10" t="str">
        <f>IFERROR(VLOOKUP(B130,'Incident Intake'!$A:$G,7,FALSE())&amp;" "&amp;VLOOKUP(B130,'Incident Intake'!$A:$F,6,FALSE()),"")</f>
        <v/>
      </c>
      <c r="D130" s="10" t="str">
        <f>IFERROR(VLOOKUP(B130,'Incident Intake'!$A:$J,10,FALSE()),"")</f>
        <v/>
      </c>
      <c r="E130" s="12"/>
      <c r="F130" s="6"/>
      <c r="G130" s="6"/>
      <c r="H130" s="6"/>
      <c r="I130" s="6"/>
      <c r="J130" s="6"/>
      <c r="K130" s="6"/>
      <c r="L130" s="63"/>
      <c r="M130" s="6"/>
      <c r="N130" s="6"/>
      <c r="O130" s="6"/>
      <c r="P130" s="6"/>
    </row>
    <row r="131" spans="1:16" ht="60" customHeight="1" x14ac:dyDescent="0.45">
      <c r="A131" s="4"/>
      <c r="B131" s="4"/>
      <c r="C131" s="10" t="str">
        <f>IFERROR(VLOOKUP(B131,'Incident Intake'!$A:$G,7,FALSE())&amp;" "&amp;VLOOKUP(B131,'Incident Intake'!$A:$F,6,FALSE()),"")</f>
        <v/>
      </c>
      <c r="D131" s="10" t="str">
        <f>IFERROR(VLOOKUP(B131,'Incident Intake'!$A:$J,10,FALSE()),"")</f>
        <v/>
      </c>
      <c r="E131" s="8"/>
      <c r="F131" s="4"/>
      <c r="G131" s="4"/>
      <c r="H131" s="4"/>
      <c r="I131" s="4"/>
      <c r="J131" s="4"/>
      <c r="K131" s="4"/>
      <c r="L131" s="62"/>
      <c r="M131" s="4"/>
      <c r="N131" s="4"/>
      <c r="O131" s="4"/>
      <c r="P131" s="4"/>
    </row>
    <row r="132" spans="1:16" ht="60" customHeight="1" x14ac:dyDescent="0.45">
      <c r="A132" s="6"/>
      <c r="B132" s="6"/>
      <c r="C132" s="10" t="str">
        <f>IFERROR(VLOOKUP(B132,'Incident Intake'!$A:$G,7,FALSE())&amp;" "&amp;VLOOKUP(B132,'Incident Intake'!$A:$F,6,FALSE()),"")</f>
        <v/>
      </c>
      <c r="D132" s="10" t="str">
        <f>IFERROR(VLOOKUP(B132,'Incident Intake'!$A:$J,10,FALSE()),"")</f>
        <v/>
      </c>
      <c r="E132" s="12"/>
      <c r="F132" s="6"/>
      <c r="G132" s="6"/>
      <c r="H132" s="6"/>
      <c r="I132" s="6"/>
      <c r="J132" s="6"/>
      <c r="K132" s="6"/>
      <c r="L132" s="63"/>
      <c r="M132" s="6"/>
      <c r="N132" s="6"/>
      <c r="O132" s="6"/>
      <c r="P132" s="6"/>
    </row>
    <row r="133" spans="1:16" ht="60" customHeight="1" x14ac:dyDescent="0.45">
      <c r="A133" s="4"/>
      <c r="B133" s="4"/>
      <c r="C133" s="10" t="str">
        <f>IFERROR(VLOOKUP(B133,'Incident Intake'!$A:$G,7,FALSE())&amp;" "&amp;VLOOKUP(B133,'Incident Intake'!$A:$F,6,FALSE()),"")</f>
        <v/>
      </c>
      <c r="D133" s="10" t="str">
        <f>IFERROR(VLOOKUP(B133,'Incident Intake'!$A:$J,10,FALSE()),"")</f>
        <v/>
      </c>
      <c r="E133" s="8"/>
      <c r="F133" s="4"/>
      <c r="G133" s="4"/>
      <c r="H133" s="4"/>
      <c r="I133" s="4"/>
      <c r="J133" s="4"/>
      <c r="K133" s="4"/>
      <c r="L133" s="62"/>
      <c r="M133" s="4"/>
      <c r="N133" s="4"/>
      <c r="O133" s="4"/>
      <c r="P133" s="4"/>
    </row>
    <row r="134" spans="1:16" ht="60" customHeight="1" x14ac:dyDescent="0.45">
      <c r="A134" s="6"/>
      <c r="B134" s="6"/>
      <c r="C134" s="10" t="str">
        <f>IFERROR(VLOOKUP(B134,'Incident Intake'!$A:$G,7,FALSE())&amp;" "&amp;VLOOKUP(B134,'Incident Intake'!$A:$F,6,FALSE()),"")</f>
        <v/>
      </c>
      <c r="D134" s="10" t="str">
        <f>IFERROR(VLOOKUP(B134,'Incident Intake'!$A:$J,10,FALSE()),"")</f>
        <v/>
      </c>
      <c r="E134" s="12"/>
      <c r="F134" s="6"/>
      <c r="G134" s="6"/>
      <c r="H134" s="6"/>
      <c r="I134" s="6"/>
      <c r="J134" s="6"/>
      <c r="K134" s="6"/>
      <c r="L134" s="63"/>
      <c r="M134" s="6"/>
      <c r="N134" s="6"/>
      <c r="O134" s="6"/>
      <c r="P134" s="6"/>
    </row>
    <row r="135" spans="1:16" ht="60" customHeight="1" x14ac:dyDescent="0.45">
      <c r="A135" s="4"/>
      <c r="B135" s="4"/>
      <c r="C135" s="10" t="str">
        <f>IFERROR(VLOOKUP(B135,'Incident Intake'!$A:$G,7,FALSE())&amp;" "&amp;VLOOKUP(B135,'Incident Intake'!$A:$F,6,FALSE()),"")</f>
        <v/>
      </c>
      <c r="D135" s="10" t="str">
        <f>IFERROR(VLOOKUP(B135,'Incident Intake'!$A:$J,10,FALSE()),"")</f>
        <v/>
      </c>
      <c r="E135" s="8"/>
      <c r="F135" s="4"/>
      <c r="G135" s="4"/>
      <c r="H135" s="4"/>
      <c r="I135" s="4"/>
      <c r="J135" s="4"/>
      <c r="K135" s="4"/>
      <c r="L135" s="62"/>
      <c r="M135" s="4"/>
      <c r="N135" s="4"/>
      <c r="O135" s="4"/>
      <c r="P135" s="4"/>
    </row>
    <row r="136" spans="1:16" ht="60" customHeight="1" x14ac:dyDescent="0.45">
      <c r="A136" s="6"/>
      <c r="B136" s="6"/>
      <c r="C136" s="10" t="str">
        <f>IFERROR(VLOOKUP(B136,'Incident Intake'!$A:$G,7,FALSE())&amp;" "&amp;VLOOKUP(B136,'Incident Intake'!$A:$F,6,FALSE()),"")</f>
        <v/>
      </c>
      <c r="D136" s="10" t="str">
        <f>IFERROR(VLOOKUP(B136,'Incident Intake'!$A:$J,10,FALSE()),"")</f>
        <v/>
      </c>
      <c r="E136" s="12"/>
      <c r="F136" s="6"/>
      <c r="G136" s="6"/>
      <c r="H136" s="6"/>
      <c r="I136" s="6"/>
      <c r="J136" s="6"/>
      <c r="K136" s="6"/>
      <c r="L136" s="63"/>
      <c r="M136" s="6"/>
      <c r="N136" s="6"/>
      <c r="O136" s="6"/>
      <c r="P136" s="6"/>
    </row>
    <row r="137" spans="1:16" ht="60" customHeight="1" x14ac:dyDescent="0.45">
      <c r="A137" s="4"/>
      <c r="B137" s="4"/>
      <c r="C137" s="10" t="str">
        <f>IFERROR(VLOOKUP(B137,'Incident Intake'!$A:$G,7,FALSE())&amp;" "&amp;VLOOKUP(B137,'Incident Intake'!$A:$F,6,FALSE()),"")</f>
        <v/>
      </c>
      <c r="D137" s="10" t="str">
        <f>IFERROR(VLOOKUP(B137,'Incident Intake'!$A:$J,10,FALSE()),"")</f>
        <v/>
      </c>
      <c r="E137" s="8"/>
      <c r="F137" s="4"/>
      <c r="G137" s="4"/>
      <c r="H137" s="4"/>
      <c r="I137" s="4"/>
      <c r="J137" s="4"/>
      <c r="K137" s="4"/>
      <c r="L137" s="62"/>
      <c r="M137" s="4"/>
      <c r="N137" s="4"/>
      <c r="O137" s="4"/>
      <c r="P137" s="4"/>
    </row>
    <row r="138" spans="1:16" ht="60" customHeight="1" x14ac:dyDescent="0.45">
      <c r="A138" s="6"/>
      <c r="B138" s="6"/>
      <c r="C138" s="10" t="str">
        <f>IFERROR(VLOOKUP(B138,'Incident Intake'!$A:$G,7,FALSE())&amp;" "&amp;VLOOKUP(B138,'Incident Intake'!$A:$F,6,FALSE()),"")</f>
        <v/>
      </c>
      <c r="D138" s="10" t="str">
        <f>IFERROR(VLOOKUP(B138,'Incident Intake'!$A:$J,10,FALSE()),"")</f>
        <v/>
      </c>
      <c r="E138" s="12"/>
      <c r="F138" s="6"/>
      <c r="G138" s="6"/>
      <c r="H138" s="6"/>
      <c r="I138" s="6"/>
      <c r="J138" s="6"/>
      <c r="K138" s="6"/>
      <c r="L138" s="63"/>
      <c r="M138" s="6"/>
      <c r="N138" s="6"/>
      <c r="O138" s="6"/>
      <c r="P138" s="6"/>
    </row>
    <row r="139" spans="1:16" ht="60" customHeight="1" x14ac:dyDescent="0.45">
      <c r="A139" s="4"/>
      <c r="B139" s="4"/>
      <c r="C139" s="10" t="str">
        <f>IFERROR(VLOOKUP(B139,'Incident Intake'!$A:$G,7,FALSE())&amp;" "&amp;VLOOKUP(B139,'Incident Intake'!$A:$F,6,FALSE()),"")</f>
        <v/>
      </c>
      <c r="D139" s="10" t="str">
        <f>IFERROR(VLOOKUP(B139,'Incident Intake'!$A:$J,10,FALSE()),"")</f>
        <v/>
      </c>
      <c r="E139" s="8"/>
      <c r="F139" s="4"/>
      <c r="G139" s="4"/>
      <c r="H139" s="4"/>
      <c r="I139" s="4"/>
      <c r="J139" s="4"/>
      <c r="K139" s="4"/>
      <c r="L139" s="62"/>
      <c r="M139" s="4"/>
      <c r="N139" s="4"/>
      <c r="O139" s="4"/>
      <c r="P139" s="4"/>
    </row>
    <row r="140" spans="1:16" ht="60" customHeight="1" x14ac:dyDescent="0.45">
      <c r="A140" s="6"/>
      <c r="B140" s="6"/>
      <c r="C140" s="10" t="str">
        <f>IFERROR(VLOOKUP(B140,'Incident Intake'!$A:$G,7,FALSE())&amp;" "&amp;VLOOKUP(B140,'Incident Intake'!$A:$F,6,FALSE()),"")</f>
        <v/>
      </c>
      <c r="D140" s="10" t="str">
        <f>IFERROR(VLOOKUP(B140,'Incident Intake'!$A:$J,10,FALSE()),"")</f>
        <v/>
      </c>
      <c r="E140" s="12"/>
      <c r="F140" s="6"/>
      <c r="G140" s="6"/>
      <c r="H140" s="6"/>
      <c r="I140" s="6"/>
      <c r="J140" s="6"/>
      <c r="K140" s="6"/>
      <c r="L140" s="63"/>
      <c r="M140" s="6"/>
      <c r="N140" s="6"/>
      <c r="O140" s="6"/>
      <c r="P140" s="6"/>
    </row>
    <row r="141" spans="1:16" ht="60" customHeight="1" x14ac:dyDescent="0.45">
      <c r="A141" s="4"/>
      <c r="B141" s="4"/>
      <c r="C141" s="10" t="str">
        <f>IFERROR(VLOOKUP(B141,'Incident Intake'!$A:$G,7,FALSE())&amp;" "&amp;VLOOKUP(B141,'Incident Intake'!$A:$F,6,FALSE()),"")</f>
        <v/>
      </c>
      <c r="D141" s="10" t="str">
        <f>IFERROR(VLOOKUP(B141,'Incident Intake'!$A:$J,10,FALSE()),"")</f>
        <v/>
      </c>
      <c r="E141" s="8"/>
      <c r="F141" s="4"/>
      <c r="G141" s="4"/>
      <c r="H141" s="4"/>
      <c r="I141" s="4"/>
      <c r="J141" s="4"/>
      <c r="K141" s="4"/>
      <c r="L141" s="62"/>
      <c r="M141" s="4"/>
      <c r="N141" s="4"/>
      <c r="O141" s="4"/>
      <c r="P141" s="4"/>
    </row>
    <row r="142" spans="1:16" ht="60" customHeight="1" x14ac:dyDescent="0.45">
      <c r="A142" s="6"/>
      <c r="B142" s="6"/>
      <c r="C142" s="10" t="str">
        <f>IFERROR(VLOOKUP(B142,'Incident Intake'!$A:$G,7,FALSE())&amp;" "&amp;VLOOKUP(B142,'Incident Intake'!$A:$F,6,FALSE()),"")</f>
        <v/>
      </c>
      <c r="D142" s="10" t="str">
        <f>IFERROR(VLOOKUP(B142,'Incident Intake'!$A:$J,10,FALSE()),"")</f>
        <v/>
      </c>
      <c r="E142" s="12"/>
      <c r="F142" s="6"/>
      <c r="G142" s="6"/>
      <c r="H142" s="6"/>
      <c r="I142" s="6"/>
      <c r="J142" s="6"/>
      <c r="K142" s="6"/>
      <c r="L142" s="63"/>
      <c r="M142" s="6"/>
      <c r="N142" s="6"/>
      <c r="O142" s="6"/>
      <c r="P142" s="6"/>
    </row>
    <row r="143" spans="1:16" ht="60" customHeight="1" x14ac:dyDescent="0.45">
      <c r="A143" s="4"/>
      <c r="B143" s="4"/>
      <c r="C143" s="10" t="str">
        <f>IFERROR(VLOOKUP(B143,'Incident Intake'!$A:$G,7,FALSE())&amp;" "&amp;VLOOKUP(B143,'Incident Intake'!$A:$F,6,FALSE()),"")</f>
        <v/>
      </c>
      <c r="D143" s="10" t="str">
        <f>IFERROR(VLOOKUP(B143,'Incident Intake'!$A:$J,10,FALSE()),"")</f>
        <v/>
      </c>
      <c r="E143" s="8"/>
      <c r="F143" s="4"/>
      <c r="G143" s="4"/>
      <c r="H143" s="4"/>
      <c r="I143" s="4"/>
      <c r="J143" s="4"/>
      <c r="K143" s="4"/>
      <c r="L143" s="62"/>
      <c r="M143" s="4"/>
      <c r="N143" s="4"/>
      <c r="O143" s="4"/>
      <c r="P143" s="4"/>
    </row>
    <row r="144" spans="1:16" ht="60" customHeight="1" x14ac:dyDescent="0.45">
      <c r="A144" s="6"/>
      <c r="B144" s="6"/>
      <c r="C144" s="10" t="str">
        <f>IFERROR(VLOOKUP(B144,'Incident Intake'!$A:$G,7,FALSE())&amp;" "&amp;VLOOKUP(B144,'Incident Intake'!$A:$F,6,FALSE()),"")</f>
        <v/>
      </c>
      <c r="D144" s="10" t="str">
        <f>IFERROR(VLOOKUP(B144,'Incident Intake'!$A:$J,10,FALSE()),"")</f>
        <v/>
      </c>
      <c r="E144" s="12"/>
      <c r="F144" s="6"/>
      <c r="G144" s="6"/>
      <c r="H144" s="6"/>
      <c r="I144" s="6"/>
      <c r="J144" s="6"/>
      <c r="K144" s="6"/>
      <c r="L144" s="63"/>
      <c r="M144" s="6"/>
      <c r="N144" s="6"/>
      <c r="O144" s="6"/>
      <c r="P144" s="6"/>
    </row>
    <row r="145" spans="1:16" ht="60" customHeight="1" x14ac:dyDescent="0.45">
      <c r="A145" s="4"/>
      <c r="B145" s="4"/>
      <c r="C145" s="10" t="str">
        <f>IFERROR(VLOOKUP(B145,'Incident Intake'!$A:$G,7,FALSE())&amp;" "&amp;VLOOKUP(B145,'Incident Intake'!$A:$F,6,FALSE()),"")</f>
        <v/>
      </c>
      <c r="D145" s="10" t="str">
        <f>IFERROR(VLOOKUP(B145,'Incident Intake'!$A:$J,10,FALSE()),"")</f>
        <v/>
      </c>
      <c r="E145" s="8"/>
      <c r="F145" s="4"/>
      <c r="G145" s="4"/>
      <c r="H145" s="4"/>
      <c r="I145" s="4"/>
      <c r="J145" s="4"/>
      <c r="K145" s="4"/>
      <c r="L145" s="62"/>
      <c r="M145" s="4"/>
      <c r="N145" s="4"/>
      <c r="O145" s="4"/>
      <c r="P145" s="4"/>
    </row>
    <row r="146" spans="1:16" ht="60" customHeight="1" x14ac:dyDescent="0.45">
      <c r="A146" s="6"/>
      <c r="B146" s="6"/>
      <c r="C146" s="10" t="str">
        <f>IFERROR(VLOOKUP(B146,'Incident Intake'!$A:$G,7,FALSE())&amp;" "&amp;VLOOKUP(B146,'Incident Intake'!$A:$F,6,FALSE()),"")</f>
        <v/>
      </c>
      <c r="D146" s="10" t="str">
        <f>IFERROR(VLOOKUP(B146,'Incident Intake'!$A:$J,10,FALSE()),"")</f>
        <v/>
      </c>
      <c r="E146" s="12"/>
      <c r="F146" s="6"/>
      <c r="G146" s="6"/>
      <c r="H146" s="6"/>
      <c r="I146" s="6"/>
      <c r="J146" s="6"/>
      <c r="K146" s="6"/>
      <c r="L146" s="63"/>
      <c r="M146" s="6"/>
      <c r="N146" s="6"/>
      <c r="O146" s="6"/>
      <c r="P146" s="6"/>
    </row>
    <row r="147" spans="1:16" ht="60" customHeight="1" x14ac:dyDescent="0.45">
      <c r="A147" s="4"/>
      <c r="B147" s="4"/>
      <c r="C147" s="10" t="str">
        <f>IFERROR(VLOOKUP(B147,'Incident Intake'!$A:$G,7,FALSE())&amp;" "&amp;VLOOKUP(B147,'Incident Intake'!$A:$F,6,FALSE()),"")</f>
        <v/>
      </c>
      <c r="D147" s="10" t="str">
        <f>IFERROR(VLOOKUP(B147,'Incident Intake'!$A:$J,10,FALSE()),"")</f>
        <v/>
      </c>
      <c r="E147" s="8"/>
      <c r="F147" s="4"/>
      <c r="G147" s="4"/>
      <c r="H147" s="4"/>
      <c r="I147" s="4"/>
      <c r="J147" s="4"/>
      <c r="K147" s="4"/>
      <c r="L147" s="62"/>
      <c r="M147" s="4"/>
      <c r="N147" s="4"/>
      <c r="O147" s="4"/>
      <c r="P147" s="4"/>
    </row>
    <row r="148" spans="1:16" ht="60" customHeight="1" x14ac:dyDescent="0.45">
      <c r="A148" s="6"/>
      <c r="B148" s="6"/>
      <c r="C148" s="10" t="str">
        <f>IFERROR(VLOOKUP(B148,'Incident Intake'!$A:$G,7,FALSE())&amp;" "&amp;VLOOKUP(B148,'Incident Intake'!$A:$F,6,FALSE()),"")</f>
        <v/>
      </c>
      <c r="D148" s="10" t="str">
        <f>IFERROR(VLOOKUP(B148,'Incident Intake'!$A:$J,10,FALSE()),"")</f>
        <v/>
      </c>
      <c r="E148" s="12"/>
      <c r="F148" s="6"/>
      <c r="G148" s="6"/>
      <c r="H148" s="6"/>
      <c r="I148" s="6"/>
      <c r="J148" s="6"/>
      <c r="K148" s="6"/>
      <c r="L148" s="63"/>
      <c r="M148" s="6"/>
      <c r="N148" s="6"/>
      <c r="O148" s="6"/>
      <c r="P148" s="6"/>
    </row>
    <row r="149" spans="1:16" ht="60" customHeight="1" x14ac:dyDescent="0.45">
      <c r="A149" s="4"/>
      <c r="B149" s="4"/>
      <c r="C149" s="10" t="str">
        <f>IFERROR(VLOOKUP(B149,'Incident Intake'!$A:$G,7,FALSE())&amp;" "&amp;VLOOKUP(B149,'Incident Intake'!$A:$F,6,FALSE()),"")</f>
        <v/>
      </c>
      <c r="D149" s="10" t="str">
        <f>IFERROR(VLOOKUP(B149,'Incident Intake'!$A:$J,10,FALSE()),"")</f>
        <v/>
      </c>
      <c r="E149" s="8"/>
      <c r="F149" s="4"/>
      <c r="G149" s="4"/>
      <c r="H149" s="4"/>
      <c r="I149" s="4"/>
      <c r="J149" s="4"/>
      <c r="K149" s="4"/>
      <c r="L149" s="62"/>
      <c r="M149" s="4"/>
      <c r="N149" s="4"/>
      <c r="O149" s="4"/>
      <c r="P149" s="4"/>
    </row>
    <row r="150" spans="1:16" ht="60" customHeight="1" x14ac:dyDescent="0.45">
      <c r="A150" s="6"/>
      <c r="B150" s="6"/>
      <c r="C150" s="10" t="str">
        <f>IFERROR(VLOOKUP(B150,'Incident Intake'!$A:$G,7,FALSE())&amp;" "&amp;VLOOKUP(B150,'Incident Intake'!$A:$F,6,FALSE()),"")</f>
        <v/>
      </c>
      <c r="D150" s="10" t="str">
        <f>IFERROR(VLOOKUP(B150,'Incident Intake'!$A:$J,10,FALSE()),"")</f>
        <v/>
      </c>
      <c r="E150" s="12"/>
      <c r="F150" s="6"/>
      <c r="G150" s="6"/>
      <c r="H150" s="6"/>
      <c r="I150" s="6"/>
      <c r="J150" s="6"/>
      <c r="K150" s="6"/>
      <c r="L150" s="63"/>
      <c r="M150" s="6"/>
      <c r="N150" s="6"/>
      <c r="O150" s="6"/>
      <c r="P150" s="6"/>
    </row>
    <row r="151" spans="1:16" ht="60" customHeight="1" x14ac:dyDescent="0.45">
      <c r="A151" s="4"/>
      <c r="B151" s="4"/>
      <c r="C151" s="10" t="str">
        <f>IFERROR(VLOOKUP(B151,'Incident Intake'!$A:$G,7,FALSE())&amp;" "&amp;VLOOKUP(B151,'Incident Intake'!$A:$F,6,FALSE()),"")</f>
        <v/>
      </c>
      <c r="D151" s="10" t="str">
        <f>IFERROR(VLOOKUP(B151,'Incident Intake'!$A:$J,10,FALSE()),"")</f>
        <v/>
      </c>
      <c r="E151" s="8"/>
      <c r="F151" s="4"/>
      <c r="G151" s="4"/>
      <c r="H151" s="4"/>
      <c r="I151" s="4"/>
      <c r="J151" s="4"/>
      <c r="K151" s="4"/>
      <c r="L151" s="62"/>
      <c r="M151" s="4"/>
      <c r="N151" s="4"/>
      <c r="O151" s="4"/>
      <c r="P151" s="4"/>
    </row>
    <row r="152" spans="1:16" ht="60" customHeight="1" x14ac:dyDescent="0.45">
      <c r="A152" s="6"/>
      <c r="B152" s="6"/>
      <c r="C152" s="10" t="str">
        <f>IFERROR(VLOOKUP(B152,'Incident Intake'!$A:$G,7,FALSE())&amp;" "&amp;VLOOKUP(B152,'Incident Intake'!$A:$F,6,FALSE()),"")</f>
        <v/>
      </c>
      <c r="D152" s="10" t="str">
        <f>IFERROR(VLOOKUP(B152,'Incident Intake'!$A:$J,10,FALSE()),"")</f>
        <v/>
      </c>
      <c r="E152" s="12"/>
      <c r="F152" s="6"/>
      <c r="G152" s="6"/>
      <c r="H152" s="6"/>
      <c r="I152" s="6"/>
      <c r="J152" s="6"/>
      <c r="K152" s="6"/>
      <c r="L152" s="63"/>
      <c r="M152" s="6"/>
      <c r="N152" s="6"/>
      <c r="O152" s="6"/>
      <c r="P152" s="6"/>
    </row>
    <row r="153" spans="1:16" ht="60" customHeight="1" x14ac:dyDescent="0.45">
      <c r="A153" s="4"/>
      <c r="B153" s="4"/>
      <c r="C153" s="10" t="str">
        <f>IFERROR(VLOOKUP(B153,'Incident Intake'!$A:$G,7,FALSE())&amp;" "&amp;VLOOKUP(B153,'Incident Intake'!$A:$F,6,FALSE()),"")</f>
        <v/>
      </c>
      <c r="D153" s="10" t="str">
        <f>IFERROR(VLOOKUP(B153,'Incident Intake'!$A:$J,10,FALSE()),"")</f>
        <v/>
      </c>
      <c r="E153" s="8"/>
      <c r="F153" s="4"/>
      <c r="G153" s="4"/>
      <c r="H153" s="4"/>
      <c r="I153" s="4"/>
      <c r="J153" s="4"/>
      <c r="K153" s="4"/>
      <c r="L153" s="62"/>
      <c r="M153" s="4"/>
      <c r="N153" s="4"/>
      <c r="O153" s="4"/>
      <c r="P153" s="4"/>
    </row>
    <row r="154" spans="1:16" ht="60" customHeight="1" x14ac:dyDescent="0.45">
      <c r="A154" s="6"/>
      <c r="B154" s="6"/>
      <c r="C154" s="10" t="str">
        <f>IFERROR(VLOOKUP(B154,'Incident Intake'!$A:$G,7,FALSE())&amp;" "&amp;VLOOKUP(B154,'Incident Intake'!$A:$F,6,FALSE()),"")</f>
        <v/>
      </c>
      <c r="D154" s="10" t="str">
        <f>IFERROR(VLOOKUP(B154,'Incident Intake'!$A:$J,10,FALSE()),"")</f>
        <v/>
      </c>
      <c r="E154" s="12"/>
      <c r="F154" s="6"/>
      <c r="G154" s="6"/>
      <c r="H154" s="6"/>
      <c r="I154" s="6"/>
      <c r="J154" s="6"/>
      <c r="K154" s="6"/>
      <c r="L154" s="63"/>
      <c r="M154" s="6"/>
      <c r="N154" s="6"/>
      <c r="O154" s="6"/>
      <c r="P154" s="6"/>
    </row>
    <row r="155" spans="1:16" ht="60" customHeight="1" x14ac:dyDescent="0.45">
      <c r="A155" s="4"/>
      <c r="B155" s="4"/>
      <c r="C155" s="10" t="str">
        <f>IFERROR(VLOOKUP(B155,'Incident Intake'!$A:$G,7,FALSE())&amp;" "&amp;VLOOKUP(B155,'Incident Intake'!$A:$F,6,FALSE()),"")</f>
        <v/>
      </c>
      <c r="D155" s="10" t="str">
        <f>IFERROR(VLOOKUP(B155,'Incident Intake'!$A:$J,10,FALSE()),"")</f>
        <v/>
      </c>
      <c r="E155" s="8"/>
      <c r="F155" s="4"/>
      <c r="G155" s="4"/>
      <c r="H155" s="4"/>
      <c r="I155" s="4"/>
      <c r="J155" s="4"/>
      <c r="K155" s="4"/>
      <c r="L155" s="62"/>
      <c r="M155" s="4"/>
      <c r="N155" s="4"/>
      <c r="O155" s="4"/>
      <c r="P155" s="4"/>
    </row>
    <row r="156" spans="1:16" ht="60" customHeight="1" x14ac:dyDescent="0.45">
      <c r="A156" s="6"/>
      <c r="B156" s="6"/>
      <c r="C156" s="10" t="str">
        <f>IFERROR(VLOOKUP(B156,'Incident Intake'!$A:$G,7,FALSE())&amp;" "&amp;VLOOKUP(B156,'Incident Intake'!$A:$F,6,FALSE()),"")</f>
        <v/>
      </c>
      <c r="D156" s="10" t="str">
        <f>IFERROR(VLOOKUP(B156,'Incident Intake'!$A:$J,10,FALSE()),"")</f>
        <v/>
      </c>
      <c r="E156" s="12"/>
      <c r="F156" s="6"/>
      <c r="G156" s="6"/>
      <c r="H156" s="6"/>
      <c r="I156" s="6"/>
      <c r="J156" s="6"/>
      <c r="K156" s="6"/>
      <c r="L156" s="63"/>
      <c r="M156" s="6"/>
      <c r="N156" s="6"/>
      <c r="O156" s="6"/>
      <c r="P156" s="6"/>
    </row>
    <row r="157" spans="1:16" ht="60" customHeight="1" x14ac:dyDescent="0.45">
      <c r="A157" s="4"/>
      <c r="B157" s="4"/>
      <c r="C157" s="10" t="str">
        <f>IFERROR(VLOOKUP(B157,'Incident Intake'!$A:$G,7,FALSE())&amp;" "&amp;VLOOKUP(B157,'Incident Intake'!$A:$F,6,FALSE()),"")</f>
        <v/>
      </c>
      <c r="D157" s="10" t="str">
        <f>IFERROR(VLOOKUP(B157,'Incident Intake'!$A:$J,10,FALSE()),"")</f>
        <v/>
      </c>
      <c r="E157" s="8"/>
      <c r="F157" s="4"/>
      <c r="G157" s="4"/>
      <c r="H157" s="4"/>
      <c r="I157" s="4"/>
      <c r="J157" s="4"/>
      <c r="K157" s="4"/>
      <c r="L157" s="62"/>
      <c r="M157" s="4"/>
      <c r="N157" s="4"/>
      <c r="O157" s="4"/>
      <c r="P157" s="4"/>
    </row>
    <row r="158" spans="1:16" ht="60" customHeight="1" x14ac:dyDescent="0.45">
      <c r="A158" s="6"/>
      <c r="B158" s="6"/>
      <c r="C158" s="10" t="str">
        <f>IFERROR(VLOOKUP(B158,'Incident Intake'!$A:$G,7,FALSE())&amp;" "&amp;VLOOKUP(B158,'Incident Intake'!$A:$F,6,FALSE()),"")</f>
        <v/>
      </c>
      <c r="D158" s="10" t="str">
        <f>IFERROR(VLOOKUP(B158,'Incident Intake'!$A:$J,10,FALSE()),"")</f>
        <v/>
      </c>
      <c r="E158" s="12"/>
      <c r="F158" s="6"/>
      <c r="G158" s="6"/>
      <c r="H158" s="6"/>
      <c r="I158" s="6"/>
      <c r="J158" s="6"/>
      <c r="K158" s="6"/>
      <c r="L158" s="63"/>
      <c r="M158" s="6"/>
      <c r="N158" s="6"/>
      <c r="O158" s="6"/>
      <c r="P158" s="6"/>
    </row>
    <row r="159" spans="1:16" ht="60" customHeight="1" x14ac:dyDescent="0.45">
      <c r="A159" s="4"/>
      <c r="B159" s="4"/>
      <c r="C159" s="10" t="str">
        <f>IFERROR(VLOOKUP(B159,'Incident Intake'!$A:$G,7,FALSE())&amp;" "&amp;VLOOKUP(B159,'Incident Intake'!$A:$F,6,FALSE()),"")</f>
        <v/>
      </c>
      <c r="D159" s="10" t="str">
        <f>IFERROR(VLOOKUP(B159,'Incident Intake'!$A:$J,10,FALSE()),"")</f>
        <v/>
      </c>
      <c r="E159" s="8"/>
      <c r="F159" s="4"/>
      <c r="G159" s="4"/>
      <c r="H159" s="4"/>
      <c r="I159" s="4"/>
      <c r="J159" s="4"/>
      <c r="K159" s="4"/>
      <c r="L159" s="62"/>
      <c r="M159" s="4"/>
      <c r="N159" s="4"/>
      <c r="O159" s="4"/>
      <c r="P159" s="4"/>
    </row>
    <row r="160" spans="1:16" ht="60" customHeight="1" x14ac:dyDescent="0.45">
      <c r="A160" s="6"/>
      <c r="B160" s="6"/>
      <c r="C160" s="10" t="str">
        <f>IFERROR(VLOOKUP(B160,'Incident Intake'!$A:$G,7,FALSE())&amp;" "&amp;VLOOKUP(B160,'Incident Intake'!$A:$F,6,FALSE()),"")</f>
        <v/>
      </c>
      <c r="D160" s="10" t="str">
        <f>IFERROR(VLOOKUP(B160,'Incident Intake'!$A:$J,10,FALSE()),"")</f>
        <v/>
      </c>
      <c r="E160" s="12"/>
      <c r="F160" s="6"/>
      <c r="G160" s="6"/>
      <c r="H160" s="6"/>
      <c r="I160" s="6"/>
      <c r="J160" s="6"/>
      <c r="K160" s="6"/>
      <c r="L160" s="63"/>
      <c r="M160" s="6"/>
      <c r="N160" s="6"/>
      <c r="O160" s="6"/>
      <c r="P160" s="6"/>
    </row>
    <row r="161" spans="1:16" ht="60" customHeight="1" x14ac:dyDescent="0.45">
      <c r="A161" s="4"/>
      <c r="B161" s="4"/>
      <c r="C161" s="10" t="str">
        <f>IFERROR(VLOOKUP(B161,'Incident Intake'!$A:$G,7,FALSE())&amp;" "&amp;VLOOKUP(B161,'Incident Intake'!$A:$F,6,FALSE()),"")</f>
        <v/>
      </c>
      <c r="D161" s="10" t="str">
        <f>IFERROR(VLOOKUP(B161,'Incident Intake'!$A:$J,10,FALSE()),"")</f>
        <v/>
      </c>
      <c r="E161" s="8"/>
      <c r="F161" s="4"/>
      <c r="G161" s="4"/>
      <c r="H161" s="4"/>
      <c r="I161" s="4"/>
      <c r="J161" s="4"/>
      <c r="K161" s="4"/>
      <c r="L161" s="62"/>
      <c r="M161" s="4"/>
      <c r="N161" s="4"/>
      <c r="O161" s="4"/>
      <c r="P161" s="4"/>
    </row>
    <row r="162" spans="1:16" ht="60" customHeight="1" x14ac:dyDescent="0.45">
      <c r="A162" s="6"/>
      <c r="B162" s="6"/>
      <c r="C162" s="10" t="str">
        <f>IFERROR(VLOOKUP(B162,'Incident Intake'!$A:$G,7,FALSE())&amp;" "&amp;VLOOKUP(B162,'Incident Intake'!$A:$F,6,FALSE()),"")</f>
        <v/>
      </c>
      <c r="D162" s="10" t="str">
        <f>IFERROR(VLOOKUP(B162,'Incident Intake'!$A:$J,10,FALSE()),"")</f>
        <v/>
      </c>
      <c r="E162" s="12"/>
      <c r="F162" s="6"/>
      <c r="G162" s="6"/>
      <c r="H162" s="6"/>
      <c r="I162" s="6"/>
      <c r="J162" s="6"/>
      <c r="K162" s="6"/>
      <c r="L162" s="63"/>
      <c r="M162" s="6"/>
      <c r="N162" s="6"/>
      <c r="O162" s="6"/>
      <c r="P162" s="6"/>
    </row>
    <row r="163" spans="1:16" ht="60" customHeight="1" x14ac:dyDescent="0.45">
      <c r="A163" s="4"/>
      <c r="B163" s="4"/>
      <c r="C163" s="10" t="str">
        <f>IFERROR(VLOOKUP(B163,'Incident Intake'!$A:$G,7,FALSE())&amp;" "&amp;VLOOKUP(B163,'Incident Intake'!$A:$F,6,FALSE()),"")</f>
        <v/>
      </c>
      <c r="D163" s="10" t="str">
        <f>IFERROR(VLOOKUP(B163,'Incident Intake'!$A:$J,10,FALSE()),"")</f>
        <v/>
      </c>
      <c r="E163" s="8"/>
      <c r="F163" s="4"/>
      <c r="G163" s="4"/>
      <c r="H163" s="4"/>
      <c r="I163" s="4"/>
      <c r="J163" s="4"/>
      <c r="K163" s="4"/>
      <c r="L163" s="62"/>
      <c r="M163" s="4"/>
      <c r="N163" s="4"/>
      <c r="O163" s="4"/>
      <c r="P163" s="4"/>
    </row>
    <row r="164" spans="1:16" ht="60" customHeight="1" x14ac:dyDescent="0.45">
      <c r="A164" s="6"/>
      <c r="B164" s="6"/>
      <c r="C164" s="10" t="str">
        <f>IFERROR(VLOOKUP(B164,'Incident Intake'!$A:$G,7,FALSE())&amp;" "&amp;VLOOKUP(B164,'Incident Intake'!$A:$F,6,FALSE()),"")</f>
        <v/>
      </c>
      <c r="D164" s="10" t="str">
        <f>IFERROR(VLOOKUP(B164,'Incident Intake'!$A:$J,10,FALSE()),"")</f>
        <v/>
      </c>
      <c r="E164" s="12"/>
      <c r="F164" s="6"/>
      <c r="G164" s="6"/>
      <c r="H164" s="6"/>
      <c r="I164" s="6"/>
      <c r="J164" s="6"/>
      <c r="K164" s="6"/>
      <c r="L164" s="63"/>
      <c r="M164" s="6"/>
      <c r="N164" s="6"/>
      <c r="O164" s="6"/>
      <c r="P164" s="6"/>
    </row>
    <row r="165" spans="1:16" ht="60" customHeight="1" x14ac:dyDescent="0.45">
      <c r="A165" s="4"/>
      <c r="B165" s="4"/>
      <c r="C165" s="10" t="str">
        <f>IFERROR(VLOOKUP(B165,'Incident Intake'!$A:$G,7,FALSE())&amp;" "&amp;VLOOKUP(B165,'Incident Intake'!$A:$F,6,FALSE()),"")</f>
        <v/>
      </c>
      <c r="D165" s="10" t="str">
        <f>IFERROR(VLOOKUP(B165,'Incident Intake'!$A:$J,10,FALSE()),"")</f>
        <v/>
      </c>
      <c r="E165" s="8"/>
      <c r="F165" s="4"/>
      <c r="G165" s="4"/>
      <c r="H165" s="4"/>
      <c r="I165" s="4"/>
      <c r="J165" s="4"/>
      <c r="K165" s="4"/>
      <c r="L165" s="62"/>
      <c r="M165" s="4"/>
      <c r="N165" s="4"/>
      <c r="O165" s="4"/>
      <c r="P165" s="4"/>
    </row>
    <row r="166" spans="1:16" ht="60" customHeight="1" x14ac:dyDescent="0.45">
      <c r="A166" s="6"/>
      <c r="B166" s="6"/>
      <c r="C166" s="10" t="str">
        <f>IFERROR(VLOOKUP(B166,'Incident Intake'!$A:$G,7,FALSE())&amp;" "&amp;VLOOKUP(B166,'Incident Intake'!$A:$F,6,FALSE()),"")</f>
        <v/>
      </c>
      <c r="D166" s="10" t="str">
        <f>IFERROR(VLOOKUP(B166,'Incident Intake'!$A:$J,10,FALSE()),"")</f>
        <v/>
      </c>
      <c r="E166" s="12"/>
      <c r="F166" s="6"/>
      <c r="G166" s="6"/>
      <c r="H166" s="6"/>
      <c r="I166" s="6"/>
      <c r="J166" s="6"/>
      <c r="K166" s="6"/>
      <c r="L166" s="63"/>
      <c r="M166" s="6"/>
      <c r="N166" s="6"/>
      <c r="O166" s="6"/>
      <c r="P166" s="6"/>
    </row>
    <row r="167" spans="1:16" ht="60" customHeight="1" x14ac:dyDescent="0.45">
      <c r="A167" s="4"/>
      <c r="B167" s="4"/>
      <c r="C167" s="10" t="str">
        <f>IFERROR(VLOOKUP(B167,'Incident Intake'!$A:$G,7,FALSE())&amp;" "&amp;VLOOKUP(B167,'Incident Intake'!$A:$F,6,FALSE()),"")</f>
        <v/>
      </c>
      <c r="D167" s="10" t="str">
        <f>IFERROR(VLOOKUP(B167,'Incident Intake'!$A:$J,10,FALSE()),"")</f>
        <v/>
      </c>
      <c r="E167" s="8"/>
      <c r="F167" s="4"/>
      <c r="G167" s="4"/>
      <c r="H167" s="4"/>
      <c r="I167" s="4"/>
      <c r="J167" s="4"/>
      <c r="K167" s="4"/>
      <c r="L167" s="62"/>
      <c r="M167" s="4"/>
      <c r="N167" s="4"/>
      <c r="O167" s="4"/>
      <c r="P167" s="4"/>
    </row>
    <row r="168" spans="1:16" ht="60" customHeight="1" x14ac:dyDescent="0.45">
      <c r="A168" s="6"/>
      <c r="B168" s="6"/>
      <c r="C168" s="10" t="str">
        <f>IFERROR(VLOOKUP(B168,'Incident Intake'!$A:$G,7,FALSE())&amp;" "&amp;VLOOKUP(B168,'Incident Intake'!$A:$F,6,FALSE()),"")</f>
        <v/>
      </c>
      <c r="D168" s="10" t="str">
        <f>IFERROR(VLOOKUP(B168,'Incident Intake'!$A:$J,10,FALSE()),"")</f>
        <v/>
      </c>
      <c r="E168" s="12"/>
      <c r="F168" s="6"/>
      <c r="G168" s="6"/>
      <c r="H168" s="6"/>
      <c r="I168" s="6"/>
      <c r="J168" s="6"/>
      <c r="K168" s="6"/>
      <c r="L168" s="63"/>
      <c r="M168" s="6"/>
      <c r="N168" s="6"/>
      <c r="O168" s="6"/>
      <c r="P168" s="6"/>
    </row>
    <row r="169" spans="1:16" ht="60" customHeight="1" x14ac:dyDescent="0.45">
      <c r="A169" s="4"/>
      <c r="B169" s="4"/>
      <c r="C169" s="10" t="str">
        <f>IFERROR(VLOOKUP(B169,'Incident Intake'!$A:$G,7,FALSE())&amp;" "&amp;VLOOKUP(B169,'Incident Intake'!$A:$F,6,FALSE()),"")</f>
        <v/>
      </c>
      <c r="D169" s="10" t="str">
        <f>IFERROR(VLOOKUP(B169,'Incident Intake'!$A:$J,10,FALSE()),"")</f>
        <v/>
      </c>
      <c r="E169" s="8"/>
      <c r="F169" s="4"/>
      <c r="G169" s="4"/>
      <c r="H169" s="4"/>
      <c r="I169" s="4"/>
      <c r="J169" s="4"/>
      <c r="K169" s="4"/>
      <c r="L169" s="62"/>
      <c r="M169" s="4"/>
      <c r="N169" s="4"/>
      <c r="O169" s="4"/>
      <c r="P169" s="4"/>
    </row>
    <row r="170" spans="1:16" ht="60" customHeight="1" x14ac:dyDescent="0.45">
      <c r="A170" s="6"/>
      <c r="B170" s="6"/>
      <c r="C170" s="10" t="str">
        <f>IFERROR(VLOOKUP(B170,'Incident Intake'!$A:$G,7,FALSE())&amp;" "&amp;VLOOKUP(B170,'Incident Intake'!$A:$F,6,FALSE()),"")</f>
        <v/>
      </c>
      <c r="D170" s="10" t="str">
        <f>IFERROR(VLOOKUP(B170,'Incident Intake'!$A:$J,10,FALSE()),"")</f>
        <v/>
      </c>
      <c r="E170" s="12"/>
      <c r="F170" s="6"/>
      <c r="G170" s="6"/>
      <c r="H170" s="6"/>
      <c r="I170" s="6"/>
      <c r="J170" s="6"/>
      <c r="K170" s="6"/>
      <c r="L170" s="63"/>
      <c r="M170" s="6"/>
      <c r="N170" s="6"/>
      <c r="O170" s="6"/>
      <c r="P170" s="6"/>
    </row>
    <row r="171" spans="1:16" ht="60" customHeight="1" x14ac:dyDescent="0.45">
      <c r="A171" s="4"/>
      <c r="B171" s="4"/>
      <c r="C171" s="10" t="str">
        <f>IFERROR(VLOOKUP(B171,'Incident Intake'!$A:$G,7,FALSE())&amp;" "&amp;VLOOKUP(B171,'Incident Intake'!$A:$F,6,FALSE()),"")</f>
        <v/>
      </c>
      <c r="D171" s="10" t="str">
        <f>IFERROR(VLOOKUP(B171,'Incident Intake'!$A:$J,10,FALSE()),"")</f>
        <v/>
      </c>
      <c r="E171" s="8"/>
      <c r="F171" s="4"/>
      <c r="G171" s="4"/>
      <c r="H171" s="4"/>
      <c r="I171" s="4"/>
      <c r="J171" s="4"/>
      <c r="K171" s="4"/>
      <c r="L171" s="62"/>
      <c r="M171" s="4"/>
      <c r="N171" s="4"/>
      <c r="O171" s="4"/>
      <c r="P171" s="4"/>
    </row>
    <row r="172" spans="1:16" ht="60" customHeight="1" x14ac:dyDescent="0.45">
      <c r="A172" s="6"/>
      <c r="B172" s="6"/>
      <c r="C172" s="10" t="str">
        <f>IFERROR(VLOOKUP(B172,'Incident Intake'!$A:$G,7,FALSE())&amp;" "&amp;VLOOKUP(B172,'Incident Intake'!$A:$F,6,FALSE()),"")</f>
        <v/>
      </c>
      <c r="D172" s="10" t="str">
        <f>IFERROR(VLOOKUP(B172,'Incident Intake'!$A:$J,10,FALSE()),"")</f>
        <v/>
      </c>
      <c r="E172" s="12"/>
      <c r="F172" s="6"/>
      <c r="G172" s="6"/>
      <c r="H172" s="6"/>
      <c r="I172" s="6"/>
      <c r="J172" s="6"/>
      <c r="K172" s="6"/>
      <c r="L172" s="63"/>
      <c r="M172" s="6"/>
      <c r="N172" s="6"/>
      <c r="O172" s="6"/>
      <c r="P172" s="6"/>
    </row>
    <row r="173" spans="1:16" ht="60" customHeight="1" x14ac:dyDescent="0.45">
      <c r="A173" s="4"/>
      <c r="B173" s="4"/>
      <c r="C173" s="10" t="str">
        <f>IFERROR(VLOOKUP(B173,'Incident Intake'!$A:$G,7,FALSE())&amp;" "&amp;VLOOKUP(B173,'Incident Intake'!$A:$F,6,FALSE()),"")</f>
        <v/>
      </c>
      <c r="D173" s="10" t="str">
        <f>IFERROR(VLOOKUP(B173,'Incident Intake'!$A:$J,10,FALSE()),"")</f>
        <v/>
      </c>
      <c r="E173" s="8"/>
      <c r="F173" s="4"/>
      <c r="G173" s="4"/>
      <c r="H173" s="4"/>
      <c r="I173" s="4"/>
      <c r="J173" s="4"/>
      <c r="K173" s="4"/>
      <c r="L173" s="62"/>
      <c r="M173" s="4"/>
      <c r="N173" s="4"/>
      <c r="O173" s="4"/>
      <c r="P173" s="4"/>
    </row>
    <row r="174" spans="1:16" ht="60" customHeight="1" x14ac:dyDescent="0.45">
      <c r="A174" s="6"/>
      <c r="B174" s="6"/>
      <c r="C174" s="10" t="str">
        <f>IFERROR(VLOOKUP(B174,'Incident Intake'!$A:$G,7,FALSE())&amp;" "&amp;VLOOKUP(B174,'Incident Intake'!$A:$F,6,FALSE()),"")</f>
        <v/>
      </c>
      <c r="D174" s="10" t="str">
        <f>IFERROR(VLOOKUP(B174,'Incident Intake'!$A:$J,10,FALSE()),"")</f>
        <v/>
      </c>
      <c r="E174" s="12"/>
      <c r="F174" s="6"/>
      <c r="G174" s="6"/>
      <c r="H174" s="6"/>
      <c r="I174" s="6"/>
      <c r="J174" s="6"/>
      <c r="K174" s="6"/>
      <c r="L174" s="63"/>
      <c r="M174" s="6"/>
      <c r="N174" s="6"/>
      <c r="O174" s="6"/>
      <c r="P174" s="6"/>
    </row>
    <row r="175" spans="1:16" ht="60" customHeight="1" x14ac:dyDescent="0.45">
      <c r="A175" s="4"/>
      <c r="B175" s="4"/>
      <c r="C175" s="10" t="str">
        <f>IFERROR(VLOOKUP(B175,'Incident Intake'!$A:$G,7,FALSE())&amp;" "&amp;VLOOKUP(B175,'Incident Intake'!$A:$F,6,FALSE()),"")</f>
        <v/>
      </c>
      <c r="D175" s="10" t="str">
        <f>IFERROR(VLOOKUP(B175,'Incident Intake'!$A:$J,10,FALSE()),"")</f>
        <v/>
      </c>
      <c r="E175" s="8"/>
      <c r="F175" s="4"/>
      <c r="G175" s="4"/>
      <c r="H175" s="4"/>
      <c r="I175" s="4"/>
      <c r="J175" s="4"/>
      <c r="K175" s="4"/>
      <c r="L175" s="62"/>
      <c r="M175" s="4"/>
      <c r="N175" s="4"/>
      <c r="O175" s="4"/>
      <c r="P175" s="4"/>
    </row>
    <row r="176" spans="1:16" ht="60" customHeight="1" x14ac:dyDescent="0.45">
      <c r="A176" s="6"/>
      <c r="B176" s="6"/>
      <c r="C176" s="10" t="str">
        <f>IFERROR(VLOOKUP(B176,'Incident Intake'!$A:$G,7,FALSE())&amp;" "&amp;VLOOKUP(B176,'Incident Intake'!$A:$F,6,FALSE()),"")</f>
        <v/>
      </c>
      <c r="D176" s="10" t="str">
        <f>IFERROR(VLOOKUP(B176,'Incident Intake'!$A:$J,10,FALSE()),"")</f>
        <v/>
      </c>
      <c r="E176" s="12"/>
      <c r="F176" s="6"/>
      <c r="G176" s="6"/>
      <c r="H176" s="6"/>
      <c r="I176" s="6"/>
      <c r="J176" s="6"/>
      <c r="K176" s="6"/>
      <c r="L176" s="63"/>
      <c r="M176" s="6"/>
      <c r="N176" s="6"/>
      <c r="O176" s="6"/>
      <c r="P176" s="6"/>
    </row>
    <row r="177" spans="1:16" ht="60" customHeight="1" x14ac:dyDescent="0.45">
      <c r="A177" s="4"/>
      <c r="B177" s="4"/>
      <c r="C177" s="10" t="str">
        <f>IFERROR(VLOOKUP(B177,'Incident Intake'!$A:$G,7,FALSE())&amp;" "&amp;VLOOKUP(B177,'Incident Intake'!$A:$F,6,FALSE()),"")</f>
        <v/>
      </c>
      <c r="D177" s="10" t="str">
        <f>IFERROR(VLOOKUP(B177,'Incident Intake'!$A:$J,10,FALSE()),"")</f>
        <v/>
      </c>
      <c r="E177" s="8"/>
      <c r="F177" s="4"/>
      <c r="G177" s="4"/>
      <c r="H177" s="4"/>
      <c r="I177" s="4"/>
      <c r="J177" s="4"/>
      <c r="K177" s="4"/>
      <c r="L177" s="62"/>
      <c r="M177" s="4"/>
      <c r="N177" s="4"/>
      <c r="O177" s="4"/>
      <c r="P177" s="4"/>
    </row>
    <row r="178" spans="1:16" ht="60" customHeight="1" x14ac:dyDescent="0.45">
      <c r="A178" s="6"/>
      <c r="B178" s="6"/>
      <c r="C178" s="10" t="str">
        <f>IFERROR(VLOOKUP(B178,'Incident Intake'!$A:$G,7,FALSE())&amp;" "&amp;VLOOKUP(B178,'Incident Intake'!$A:$F,6,FALSE()),"")</f>
        <v/>
      </c>
      <c r="D178" s="10" t="str">
        <f>IFERROR(VLOOKUP(B178,'Incident Intake'!$A:$J,10,FALSE()),"")</f>
        <v/>
      </c>
      <c r="E178" s="12"/>
      <c r="F178" s="6"/>
      <c r="G178" s="6"/>
      <c r="H178" s="6"/>
      <c r="I178" s="6"/>
      <c r="J178" s="6"/>
      <c r="K178" s="6"/>
      <c r="L178" s="63"/>
      <c r="M178" s="6"/>
      <c r="N178" s="6"/>
      <c r="O178" s="6"/>
      <c r="P178" s="6"/>
    </row>
    <row r="179" spans="1:16" ht="60" customHeight="1" x14ac:dyDescent="0.45">
      <c r="A179" s="4"/>
      <c r="B179" s="4"/>
      <c r="C179" s="10" t="str">
        <f>IFERROR(VLOOKUP(B179,'Incident Intake'!$A:$G,7,FALSE())&amp;" "&amp;VLOOKUP(B179,'Incident Intake'!$A:$F,6,FALSE()),"")</f>
        <v/>
      </c>
      <c r="D179" s="10" t="str">
        <f>IFERROR(VLOOKUP(B179,'Incident Intake'!$A:$J,10,FALSE()),"")</f>
        <v/>
      </c>
      <c r="E179" s="8"/>
      <c r="F179" s="4"/>
      <c r="G179" s="4"/>
      <c r="H179" s="4"/>
      <c r="I179" s="4"/>
      <c r="J179" s="4"/>
      <c r="K179" s="4"/>
      <c r="L179" s="62"/>
      <c r="M179" s="4"/>
      <c r="N179" s="4"/>
      <c r="O179" s="4"/>
      <c r="P179" s="4"/>
    </row>
    <row r="180" spans="1:16" ht="60" customHeight="1" x14ac:dyDescent="0.45">
      <c r="A180" s="6"/>
      <c r="B180" s="6"/>
      <c r="C180" s="10" t="str">
        <f>IFERROR(VLOOKUP(B180,'Incident Intake'!$A:$G,7,FALSE())&amp;" "&amp;VLOOKUP(B180,'Incident Intake'!$A:$F,6,FALSE()),"")</f>
        <v/>
      </c>
      <c r="D180" s="10" t="str">
        <f>IFERROR(VLOOKUP(B180,'Incident Intake'!$A:$J,10,FALSE()),"")</f>
        <v/>
      </c>
      <c r="E180" s="12"/>
      <c r="F180" s="6"/>
      <c r="G180" s="6"/>
      <c r="H180" s="6"/>
      <c r="I180" s="6"/>
      <c r="J180" s="6"/>
      <c r="K180" s="6"/>
      <c r="L180" s="63"/>
      <c r="M180" s="6"/>
      <c r="N180" s="6"/>
      <c r="O180" s="6"/>
      <c r="P180" s="6"/>
    </row>
    <row r="181" spans="1:16" ht="60" customHeight="1" x14ac:dyDescent="0.45">
      <c r="A181" s="4"/>
      <c r="B181" s="4"/>
      <c r="C181" s="10" t="str">
        <f>IFERROR(VLOOKUP(B181,'Incident Intake'!$A:$G,7,FALSE())&amp;" "&amp;VLOOKUP(B181,'Incident Intake'!$A:$F,6,FALSE()),"")</f>
        <v/>
      </c>
      <c r="D181" s="10" t="str">
        <f>IFERROR(VLOOKUP(B181,'Incident Intake'!$A:$J,10,FALSE()),"")</f>
        <v/>
      </c>
      <c r="E181" s="8"/>
      <c r="F181" s="4"/>
      <c r="G181" s="4"/>
      <c r="H181" s="4"/>
      <c r="I181" s="4"/>
      <c r="J181" s="4"/>
      <c r="K181" s="4"/>
      <c r="L181" s="62"/>
      <c r="M181" s="4"/>
      <c r="N181" s="4"/>
      <c r="O181" s="4"/>
      <c r="P181" s="4"/>
    </row>
    <row r="182" spans="1:16" ht="60" customHeight="1" x14ac:dyDescent="0.45">
      <c r="A182" s="6"/>
      <c r="B182" s="6"/>
      <c r="C182" s="10" t="str">
        <f>IFERROR(VLOOKUP(B182,'Incident Intake'!$A:$G,7,FALSE())&amp;" "&amp;VLOOKUP(B182,'Incident Intake'!$A:$F,6,FALSE()),"")</f>
        <v/>
      </c>
      <c r="D182" s="10" t="str">
        <f>IFERROR(VLOOKUP(B182,'Incident Intake'!$A:$J,10,FALSE()),"")</f>
        <v/>
      </c>
      <c r="E182" s="12"/>
      <c r="F182" s="6"/>
      <c r="G182" s="6"/>
      <c r="H182" s="6"/>
      <c r="I182" s="6"/>
      <c r="J182" s="6"/>
      <c r="K182" s="6"/>
      <c r="L182" s="63"/>
      <c r="M182" s="6"/>
      <c r="N182" s="6"/>
      <c r="O182" s="6"/>
      <c r="P182" s="6"/>
    </row>
    <row r="183" spans="1:16" ht="60" customHeight="1" x14ac:dyDescent="0.45">
      <c r="A183" s="4"/>
      <c r="B183" s="4"/>
      <c r="C183" s="10" t="str">
        <f>IFERROR(VLOOKUP(B183,'Incident Intake'!$A:$G,7,FALSE())&amp;" "&amp;VLOOKUP(B183,'Incident Intake'!$A:$F,6,FALSE()),"")</f>
        <v/>
      </c>
      <c r="D183" s="10" t="str">
        <f>IFERROR(VLOOKUP(B183,'Incident Intake'!$A:$J,10,FALSE()),"")</f>
        <v/>
      </c>
      <c r="E183" s="8"/>
      <c r="F183" s="4"/>
      <c r="G183" s="4"/>
      <c r="H183" s="4"/>
      <c r="I183" s="4"/>
      <c r="J183" s="4"/>
      <c r="K183" s="4"/>
      <c r="L183" s="62"/>
      <c r="M183" s="4"/>
      <c r="N183" s="4"/>
      <c r="O183" s="4"/>
      <c r="P183" s="4"/>
    </row>
    <row r="184" spans="1:16" ht="60" customHeight="1" x14ac:dyDescent="0.45">
      <c r="A184" s="6"/>
      <c r="B184" s="6"/>
      <c r="C184" s="10" t="str">
        <f>IFERROR(VLOOKUP(B184,'Incident Intake'!$A:$G,7,FALSE())&amp;" "&amp;VLOOKUP(B184,'Incident Intake'!$A:$F,6,FALSE()),"")</f>
        <v/>
      </c>
      <c r="D184" s="10" t="str">
        <f>IFERROR(VLOOKUP(B184,'Incident Intake'!$A:$J,10,FALSE()),"")</f>
        <v/>
      </c>
      <c r="E184" s="12"/>
      <c r="F184" s="6"/>
      <c r="G184" s="6"/>
      <c r="H184" s="6"/>
      <c r="I184" s="6"/>
      <c r="J184" s="6"/>
      <c r="K184" s="6"/>
      <c r="L184" s="63"/>
      <c r="M184" s="6"/>
      <c r="N184" s="6"/>
      <c r="O184" s="6"/>
      <c r="P184" s="6"/>
    </row>
    <row r="185" spans="1:16" ht="60" customHeight="1" x14ac:dyDescent="0.45">
      <c r="A185" s="4"/>
      <c r="B185" s="4"/>
      <c r="C185" s="10" t="str">
        <f>IFERROR(VLOOKUP(B185,'Incident Intake'!$A:$G,7,FALSE())&amp;" "&amp;VLOOKUP(B185,'Incident Intake'!$A:$F,6,FALSE()),"")</f>
        <v/>
      </c>
      <c r="D185" s="10" t="str">
        <f>IFERROR(VLOOKUP(B185,'Incident Intake'!$A:$J,10,FALSE()),"")</f>
        <v/>
      </c>
      <c r="E185" s="8"/>
      <c r="F185" s="4"/>
      <c r="G185" s="4"/>
      <c r="H185" s="4"/>
      <c r="I185" s="4"/>
      <c r="J185" s="4"/>
      <c r="K185" s="4"/>
      <c r="L185" s="62"/>
      <c r="M185" s="4"/>
      <c r="N185" s="4"/>
      <c r="O185" s="4"/>
      <c r="P185" s="4"/>
    </row>
    <row r="186" spans="1:16" ht="60" customHeight="1" x14ac:dyDescent="0.45">
      <c r="A186" s="6"/>
      <c r="B186" s="6"/>
      <c r="C186" s="10" t="str">
        <f>IFERROR(VLOOKUP(B186,'Incident Intake'!$A:$G,7,FALSE())&amp;" "&amp;VLOOKUP(B186,'Incident Intake'!$A:$F,6,FALSE()),"")</f>
        <v/>
      </c>
      <c r="D186" s="10" t="str">
        <f>IFERROR(VLOOKUP(B186,'Incident Intake'!$A:$J,10,FALSE()),"")</f>
        <v/>
      </c>
      <c r="E186" s="12"/>
      <c r="F186" s="6"/>
      <c r="G186" s="6"/>
      <c r="H186" s="6"/>
      <c r="I186" s="6"/>
      <c r="J186" s="6"/>
      <c r="K186" s="6"/>
      <c r="L186" s="63"/>
      <c r="M186" s="6"/>
      <c r="N186" s="6"/>
      <c r="O186" s="6"/>
      <c r="P186" s="6"/>
    </row>
    <row r="187" spans="1:16" ht="60" customHeight="1" x14ac:dyDescent="0.45">
      <c r="A187" s="4"/>
      <c r="B187" s="4"/>
      <c r="C187" s="10" t="str">
        <f>IFERROR(VLOOKUP(B187,'Incident Intake'!$A:$G,7,FALSE())&amp;" "&amp;VLOOKUP(B187,'Incident Intake'!$A:$F,6,FALSE()),"")</f>
        <v/>
      </c>
      <c r="D187" s="10" t="str">
        <f>IFERROR(VLOOKUP(B187,'Incident Intake'!$A:$J,10,FALSE()),"")</f>
        <v/>
      </c>
      <c r="E187" s="8"/>
      <c r="F187" s="4"/>
      <c r="G187" s="4"/>
      <c r="H187" s="4"/>
      <c r="I187" s="4"/>
      <c r="J187" s="4"/>
      <c r="K187" s="4"/>
      <c r="L187" s="62"/>
      <c r="M187" s="4"/>
      <c r="N187" s="4"/>
      <c r="O187" s="4"/>
      <c r="P187" s="4"/>
    </row>
    <row r="188" spans="1:16" ht="60" customHeight="1" x14ac:dyDescent="0.45">
      <c r="A188" s="6"/>
      <c r="B188" s="6"/>
      <c r="C188" s="10" t="str">
        <f>IFERROR(VLOOKUP(B188,'Incident Intake'!$A:$G,7,FALSE())&amp;" "&amp;VLOOKUP(B188,'Incident Intake'!$A:$F,6,FALSE()),"")</f>
        <v/>
      </c>
      <c r="D188" s="10" t="str">
        <f>IFERROR(VLOOKUP(B188,'Incident Intake'!$A:$J,10,FALSE()),"")</f>
        <v/>
      </c>
      <c r="E188" s="12"/>
      <c r="F188" s="6"/>
      <c r="G188" s="6"/>
      <c r="H188" s="6"/>
      <c r="I188" s="6"/>
      <c r="J188" s="6"/>
      <c r="K188" s="6"/>
      <c r="L188" s="63"/>
      <c r="M188" s="6"/>
      <c r="N188" s="6"/>
      <c r="O188" s="6"/>
      <c r="P188" s="6"/>
    </row>
    <row r="189" spans="1:16" ht="60" customHeight="1" x14ac:dyDescent="0.45">
      <c r="A189" s="4"/>
      <c r="B189" s="4"/>
      <c r="C189" s="10" t="str">
        <f>IFERROR(VLOOKUP(B189,'Incident Intake'!$A:$G,7,FALSE())&amp;" "&amp;VLOOKUP(B189,'Incident Intake'!$A:$F,6,FALSE()),"")</f>
        <v/>
      </c>
      <c r="D189" s="10" t="str">
        <f>IFERROR(VLOOKUP(B189,'Incident Intake'!$A:$J,10,FALSE()),"")</f>
        <v/>
      </c>
      <c r="E189" s="8"/>
      <c r="F189" s="4"/>
      <c r="G189" s="4"/>
      <c r="H189" s="4"/>
      <c r="I189" s="4"/>
      <c r="J189" s="4"/>
      <c r="K189" s="4"/>
      <c r="L189" s="62"/>
      <c r="M189" s="4"/>
      <c r="N189" s="4"/>
      <c r="O189" s="4"/>
      <c r="P189" s="4"/>
    </row>
    <row r="190" spans="1:16" ht="60" customHeight="1" x14ac:dyDescent="0.45">
      <c r="A190" s="6"/>
      <c r="B190" s="6"/>
      <c r="C190" s="10" t="str">
        <f>IFERROR(VLOOKUP(B190,'Incident Intake'!$A:$G,7,FALSE())&amp;" "&amp;VLOOKUP(B190,'Incident Intake'!$A:$F,6,FALSE()),"")</f>
        <v/>
      </c>
      <c r="D190" s="10" t="str">
        <f>IFERROR(VLOOKUP(B190,'Incident Intake'!$A:$J,10,FALSE()),"")</f>
        <v/>
      </c>
      <c r="E190" s="12"/>
      <c r="F190" s="6"/>
      <c r="G190" s="6"/>
      <c r="H190" s="6"/>
      <c r="I190" s="6"/>
      <c r="J190" s="6"/>
      <c r="K190" s="6"/>
      <c r="L190" s="63"/>
      <c r="M190" s="6"/>
      <c r="N190" s="6"/>
      <c r="O190" s="6"/>
      <c r="P190" s="6"/>
    </row>
    <row r="191" spans="1:16" ht="60" customHeight="1" x14ac:dyDescent="0.45">
      <c r="A191" s="4"/>
      <c r="B191" s="4"/>
      <c r="C191" s="10" t="str">
        <f>IFERROR(VLOOKUP(B191,'Incident Intake'!$A:$G,7,FALSE())&amp;" "&amp;VLOOKUP(B191,'Incident Intake'!$A:$F,6,FALSE()),"")</f>
        <v/>
      </c>
      <c r="D191" s="10" t="str">
        <f>IFERROR(VLOOKUP(B191,'Incident Intake'!$A:$J,10,FALSE()),"")</f>
        <v/>
      </c>
      <c r="E191" s="8"/>
      <c r="F191" s="4"/>
      <c r="G191" s="4"/>
      <c r="H191" s="4"/>
      <c r="I191" s="4"/>
      <c r="J191" s="4"/>
      <c r="K191" s="4"/>
      <c r="L191" s="62"/>
      <c r="M191" s="4"/>
      <c r="N191" s="4"/>
      <c r="O191" s="4"/>
      <c r="P191" s="4"/>
    </row>
    <row r="192" spans="1:16" ht="60" customHeight="1" x14ac:dyDescent="0.45">
      <c r="A192" s="6"/>
      <c r="B192" s="6"/>
      <c r="C192" s="10" t="str">
        <f>IFERROR(VLOOKUP(B192,'Incident Intake'!$A:$G,7,FALSE())&amp;" "&amp;VLOOKUP(B192,'Incident Intake'!$A:$F,6,FALSE()),"")</f>
        <v/>
      </c>
      <c r="D192" s="10" t="str">
        <f>IFERROR(VLOOKUP(B192,'Incident Intake'!$A:$J,10,FALSE()),"")</f>
        <v/>
      </c>
      <c r="E192" s="12"/>
      <c r="F192" s="6"/>
      <c r="G192" s="6"/>
      <c r="H192" s="6"/>
      <c r="I192" s="6"/>
      <c r="J192" s="6"/>
      <c r="K192" s="6"/>
      <c r="L192" s="63"/>
      <c r="M192" s="6"/>
      <c r="N192" s="6"/>
      <c r="O192" s="6"/>
      <c r="P192" s="6"/>
    </row>
    <row r="193" spans="1:16" ht="60" customHeight="1" x14ac:dyDescent="0.45">
      <c r="A193" s="4"/>
      <c r="B193" s="4"/>
      <c r="C193" s="10" t="str">
        <f>IFERROR(VLOOKUP(B193,'Incident Intake'!$A:$G,7,FALSE())&amp;" "&amp;VLOOKUP(B193,'Incident Intake'!$A:$F,6,FALSE()),"")</f>
        <v/>
      </c>
      <c r="D193" s="10" t="str">
        <f>IFERROR(VLOOKUP(B193,'Incident Intake'!$A:$J,10,FALSE()),"")</f>
        <v/>
      </c>
      <c r="E193" s="8"/>
      <c r="F193" s="4"/>
      <c r="G193" s="4"/>
      <c r="H193" s="4"/>
      <c r="I193" s="4"/>
      <c r="J193" s="4"/>
      <c r="K193" s="4"/>
      <c r="L193" s="62"/>
      <c r="M193" s="4"/>
      <c r="N193" s="4"/>
      <c r="O193" s="4"/>
      <c r="P193" s="4"/>
    </row>
    <row r="194" spans="1:16" ht="60" customHeight="1" x14ac:dyDescent="0.45">
      <c r="A194" s="6"/>
      <c r="B194" s="6"/>
      <c r="C194" s="10" t="str">
        <f>IFERROR(VLOOKUP(B194,'Incident Intake'!$A:$G,7,FALSE())&amp;" "&amp;VLOOKUP(B194,'Incident Intake'!$A:$F,6,FALSE()),"")</f>
        <v/>
      </c>
      <c r="D194" s="10" t="str">
        <f>IFERROR(VLOOKUP(B194,'Incident Intake'!$A:$J,10,FALSE()),"")</f>
        <v/>
      </c>
      <c r="E194" s="12"/>
      <c r="F194" s="6"/>
      <c r="G194" s="6"/>
      <c r="H194" s="6"/>
      <c r="I194" s="6"/>
      <c r="J194" s="6"/>
      <c r="K194" s="6"/>
      <c r="L194" s="63"/>
      <c r="M194" s="6"/>
      <c r="N194" s="6"/>
      <c r="O194" s="6"/>
      <c r="P194" s="6"/>
    </row>
    <row r="195" spans="1:16" ht="60" customHeight="1" x14ac:dyDescent="0.45">
      <c r="A195" s="4"/>
      <c r="B195" s="4"/>
      <c r="C195" s="10" t="str">
        <f>IFERROR(VLOOKUP(B195,'Incident Intake'!$A:$G,7,FALSE())&amp;" "&amp;VLOOKUP(B195,'Incident Intake'!$A:$F,6,FALSE()),"")</f>
        <v/>
      </c>
      <c r="D195" s="10" t="str">
        <f>IFERROR(VLOOKUP(B195,'Incident Intake'!$A:$J,10,FALSE()),"")</f>
        <v/>
      </c>
      <c r="E195" s="8"/>
      <c r="F195" s="4"/>
      <c r="G195" s="4"/>
      <c r="H195" s="4"/>
      <c r="I195" s="4"/>
      <c r="J195" s="4"/>
      <c r="K195" s="4"/>
      <c r="L195" s="62"/>
      <c r="M195" s="4"/>
      <c r="N195" s="4"/>
      <c r="O195" s="4"/>
      <c r="P195" s="4"/>
    </row>
    <row r="196" spans="1:16" ht="60" customHeight="1" x14ac:dyDescent="0.45">
      <c r="A196" s="6"/>
      <c r="B196" s="6"/>
      <c r="C196" s="10" t="str">
        <f>IFERROR(VLOOKUP(B196,'Incident Intake'!$A:$G,7,FALSE())&amp;" "&amp;VLOOKUP(B196,'Incident Intake'!$A:$F,6,FALSE()),"")</f>
        <v/>
      </c>
      <c r="D196" s="10" t="str">
        <f>IFERROR(VLOOKUP(B196,'Incident Intake'!$A:$J,10,FALSE()),"")</f>
        <v/>
      </c>
      <c r="E196" s="12"/>
      <c r="F196" s="6"/>
      <c r="G196" s="6"/>
      <c r="H196" s="6"/>
      <c r="I196" s="6"/>
      <c r="J196" s="6"/>
      <c r="K196" s="6"/>
      <c r="L196" s="63"/>
      <c r="M196" s="6"/>
      <c r="N196" s="6"/>
      <c r="O196" s="6"/>
      <c r="P196" s="6"/>
    </row>
    <row r="197" spans="1:16" ht="60" customHeight="1" x14ac:dyDescent="0.45">
      <c r="A197" s="4"/>
      <c r="B197" s="4"/>
      <c r="C197" s="10" t="str">
        <f>IFERROR(VLOOKUP(B197,'Incident Intake'!$A:$G,7,FALSE())&amp;" "&amp;VLOOKUP(B197,'Incident Intake'!$A:$F,6,FALSE()),"")</f>
        <v/>
      </c>
      <c r="D197" s="10" t="str">
        <f>IFERROR(VLOOKUP(B197,'Incident Intake'!$A:$J,10,FALSE()),"")</f>
        <v/>
      </c>
      <c r="E197" s="8"/>
      <c r="F197" s="4"/>
      <c r="G197" s="4"/>
      <c r="H197" s="4"/>
      <c r="I197" s="4"/>
      <c r="J197" s="4"/>
      <c r="K197" s="4"/>
      <c r="L197" s="62"/>
      <c r="M197" s="4"/>
      <c r="N197" s="4"/>
      <c r="O197" s="4"/>
      <c r="P197" s="4"/>
    </row>
    <row r="198" spans="1:16" ht="60" customHeight="1" x14ac:dyDescent="0.45">
      <c r="A198" s="6"/>
      <c r="B198" s="6"/>
      <c r="C198" s="10" t="str">
        <f>IFERROR(VLOOKUP(B198,'Incident Intake'!$A:$G,7,FALSE())&amp;" "&amp;VLOOKUP(B198,'Incident Intake'!$A:$F,6,FALSE()),"")</f>
        <v/>
      </c>
      <c r="D198" s="10" t="str">
        <f>IFERROR(VLOOKUP(B198,'Incident Intake'!$A:$J,10,FALSE()),"")</f>
        <v/>
      </c>
      <c r="E198" s="12"/>
      <c r="F198" s="6"/>
      <c r="G198" s="6"/>
      <c r="H198" s="6"/>
      <c r="I198" s="6"/>
      <c r="J198" s="6"/>
      <c r="K198" s="6"/>
      <c r="L198" s="63"/>
      <c r="M198" s="6"/>
      <c r="N198" s="6"/>
      <c r="O198" s="6"/>
      <c r="P198" s="6"/>
    </row>
    <row r="199" spans="1:16" ht="60" customHeight="1" x14ac:dyDescent="0.45">
      <c r="A199" s="4"/>
      <c r="B199" s="4"/>
      <c r="C199" s="10" t="str">
        <f>IFERROR(VLOOKUP(B199,'Incident Intake'!$A:$G,7,FALSE())&amp;" "&amp;VLOOKUP(B199,'Incident Intake'!$A:$F,6,FALSE()),"")</f>
        <v/>
      </c>
      <c r="D199" s="10" t="str">
        <f>IFERROR(VLOOKUP(B199,'Incident Intake'!$A:$J,10,FALSE()),"")</f>
        <v/>
      </c>
      <c r="E199" s="8"/>
      <c r="F199" s="4"/>
      <c r="G199" s="4"/>
      <c r="H199" s="4"/>
      <c r="I199" s="4"/>
      <c r="J199" s="4"/>
      <c r="K199" s="4"/>
      <c r="L199" s="62"/>
      <c r="M199" s="4"/>
      <c r="N199" s="4"/>
      <c r="O199" s="4"/>
      <c r="P199" s="4"/>
    </row>
    <row r="200" spans="1:16" ht="60" customHeight="1" x14ac:dyDescent="0.45">
      <c r="A200" s="6"/>
      <c r="B200" s="6"/>
      <c r="C200" s="10" t="str">
        <f>IFERROR(VLOOKUP(B200,'Incident Intake'!$A:$G,7,FALSE())&amp;" "&amp;VLOOKUP(B200,'Incident Intake'!$A:$F,6,FALSE()),"")</f>
        <v/>
      </c>
      <c r="D200" s="10" t="str">
        <f>IFERROR(VLOOKUP(B200,'Incident Intake'!$A:$J,10,FALSE()),"")</f>
        <v/>
      </c>
      <c r="E200" s="12"/>
      <c r="F200" s="6"/>
      <c r="G200" s="6"/>
      <c r="H200" s="6"/>
      <c r="I200" s="6"/>
      <c r="J200" s="6"/>
      <c r="K200" s="6"/>
      <c r="L200" s="63"/>
      <c r="M200" s="6"/>
      <c r="N200" s="6"/>
      <c r="O200" s="6"/>
      <c r="P200" s="6"/>
    </row>
    <row r="201" spans="1:16" ht="60" customHeight="1" x14ac:dyDescent="0.45">
      <c r="A201" s="4"/>
      <c r="B201" s="4"/>
      <c r="C201" s="10" t="str">
        <f>IFERROR(VLOOKUP(B201,'Incident Intake'!$A:$G,7,FALSE())&amp;" "&amp;VLOOKUP(B201,'Incident Intake'!$A:$F,6,FALSE()),"")</f>
        <v/>
      </c>
      <c r="D201" s="10" t="str">
        <f>IFERROR(VLOOKUP(B201,'Incident Intake'!$A:$J,10,FALSE()),"")</f>
        <v/>
      </c>
      <c r="E201" s="8"/>
      <c r="F201" s="4"/>
      <c r="G201" s="4"/>
      <c r="H201" s="4"/>
      <c r="I201" s="4"/>
      <c r="J201" s="4"/>
      <c r="K201" s="4"/>
      <c r="L201" s="62"/>
      <c r="M201" s="4"/>
      <c r="N201" s="4"/>
      <c r="O201" s="4"/>
      <c r="P201" s="4"/>
    </row>
    <row r="202" spans="1:16" ht="60" customHeight="1" x14ac:dyDescent="0.45">
      <c r="A202" s="6"/>
      <c r="B202" s="6"/>
      <c r="C202" s="10" t="str">
        <f>IFERROR(VLOOKUP(B202,'Incident Intake'!$A:$G,7,FALSE())&amp;" "&amp;VLOOKUP(B202,'Incident Intake'!$A:$F,6,FALSE()),"")</f>
        <v/>
      </c>
      <c r="D202" s="10" t="str">
        <f>IFERROR(VLOOKUP(B202,'Incident Intake'!$A:$J,10,FALSE()),"")</f>
        <v/>
      </c>
      <c r="E202" s="12"/>
      <c r="F202" s="6"/>
      <c r="G202" s="6"/>
      <c r="H202" s="6"/>
      <c r="I202" s="6"/>
      <c r="J202" s="6"/>
      <c r="K202" s="6"/>
      <c r="L202" s="63"/>
      <c r="M202" s="6"/>
      <c r="N202" s="6"/>
      <c r="O202" s="6"/>
      <c r="P202" s="6"/>
    </row>
    <row r="203" spans="1:16" ht="60" customHeight="1" x14ac:dyDescent="0.45">
      <c r="A203" s="4"/>
      <c r="B203" s="4"/>
      <c r="C203" s="10" t="str">
        <f>IFERROR(VLOOKUP(B203,'Incident Intake'!$A:$G,7,FALSE())&amp;" "&amp;VLOOKUP(B203,'Incident Intake'!$A:$F,6,FALSE()),"")</f>
        <v/>
      </c>
      <c r="D203" s="10" t="str">
        <f>IFERROR(VLOOKUP(B203,'Incident Intake'!$A:$J,10,FALSE()),"")</f>
        <v/>
      </c>
      <c r="E203" s="8"/>
      <c r="F203" s="4"/>
      <c r="G203" s="4"/>
      <c r="H203" s="4"/>
      <c r="I203" s="4"/>
      <c r="J203" s="4"/>
      <c r="K203" s="4"/>
      <c r="L203" s="62"/>
      <c r="M203" s="4"/>
      <c r="N203" s="4"/>
      <c r="O203" s="4"/>
      <c r="P203" s="4"/>
    </row>
    <row r="204" spans="1:16" ht="60" customHeight="1" x14ac:dyDescent="0.45">
      <c r="A204" s="6"/>
      <c r="B204" s="6"/>
      <c r="C204" s="10" t="str">
        <f>IFERROR(VLOOKUP(B204,'Incident Intake'!$A:$G,7,FALSE())&amp;" "&amp;VLOOKUP(B204,'Incident Intake'!$A:$F,6,FALSE()),"")</f>
        <v/>
      </c>
      <c r="D204" s="10" t="str">
        <f>IFERROR(VLOOKUP(B204,'Incident Intake'!$A:$J,10,FALSE()),"")</f>
        <v/>
      </c>
      <c r="E204" s="12"/>
      <c r="F204" s="6"/>
      <c r="G204" s="6"/>
      <c r="H204" s="6"/>
      <c r="I204" s="6"/>
      <c r="J204" s="6"/>
      <c r="K204" s="6"/>
      <c r="L204" s="63"/>
      <c r="M204" s="6"/>
      <c r="N204" s="6"/>
      <c r="O204" s="6"/>
      <c r="P204" s="6"/>
    </row>
    <row r="205" spans="1:16" ht="60" customHeight="1" x14ac:dyDescent="0.45">
      <c r="A205" s="4"/>
      <c r="B205" s="4"/>
      <c r="C205" s="10" t="str">
        <f>IFERROR(VLOOKUP(B205,'Incident Intake'!$A:$G,7,FALSE())&amp;" "&amp;VLOOKUP(B205,'Incident Intake'!$A:$F,6,FALSE()),"")</f>
        <v/>
      </c>
      <c r="D205" s="10" t="str">
        <f>IFERROR(VLOOKUP(B205,'Incident Intake'!$A:$J,10,FALSE()),"")</f>
        <v/>
      </c>
      <c r="E205" s="8"/>
      <c r="F205" s="4"/>
      <c r="G205" s="4"/>
      <c r="H205" s="4"/>
      <c r="I205" s="4"/>
      <c r="J205" s="4"/>
      <c r="K205" s="4"/>
      <c r="L205" s="62"/>
      <c r="M205" s="4"/>
      <c r="N205" s="4"/>
      <c r="O205" s="4"/>
      <c r="P205" s="4"/>
    </row>
    <row r="206" spans="1:16" ht="60" customHeight="1" x14ac:dyDescent="0.45">
      <c r="A206" s="6"/>
      <c r="B206" s="6"/>
      <c r="C206" s="10" t="str">
        <f>IFERROR(VLOOKUP(B206,'Incident Intake'!$A:$G,7,FALSE())&amp;" "&amp;VLOOKUP(B206,'Incident Intake'!$A:$F,6,FALSE()),"")</f>
        <v/>
      </c>
      <c r="D206" s="10" t="str">
        <f>IFERROR(VLOOKUP(B206,'Incident Intake'!$A:$J,10,FALSE()),"")</f>
        <v/>
      </c>
      <c r="E206" s="12"/>
      <c r="F206" s="6"/>
      <c r="G206" s="6"/>
      <c r="H206" s="6"/>
      <c r="I206" s="6"/>
      <c r="J206" s="6"/>
      <c r="K206" s="6"/>
      <c r="L206" s="63"/>
      <c r="M206" s="6"/>
      <c r="N206" s="6"/>
      <c r="O206" s="6"/>
      <c r="P206" s="6"/>
    </row>
    <row r="207" spans="1:16" ht="60" customHeight="1" x14ac:dyDescent="0.45">
      <c r="A207" s="4"/>
      <c r="B207" s="4"/>
      <c r="C207" s="10" t="str">
        <f>IFERROR(VLOOKUP(B207,'Incident Intake'!$A:$G,7,FALSE())&amp;" "&amp;VLOOKUP(B207,'Incident Intake'!$A:$F,6,FALSE()),"")</f>
        <v/>
      </c>
      <c r="D207" s="10" t="str">
        <f>IFERROR(VLOOKUP(B207,'Incident Intake'!$A:$J,10,FALSE()),"")</f>
        <v/>
      </c>
      <c r="E207" s="8"/>
      <c r="F207" s="4"/>
      <c r="G207" s="4"/>
      <c r="H207" s="4"/>
      <c r="I207" s="4"/>
      <c r="J207" s="4"/>
      <c r="K207" s="4"/>
      <c r="L207" s="62"/>
      <c r="M207" s="4"/>
      <c r="N207" s="4"/>
      <c r="O207" s="4"/>
      <c r="P207" s="4"/>
    </row>
    <row r="208" spans="1:16" ht="60" customHeight="1" x14ac:dyDescent="0.45">
      <c r="A208" s="6"/>
      <c r="B208" s="6"/>
      <c r="C208" s="10" t="str">
        <f>IFERROR(VLOOKUP(B208,'Incident Intake'!$A:$G,7,FALSE())&amp;" "&amp;VLOOKUP(B208,'Incident Intake'!$A:$F,6,FALSE()),"")</f>
        <v/>
      </c>
      <c r="D208" s="10" t="str">
        <f>IFERROR(VLOOKUP(B208,'Incident Intake'!$A:$J,10,FALSE()),"")</f>
        <v/>
      </c>
      <c r="E208" s="12"/>
      <c r="F208" s="6"/>
      <c r="G208" s="6"/>
      <c r="H208" s="6"/>
      <c r="I208" s="6"/>
      <c r="J208" s="6"/>
      <c r="K208" s="6"/>
      <c r="L208" s="63"/>
      <c r="M208" s="6"/>
      <c r="N208" s="6"/>
      <c r="O208" s="6"/>
      <c r="P208" s="6"/>
    </row>
    <row r="209" spans="1:16" ht="60" customHeight="1" x14ac:dyDescent="0.45">
      <c r="A209" s="4"/>
      <c r="B209" s="4"/>
      <c r="C209" s="10" t="str">
        <f>IFERROR(VLOOKUP(B209,'Incident Intake'!$A:$G,7,FALSE())&amp;" "&amp;VLOOKUP(B209,'Incident Intake'!$A:$F,6,FALSE()),"")</f>
        <v/>
      </c>
      <c r="D209" s="10" t="str">
        <f>IFERROR(VLOOKUP(B209,'Incident Intake'!$A:$J,10,FALSE()),"")</f>
        <v/>
      </c>
      <c r="E209" s="8"/>
      <c r="F209" s="4"/>
      <c r="G209" s="4"/>
      <c r="H209" s="4"/>
      <c r="I209" s="4"/>
      <c r="J209" s="4"/>
      <c r="K209" s="4"/>
      <c r="L209" s="62"/>
      <c r="M209" s="4"/>
      <c r="N209" s="4"/>
      <c r="O209" s="4"/>
      <c r="P209" s="4"/>
    </row>
    <row r="210" spans="1:16" ht="60" customHeight="1" x14ac:dyDescent="0.45">
      <c r="A210" s="6"/>
      <c r="B210" s="6"/>
      <c r="C210" s="10" t="str">
        <f>IFERROR(VLOOKUP(B210,'Incident Intake'!$A:$G,7,FALSE())&amp;" "&amp;VLOOKUP(B210,'Incident Intake'!$A:$F,6,FALSE()),"")</f>
        <v/>
      </c>
      <c r="D210" s="10" t="str">
        <f>IFERROR(VLOOKUP(B210,'Incident Intake'!$A:$J,10,FALSE()),"")</f>
        <v/>
      </c>
      <c r="E210" s="12"/>
      <c r="F210" s="6"/>
      <c r="G210" s="6"/>
      <c r="H210" s="6"/>
      <c r="I210" s="6"/>
      <c r="J210" s="6"/>
      <c r="K210" s="6"/>
      <c r="L210" s="63"/>
      <c r="M210" s="6"/>
      <c r="N210" s="6"/>
      <c r="O210" s="6"/>
      <c r="P210" s="6"/>
    </row>
    <row r="211" spans="1:16" ht="60" customHeight="1" x14ac:dyDescent="0.45">
      <c r="A211" s="4"/>
      <c r="B211" s="4"/>
      <c r="C211" s="10" t="str">
        <f>IFERROR(VLOOKUP(B211,'Incident Intake'!$A:$G,7,FALSE())&amp;" "&amp;VLOOKUP(B211,'Incident Intake'!$A:$F,6,FALSE()),"")</f>
        <v/>
      </c>
      <c r="D211" s="10" t="str">
        <f>IFERROR(VLOOKUP(B211,'Incident Intake'!$A:$J,10,FALSE()),"")</f>
        <v/>
      </c>
      <c r="E211" s="8"/>
      <c r="F211" s="4"/>
      <c r="G211" s="4"/>
      <c r="H211" s="4"/>
      <c r="I211" s="4"/>
      <c r="J211" s="4"/>
      <c r="K211" s="4"/>
      <c r="L211" s="62"/>
      <c r="M211" s="4"/>
      <c r="N211" s="4"/>
      <c r="O211" s="4"/>
      <c r="P211" s="4"/>
    </row>
    <row r="212" spans="1:16" ht="60" customHeight="1" x14ac:dyDescent="0.45">
      <c r="A212" s="6"/>
      <c r="B212" s="6"/>
      <c r="C212" s="10" t="str">
        <f>IFERROR(VLOOKUP(B212,'Incident Intake'!$A:$G,7,FALSE())&amp;" "&amp;VLOOKUP(B212,'Incident Intake'!$A:$F,6,FALSE()),"")</f>
        <v/>
      </c>
      <c r="D212" s="10" t="str">
        <f>IFERROR(VLOOKUP(B212,'Incident Intake'!$A:$J,10,FALSE()),"")</f>
        <v/>
      </c>
      <c r="E212" s="12"/>
      <c r="F212" s="6"/>
      <c r="G212" s="6"/>
      <c r="H212" s="6"/>
      <c r="I212" s="6"/>
      <c r="J212" s="6"/>
      <c r="K212" s="6"/>
      <c r="L212" s="63"/>
      <c r="M212" s="6"/>
      <c r="N212" s="6"/>
      <c r="O212" s="6"/>
      <c r="P212" s="6"/>
    </row>
    <row r="213" spans="1:16" ht="60" customHeight="1" x14ac:dyDescent="0.45">
      <c r="A213" s="4"/>
      <c r="B213" s="4"/>
      <c r="C213" s="10" t="str">
        <f>IFERROR(VLOOKUP(B213,'Incident Intake'!$A:$G,7,FALSE())&amp;" "&amp;VLOOKUP(B213,'Incident Intake'!$A:$F,6,FALSE()),"")</f>
        <v/>
      </c>
      <c r="D213" s="10" t="str">
        <f>IFERROR(VLOOKUP(B213,'Incident Intake'!$A:$J,10,FALSE()),"")</f>
        <v/>
      </c>
      <c r="E213" s="8"/>
      <c r="F213" s="4"/>
      <c r="G213" s="4"/>
      <c r="H213" s="4"/>
      <c r="I213" s="4"/>
      <c r="J213" s="4"/>
      <c r="K213" s="4"/>
      <c r="L213" s="62"/>
      <c r="M213" s="4"/>
      <c r="N213" s="4"/>
      <c r="O213" s="4"/>
      <c r="P213" s="4"/>
    </row>
    <row r="214" spans="1:16" ht="60" customHeight="1" x14ac:dyDescent="0.45">
      <c r="A214" s="6"/>
      <c r="B214" s="6"/>
      <c r="C214" s="10" t="str">
        <f>IFERROR(VLOOKUP(B214,'Incident Intake'!$A:$G,7,FALSE())&amp;" "&amp;VLOOKUP(B214,'Incident Intake'!$A:$F,6,FALSE()),"")</f>
        <v/>
      </c>
      <c r="D214" s="10" t="str">
        <f>IFERROR(VLOOKUP(B214,'Incident Intake'!$A:$J,10,FALSE()),"")</f>
        <v/>
      </c>
      <c r="E214" s="12"/>
      <c r="F214" s="6"/>
      <c r="G214" s="6"/>
      <c r="H214" s="6"/>
      <c r="I214" s="6"/>
      <c r="J214" s="6"/>
      <c r="K214" s="6"/>
      <c r="L214" s="63"/>
      <c r="M214" s="6"/>
      <c r="N214" s="6"/>
      <c r="O214" s="6"/>
      <c r="P214" s="6"/>
    </row>
    <row r="215" spans="1:16" ht="60" customHeight="1" x14ac:dyDescent="0.45">
      <c r="A215" s="4"/>
      <c r="B215" s="4"/>
      <c r="C215" s="10" t="str">
        <f>IFERROR(VLOOKUP(B215,'Incident Intake'!$A:$G,7,FALSE())&amp;" "&amp;VLOOKUP(B215,'Incident Intake'!$A:$F,6,FALSE()),"")</f>
        <v/>
      </c>
      <c r="D215" s="10" t="str">
        <f>IFERROR(VLOOKUP(B215,'Incident Intake'!$A:$J,10,FALSE()),"")</f>
        <v/>
      </c>
      <c r="E215" s="8"/>
      <c r="F215" s="4"/>
      <c r="G215" s="4"/>
      <c r="H215" s="4"/>
      <c r="I215" s="4"/>
      <c r="J215" s="4"/>
      <c r="K215" s="4"/>
      <c r="L215" s="62"/>
      <c r="M215" s="4"/>
      <c r="N215" s="4"/>
      <c r="O215" s="4"/>
      <c r="P215" s="4"/>
    </row>
    <row r="216" spans="1:16" ht="60" customHeight="1" x14ac:dyDescent="0.45">
      <c r="A216" s="6"/>
      <c r="B216" s="6"/>
      <c r="C216" s="10" t="str">
        <f>IFERROR(VLOOKUP(B216,'Incident Intake'!$A:$G,7,FALSE())&amp;" "&amp;VLOOKUP(B216,'Incident Intake'!$A:$F,6,FALSE()),"")</f>
        <v/>
      </c>
      <c r="D216" s="10" t="str">
        <f>IFERROR(VLOOKUP(B216,'Incident Intake'!$A:$J,10,FALSE()),"")</f>
        <v/>
      </c>
      <c r="E216" s="12"/>
      <c r="F216" s="6"/>
      <c r="G216" s="6"/>
      <c r="H216" s="6"/>
      <c r="I216" s="6"/>
      <c r="J216" s="6"/>
      <c r="K216" s="6"/>
      <c r="L216" s="63"/>
      <c r="M216" s="6"/>
      <c r="N216" s="6"/>
      <c r="O216" s="6"/>
      <c r="P216" s="6"/>
    </row>
    <row r="217" spans="1:16" ht="60" customHeight="1" x14ac:dyDescent="0.45">
      <c r="A217" s="4"/>
      <c r="B217" s="4"/>
      <c r="C217" s="10" t="str">
        <f>IFERROR(VLOOKUP(B217,'Incident Intake'!$A:$G,7,FALSE())&amp;" "&amp;VLOOKUP(B217,'Incident Intake'!$A:$F,6,FALSE()),"")</f>
        <v/>
      </c>
      <c r="D217" s="10" t="str">
        <f>IFERROR(VLOOKUP(B217,'Incident Intake'!$A:$J,10,FALSE()),"")</f>
        <v/>
      </c>
      <c r="E217" s="8"/>
      <c r="F217" s="4"/>
      <c r="G217" s="4"/>
      <c r="H217" s="4"/>
      <c r="I217" s="4"/>
      <c r="J217" s="4"/>
      <c r="K217" s="4"/>
      <c r="L217" s="62"/>
      <c r="M217" s="4"/>
      <c r="N217" s="4"/>
      <c r="O217" s="4"/>
      <c r="P217" s="4"/>
    </row>
    <row r="218" spans="1:16" ht="60" customHeight="1" x14ac:dyDescent="0.45">
      <c r="A218" s="6"/>
      <c r="B218" s="6"/>
      <c r="C218" s="10" t="str">
        <f>IFERROR(VLOOKUP(B218,'Incident Intake'!$A:$G,7,FALSE())&amp;" "&amp;VLOOKUP(B218,'Incident Intake'!$A:$F,6,FALSE()),"")</f>
        <v/>
      </c>
      <c r="D218" s="10" t="str">
        <f>IFERROR(VLOOKUP(B218,'Incident Intake'!$A:$J,10,FALSE()),"")</f>
        <v/>
      </c>
      <c r="E218" s="12"/>
      <c r="F218" s="6"/>
      <c r="G218" s="6"/>
      <c r="H218" s="6"/>
      <c r="I218" s="6"/>
      <c r="J218" s="6"/>
      <c r="K218" s="6"/>
      <c r="L218" s="63"/>
      <c r="M218" s="6"/>
      <c r="N218" s="6"/>
      <c r="O218" s="6"/>
      <c r="P218" s="6"/>
    </row>
    <row r="219" spans="1:16" ht="60" customHeight="1" x14ac:dyDescent="0.45">
      <c r="A219" s="4"/>
      <c r="B219" s="4"/>
      <c r="C219" s="10" t="str">
        <f>IFERROR(VLOOKUP(B219,'Incident Intake'!$A:$G,7,FALSE())&amp;" "&amp;VLOOKUP(B219,'Incident Intake'!$A:$F,6,FALSE()),"")</f>
        <v/>
      </c>
      <c r="D219" s="10" t="str">
        <f>IFERROR(VLOOKUP(B219,'Incident Intake'!$A:$J,10,FALSE()),"")</f>
        <v/>
      </c>
      <c r="E219" s="8"/>
      <c r="F219" s="4"/>
      <c r="G219" s="4"/>
      <c r="H219" s="4"/>
      <c r="I219" s="4"/>
      <c r="J219" s="4"/>
      <c r="K219" s="4"/>
      <c r="L219" s="62"/>
      <c r="M219" s="4"/>
      <c r="N219" s="4"/>
      <c r="O219" s="4"/>
      <c r="P219" s="4"/>
    </row>
    <row r="220" spans="1:16" ht="60" customHeight="1" x14ac:dyDescent="0.45">
      <c r="A220" s="6"/>
      <c r="B220" s="6"/>
      <c r="C220" s="10" t="str">
        <f>IFERROR(VLOOKUP(B220,'Incident Intake'!$A:$G,7,FALSE())&amp;" "&amp;VLOOKUP(B220,'Incident Intake'!$A:$F,6,FALSE()),"")</f>
        <v/>
      </c>
      <c r="D220" s="10" t="str">
        <f>IFERROR(VLOOKUP(B220,'Incident Intake'!$A:$J,10,FALSE()),"")</f>
        <v/>
      </c>
      <c r="E220" s="12"/>
      <c r="F220" s="6"/>
      <c r="G220" s="6"/>
      <c r="H220" s="6"/>
      <c r="I220" s="6"/>
      <c r="J220" s="6"/>
      <c r="K220" s="6"/>
      <c r="L220" s="63"/>
      <c r="M220" s="6"/>
      <c r="N220" s="6"/>
      <c r="O220" s="6"/>
      <c r="P220" s="6"/>
    </row>
    <row r="221" spans="1:16" ht="60" customHeight="1" x14ac:dyDescent="0.45">
      <c r="A221" s="4"/>
      <c r="B221" s="4"/>
      <c r="C221" s="10" t="str">
        <f>IFERROR(VLOOKUP(B221,'Incident Intake'!$A:$G,7,FALSE())&amp;" "&amp;VLOOKUP(B221,'Incident Intake'!$A:$F,6,FALSE()),"")</f>
        <v/>
      </c>
      <c r="D221" s="10" t="str">
        <f>IFERROR(VLOOKUP(B221,'Incident Intake'!$A:$J,10,FALSE()),"")</f>
        <v/>
      </c>
      <c r="E221" s="8"/>
      <c r="F221" s="4"/>
      <c r="G221" s="4"/>
      <c r="H221" s="4"/>
      <c r="I221" s="4"/>
      <c r="J221" s="4"/>
      <c r="K221" s="4"/>
      <c r="L221" s="62"/>
      <c r="M221" s="4"/>
      <c r="N221" s="4"/>
      <c r="O221" s="4"/>
      <c r="P221" s="4"/>
    </row>
    <row r="222" spans="1:16" ht="60" customHeight="1" x14ac:dyDescent="0.45">
      <c r="A222" s="6"/>
      <c r="B222" s="6"/>
      <c r="C222" s="10" t="str">
        <f>IFERROR(VLOOKUP(B222,'Incident Intake'!$A:$G,7,FALSE())&amp;" "&amp;VLOOKUP(B222,'Incident Intake'!$A:$F,6,FALSE()),"")</f>
        <v/>
      </c>
      <c r="D222" s="10" t="str">
        <f>IFERROR(VLOOKUP(B222,'Incident Intake'!$A:$J,10,FALSE()),"")</f>
        <v/>
      </c>
      <c r="E222" s="12"/>
      <c r="F222" s="6"/>
      <c r="G222" s="6"/>
      <c r="H222" s="6"/>
      <c r="I222" s="6"/>
      <c r="J222" s="6"/>
      <c r="K222" s="6"/>
      <c r="L222" s="63"/>
      <c r="M222" s="6"/>
      <c r="N222" s="6"/>
      <c r="O222" s="6"/>
      <c r="P222" s="6"/>
    </row>
    <row r="223" spans="1:16" ht="60" customHeight="1" x14ac:dyDescent="0.45">
      <c r="A223" s="4"/>
      <c r="B223" s="4"/>
      <c r="C223" s="10" t="str">
        <f>IFERROR(VLOOKUP(B223,'Incident Intake'!$A:$G,7,FALSE())&amp;" "&amp;VLOOKUP(B223,'Incident Intake'!$A:$F,6,FALSE()),"")</f>
        <v/>
      </c>
      <c r="D223" s="10" t="str">
        <f>IFERROR(VLOOKUP(B223,'Incident Intake'!$A:$J,10,FALSE()),"")</f>
        <v/>
      </c>
      <c r="E223" s="8"/>
      <c r="F223" s="4"/>
      <c r="G223" s="4"/>
      <c r="H223" s="4"/>
      <c r="I223" s="4"/>
      <c r="J223" s="4"/>
      <c r="K223" s="4"/>
      <c r="L223" s="62"/>
      <c r="M223" s="4"/>
      <c r="N223" s="4"/>
      <c r="O223" s="4"/>
      <c r="P223" s="4"/>
    </row>
    <row r="224" spans="1:16" ht="60" customHeight="1" x14ac:dyDescent="0.45">
      <c r="A224" s="6"/>
      <c r="B224" s="6"/>
      <c r="C224" s="10" t="str">
        <f>IFERROR(VLOOKUP(B224,'Incident Intake'!$A:$G,7,FALSE())&amp;" "&amp;VLOOKUP(B224,'Incident Intake'!$A:$F,6,FALSE()),"")</f>
        <v/>
      </c>
      <c r="D224" s="10" t="str">
        <f>IFERROR(VLOOKUP(B224,'Incident Intake'!$A:$J,10,FALSE()),"")</f>
        <v/>
      </c>
      <c r="E224" s="12"/>
      <c r="F224" s="6"/>
      <c r="G224" s="6"/>
      <c r="H224" s="6"/>
      <c r="I224" s="6"/>
      <c r="J224" s="6"/>
      <c r="K224" s="6"/>
      <c r="L224" s="63"/>
      <c r="M224" s="6"/>
      <c r="N224" s="6"/>
      <c r="O224" s="6"/>
      <c r="P224" s="6"/>
    </row>
    <row r="225" spans="1:16" ht="60" customHeight="1" x14ac:dyDescent="0.45">
      <c r="A225" s="4"/>
      <c r="B225" s="4"/>
      <c r="C225" s="10" t="str">
        <f>IFERROR(VLOOKUP(B225,'Incident Intake'!$A:$G,7,FALSE())&amp;" "&amp;VLOOKUP(B225,'Incident Intake'!$A:$F,6,FALSE()),"")</f>
        <v/>
      </c>
      <c r="D225" s="10" t="str">
        <f>IFERROR(VLOOKUP(B225,'Incident Intake'!$A:$J,10,FALSE()),"")</f>
        <v/>
      </c>
      <c r="E225" s="8"/>
      <c r="F225" s="4"/>
      <c r="G225" s="4"/>
      <c r="H225" s="4"/>
      <c r="I225" s="4"/>
      <c r="J225" s="4"/>
      <c r="K225" s="4"/>
      <c r="L225" s="62"/>
      <c r="M225" s="4"/>
      <c r="N225" s="4"/>
      <c r="O225" s="4"/>
      <c r="P225" s="4"/>
    </row>
    <row r="226" spans="1:16" ht="60" customHeight="1" x14ac:dyDescent="0.45">
      <c r="A226" s="6"/>
      <c r="B226" s="6"/>
      <c r="C226" s="10" t="str">
        <f>IFERROR(VLOOKUP(B226,'Incident Intake'!$A:$G,7,FALSE())&amp;" "&amp;VLOOKUP(B226,'Incident Intake'!$A:$F,6,FALSE()),"")</f>
        <v/>
      </c>
      <c r="D226" s="10" t="str">
        <f>IFERROR(VLOOKUP(B226,'Incident Intake'!$A:$J,10,FALSE()),"")</f>
        <v/>
      </c>
      <c r="E226" s="12"/>
      <c r="F226" s="6"/>
      <c r="G226" s="6"/>
      <c r="H226" s="6"/>
      <c r="I226" s="6"/>
      <c r="J226" s="6"/>
      <c r="K226" s="6"/>
      <c r="L226" s="63"/>
      <c r="M226" s="6"/>
      <c r="N226" s="6"/>
      <c r="O226" s="6"/>
      <c r="P226" s="6"/>
    </row>
    <row r="227" spans="1:16" ht="60" customHeight="1" x14ac:dyDescent="0.45">
      <c r="A227" s="4"/>
      <c r="B227" s="4"/>
      <c r="C227" s="10" t="str">
        <f>IFERROR(VLOOKUP(B227,'Incident Intake'!$A:$G,7,FALSE())&amp;" "&amp;VLOOKUP(B227,'Incident Intake'!$A:$F,6,FALSE()),"")</f>
        <v/>
      </c>
      <c r="D227" s="10" t="str">
        <f>IFERROR(VLOOKUP(B227,'Incident Intake'!$A:$J,10,FALSE()),"")</f>
        <v/>
      </c>
      <c r="E227" s="8"/>
      <c r="F227" s="4"/>
      <c r="G227" s="4"/>
      <c r="H227" s="4"/>
      <c r="I227" s="4"/>
      <c r="J227" s="4"/>
      <c r="K227" s="4"/>
      <c r="L227" s="62"/>
      <c r="M227" s="4"/>
      <c r="N227" s="4"/>
      <c r="O227" s="4"/>
      <c r="P227" s="4"/>
    </row>
    <row r="228" spans="1:16" ht="60" customHeight="1" x14ac:dyDescent="0.45">
      <c r="A228" s="6"/>
      <c r="B228" s="6"/>
      <c r="C228" s="10" t="str">
        <f>IFERROR(VLOOKUP(B228,'Incident Intake'!$A:$G,7,FALSE())&amp;" "&amp;VLOOKUP(B228,'Incident Intake'!$A:$F,6,FALSE()),"")</f>
        <v/>
      </c>
      <c r="D228" s="10" t="str">
        <f>IFERROR(VLOOKUP(B228,'Incident Intake'!$A:$J,10,FALSE()),"")</f>
        <v/>
      </c>
      <c r="E228" s="12"/>
      <c r="F228" s="6"/>
      <c r="G228" s="6"/>
      <c r="H228" s="6"/>
      <c r="I228" s="6"/>
      <c r="J228" s="6"/>
      <c r="K228" s="6"/>
      <c r="L228" s="63"/>
      <c r="M228" s="6"/>
      <c r="N228" s="6"/>
      <c r="O228" s="6"/>
      <c r="P228" s="6"/>
    </row>
    <row r="229" spans="1:16" ht="60" customHeight="1" x14ac:dyDescent="0.45">
      <c r="A229" s="4"/>
      <c r="B229" s="4"/>
      <c r="C229" s="10" t="str">
        <f>IFERROR(VLOOKUP(B229,'Incident Intake'!$A:$G,7,FALSE())&amp;" "&amp;VLOOKUP(B229,'Incident Intake'!$A:$F,6,FALSE()),"")</f>
        <v/>
      </c>
      <c r="D229" s="10" t="str">
        <f>IFERROR(VLOOKUP(B229,'Incident Intake'!$A:$J,10,FALSE()),"")</f>
        <v/>
      </c>
      <c r="E229" s="8"/>
      <c r="F229" s="4"/>
      <c r="G229" s="4"/>
      <c r="H229" s="4"/>
      <c r="I229" s="4"/>
      <c r="J229" s="4"/>
      <c r="K229" s="4"/>
      <c r="L229" s="62"/>
      <c r="M229" s="4"/>
      <c r="N229" s="4"/>
      <c r="O229" s="4"/>
      <c r="P229" s="4"/>
    </row>
    <row r="230" spans="1:16" ht="60" customHeight="1" x14ac:dyDescent="0.45">
      <c r="A230" s="6"/>
      <c r="B230" s="6"/>
      <c r="C230" s="10" t="str">
        <f>IFERROR(VLOOKUP(B230,'Incident Intake'!$A:$G,7,FALSE())&amp;" "&amp;VLOOKUP(B230,'Incident Intake'!$A:$F,6,FALSE()),"")</f>
        <v/>
      </c>
      <c r="D230" s="10" t="str">
        <f>IFERROR(VLOOKUP(B230,'Incident Intake'!$A:$J,10,FALSE()),"")</f>
        <v/>
      </c>
      <c r="E230" s="12"/>
      <c r="F230" s="6"/>
      <c r="G230" s="6"/>
      <c r="H230" s="6"/>
      <c r="I230" s="6"/>
      <c r="J230" s="6"/>
      <c r="K230" s="6"/>
      <c r="L230" s="63"/>
      <c r="M230" s="6"/>
      <c r="N230" s="6"/>
      <c r="O230" s="6"/>
      <c r="P230" s="6"/>
    </row>
    <row r="231" spans="1:16" ht="60" customHeight="1" x14ac:dyDescent="0.45">
      <c r="A231" s="4"/>
      <c r="B231" s="4"/>
      <c r="C231" s="10" t="str">
        <f>IFERROR(VLOOKUP(B231,'Incident Intake'!$A:$G,7,FALSE())&amp;" "&amp;VLOOKUP(B231,'Incident Intake'!$A:$F,6,FALSE()),"")</f>
        <v/>
      </c>
      <c r="D231" s="10" t="str">
        <f>IFERROR(VLOOKUP(B231,'Incident Intake'!$A:$J,10,FALSE()),"")</f>
        <v/>
      </c>
      <c r="E231" s="8"/>
      <c r="F231" s="4"/>
      <c r="G231" s="4"/>
      <c r="H231" s="4"/>
      <c r="I231" s="4"/>
      <c r="J231" s="4"/>
      <c r="K231" s="4"/>
      <c r="L231" s="62"/>
      <c r="M231" s="4"/>
      <c r="N231" s="4"/>
      <c r="O231" s="4"/>
      <c r="P231" s="4"/>
    </row>
    <row r="232" spans="1:16" ht="60" customHeight="1" x14ac:dyDescent="0.45">
      <c r="A232" s="6"/>
      <c r="B232" s="6"/>
      <c r="C232" s="10" t="str">
        <f>IFERROR(VLOOKUP(B232,'Incident Intake'!$A:$G,7,FALSE())&amp;" "&amp;VLOOKUP(B232,'Incident Intake'!$A:$F,6,FALSE()),"")</f>
        <v/>
      </c>
      <c r="D232" s="10" t="str">
        <f>IFERROR(VLOOKUP(B232,'Incident Intake'!$A:$J,10,FALSE()),"")</f>
        <v/>
      </c>
      <c r="E232" s="12"/>
      <c r="F232" s="6"/>
      <c r="G232" s="6"/>
      <c r="H232" s="6"/>
      <c r="I232" s="6"/>
      <c r="J232" s="6"/>
      <c r="K232" s="6"/>
      <c r="L232" s="63"/>
      <c r="M232" s="6"/>
      <c r="N232" s="6"/>
      <c r="O232" s="6"/>
      <c r="P232" s="6"/>
    </row>
    <row r="233" spans="1:16" ht="60" customHeight="1" x14ac:dyDescent="0.45">
      <c r="A233" s="4"/>
      <c r="B233" s="4"/>
      <c r="C233" s="10" t="str">
        <f>IFERROR(VLOOKUP(B233,'Incident Intake'!$A:$G,7,FALSE())&amp;" "&amp;VLOOKUP(B233,'Incident Intake'!$A:$F,6,FALSE()),"")</f>
        <v/>
      </c>
      <c r="D233" s="10" t="str">
        <f>IFERROR(VLOOKUP(B233,'Incident Intake'!$A:$J,10,FALSE()),"")</f>
        <v/>
      </c>
      <c r="E233" s="8"/>
      <c r="F233" s="4"/>
      <c r="G233" s="4"/>
      <c r="H233" s="4"/>
      <c r="I233" s="4"/>
      <c r="J233" s="4"/>
      <c r="K233" s="4"/>
      <c r="L233" s="62"/>
      <c r="M233" s="4"/>
      <c r="N233" s="4"/>
      <c r="O233" s="4"/>
      <c r="P233" s="4"/>
    </row>
    <row r="234" spans="1:16" ht="60" customHeight="1" x14ac:dyDescent="0.45">
      <c r="A234" s="6"/>
      <c r="B234" s="6"/>
      <c r="C234" s="10" t="str">
        <f>IFERROR(VLOOKUP(B234,'Incident Intake'!$A:$G,7,FALSE())&amp;" "&amp;VLOOKUP(B234,'Incident Intake'!$A:$F,6,FALSE()),"")</f>
        <v/>
      </c>
      <c r="D234" s="10" t="str">
        <f>IFERROR(VLOOKUP(B234,'Incident Intake'!$A:$J,10,FALSE()),"")</f>
        <v/>
      </c>
      <c r="E234" s="12"/>
      <c r="F234" s="6"/>
      <c r="G234" s="6"/>
      <c r="H234" s="6"/>
      <c r="I234" s="6"/>
      <c r="J234" s="6"/>
      <c r="K234" s="6"/>
      <c r="L234" s="63"/>
      <c r="M234" s="6"/>
      <c r="N234" s="6"/>
      <c r="O234" s="6"/>
      <c r="P234" s="6"/>
    </row>
    <row r="235" spans="1:16" ht="60" customHeight="1" x14ac:dyDescent="0.45">
      <c r="A235" s="4"/>
      <c r="B235" s="4"/>
      <c r="C235" s="10" t="str">
        <f>IFERROR(VLOOKUP(B235,'Incident Intake'!$A:$G,7,FALSE())&amp;" "&amp;VLOOKUP(B235,'Incident Intake'!$A:$F,6,FALSE()),"")</f>
        <v/>
      </c>
      <c r="D235" s="10" t="str">
        <f>IFERROR(VLOOKUP(B235,'Incident Intake'!$A:$J,10,FALSE()),"")</f>
        <v/>
      </c>
      <c r="E235" s="8"/>
      <c r="F235" s="4"/>
      <c r="G235" s="4"/>
      <c r="H235" s="4"/>
      <c r="I235" s="4"/>
      <c r="J235" s="4"/>
      <c r="K235" s="4"/>
      <c r="L235" s="62"/>
      <c r="M235" s="4"/>
      <c r="N235" s="4"/>
      <c r="O235" s="4"/>
      <c r="P235" s="4"/>
    </row>
    <row r="236" spans="1:16" ht="60" customHeight="1" x14ac:dyDescent="0.45">
      <c r="A236" s="6"/>
      <c r="B236" s="6"/>
      <c r="C236" s="10" t="str">
        <f>IFERROR(VLOOKUP(B236,'Incident Intake'!$A:$G,7,FALSE())&amp;" "&amp;VLOOKUP(B236,'Incident Intake'!$A:$F,6,FALSE()),"")</f>
        <v/>
      </c>
      <c r="D236" s="10" t="str">
        <f>IFERROR(VLOOKUP(B236,'Incident Intake'!$A:$J,10,FALSE()),"")</f>
        <v/>
      </c>
      <c r="E236" s="12"/>
      <c r="F236" s="6"/>
      <c r="G236" s="6"/>
      <c r="H236" s="6"/>
      <c r="I236" s="6"/>
      <c r="J236" s="6"/>
      <c r="K236" s="6"/>
      <c r="L236" s="63"/>
      <c r="M236" s="6"/>
      <c r="N236" s="6"/>
      <c r="O236" s="6"/>
      <c r="P236" s="6"/>
    </row>
    <row r="237" spans="1:16" ht="60" customHeight="1" x14ac:dyDescent="0.45">
      <c r="A237" s="4"/>
      <c r="B237" s="4"/>
      <c r="C237" s="10" t="str">
        <f>IFERROR(VLOOKUP(B237,'Incident Intake'!$A:$G,7,FALSE())&amp;" "&amp;VLOOKUP(B237,'Incident Intake'!$A:$F,6,FALSE()),"")</f>
        <v/>
      </c>
      <c r="D237" s="10" t="str">
        <f>IFERROR(VLOOKUP(B237,'Incident Intake'!$A:$J,10,FALSE()),"")</f>
        <v/>
      </c>
      <c r="E237" s="8"/>
      <c r="F237" s="4"/>
      <c r="G237" s="4"/>
      <c r="H237" s="4"/>
      <c r="I237" s="4"/>
      <c r="J237" s="4"/>
      <c r="K237" s="4"/>
      <c r="L237" s="62"/>
      <c r="M237" s="4"/>
      <c r="N237" s="4"/>
      <c r="O237" s="4"/>
      <c r="P237" s="4"/>
    </row>
    <row r="238" spans="1:16" ht="60" customHeight="1" x14ac:dyDescent="0.45">
      <c r="A238" s="6"/>
      <c r="B238" s="6"/>
      <c r="C238" s="10" t="str">
        <f>IFERROR(VLOOKUP(B238,'Incident Intake'!$A:$G,7,FALSE())&amp;" "&amp;VLOOKUP(B238,'Incident Intake'!$A:$F,6,FALSE()),"")</f>
        <v/>
      </c>
      <c r="D238" s="10" t="str">
        <f>IFERROR(VLOOKUP(B238,'Incident Intake'!$A:$J,10,FALSE()),"")</f>
        <v/>
      </c>
      <c r="E238" s="12"/>
      <c r="F238" s="6"/>
      <c r="G238" s="6"/>
      <c r="H238" s="6"/>
      <c r="I238" s="6"/>
      <c r="J238" s="6"/>
      <c r="K238" s="6"/>
      <c r="L238" s="63"/>
      <c r="M238" s="6"/>
      <c r="N238" s="6"/>
      <c r="O238" s="6"/>
      <c r="P238" s="6"/>
    </row>
    <row r="239" spans="1:16" ht="60" customHeight="1" x14ac:dyDescent="0.45">
      <c r="A239" s="4"/>
      <c r="B239" s="4"/>
      <c r="C239" s="10" t="str">
        <f>IFERROR(VLOOKUP(B239,'Incident Intake'!$A:$G,7,FALSE())&amp;" "&amp;VLOOKUP(B239,'Incident Intake'!$A:$F,6,FALSE()),"")</f>
        <v/>
      </c>
      <c r="D239" s="10" t="str">
        <f>IFERROR(VLOOKUP(B239,'Incident Intake'!$A:$J,10,FALSE()),"")</f>
        <v/>
      </c>
      <c r="E239" s="8"/>
      <c r="F239" s="4"/>
      <c r="G239" s="4"/>
      <c r="H239" s="4"/>
      <c r="I239" s="4"/>
      <c r="J239" s="4"/>
      <c r="K239" s="4"/>
      <c r="L239" s="62"/>
      <c r="M239" s="4"/>
      <c r="N239" s="4"/>
      <c r="O239" s="4"/>
      <c r="P239" s="4"/>
    </row>
    <row r="240" spans="1:16" ht="60" customHeight="1" x14ac:dyDescent="0.45">
      <c r="A240" s="6"/>
      <c r="B240" s="6"/>
      <c r="C240" s="10" t="str">
        <f>IFERROR(VLOOKUP(B240,'Incident Intake'!$A:$G,7,FALSE())&amp;" "&amp;VLOOKUP(B240,'Incident Intake'!$A:$F,6,FALSE()),"")</f>
        <v/>
      </c>
      <c r="D240" s="10" t="str">
        <f>IFERROR(VLOOKUP(B240,'Incident Intake'!$A:$J,10,FALSE()),"")</f>
        <v/>
      </c>
      <c r="E240" s="12"/>
      <c r="F240" s="6"/>
      <c r="G240" s="6"/>
      <c r="H240" s="6"/>
      <c r="I240" s="6"/>
      <c r="J240" s="6"/>
      <c r="K240" s="6"/>
      <c r="L240" s="63"/>
      <c r="M240" s="6"/>
      <c r="N240" s="6"/>
      <c r="O240" s="6"/>
      <c r="P240" s="6"/>
    </row>
    <row r="241" spans="1:16" ht="60" customHeight="1" x14ac:dyDescent="0.45">
      <c r="A241" s="4"/>
      <c r="B241" s="4"/>
      <c r="C241" s="10" t="str">
        <f>IFERROR(VLOOKUP(B241,'Incident Intake'!$A:$G,7,FALSE())&amp;" "&amp;VLOOKUP(B241,'Incident Intake'!$A:$F,6,FALSE()),"")</f>
        <v/>
      </c>
      <c r="D241" s="10" t="str">
        <f>IFERROR(VLOOKUP(B241,'Incident Intake'!$A:$J,10,FALSE()),"")</f>
        <v/>
      </c>
      <c r="E241" s="8"/>
      <c r="F241" s="4"/>
      <c r="G241" s="4"/>
      <c r="H241" s="4"/>
      <c r="I241" s="4"/>
      <c r="J241" s="4"/>
      <c r="K241" s="4"/>
      <c r="L241" s="62"/>
      <c r="M241" s="4"/>
      <c r="N241" s="4"/>
      <c r="O241" s="4"/>
      <c r="P241" s="4"/>
    </row>
    <row r="242" spans="1:16" ht="60" customHeight="1" x14ac:dyDescent="0.45">
      <c r="A242" s="6"/>
      <c r="B242" s="6"/>
      <c r="C242" s="10" t="str">
        <f>IFERROR(VLOOKUP(B242,'Incident Intake'!$A:$G,7,FALSE())&amp;" "&amp;VLOOKUP(B242,'Incident Intake'!$A:$F,6,FALSE()),"")</f>
        <v/>
      </c>
      <c r="D242" s="10" t="str">
        <f>IFERROR(VLOOKUP(B242,'Incident Intake'!$A:$J,10,FALSE()),"")</f>
        <v/>
      </c>
      <c r="E242" s="12"/>
      <c r="F242" s="6"/>
      <c r="G242" s="6"/>
      <c r="H242" s="6"/>
      <c r="I242" s="6"/>
      <c r="J242" s="6"/>
      <c r="K242" s="6"/>
      <c r="L242" s="63"/>
      <c r="M242" s="6"/>
      <c r="N242" s="6"/>
      <c r="O242" s="6"/>
      <c r="P242" s="6"/>
    </row>
    <row r="243" spans="1:16" ht="60" customHeight="1" x14ac:dyDescent="0.45">
      <c r="A243" s="4"/>
      <c r="B243" s="4"/>
      <c r="C243" s="10" t="str">
        <f>IFERROR(VLOOKUP(B243,'Incident Intake'!$A:$G,7,FALSE())&amp;" "&amp;VLOOKUP(B243,'Incident Intake'!$A:$F,6,FALSE()),"")</f>
        <v/>
      </c>
      <c r="D243" s="10" t="str">
        <f>IFERROR(VLOOKUP(B243,'Incident Intake'!$A:$J,10,FALSE()),"")</f>
        <v/>
      </c>
      <c r="E243" s="8"/>
      <c r="F243" s="4"/>
      <c r="G243" s="4"/>
      <c r="H243" s="4"/>
      <c r="I243" s="4"/>
      <c r="J243" s="4"/>
      <c r="K243" s="4"/>
      <c r="L243" s="62"/>
      <c r="M243" s="4"/>
      <c r="N243" s="4"/>
      <c r="O243" s="4"/>
      <c r="P243" s="4"/>
    </row>
    <row r="244" spans="1:16" ht="60" customHeight="1" x14ac:dyDescent="0.45">
      <c r="A244" s="6"/>
      <c r="B244" s="6"/>
      <c r="C244" s="10" t="str">
        <f>IFERROR(VLOOKUP(B244,'Incident Intake'!$A:$G,7,FALSE())&amp;" "&amp;VLOOKUP(B244,'Incident Intake'!$A:$F,6,FALSE()),"")</f>
        <v/>
      </c>
      <c r="D244" s="10" t="str">
        <f>IFERROR(VLOOKUP(B244,'Incident Intake'!$A:$J,10,FALSE()),"")</f>
        <v/>
      </c>
      <c r="E244" s="12"/>
      <c r="F244" s="6"/>
      <c r="G244" s="6"/>
      <c r="H244" s="6"/>
      <c r="I244" s="6"/>
      <c r="J244" s="6"/>
      <c r="K244" s="6"/>
      <c r="L244" s="63"/>
      <c r="M244" s="6"/>
      <c r="N244" s="6"/>
      <c r="O244" s="6"/>
      <c r="P244" s="6"/>
    </row>
    <row r="245" spans="1:16" ht="60" customHeight="1" x14ac:dyDescent="0.45">
      <c r="A245" s="4"/>
      <c r="B245" s="4"/>
      <c r="C245" s="10" t="str">
        <f>IFERROR(VLOOKUP(B245,'Incident Intake'!$A:$G,7,FALSE())&amp;" "&amp;VLOOKUP(B245,'Incident Intake'!$A:$F,6,FALSE()),"")</f>
        <v/>
      </c>
      <c r="D245" s="10" t="str">
        <f>IFERROR(VLOOKUP(B245,'Incident Intake'!$A:$J,10,FALSE()),"")</f>
        <v/>
      </c>
      <c r="E245" s="8"/>
      <c r="F245" s="4"/>
      <c r="G245" s="4"/>
      <c r="H245" s="4"/>
      <c r="I245" s="4"/>
      <c r="J245" s="4"/>
      <c r="K245" s="4"/>
      <c r="L245" s="62"/>
      <c r="M245" s="4"/>
      <c r="N245" s="4"/>
      <c r="O245" s="4"/>
      <c r="P245" s="4"/>
    </row>
    <row r="246" spans="1:16" ht="60" customHeight="1" x14ac:dyDescent="0.45">
      <c r="A246" s="6"/>
      <c r="B246" s="6"/>
      <c r="C246" s="10" t="str">
        <f>IFERROR(VLOOKUP(B246,'Incident Intake'!$A:$G,7,FALSE())&amp;" "&amp;VLOOKUP(B246,'Incident Intake'!$A:$F,6,FALSE()),"")</f>
        <v/>
      </c>
      <c r="D246" s="10" t="str">
        <f>IFERROR(VLOOKUP(B246,'Incident Intake'!$A:$J,10,FALSE()),"")</f>
        <v/>
      </c>
      <c r="E246" s="12"/>
      <c r="F246" s="6"/>
      <c r="G246" s="6"/>
      <c r="H246" s="6"/>
      <c r="I246" s="6"/>
      <c r="J246" s="6"/>
      <c r="K246" s="6"/>
      <c r="L246" s="63"/>
      <c r="M246" s="6"/>
      <c r="N246" s="6"/>
      <c r="O246" s="6"/>
      <c r="P246" s="6"/>
    </row>
    <row r="247" spans="1:16" ht="60" customHeight="1" x14ac:dyDescent="0.45">
      <c r="A247" s="4"/>
      <c r="B247" s="4"/>
      <c r="C247" s="10" t="str">
        <f>IFERROR(VLOOKUP(B247,'Incident Intake'!$A:$G,7,FALSE())&amp;" "&amp;VLOOKUP(B247,'Incident Intake'!$A:$F,6,FALSE()),"")</f>
        <v/>
      </c>
      <c r="D247" s="10" t="str">
        <f>IFERROR(VLOOKUP(B247,'Incident Intake'!$A:$J,10,FALSE()),"")</f>
        <v/>
      </c>
      <c r="E247" s="8"/>
      <c r="F247" s="4"/>
      <c r="G247" s="4"/>
      <c r="H247" s="4"/>
      <c r="I247" s="4"/>
      <c r="J247" s="4"/>
      <c r="K247" s="4"/>
      <c r="L247" s="62"/>
      <c r="M247" s="4"/>
      <c r="N247" s="4"/>
      <c r="O247" s="4"/>
      <c r="P247" s="4"/>
    </row>
    <row r="248" spans="1:16" ht="60" customHeight="1" x14ac:dyDescent="0.45">
      <c r="A248" s="6"/>
      <c r="B248" s="6"/>
      <c r="C248" s="10" t="str">
        <f>IFERROR(VLOOKUP(B248,'Incident Intake'!$A:$G,7,FALSE())&amp;" "&amp;VLOOKUP(B248,'Incident Intake'!$A:$F,6,FALSE()),"")</f>
        <v/>
      </c>
      <c r="D248" s="10" t="str">
        <f>IFERROR(VLOOKUP(B248,'Incident Intake'!$A:$J,10,FALSE()),"")</f>
        <v/>
      </c>
      <c r="E248" s="12"/>
      <c r="F248" s="6"/>
      <c r="G248" s="6"/>
      <c r="H248" s="6"/>
      <c r="I248" s="6"/>
      <c r="J248" s="6"/>
      <c r="K248" s="6"/>
      <c r="L248" s="63"/>
      <c r="M248" s="6"/>
      <c r="N248" s="6"/>
      <c r="O248" s="6"/>
      <c r="P248" s="6"/>
    </row>
    <row r="249" spans="1:16" ht="60" customHeight="1" x14ac:dyDescent="0.45">
      <c r="A249" s="4"/>
      <c r="B249" s="4"/>
      <c r="C249" s="10" t="str">
        <f>IFERROR(VLOOKUP(B249,'Incident Intake'!$A:$G,7,FALSE())&amp;" "&amp;VLOOKUP(B249,'Incident Intake'!$A:$F,6,FALSE()),"")</f>
        <v/>
      </c>
      <c r="D249" s="10" t="str">
        <f>IFERROR(VLOOKUP(B249,'Incident Intake'!$A:$J,10,FALSE()),"")</f>
        <v/>
      </c>
      <c r="E249" s="8"/>
      <c r="F249" s="4"/>
      <c r="G249" s="4"/>
      <c r="H249" s="4"/>
      <c r="I249" s="4"/>
      <c r="J249" s="4"/>
      <c r="K249" s="4"/>
      <c r="L249" s="62"/>
      <c r="M249" s="4"/>
      <c r="N249" s="4"/>
      <c r="O249" s="4"/>
      <c r="P249" s="4"/>
    </row>
    <row r="250" spans="1:16" ht="60" customHeight="1" x14ac:dyDescent="0.45">
      <c r="A250" s="6"/>
      <c r="B250" s="6"/>
      <c r="C250" s="10" t="str">
        <f>IFERROR(VLOOKUP(B250,'Incident Intake'!$A:$G,7,FALSE())&amp;" "&amp;VLOOKUP(B250,'Incident Intake'!$A:$F,6,FALSE()),"")</f>
        <v/>
      </c>
      <c r="D250" s="10" t="str">
        <f>IFERROR(VLOOKUP(B250,'Incident Intake'!$A:$J,10,FALSE()),"")</f>
        <v/>
      </c>
      <c r="E250" s="12"/>
      <c r="F250" s="6"/>
      <c r="G250" s="6"/>
      <c r="H250" s="6"/>
      <c r="I250" s="6"/>
      <c r="J250" s="6"/>
      <c r="K250" s="6"/>
      <c r="L250" s="63"/>
      <c r="M250" s="6"/>
      <c r="N250" s="6"/>
      <c r="O250" s="6"/>
      <c r="P250" s="6"/>
    </row>
    <row r="251" spans="1:16" ht="60" customHeight="1" x14ac:dyDescent="0.45">
      <c r="A251" s="4"/>
      <c r="B251" s="4"/>
      <c r="C251" s="10" t="str">
        <f>IFERROR(VLOOKUP(B251,'Incident Intake'!$A:$G,7,FALSE())&amp;" "&amp;VLOOKUP(B251,'Incident Intake'!$A:$F,6,FALSE()),"")</f>
        <v/>
      </c>
      <c r="D251" s="10" t="str">
        <f>IFERROR(VLOOKUP(B251,'Incident Intake'!$A:$J,10,FALSE()),"")</f>
        <v/>
      </c>
      <c r="E251" s="8"/>
      <c r="F251" s="4"/>
      <c r="G251" s="4"/>
      <c r="H251" s="4"/>
      <c r="I251" s="4"/>
      <c r="J251" s="4"/>
      <c r="K251" s="4"/>
      <c r="L251" s="62"/>
      <c r="M251" s="4"/>
      <c r="N251" s="4"/>
      <c r="O251" s="4"/>
      <c r="P251" s="4"/>
    </row>
    <row r="252" spans="1:16" ht="60" customHeight="1" x14ac:dyDescent="0.45">
      <c r="A252" s="6"/>
      <c r="B252" s="6"/>
      <c r="C252" s="10" t="str">
        <f>IFERROR(VLOOKUP(B252,'Incident Intake'!$A:$G,7,FALSE())&amp;" "&amp;VLOOKUP(B252,'Incident Intake'!$A:$F,6,FALSE()),"")</f>
        <v/>
      </c>
      <c r="D252" s="10" t="str">
        <f>IFERROR(VLOOKUP(B252,'Incident Intake'!$A:$J,10,FALSE()),"")</f>
        <v/>
      </c>
      <c r="E252" s="12"/>
      <c r="F252" s="6"/>
      <c r="G252" s="6"/>
      <c r="H252" s="6"/>
      <c r="I252" s="6"/>
      <c r="J252" s="6"/>
      <c r="K252" s="6"/>
      <c r="L252" s="63"/>
      <c r="M252" s="6"/>
      <c r="N252" s="6"/>
      <c r="O252" s="6"/>
      <c r="P252" s="6"/>
    </row>
    <row r="253" spans="1:16" ht="60" customHeight="1" x14ac:dyDescent="0.45">
      <c r="A253" s="4"/>
      <c r="B253" s="4"/>
      <c r="C253" s="10" t="str">
        <f>IFERROR(VLOOKUP(B253,'Incident Intake'!$A:$G,7,FALSE())&amp;" "&amp;VLOOKUP(B253,'Incident Intake'!$A:$F,6,FALSE()),"")</f>
        <v/>
      </c>
      <c r="D253" s="10" t="str">
        <f>IFERROR(VLOOKUP(B253,'Incident Intake'!$A:$J,10,FALSE()),"")</f>
        <v/>
      </c>
      <c r="E253" s="8"/>
      <c r="F253" s="4"/>
      <c r="G253" s="4"/>
      <c r="H253" s="4"/>
      <c r="I253" s="4"/>
      <c r="J253" s="4"/>
      <c r="K253" s="4"/>
      <c r="L253" s="62"/>
      <c r="M253" s="4"/>
      <c r="N253" s="4"/>
      <c r="O253" s="4"/>
      <c r="P253" s="4"/>
    </row>
    <row r="254" spans="1:16" ht="60" customHeight="1" x14ac:dyDescent="0.45">
      <c r="A254" s="6"/>
      <c r="B254" s="6"/>
      <c r="C254" s="10" t="str">
        <f>IFERROR(VLOOKUP(B254,'Incident Intake'!$A:$G,7,FALSE())&amp;" "&amp;VLOOKUP(B254,'Incident Intake'!$A:$F,6,FALSE()),"")</f>
        <v/>
      </c>
      <c r="D254" s="10" t="str">
        <f>IFERROR(VLOOKUP(B254,'Incident Intake'!$A:$J,10,FALSE()),"")</f>
        <v/>
      </c>
      <c r="E254" s="12"/>
      <c r="F254" s="6"/>
      <c r="G254" s="6"/>
      <c r="H254" s="6"/>
      <c r="I254" s="6"/>
      <c r="J254" s="6"/>
      <c r="K254" s="6"/>
      <c r="L254" s="63"/>
      <c r="M254" s="6"/>
      <c r="N254" s="6"/>
      <c r="O254" s="6"/>
      <c r="P254" s="6"/>
    </row>
    <row r="255" spans="1:16" ht="60" customHeight="1" x14ac:dyDescent="0.45">
      <c r="A255" s="4"/>
      <c r="B255" s="4"/>
      <c r="C255" s="10" t="str">
        <f>IFERROR(VLOOKUP(B255,'Incident Intake'!$A:$G,7,FALSE())&amp;" "&amp;VLOOKUP(B255,'Incident Intake'!$A:$F,6,FALSE()),"")</f>
        <v/>
      </c>
      <c r="D255" s="10" t="str">
        <f>IFERROR(VLOOKUP(B255,'Incident Intake'!$A:$J,10,FALSE()),"")</f>
        <v/>
      </c>
      <c r="E255" s="8"/>
      <c r="F255" s="4"/>
      <c r="G255" s="4"/>
      <c r="H255" s="4"/>
      <c r="I255" s="4"/>
      <c r="J255" s="4"/>
      <c r="K255" s="4"/>
      <c r="L255" s="62"/>
      <c r="M255" s="4"/>
      <c r="N255" s="4"/>
      <c r="O255" s="4"/>
      <c r="P255" s="4"/>
    </row>
    <row r="256" spans="1:16" ht="60" customHeight="1" x14ac:dyDescent="0.45">
      <c r="A256" s="6"/>
      <c r="B256" s="6"/>
      <c r="C256" s="10" t="str">
        <f>IFERROR(VLOOKUP(B256,'Incident Intake'!$A:$G,7,FALSE())&amp;" "&amp;VLOOKUP(B256,'Incident Intake'!$A:$F,6,FALSE()),"")</f>
        <v/>
      </c>
      <c r="D256" s="10" t="str">
        <f>IFERROR(VLOOKUP(B256,'Incident Intake'!$A:$J,10,FALSE()),"")</f>
        <v/>
      </c>
      <c r="E256" s="12"/>
      <c r="F256" s="6"/>
      <c r="G256" s="6"/>
      <c r="H256" s="6"/>
      <c r="I256" s="6"/>
      <c r="J256" s="6"/>
      <c r="K256" s="6"/>
      <c r="L256" s="63"/>
      <c r="M256" s="6"/>
      <c r="N256" s="6"/>
      <c r="O256" s="6"/>
      <c r="P256" s="6"/>
    </row>
    <row r="257" spans="1:16" ht="60" customHeight="1" x14ac:dyDescent="0.45">
      <c r="A257" s="4"/>
      <c r="B257" s="4"/>
      <c r="C257" s="10" t="str">
        <f>IFERROR(VLOOKUP(B257,'Incident Intake'!$A:$G,7,FALSE())&amp;" "&amp;VLOOKUP(B257,'Incident Intake'!$A:$F,6,FALSE()),"")</f>
        <v/>
      </c>
      <c r="D257" s="10" t="str">
        <f>IFERROR(VLOOKUP(B257,'Incident Intake'!$A:$J,10,FALSE()),"")</f>
        <v/>
      </c>
      <c r="E257" s="8"/>
      <c r="F257" s="4"/>
      <c r="G257" s="4"/>
      <c r="H257" s="4"/>
      <c r="I257" s="4"/>
      <c r="J257" s="4"/>
      <c r="K257" s="4"/>
      <c r="L257" s="62"/>
      <c r="M257" s="4"/>
      <c r="N257" s="4"/>
      <c r="O257" s="4"/>
      <c r="P257" s="4"/>
    </row>
    <row r="258" spans="1:16" ht="60" customHeight="1" x14ac:dyDescent="0.45">
      <c r="A258" s="6"/>
      <c r="B258" s="6"/>
      <c r="C258" s="10" t="str">
        <f>IFERROR(VLOOKUP(B258,'Incident Intake'!$A:$G,7,FALSE())&amp;" "&amp;VLOOKUP(B258,'Incident Intake'!$A:$F,6,FALSE()),"")</f>
        <v/>
      </c>
      <c r="D258" s="10" t="str">
        <f>IFERROR(VLOOKUP(B258,'Incident Intake'!$A:$J,10,FALSE()),"")</f>
        <v/>
      </c>
      <c r="E258" s="12"/>
      <c r="F258" s="6"/>
      <c r="G258" s="6"/>
      <c r="H258" s="6"/>
      <c r="I258" s="6"/>
      <c r="J258" s="6"/>
      <c r="K258" s="6"/>
      <c r="L258" s="63"/>
      <c r="M258" s="6"/>
      <c r="N258" s="6"/>
      <c r="O258" s="6"/>
      <c r="P258" s="6"/>
    </row>
    <row r="259" spans="1:16" ht="60" customHeight="1" x14ac:dyDescent="0.45">
      <c r="A259" s="4"/>
      <c r="B259" s="4"/>
      <c r="C259" s="10" t="str">
        <f>IFERROR(VLOOKUP(B259,'Incident Intake'!$A:$G,7,FALSE())&amp;" "&amp;VLOOKUP(B259,'Incident Intake'!$A:$F,6,FALSE()),"")</f>
        <v/>
      </c>
      <c r="D259" s="10" t="str">
        <f>IFERROR(VLOOKUP(B259,'Incident Intake'!$A:$J,10,FALSE()),"")</f>
        <v/>
      </c>
      <c r="E259" s="8"/>
      <c r="F259" s="4"/>
      <c r="G259" s="4"/>
      <c r="H259" s="4"/>
      <c r="I259" s="4"/>
      <c r="J259" s="4"/>
      <c r="K259" s="4"/>
      <c r="L259" s="62"/>
      <c r="M259" s="4"/>
      <c r="N259" s="4"/>
      <c r="O259" s="4"/>
      <c r="P259" s="4"/>
    </row>
    <row r="260" spans="1:16" ht="60" customHeight="1" x14ac:dyDescent="0.45">
      <c r="A260" s="6"/>
      <c r="B260" s="6"/>
      <c r="C260" s="10" t="str">
        <f>IFERROR(VLOOKUP(B260,'Incident Intake'!$A:$G,7,FALSE())&amp;" "&amp;VLOOKUP(B260,'Incident Intake'!$A:$F,6,FALSE()),"")</f>
        <v/>
      </c>
      <c r="D260" s="10" t="str">
        <f>IFERROR(VLOOKUP(B260,'Incident Intake'!$A:$J,10,FALSE()),"")</f>
        <v/>
      </c>
      <c r="E260" s="12"/>
      <c r="F260" s="6"/>
      <c r="G260" s="6"/>
      <c r="H260" s="6"/>
      <c r="I260" s="6"/>
      <c r="J260" s="6"/>
      <c r="K260" s="6"/>
      <c r="L260" s="63"/>
      <c r="M260" s="6"/>
      <c r="N260" s="6"/>
      <c r="O260" s="6"/>
      <c r="P260" s="6"/>
    </row>
    <row r="261" spans="1:16" ht="60" customHeight="1" x14ac:dyDescent="0.45">
      <c r="A261" s="4"/>
      <c r="B261" s="4"/>
      <c r="C261" s="10" t="str">
        <f>IFERROR(VLOOKUP(B261,'Incident Intake'!$A:$G,7,FALSE())&amp;" "&amp;VLOOKUP(B261,'Incident Intake'!$A:$F,6,FALSE()),"")</f>
        <v/>
      </c>
      <c r="D261" s="10" t="str">
        <f>IFERROR(VLOOKUP(B261,'Incident Intake'!$A:$J,10,FALSE()),"")</f>
        <v/>
      </c>
      <c r="E261" s="8"/>
      <c r="F261" s="4"/>
      <c r="G261" s="4"/>
      <c r="H261" s="4"/>
      <c r="I261" s="4"/>
      <c r="J261" s="4"/>
      <c r="K261" s="4"/>
      <c r="L261" s="62"/>
      <c r="M261" s="4"/>
      <c r="N261" s="4"/>
      <c r="O261" s="4"/>
      <c r="P261" s="4"/>
    </row>
    <row r="262" spans="1:16" ht="60" customHeight="1" x14ac:dyDescent="0.45">
      <c r="A262" s="6"/>
      <c r="B262" s="6"/>
      <c r="C262" s="10" t="str">
        <f>IFERROR(VLOOKUP(B262,'Incident Intake'!$A:$G,7,FALSE())&amp;" "&amp;VLOOKUP(B262,'Incident Intake'!$A:$F,6,FALSE()),"")</f>
        <v/>
      </c>
      <c r="D262" s="10" t="str">
        <f>IFERROR(VLOOKUP(B262,'Incident Intake'!$A:$J,10,FALSE()),"")</f>
        <v/>
      </c>
      <c r="E262" s="12"/>
      <c r="F262" s="6"/>
      <c r="G262" s="6"/>
      <c r="H262" s="6"/>
      <c r="I262" s="6"/>
      <c r="J262" s="6"/>
      <c r="K262" s="6"/>
      <c r="L262" s="63"/>
      <c r="M262" s="6"/>
      <c r="N262" s="6"/>
      <c r="O262" s="6"/>
      <c r="P262" s="6"/>
    </row>
    <row r="263" spans="1:16" ht="60" customHeight="1" x14ac:dyDescent="0.45">
      <c r="A263" s="4"/>
      <c r="B263" s="4"/>
      <c r="C263" s="10" t="str">
        <f>IFERROR(VLOOKUP(B263,'Incident Intake'!$A:$G,7,FALSE())&amp;" "&amp;VLOOKUP(B263,'Incident Intake'!$A:$F,6,FALSE()),"")</f>
        <v/>
      </c>
      <c r="D263" s="10" t="str">
        <f>IFERROR(VLOOKUP(B263,'Incident Intake'!$A:$J,10,FALSE()),"")</f>
        <v/>
      </c>
      <c r="E263" s="8"/>
      <c r="F263" s="4"/>
      <c r="G263" s="4"/>
      <c r="H263" s="4"/>
      <c r="I263" s="4"/>
      <c r="J263" s="4"/>
      <c r="K263" s="4"/>
      <c r="L263" s="62"/>
      <c r="M263" s="4"/>
      <c r="N263" s="4"/>
      <c r="O263" s="4"/>
      <c r="P263" s="4"/>
    </row>
    <row r="264" spans="1:16" ht="60" customHeight="1" x14ac:dyDescent="0.45">
      <c r="A264" s="6"/>
      <c r="B264" s="6"/>
      <c r="C264" s="10" t="str">
        <f>IFERROR(VLOOKUP(B264,'Incident Intake'!$A:$G,7,FALSE())&amp;" "&amp;VLOOKUP(B264,'Incident Intake'!$A:$F,6,FALSE()),"")</f>
        <v/>
      </c>
      <c r="D264" s="10" t="str">
        <f>IFERROR(VLOOKUP(B264,'Incident Intake'!$A:$J,10,FALSE()),"")</f>
        <v/>
      </c>
      <c r="E264" s="12"/>
      <c r="F264" s="6"/>
      <c r="G264" s="6"/>
      <c r="H264" s="6"/>
      <c r="I264" s="6"/>
      <c r="J264" s="6"/>
      <c r="K264" s="6"/>
      <c r="L264" s="63"/>
      <c r="M264" s="6"/>
      <c r="N264" s="6"/>
      <c r="O264" s="6"/>
      <c r="P264" s="6"/>
    </row>
    <row r="265" spans="1:16" ht="60" customHeight="1" x14ac:dyDescent="0.45">
      <c r="A265" s="4"/>
      <c r="B265" s="4"/>
      <c r="C265" s="10" t="str">
        <f>IFERROR(VLOOKUP(B265,'Incident Intake'!$A:$G,7,FALSE())&amp;" "&amp;VLOOKUP(B265,'Incident Intake'!$A:$F,6,FALSE()),"")</f>
        <v/>
      </c>
      <c r="D265" s="10" t="str">
        <f>IFERROR(VLOOKUP(B265,'Incident Intake'!$A:$J,10,FALSE()),"")</f>
        <v/>
      </c>
      <c r="E265" s="8"/>
      <c r="F265" s="4"/>
      <c r="G265" s="4"/>
      <c r="H265" s="4"/>
      <c r="I265" s="4"/>
      <c r="J265" s="4"/>
      <c r="K265" s="4"/>
      <c r="L265" s="62"/>
      <c r="M265" s="4"/>
      <c r="N265" s="4"/>
      <c r="O265" s="4"/>
      <c r="P265" s="4"/>
    </row>
    <row r="266" spans="1:16" ht="60" customHeight="1" x14ac:dyDescent="0.45">
      <c r="A266" s="6"/>
      <c r="B266" s="6"/>
      <c r="C266" s="10" t="str">
        <f>IFERROR(VLOOKUP(B266,'Incident Intake'!$A:$G,7,FALSE())&amp;" "&amp;VLOOKUP(B266,'Incident Intake'!$A:$F,6,FALSE()),"")</f>
        <v/>
      </c>
      <c r="D266" s="10" t="str">
        <f>IFERROR(VLOOKUP(B266,'Incident Intake'!$A:$J,10,FALSE()),"")</f>
        <v/>
      </c>
      <c r="E266" s="12"/>
      <c r="F266" s="6"/>
      <c r="G266" s="6"/>
      <c r="H266" s="6"/>
      <c r="I266" s="6"/>
      <c r="J266" s="6"/>
      <c r="K266" s="6"/>
      <c r="L266" s="63"/>
      <c r="M266" s="6"/>
      <c r="N266" s="6"/>
      <c r="O266" s="6"/>
      <c r="P266" s="6"/>
    </row>
    <row r="267" spans="1:16" ht="60" customHeight="1" x14ac:dyDescent="0.45">
      <c r="A267" s="4"/>
      <c r="B267" s="4"/>
      <c r="C267" s="10" t="str">
        <f>IFERROR(VLOOKUP(B267,'Incident Intake'!$A:$G,7,FALSE())&amp;" "&amp;VLOOKUP(B267,'Incident Intake'!$A:$F,6,FALSE()),"")</f>
        <v/>
      </c>
      <c r="D267" s="10" t="str">
        <f>IFERROR(VLOOKUP(B267,'Incident Intake'!$A:$J,10,FALSE()),"")</f>
        <v/>
      </c>
      <c r="E267" s="8"/>
      <c r="F267" s="4"/>
      <c r="G267" s="4"/>
      <c r="H267" s="4"/>
      <c r="I267" s="4"/>
      <c r="J267" s="4"/>
      <c r="K267" s="4"/>
      <c r="L267" s="62"/>
      <c r="M267" s="4"/>
      <c r="N267" s="4"/>
      <c r="O267" s="4"/>
      <c r="P267" s="4"/>
    </row>
    <row r="268" spans="1:16" ht="60" customHeight="1" x14ac:dyDescent="0.45">
      <c r="A268" s="6"/>
      <c r="B268" s="6"/>
      <c r="C268" s="10" t="str">
        <f>IFERROR(VLOOKUP(B268,'Incident Intake'!$A:$G,7,FALSE())&amp;" "&amp;VLOOKUP(B268,'Incident Intake'!$A:$F,6,FALSE()),"")</f>
        <v/>
      </c>
      <c r="D268" s="10" t="str">
        <f>IFERROR(VLOOKUP(B268,'Incident Intake'!$A:$J,10,FALSE()),"")</f>
        <v/>
      </c>
      <c r="E268" s="12"/>
      <c r="F268" s="6"/>
      <c r="G268" s="6"/>
      <c r="H268" s="6"/>
      <c r="I268" s="6"/>
      <c r="J268" s="6"/>
      <c r="K268" s="6"/>
      <c r="L268" s="63"/>
      <c r="M268" s="6"/>
      <c r="N268" s="6"/>
      <c r="O268" s="6"/>
      <c r="P268" s="6"/>
    </row>
    <row r="269" spans="1:16" ht="60" customHeight="1" x14ac:dyDescent="0.45">
      <c r="A269" s="4"/>
      <c r="B269" s="4"/>
      <c r="C269" s="10" t="str">
        <f>IFERROR(VLOOKUP(B269,'Incident Intake'!$A:$G,7,FALSE())&amp;" "&amp;VLOOKUP(B269,'Incident Intake'!$A:$F,6,FALSE()),"")</f>
        <v/>
      </c>
      <c r="D269" s="10" t="str">
        <f>IFERROR(VLOOKUP(B269,'Incident Intake'!$A:$J,10,FALSE()),"")</f>
        <v/>
      </c>
      <c r="E269" s="8"/>
      <c r="F269" s="4"/>
      <c r="G269" s="4"/>
      <c r="H269" s="4"/>
      <c r="I269" s="4"/>
      <c r="J269" s="4"/>
      <c r="K269" s="4"/>
      <c r="L269" s="62"/>
      <c r="M269" s="4"/>
      <c r="N269" s="4"/>
      <c r="O269" s="4"/>
      <c r="P269" s="4"/>
    </row>
    <row r="270" spans="1:16" ht="60" customHeight="1" x14ac:dyDescent="0.45">
      <c r="A270" s="6"/>
      <c r="B270" s="6"/>
      <c r="C270" s="10" t="str">
        <f>IFERROR(VLOOKUP(B270,'Incident Intake'!$A:$G,7,FALSE())&amp;" "&amp;VLOOKUP(B270,'Incident Intake'!$A:$F,6,FALSE()),"")</f>
        <v/>
      </c>
      <c r="D270" s="10" t="str">
        <f>IFERROR(VLOOKUP(B270,'Incident Intake'!$A:$J,10,FALSE()),"")</f>
        <v/>
      </c>
      <c r="E270" s="12"/>
      <c r="F270" s="6"/>
      <c r="G270" s="6"/>
      <c r="H270" s="6"/>
      <c r="I270" s="6"/>
      <c r="J270" s="6"/>
      <c r="K270" s="6"/>
      <c r="L270" s="63"/>
      <c r="M270" s="6"/>
      <c r="N270" s="6"/>
      <c r="O270" s="6"/>
      <c r="P270" s="6"/>
    </row>
    <row r="271" spans="1:16" ht="60" customHeight="1" x14ac:dyDescent="0.45">
      <c r="A271" s="4"/>
      <c r="B271" s="4"/>
      <c r="C271" s="10" t="str">
        <f>IFERROR(VLOOKUP(B271,'Incident Intake'!$A:$G,7,FALSE())&amp;" "&amp;VLOOKUP(B271,'Incident Intake'!$A:$F,6,FALSE()),"")</f>
        <v/>
      </c>
      <c r="D271" s="10" t="str">
        <f>IFERROR(VLOOKUP(B271,'Incident Intake'!$A:$J,10,FALSE()),"")</f>
        <v/>
      </c>
      <c r="E271" s="8"/>
      <c r="F271" s="4"/>
      <c r="G271" s="4"/>
      <c r="H271" s="4"/>
      <c r="I271" s="4"/>
      <c r="J271" s="4"/>
      <c r="K271" s="4"/>
      <c r="L271" s="62"/>
      <c r="M271" s="4"/>
      <c r="N271" s="4"/>
      <c r="O271" s="4"/>
      <c r="P271" s="4"/>
    </row>
    <row r="272" spans="1:16" ht="60" customHeight="1" x14ac:dyDescent="0.45">
      <c r="A272" s="6"/>
      <c r="B272" s="6"/>
      <c r="C272" s="10" t="str">
        <f>IFERROR(VLOOKUP(B272,'Incident Intake'!$A:$G,7,FALSE())&amp;" "&amp;VLOOKUP(B272,'Incident Intake'!$A:$F,6,FALSE()),"")</f>
        <v/>
      </c>
      <c r="D272" s="10" t="str">
        <f>IFERROR(VLOOKUP(B272,'Incident Intake'!$A:$J,10,FALSE()),"")</f>
        <v/>
      </c>
      <c r="E272" s="12"/>
      <c r="F272" s="6"/>
      <c r="G272" s="6"/>
      <c r="H272" s="6"/>
      <c r="I272" s="6"/>
      <c r="J272" s="6"/>
      <c r="K272" s="6"/>
      <c r="L272" s="63"/>
      <c r="M272" s="6"/>
      <c r="N272" s="6"/>
      <c r="O272" s="6"/>
      <c r="P272" s="6"/>
    </row>
    <row r="273" spans="1:16" ht="60" customHeight="1" x14ac:dyDescent="0.45">
      <c r="A273" s="4"/>
      <c r="B273" s="4"/>
      <c r="C273" s="10" t="str">
        <f>IFERROR(VLOOKUP(B273,'Incident Intake'!$A:$G,7,FALSE())&amp;" "&amp;VLOOKUP(B273,'Incident Intake'!$A:$F,6,FALSE()),"")</f>
        <v/>
      </c>
      <c r="D273" s="10" t="str">
        <f>IFERROR(VLOOKUP(B273,'Incident Intake'!$A:$J,10,FALSE()),"")</f>
        <v/>
      </c>
      <c r="E273" s="8"/>
      <c r="F273" s="4"/>
      <c r="G273" s="4"/>
      <c r="H273" s="4"/>
      <c r="I273" s="4"/>
      <c r="J273" s="4"/>
      <c r="K273" s="4"/>
      <c r="L273" s="62"/>
      <c r="M273" s="4"/>
      <c r="N273" s="4"/>
      <c r="O273" s="4"/>
      <c r="P273" s="4"/>
    </row>
    <row r="274" spans="1:16" ht="60" customHeight="1" x14ac:dyDescent="0.45">
      <c r="A274" s="6"/>
      <c r="B274" s="6"/>
      <c r="C274" s="10" t="str">
        <f>IFERROR(VLOOKUP(B274,'Incident Intake'!$A:$G,7,FALSE())&amp;" "&amp;VLOOKUP(B274,'Incident Intake'!$A:$F,6,FALSE()),"")</f>
        <v/>
      </c>
      <c r="D274" s="10" t="str">
        <f>IFERROR(VLOOKUP(B274,'Incident Intake'!$A:$J,10,FALSE()),"")</f>
        <v/>
      </c>
      <c r="E274" s="12"/>
      <c r="F274" s="6"/>
      <c r="G274" s="6"/>
      <c r="H274" s="6"/>
      <c r="I274" s="6"/>
      <c r="J274" s="6"/>
      <c r="K274" s="6"/>
      <c r="L274" s="63"/>
      <c r="M274" s="6"/>
      <c r="N274" s="6"/>
      <c r="O274" s="6"/>
      <c r="P274" s="6"/>
    </row>
    <row r="275" spans="1:16" ht="60" customHeight="1" x14ac:dyDescent="0.45">
      <c r="A275" s="4"/>
      <c r="B275" s="4"/>
      <c r="C275" s="10" t="str">
        <f>IFERROR(VLOOKUP(B275,'Incident Intake'!$A:$G,7,FALSE())&amp;" "&amp;VLOOKUP(B275,'Incident Intake'!$A:$F,6,FALSE()),"")</f>
        <v/>
      </c>
      <c r="D275" s="10" t="str">
        <f>IFERROR(VLOOKUP(B275,'Incident Intake'!$A:$J,10,FALSE()),"")</f>
        <v/>
      </c>
      <c r="E275" s="8"/>
      <c r="F275" s="4"/>
      <c r="G275" s="4"/>
      <c r="H275" s="4"/>
      <c r="I275" s="4"/>
      <c r="J275" s="4"/>
      <c r="K275" s="4"/>
      <c r="L275" s="62"/>
      <c r="M275" s="4"/>
      <c r="N275" s="4"/>
      <c r="O275" s="4"/>
      <c r="P275" s="4"/>
    </row>
    <row r="276" spans="1:16" ht="60" customHeight="1" x14ac:dyDescent="0.45">
      <c r="A276" s="6"/>
      <c r="B276" s="6"/>
      <c r="C276" s="10" t="str">
        <f>IFERROR(VLOOKUP(B276,'Incident Intake'!$A:$G,7,FALSE())&amp;" "&amp;VLOOKUP(B276,'Incident Intake'!$A:$F,6,FALSE()),"")</f>
        <v/>
      </c>
      <c r="D276" s="10" t="str">
        <f>IFERROR(VLOOKUP(B276,'Incident Intake'!$A:$J,10,FALSE()),"")</f>
        <v/>
      </c>
      <c r="E276" s="12"/>
      <c r="F276" s="6"/>
      <c r="G276" s="6"/>
      <c r="H276" s="6"/>
      <c r="I276" s="6"/>
      <c r="J276" s="6"/>
      <c r="K276" s="6"/>
      <c r="L276" s="63"/>
      <c r="M276" s="6"/>
      <c r="N276" s="6"/>
      <c r="O276" s="6"/>
      <c r="P276" s="6"/>
    </row>
    <row r="277" spans="1:16" ht="60" customHeight="1" x14ac:dyDescent="0.45">
      <c r="A277" s="4"/>
      <c r="B277" s="4"/>
      <c r="C277" s="10" t="str">
        <f>IFERROR(VLOOKUP(B277,'Incident Intake'!$A:$G,7,FALSE())&amp;" "&amp;VLOOKUP(B277,'Incident Intake'!$A:$F,6,FALSE()),"")</f>
        <v/>
      </c>
      <c r="D277" s="10" t="str">
        <f>IFERROR(VLOOKUP(B277,'Incident Intake'!$A:$J,10,FALSE()),"")</f>
        <v/>
      </c>
      <c r="E277" s="8"/>
      <c r="F277" s="4"/>
      <c r="G277" s="4"/>
      <c r="H277" s="4"/>
      <c r="I277" s="4"/>
      <c r="J277" s="4"/>
      <c r="K277" s="4"/>
      <c r="L277" s="62"/>
      <c r="M277" s="4"/>
      <c r="N277" s="4"/>
      <c r="O277" s="4"/>
      <c r="P277" s="4"/>
    </row>
    <row r="278" spans="1:16" ht="60" customHeight="1" x14ac:dyDescent="0.45">
      <c r="A278" s="6"/>
      <c r="B278" s="6"/>
      <c r="C278" s="10" t="str">
        <f>IFERROR(VLOOKUP(B278,'Incident Intake'!$A:$G,7,FALSE())&amp;" "&amp;VLOOKUP(B278,'Incident Intake'!$A:$F,6,FALSE()),"")</f>
        <v/>
      </c>
      <c r="D278" s="10" t="str">
        <f>IFERROR(VLOOKUP(B278,'Incident Intake'!$A:$J,10,FALSE()),"")</f>
        <v/>
      </c>
      <c r="E278" s="12"/>
      <c r="F278" s="6"/>
      <c r="G278" s="6"/>
      <c r="H278" s="6"/>
      <c r="I278" s="6"/>
      <c r="J278" s="6"/>
      <c r="K278" s="6"/>
      <c r="L278" s="63"/>
      <c r="M278" s="6"/>
      <c r="N278" s="6"/>
      <c r="O278" s="6"/>
      <c r="P278" s="6"/>
    </row>
    <row r="279" spans="1:16" ht="60" customHeight="1" x14ac:dyDescent="0.45">
      <c r="A279" s="4"/>
      <c r="B279" s="4"/>
      <c r="C279" s="10" t="str">
        <f>IFERROR(VLOOKUP(B279,'Incident Intake'!$A:$G,7,FALSE())&amp;" "&amp;VLOOKUP(B279,'Incident Intake'!$A:$F,6,FALSE()),"")</f>
        <v/>
      </c>
      <c r="D279" s="10" t="str">
        <f>IFERROR(VLOOKUP(B279,'Incident Intake'!$A:$J,10,FALSE()),"")</f>
        <v/>
      </c>
      <c r="E279" s="8"/>
      <c r="F279" s="4"/>
      <c r="G279" s="4"/>
      <c r="H279" s="4"/>
      <c r="I279" s="4"/>
      <c r="J279" s="4"/>
      <c r="K279" s="4"/>
      <c r="L279" s="62"/>
      <c r="M279" s="4"/>
      <c r="N279" s="4"/>
      <c r="O279" s="4"/>
      <c r="P279" s="4"/>
    </row>
    <row r="280" spans="1:16" ht="60" customHeight="1" x14ac:dyDescent="0.45">
      <c r="A280" s="6"/>
      <c r="B280" s="6"/>
      <c r="C280" s="10" t="str">
        <f>IFERROR(VLOOKUP(B280,'Incident Intake'!$A:$G,7,FALSE())&amp;" "&amp;VLOOKUP(B280,'Incident Intake'!$A:$F,6,FALSE()),"")</f>
        <v/>
      </c>
      <c r="D280" s="10" t="str">
        <f>IFERROR(VLOOKUP(B280,'Incident Intake'!$A:$J,10,FALSE()),"")</f>
        <v/>
      </c>
      <c r="E280" s="12"/>
      <c r="F280" s="6"/>
      <c r="G280" s="6"/>
      <c r="H280" s="6"/>
      <c r="I280" s="6"/>
      <c r="J280" s="6"/>
      <c r="K280" s="6"/>
      <c r="L280" s="63"/>
      <c r="M280" s="6"/>
      <c r="N280" s="6"/>
      <c r="O280" s="6"/>
      <c r="P280" s="6"/>
    </row>
    <row r="281" spans="1:16" ht="60" customHeight="1" x14ac:dyDescent="0.45">
      <c r="A281" s="4"/>
      <c r="B281" s="4"/>
      <c r="C281" s="10" t="str">
        <f>IFERROR(VLOOKUP(B281,'Incident Intake'!$A:$G,7,FALSE())&amp;" "&amp;VLOOKUP(B281,'Incident Intake'!$A:$F,6,FALSE()),"")</f>
        <v/>
      </c>
      <c r="D281" s="10" t="str">
        <f>IFERROR(VLOOKUP(B281,'Incident Intake'!$A:$J,10,FALSE()),"")</f>
        <v/>
      </c>
      <c r="E281" s="8"/>
      <c r="F281" s="4"/>
      <c r="G281" s="4"/>
      <c r="H281" s="4"/>
      <c r="I281" s="4"/>
      <c r="J281" s="4"/>
      <c r="K281" s="4"/>
      <c r="L281" s="62"/>
      <c r="M281" s="4"/>
      <c r="N281" s="4"/>
      <c r="O281" s="4"/>
      <c r="P281" s="4"/>
    </row>
    <row r="282" spans="1:16" ht="60" customHeight="1" x14ac:dyDescent="0.45">
      <c r="A282" s="6"/>
      <c r="B282" s="6"/>
      <c r="C282" s="10" t="str">
        <f>IFERROR(VLOOKUP(B282,'Incident Intake'!$A:$G,7,FALSE())&amp;" "&amp;VLOOKUP(B282,'Incident Intake'!$A:$F,6,FALSE()),"")</f>
        <v/>
      </c>
      <c r="D282" s="10" t="str">
        <f>IFERROR(VLOOKUP(B282,'Incident Intake'!$A:$J,10,FALSE()),"")</f>
        <v/>
      </c>
      <c r="E282" s="12"/>
      <c r="F282" s="6"/>
      <c r="G282" s="6"/>
      <c r="H282" s="6"/>
      <c r="I282" s="6"/>
      <c r="J282" s="6"/>
      <c r="K282" s="6"/>
      <c r="L282" s="63"/>
      <c r="M282" s="6"/>
      <c r="N282" s="6"/>
      <c r="O282" s="6"/>
      <c r="P282" s="6"/>
    </row>
    <row r="283" spans="1:16" ht="60" customHeight="1" x14ac:dyDescent="0.45">
      <c r="A283" s="4"/>
      <c r="B283" s="4"/>
      <c r="C283" s="10" t="str">
        <f>IFERROR(VLOOKUP(B283,'Incident Intake'!$A:$G,7,FALSE())&amp;" "&amp;VLOOKUP(B283,'Incident Intake'!$A:$F,6,FALSE()),"")</f>
        <v/>
      </c>
      <c r="D283" s="10" t="str">
        <f>IFERROR(VLOOKUP(B283,'Incident Intake'!$A:$J,10,FALSE()),"")</f>
        <v/>
      </c>
      <c r="E283" s="8"/>
      <c r="F283" s="4"/>
      <c r="G283" s="4"/>
      <c r="H283" s="4"/>
      <c r="I283" s="4"/>
      <c r="J283" s="4"/>
      <c r="K283" s="4"/>
      <c r="L283" s="62"/>
      <c r="M283" s="4"/>
      <c r="N283" s="4"/>
      <c r="O283" s="4"/>
      <c r="P283" s="4"/>
    </row>
    <row r="284" spans="1:16" ht="60" customHeight="1" x14ac:dyDescent="0.45">
      <c r="A284" s="6"/>
      <c r="B284" s="6"/>
      <c r="C284" s="10" t="str">
        <f>IFERROR(VLOOKUP(B284,'Incident Intake'!$A:$G,7,FALSE())&amp;" "&amp;VLOOKUP(B284,'Incident Intake'!$A:$F,6,FALSE()),"")</f>
        <v/>
      </c>
      <c r="D284" s="10" t="str">
        <f>IFERROR(VLOOKUP(B284,'Incident Intake'!$A:$J,10,FALSE()),"")</f>
        <v/>
      </c>
      <c r="E284" s="12"/>
      <c r="F284" s="6"/>
      <c r="G284" s="6"/>
      <c r="H284" s="6"/>
      <c r="I284" s="6"/>
      <c r="J284" s="6"/>
      <c r="K284" s="6"/>
      <c r="L284" s="63"/>
      <c r="M284" s="6"/>
      <c r="N284" s="6"/>
      <c r="O284" s="6"/>
      <c r="P284" s="6"/>
    </row>
    <row r="285" spans="1:16" ht="60" customHeight="1" x14ac:dyDescent="0.45">
      <c r="A285" s="4"/>
      <c r="B285" s="4"/>
      <c r="C285" s="10" t="str">
        <f>IFERROR(VLOOKUP(B285,'Incident Intake'!$A:$G,7,FALSE())&amp;" "&amp;VLOOKUP(B285,'Incident Intake'!$A:$F,6,FALSE()),"")</f>
        <v/>
      </c>
      <c r="D285" s="10" t="str">
        <f>IFERROR(VLOOKUP(B285,'Incident Intake'!$A:$J,10,FALSE()),"")</f>
        <v/>
      </c>
      <c r="E285" s="8"/>
      <c r="F285" s="4"/>
      <c r="G285" s="4"/>
      <c r="H285" s="4"/>
      <c r="I285" s="4"/>
      <c r="J285" s="4"/>
      <c r="K285" s="4"/>
      <c r="L285" s="62"/>
      <c r="M285" s="4"/>
      <c r="N285" s="4"/>
      <c r="O285" s="4"/>
      <c r="P285" s="4"/>
    </row>
    <row r="286" spans="1:16" ht="60" customHeight="1" x14ac:dyDescent="0.45">
      <c r="A286" s="6"/>
      <c r="B286" s="6"/>
      <c r="C286" s="10" t="str">
        <f>IFERROR(VLOOKUP(B286,'Incident Intake'!$A:$G,7,FALSE())&amp;" "&amp;VLOOKUP(B286,'Incident Intake'!$A:$F,6,FALSE()),"")</f>
        <v/>
      </c>
      <c r="D286" s="10" t="str">
        <f>IFERROR(VLOOKUP(B286,'Incident Intake'!$A:$J,10,FALSE()),"")</f>
        <v/>
      </c>
      <c r="E286" s="12"/>
      <c r="F286" s="6"/>
      <c r="G286" s="6"/>
      <c r="H286" s="6"/>
      <c r="I286" s="6"/>
      <c r="J286" s="6"/>
      <c r="K286" s="6"/>
      <c r="L286" s="63"/>
      <c r="M286" s="6"/>
      <c r="N286" s="6"/>
      <c r="O286" s="6"/>
      <c r="P286" s="6"/>
    </row>
    <row r="287" spans="1:16" ht="60" customHeight="1" x14ac:dyDescent="0.45">
      <c r="A287" s="4"/>
      <c r="B287" s="4"/>
      <c r="C287" s="10" t="str">
        <f>IFERROR(VLOOKUP(B287,'Incident Intake'!$A:$G,7,FALSE())&amp;" "&amp;VLOOKUP(B287,'Incident Intake'!$A:$F,6,FALSE()),"")</f>
        <v/>
      </c>
      <c r="D287" s="10" t="str">
        <f>IFERROR(VLOOKUP(B287,'Incident Intake'!$A:$J,10,FALSE()),"")</f>
        <v/>
      </c>
      <c r="E287" s="8"/>
      <c r="F287" s="4"/>
      <c r="G287" s="4"/>
      <c r="H287" s="4"/>
      <c r="I287" s="4"/>
      <c r="J287" s="4"/>
      <c r="K287" s="4"/>
      <c r="L287" s="62"/>
      <c r="M287" s="4"/>
      <c r="N287" s="4"/>
      <c r="O287" s="4"/>
      <c r="P287" s="4"/>
    </row>
    <row r="288" spans="1:16" ht="60" customHeight="1" x14ac:dyDescent="0.45">
      <c r="A288" s="6"/>
      <c r="B288" s="6"/>
      <c r="C288" s="10" t="str">
        <f>IFERROR(VLOOKUP(B288,'Incident Intake'!$A:$G,7,FALSE())&amp;" "&amp;VLOOKUP(B288,'Incident Intake'!$A:$F,6,FALSE()),"")</f>
        <v/>
      </c>
      <c r="D288" s="10" t="str">
        <f>IFERROR(VLOOKUP(B288,'Incident Intake'!$A:$J,10,FALSE()),"")</f>
        <v/>
      </c>
      <c r="E288" s="12"/>
      <c r="F288" s="6"/>
      <c r="G288" s="6"/>
      <c r="H288" s="6"/>
      <c r="I288" s="6"/>
      <c r="J288" s="6"/>
      <c r="K288" s="6"/>
      <c r="L288" s="63"/>
      <c r="M288" s="6"/>
      <c r="N288" s="6"/>
      <c r="O288" s="6"/>
      <c r="P288" s="6"/>
    </row>
    <row r="289" spans="1:16" ht="60" customHeight="1" x14ac:dyDescent="0.45">
      <c r="A289" s="4"/>
      <c r="B289" s="4"/>
      <c r="C289" s="10" t="str">
        <f>IFERROR(VLOOKUP(B289,'Incident Intake'!$A:$G,7,FALSE())&amp;" "&amp;VLOOKUP(B289,'Incident Intake'!$A:$F,6,FALSE()),"")</f>
        <v/>
      </c>
      <c r="D289" s="10" t="str">
        <f>IFERROR(VLOOKUP(B289,'Incident Intake'!$A:$J,10,FALSE()),"")</f>
        <v/>
      </c>
      <c r="E289" s="8"/>
      <c r="F289" s="4"/>
      <c r="G289" s="4"/>
      <c r="H289" s="4"/>
      <c r="I289" s="4"/>
      <c r="J289" s="4"/>
      <c r="K289" s="4"/>
      <c r="L289" s="62"/>
      <c r="M289" s="4"/>
      <c r="N289" s="4"/>
      <c r="O289" s="4"/>
      <c r="P289" s="4"/>
    </row>
    <row r="290" spans="1:16" ht="60" customHeight="1" x14ac:dyDescent="0.45">
      <c r="A290" s="6"/>
      <c r="B290" s="6"/>
      <c r="C290" s="10" t="str">
        <f>IFERROR(VLOOKUP(B290,'Incident Intake'!$A:$G,7,FALSE())&amp;" "&amp;VLOOKUP(B290,'Incident Intake'!$A:$F,6,FALSE()),"")</f>
        <v/>
      </c>
      <c r="D290" s="10" t="str">
        <f>IFERROR(VLOOKUP(B290,'Incident Intake'!$A:$J,10,FALSE()),"")</f>
        <v/>
      </c>
      <c r="E290" s="12"/>
      <c r="F290" s="6"/>
      <c r="G290" s="6"/>
      <c r="H290" s="6"/>
      <c r="I290" s="6"/>
      <c r="J290" s="6"/>
      <c r="K290" s="6"/>
      <c r="L290" s="63"/>
      <c r="M290" s="6"/>
      <c r="N290" s="6"/>
      <c r="O290" s="6"/>
      <c r="P290" s="6"/>
    </row>
    <row r="291" spans="1:16" ht="60" customHeight="1" x14ac:dyDescent="0.45">
      <c r="A291" s="4"/>
      <c r="B291" s="4"/>
      <c r="C291" s="10" t="str">
        <f>IFERROR(VLOOKUP(B291,'Incident Intake'!$A:$G,7,FALSE())&amp;" "&amp;VLOOKUP(B291,'Incident Intake'!$A:$F,6,FALSE()),"")</f>
        <v/>
      </c>
      <c r="D291" s="10" t="str">
        <f>IFERROR(VLOOKUP(B291,'Incident Intake'!$A:$J,10,FALSE()),"")</f>
        <v/>
      </c>
      <c r="E291" s="8"/>
      <c r="F291" s="4"/>
      <c r="G291" s="4"/>
      <c r="H291" s="4"/>
      <c r="I291" s="4"/>
      <c r="J291" s="4"/>
      <c r="K291" s="4"/>
      <c r="L291" s="62"/>
      <c r="M291" s="4"/>
      <c r="N291" s="4"/>
      <c r="O291" s="4"/>
      <c r="P291" s="4"/>
    </row>
    <row r="292" spans="1:16" ht="60" customHeight="1" x14ac:dyDescent="0.45">
      <c r="A292" s="6"/>
      <c r="B292" s="6"/>
      <c r="C292" s="10" t="str">
        <f>IFERROR(VLOOKUP(B292,'Incident Intake'!$A:$G,7,FALSE())&amp;" "&amp;VLOOKUP(B292,'Incident Intake'!$A:$F,6,FALSE()),"")</f>
        <v/>
      </c>
      <c r="D292" s="10" t="str">
        <f>IFERROR(VLOOKUP(B292,'Incident Intake'!$A:$J,10,FALSE()),"")</f>
        <v/>
      </c>
      <c r="E292" s="12"/>
      <c r="F292" s="6"/>
      <c r="G292" s="6"/>
      <c r="H292" s="6"/>
      <c r="I292" s="6"/>
      <c r="J292" s="6"/>
      <c r="K292" s="6"/>
      <c r="L292" s="63"/>
      <c r="M292" s="6"/>
      <c r="N292" s="6"/>
      <c r="O292" s="6"/>
      <c r="P292" s="6"/>
    </row>
    <row r="293" spans="1:16" ht="60" customHeight="1" x14ac:dyDescent="0.45">
      <c r="A293" s="4"/>
      <c r="B293" s="4"/>
      <c r="C293" s="10" t="str">
        <f>IFERROR(VLOOKUP(B293,'Incident Intake'!$A:$G,7,FALSE())&amp;" "&amp;VLOOKUP(B293,'Incident Intake'!$A:$F,6,FALSE()),"")</f>
        <v/>
      </c>
      <c r="D293" s="10" t="str">
        <f>IFERROR(VLOOKUP(B293,'Incident Intake'!$A:$J,10,FALSE()),"")</f>
        <v/>
      </c>
      <c r="E293" s="8"/>
      <c r="F293" s="4"/>
      <c r="G293" s="4"/>
      <c r="H293" s="4"/>
      <c r="I293" s="4"/>
      <c r="J293" s="4"/>
      <c r="K293" s="4"/>
      <c r="L293" s="62"/>
      <c r="M293" s="4"/>
      <c r="N293" s="4"/>
      <c r="O293" s="4"/>
      <c r="P293" s="4"/>
    </row>
    <row r="294" spans="1:16" ht="60" customHeight="1" x14ac:dyDescent="0.45">
      <c r="A294" s="6"/>
      <c r="B294" s="6"/>
      <c r="C294" s="10" t="str">
        <f>IFERROR(VLOOKUP(B294,'Incident Intake'!$A:$G,7,FALSE())&amp;" "&amp;VLOOKUP(B294,'Incident Intake'!$A:$F,6,FALSE()),"")</f>
        <v/>
      </c>
      <c r="D294" s="10" t="str">
        <f>IFERROR(VLOOKUP(B294,'Incident Intake'!$A:$J,10,FALSE()),"")</f>
        <v/>
      </c>
      <c r="E294" s="12"/>
      <c r="F294" s="6"/>
      <c r="G294" s="6"/>
      <c r="H294" s="6"/>
      <c r="I294" s="6"/>
      <c r="J294" s="6"/>
      <c r="K294" s="6"/>
      <c r="L294" s="63"/>
      <c r="M294" s="6"/>
      <c r="N294" s="6"/>
      <c r="O294" s="6"/>
      <c r="P294" s="6"/>
    </row>
    <row r="295" spans="1:16" ht="60" customHeight="1" x14ac:dyDescent="0.45">
      <c r="A295" s="4"/>
      <c r="B295" s="4"/>
      <c r="C295" s="10" t="str">
        <f>IFERROR(VLOOKUP(B295,'Incident Intake'!$A:$G,7,FALSE())&amp;" "&amp;VLOOKUP(B295,'Incident Intake'!$A:$F,6,FALSE()),"")</f>
        <v/>
      </c>
      <c r="D295" s="10" t="str">
        <f>IFERROR(VLOOKUP(B295,'Incident Intake'!$A:$J,10,FALSE()),"")</f>
        <v/>
      </c>
      <c r="E295" s="8"/>
      <c r="F295" s="4"/>
      <c r="G295" s="4"/>
      <c r="H295" s="4"/>
      <c r="I295" s="4"/>
      <c r="J295" s="4"/>
      <c r="K295" s="4"/>
      <c r="L295" s="62"/>
      <c r="M295" s="4"/>
      <c r="N295" s="4"/>
      <c r="O295" s="4"/>
      <c r="P295" s="4"/>
    </row>
    <row r="296" spans="1:16" ht="60" customHeight="1" x14ac:dyDescent="0.45">
      <c r="A296" s="6"/>
      <c r="B296" s="6"/>
      <c r="C296" s="10" t="str">
        <f>IFERROR(VLOOKUP(B296,'Incident Intake'!$A:$G,7,FALSE())&amp;" "&amp;VLOOKUP(B296,'Incident Intake'!$A:$F,6,FALSE()),"")</f>
        <v/>
      </c>
      <c r="D296" s="10" t="str">
        <f>IFERROR(VLOOKUP(B296,'Incident Intake'!$A:$J,10,FALSE()),"")</f>
        <v/>
      </c>
      <c r="E296" s="12"/>
      <c r="F296" s="6"/>
      <c r="G296" s="6"/>
      <c r="H296" s="6"/>
      <c r="I296" s="6"/>
      <c r="J296" s="6"/>
      <c r="K296" s="6"/>
      <c r="L296" s="63"/>
      <c r="M296" s="6"/>
      <c r="N296" s="6"/>
      <c r="O296" s="6"/>
      <c r="P296" s="6"/>
    </row>
    <row r="297" spans="1:16" ht="60" customHeight="1" x14ac:dyDescent="0.45">
      <c r="A297" s="4"/>
      <c r="B297" s="4"/>
      <c r="C297" s="10" t="str">
        <f>IFERROR(VLOOKUP(B297,'Incident Intake'!$A:$G,7,FALSE())&amp;" "&amp;VLOOKUP(B297,'Incident Intake'!$A:$F,6,FALSE()),"")</f>
        <v/>
      </c>
      <c r="D297" s="10" t="str">
        <f>IFERROR(VLOOKUP(B297,'Incident Intake'!$A:$J,10,FALSE()),"")</f>
        <v/>
      </c>
      <c r="E297" s="8"/>
      <c r="F297" s="4"/>
      <c r="G297" s="4"/>
      <c r="H297" s="4"/>
      <c r="I297" s="4"/>
      <c r="J297" s="4"/>
      <c r="K297" s="4"/>
      <c r="L297" s="62"/>
      <c r="M297" s="4"/>
      <c r="N297" s="4"/>
      <c r="O297" s="4"/>
      <c r="P297" s="4"/>
    </row>
    <row r="298" spans="1:16" ht="60" customHeight="1" x14ac:dyDescent="0.45">
      <c r="A298" s="6"/>
      <c r="B298" s="6"/>
      <c r="C298" s="10" t="str">
        <f>IFERROR(VLOOKUP(B298,'Incident Intake'!$A:$G,7,FALSE())&amp;" "&amp;VLOOKUP(B298,'Incident Intake'!$A:$F,6,FALSE()),"")</f>
        <v/>
      </c>
      <c r="D298" s="10" t="str">
        <f>IFERROR(VLOOKUP(B298,'Incident Intake'!$A:$J,10,FALSE()),"")</f>
        <v/>
      </c>
      <c r="E298" s="12"/>
      <c r="F298" s="6"/>
      <c r="G298" s="6"/>
      <c r="H298" s="6"/>
      <c r="I298" s="6"/>
      <c r="J298" s="6"/>
      <c r="K298" s="6"/>
      <c r="L298" s="63"/>
      <c r="M298" s="6"/>
      <c r="N298" s="6"/>
      <c r="O298" s="6"/>
      <c r="P298" s="6"/>
    </row>
    <row r="299" spans="1:16" ht="60" customHeight="1" x14ac:dyDescent="0.45">
      <c r="A299" s="4"/>
      <c r="B299" s="4"/>
      <c r="C299" s="10" t="str">
        <f>IFERROR(VLOOKUP(B299,'Incident Intake'!$A:$G,7,FALSE())&amp;" "&amp;VLOOKUP(B299,'Incident Intake'!$A:$F,6,FALSE()),"")</f>
        <v/>
      </c>
      <c r="D299" s="10" t="str">
        <f>IFERROR(VLOOKUP(B299,'Incident Intake'!$A:$J,10,FALSE()),"")</f>
        <v/>
      </c>
      <c r="E299" s="8"/>
      <c r="F299" s="4"/>
      <c r="G299" s="4"/>
      <c r="H299" s="4"/>
      <c r="I299" s="4"/>
      <c r="J299" s="4"/>
      <c r="K299" s="4"/>
      <c r="L299" s="62"/>
      <c r="M299" s="4"/>
      <c r="N299" s="4"/>
      <c r="O299" s="4"/>
      <c r="P299" s="4"/>
    </row>
    <row r="300" spans="1:16" ht="60" customHeight="1" x14ac:dyDescent="0.45">
      <c r="A300" s="6"/>
      <c r="B300" s="6"/>
      <c r="C300" s="10" t="str">
        <f>IFERROR(VLOOKUP(B300,'Incident Intake'!$A:$G,7,FALSE())&amp;" "&amp;VLOOKUP(B300,'Incident Intake'!$A:$F,6,FALSE()),"")</f>
        <v/>
      </c>
      <c r="D300" s="10" t="str">
        <f>IFERROR(VLOOKUP(B300,'Incident Intake'!$A:$J,10,FALSE()),"")</f>
        <v/>
      </c>
      <c r="E300" s="12"/>
      <c r="F300" s="6"/>
      <c r="G300" s="6"/>
      <c r="H300" s="6"/>
      <c r="I300" s="6"/>
      <c r="J300" s="6"/>
      <c r="K300" s="6"/>
      <c r="L300" s="63"/>
      <c r="M300" s="6"/>
      <c r="N300" s="6"/>
      <c r="O300" s="6"/>
      <c r="P300" s="6"/>
    </row>
    <row r="301" spans="1:16" ht="60" customHeight="1" x14ac:dyDescent="0.45">
      <c r="A301" s="4"/>
      <c r="B301" s="4"/>
      <c r="C301" s="10" t="str">
        <f>IFERROR(VLOOKUP(B301,'Incident Intake'!$A:$G,7,FALSE())&amp;" "&amp;VLOOKUP(B301,'Incident Intake'!$A:$F,6,FALSE()),"")</f>
        <v/>
      </c>
      <c r="D301" s="10" t="str">
        <f>IFERROR(VLOOKUP(B301,'Incident Intake'!$A:$J,10,FALSE()),"")</f>
        <v/>
      </c>
      <c r="E301" s="8"/>
      <c r="F301" s="4"/>
      <c r="G301" s="4"/>
      <c r="H301" s="4"/>
      <c r="I301" s="4"/>
      <c r="J301" s="4"/>
      <c r="K301" s="4"/>
      <c r="L301" s="62"/>
      <c r="M301" s="4"/>
      <c r="N301" s="4"/>
      <c r="O301" s="4"/>
      <c r="P301" s="4"/>
    </row>
    <row r="302" spans="1:16" ht="60" customHeight="1" x14ac:dyDescent="0.45">
      <c r="A302" s="6"/>
      <c r="B302" s="6"/>
      <c r="C302" s="10" t="str">
        <f>IFERROR(VLOOKUP(B302,'Incident Intake'!$A:$G,7,FALSE())&amp;" "&amp;VLOOKUP(B302,'Incident Intake'!$A:$F,6,FALSE()),"")</f>
        <v/>
      </c>
      <c r="D302" s="10" t="str">
        <f>IFERROR(VLOOKUP(B302,'Incident Intake'!$A:$J,10,FALSE()),"")</f>
        <v/>
      </c>
      <c r="E302" s="12"/>
      <c r="F302" s="6"/>
      <c r="G302" s="6"/>
      <c r="H302" s="6"/>
      <c r="I302" s="6"/>
      <c r="J302" s="6"/>
      <c r="K302" s="6"/>
      <c r="L302" s="63"/>
      <c r="M302" s="6"/>
      <c r="N302" s="6"/>
      <c r="O302" s="6"/>
      <c r="P302" s="6"/>
    </row>
    <row r="303" spans="1:16" ht="60" customHeight="1" x14ac:dyDescent="0.45">
      <c r="A303" s="4"/>
      <c r="B303" s="4"/>
      <c r="C303" s="10" t="str">
        <f>IFERROR(VLOOKUP(B303,'Incident Intake'!$A:$G,7,FALSE())&amp;" "&amp;VLOOKUP(B303,'Incident Intake'!$A:$F,6,FALSE()),"")</f>
        <v/>
      </c>
      <c r="D303" s="10" t="str">
        <f>IFERROR(VLOOKUP(B303,'Incident Intake'!$A:$J,10,FALSE()),"")</f>
        <v/>
      </c>
      <c r="E303" s="8"/>
      <c r="F303" s="4"/>
      <c r="G303" s="4"/>
      <c r="H303" s="4"/>
      <c r="I303" s="4"/>
      <c r="J303" s="4"/>
      <c r="K303" s="4"/>
      <c r="L303" s="62"/>
      <c r="M303" s="4"/>
      <c r="N303" s="4"/>
      <c r="O303" s="4"/>
      <c r="P303" s="4"/>
    </row>
    <row r="304" spans="1:16" ht="60" customHeight="1" x14ac:dyDescent="0.45">
      <c r="A304" s="6"/>
      <c r="B304" s="6"/>
      <c r="C304" s="10" t="str">
        <f>IFERROR(VLOOKUP(B304,'Incident Intake'!$A:$G,7,FALSE())&amp;" "&amp;VLOOKUP(B304,'Incident Intake'!$A:$F,6,FALSE()),"")</f>
        <v/>
      </c>
      <c r="D304" s="10" t="str">
        <f>IFERROR(VLOOKUP(B304,'Incident Intake'!$A:$J,10,FALSE()),"")</f>
        <v/>
      </c>
      <c r="E304" s="12"/>
      <c r="F304" s="6"/>
      <c r="G304" s="6"/>
      <c r="H304" s="6"/>
      <c r="I304" s="6"/>
      <c r="J304" s="6"/>
      <c r="K304" s="6"/>
      <c r="L304" s="63"/>
      <c r="M304" s="6"/>
      <c r="N304" s="6"/>
      <c r="O304" s="6"/>
      <c r="P304" s="6"/>
    </row>
    <row r="305" spans="1:16" ht="60" customHeight="1" x14ac:dyDescent="0.45">
      <c r="A305" s="4"/>
      <c r="B305" s="4"/>
      <c r="C305" s="10" t="str">
        <f>IFERROR(VLOOKUP(B305,'Incident Intake'!$A:$G,7,FALSE())&amp;" "&amp;VLOOKUP(B305,'Incident Intake'!$A:$F,6,FALSE()),"")</f>
        <v/>
      </c>
      <c r="D305" s="10" t="str">
        <f>IFERROR(VLOOKUP(B305,'Incident Intake'!$A:$J,10,FALSE()),"")</f>
        <v/>
      </c>
      <c r="E305" s="8"/>
      <c r="F305" s="4"/>
      <c r="G305" s="4"/>
      <c r="H305" s="4"/>
      <c r="I305" s="4"/>
      <c r="J305" s="4"/>
      <c r="K305" s="4"/>
      <c r="L305" s="62"/>
      <c r="M305" s="4"/>
      <c r="N305" s="4"/>
      <c r="O305" s="4"/>
      <c r="P305" s="4"/>
    </row>
    <row r="306" spans="1:16" ht="60" customHeight="1" x14ac:dyDescent="0.45">
      <c r="A306" s="6"/>
      <c r="B306" s="6"/>
      <c r="C306" s="10" t="str">
        <f>IFERROR(VLOOKUP(B306,'Incident Intake'!$A:$G,7,FALSE())&amp;" "&amp;VLOOKUP(B306,'Incident Intake'!$A:$F,6,FALSE()),"")</f>
        <v/>
      </c>
      <c r="D306" s="10" t="str">
        <f>IFERROR(VLOOKUP(B306,'Incident Intake'!$A:$J,10,FALSE()),"")</f>
        <v/>
      </c>
      <c r="E306" s="12"/>
      <c r="F306" s="6"/>
      <c r="G306" s="6"/>
      <c r="H306" s="6"/>
      <c r="I306" s="6"/>
      <c r="J306" s="6"/>
      <c r="K306" s="6"/>
      <c r="L306" s="63"/>
      <c r="M306" s="6"/>
      <c r="N306" s="6"/>
      <c r="O306" s="6"/>
      <c r="P306" s="6"/>
    </row>
    <row r="307" spans="1:16" ht="60" customHeight="1" x14ac:dyDescent="0.45">
      <c r="A307" s="4"/>
      <c r="B307" s="4"/>
      <c r="C307" s="10" t="str">
        <f>IFERROR(VLOOKUP(B307,'Incident Intake'!$A:$G,7,FALSE())&amp;" "&amp;VLOOKUP(B307,'Incident Intake'!$A:$F,6,FALSE()),"")</f>
        <v/>
      </c>
      <c r="D307" s="10" t="str">
        <f>IFERROR(VLOOKUP(B307,'Incident Intake'!$A:$J,10,FALSE()),"")</f>
        <v/>
      </c>
      <c r="E307" s="8"/>
      <c r="F307" s="4"/>
      <c r="G307" s="4"/>
      <c r="H307" s="4"/>
      <c r="I307" s="4"/>
      <c r="J307" s="4"/>
      <c r="K307" s="4"/>
      <c r="L307" s="62"/>
      <c r="M307" s="4"/>
      <c r="N307" s="4"/>
      <c r="O307" s="4"/>
      <c r="P307" s="4"/>
    </row>
    <row r="308" spans="1:16" ht="60" customHeight="1" x14ac:dyDescent="0.45">
      <c r="A308" s="6"/>
      <c r="B308" s="6"/>
      <c r="C308" s="10" t="str">
        <f>IFERROR(VLOOKUP(B308,'Incident Intake'!$A:$G,7,FALSE())&amp;" "&amp;VLOOKUP(B308,'Incident Intake'!$A:$F,6,FALSE()),"")</f>
        <v/>
      </c>
      <c r="D308" s="10" t="str">
        <f>IFERROR(VLOOKUP(B308,'Incident Intake'!$A:$J,10,FALSE()),"")</f>
        <v/>
      </c>
      <c r="E308" s="12"/>
      <c r="F308" s="6"/>
      <c r="G308" s="6"/>
      <c r="H308" s="6"/>
      <c r="I308" s="6"/>
      <c r="J308" s="6"/>
      <c r="K308" s="6"/>
      <c r="L308" s="63"/>
      <c r="M308" s="6"/>
      <c r="N308" s="6"/>
      <c r="O308" s="6"/>
      <c r="P308" s="6"/>
    </row>
    <row r="309" spans="1:16" ht="60" customHeight="1" x14ac:dyDescent="0.45">
      <c r="A309" s="4"/>
      <c r="B309" s="4"/>
      <c r="C309" s="10" t="str">
        <f>IFERROR(VLOOKUP(B309,'Incident Intake'!$A:$G,7,FALSE())&amp;" "&amp;VLOOKUP(B309,'Incident Intake'!$A:$F,6,FALSE()),"")</f>
        <v/>
      </c>
      <c r="D309" s="10" t="str">
        <f>IFERROR(VLOOKUP(B309,'Incident Intake'!$A:$J,10,FALSE()),"")</f>
        <v/>
      </c>
      <c r="E309" s="8"/>
      <c r="F309" s="4"/>
      <c r="G309" s="4"/>
      <c r="H309" s="4"/>
      <c r="I309" s="4"/>
      <c r="J309" s="4"/>
      <c r="K309" s="4"/>
      <c r="L309" s="62"/>
      <c r="M309" s="4"/>
      <c r="N309" s="4"/>
      <c r="O309" s="4"/>
      <c r="P309" s="4"/>
    </row>
    <row r="310" spans="1:16" ht="60" customHeight="1" x14ac:dyDescent="0.45">
      <c r="A310" s="6"/>
      <c r="B310" s="6"/>
      <c r="C310" s="10" t="str">
        <f>IFERROR(VLOOKUP(B310,'Incident Intake'!$A:$G,7,FALSE())&amp;" "&amp;VLOOKUP(B310,'Incident Intake'!$A:$F,6,FALSE()),"")</f>
        <v/>
      </c>
      <c r="D310" s="10" t="str">
        <f>IFERROR(VLOOKUP(B310,'Incident Intake'!$A:$J,10,FALSE()),"")</f>
        <v/>
      </c>
      <c r="E310" s="12"/>
      <c r="F310" s="6"/>
      <c r="G310" s="6"/>
      <c r="H310" s="6"/>
      <c r="I310" s="6"/>
      <c r="J310" s="6"/>
      <c r="K310" s="6"/>
      <c r="L310" s="63"/>
      <c r="M310" s="6"/>
      <c r="N310" s="6"/>
      <c r="O310" s="6"/>
      <c r="P310" s="6"/>
    </row>
    <row r="311" spans="1:16" ht="60" customHeight="1" x14ac:dyDescent="0.45">
      <c r="A311" s="4"/>
      <c r="B311" s="4"/>
      <c r="C311" s="10" t="str">
        <f>IFERROR(VLOOKUP(B311,'Incident Intake'!$A:$G,7,FALSE())&amp;" "&amp;VLOOKUP(B311,'Incident Intake'!$A:$F,6,FALSE()),"")</f>
        <v/>
      </c>
      <c r="D311" s="10" t="str">
        <f>IFERROR(VLOOKUP(B311,'Incident Intake'!$A:$J,10,FALSE()),"")</f>
        <v/>
      </c>
      <c r="E311" s="8"/>
      <c r="F311" s="4"/>
      <c r="G311" s="4"/>
      <c r="H311" s="4"/>
      <c r="I311" s="4"/>
      <c r="J311" s="4"/>
      <c r="K311" s="4"/>
      <c r="L311" s="62"/>
      <c r="M311" s="4"/>
      <c r="N311" s="4"/>
      <c r="O311" s="4"/>
      <c r="P311" s="4"/>
    </row>
    <row r="312" spans="1:16" ht="60" customHeight="1" x14ac:dyDescent="0.45">
      <c r="A312" s="6"/>
      <c r="B312" s="6"/>
      <c r="C312" s="10" t="str">
        <f>IFERROR(VLOOKUP(B312,'Incident Intake'!$A:$G,7,FALSE())&amp;" "&amp;VLOOKUP(B312,'Incident Intake'!$A:$F,6,FALSE()),"")</f>
        <v/>
      </c>
      <c r="D312" s="10" t="str">
        <f>IFERROR(VLOOKUP(B312,'Incident Intake'!$A:$J,10,FALSE()),"")</f>
        <v/>
      </c>
      <c r="E312" s="12"/>
      <c r="F312" s="6"/>
      <c r="G312" s="6"/>
      <c r="H312" s="6"/>
      <c r="I312" s="6"/>
      <c r="J312" s="6"/>
      <c r="K312" s="6"/>
      <c r="L312" s="63"/>
      <c r="M312" s="6"/>
      <c r="N312" s="6"/>
      <c r="O312" s="6"/>
      <c r="P312" s="6"/>
    </row>
    <row r="313" spans="1:16" ht="60" customHeight="1" x14ac:dyDescent="0.45">
      <c r="A313" s="4"/>
      <c r="B313" s="4"/>
      <c r="C313" s="10" t="str">
        <f>IFERROR(VLOOKUP(B313,'Incident Intake'!$A:$G,7,FALSE())&amp;" "&amp;VLOOKUP(B313,'Incident Intake'!$A:$F,6,FALSE()),"")</f>
        <v/>
      </c>
      <c r="D313" s="10" t="str">
        <f>IFERROR(VLOOKUP(B313,'Incident Intake'!$A:$J,10,FALSE()),"")</f>
        <v/>
      </c>
      <c r="E313" s="8"/>
      <c r="F313" s="4"/>
      <c r="G313" s="4"/>
      <c r="H313" s="4"/>
      <c r="I313" s="4"/>
      <c r="J313" s="4"/>
      <c r="K313" s="4"/>
      <c r="L313" s="62"/>
      <c r="M313" s="4"/>
      <c r="N313" s="4"/>
      <c r="O313" s="4"/>
      <c r="P313" s="4"/>
    </row>
    <row r="314" spans="1:16" ht="60" customHeight="1" x14ac:dyDescent="0.45">
      <c r="A314" s="6"/>
      <c r="B314" s="6"/>
      <c r="C314" s="10" t="str">
        <f>IFERROR(VLOOKUP(B314,'Incident Intake'!$A:$G,7,FALSE())&amp;" "&amp;VLOOKUP(B314,'Incident Intake'!$A:$F,6,FALSE()),"")</f>
        <v/>
      </c>
      <c r="D314" s="10" t="str">
        <f>IFERROR(VLOOKUP(B314,'Incident Intake'!$A:$J,10,FALSE()),"")</f>
        <v/>
      </c>
      <c r="E314" s="12"/>
      <c r="F314" s="6"/>
      <c r="G314" s="6"/>
      <c r="H314" s="6"/>
      <c r="I314" s="6"/>
      <c r="J314" s="6"/>
      <c r="K314" s="6"/>
      <c r="L314" s="63"/>
      <c r="M314" s="6"/>
      <c r="N314" s="6"/>
      <c r="O314" s="6"/>
      <c r="P314" s="6"/>
    </row>
    <row r="315" spans="1:16" ht="60" customHeight="1" x14ac:dyDescent="0.45">
      <c r="A315" s="4"/>
      <c r="B315" s="4"/>
      <c r="C315" s="10" t="str">
        <f>IFERROR(VLOOKUP(B315,'Incident Intake'!$A:$G,7,FALSE())&amp;" "&amp;VLOOKUP(B315,'Incident Intake'!$A:$F,6,FALSE()),"")</f>
        <v/>
      </c>
      <c r="D315" s="10" t="str">
        <f>IFERROR(VLOOKUP(B315,'Incident Intake'!$A:$J,10,FALSE()),"")</f>
        <v/>
      </c>
      <c r="E315" s="8"/>
      <c r="F315" s="4"/>
      <c r="G315" s="4"/>
      <c r="H315" s="4"/>
      <c r="I315" s="4"/>
      <c r="J315" s="4"/>
      <c r="K315" s="4"/>
      <c r="L315" s="62"/>
      <c r="M315" s="4"/>
      <c r="N315" s="4"/>
      <c r="O315" s="4"/>
      <c r="P315" s="4"/>
    </row>
    <row r="316" spans="1:16" ht="60" customHeight="1" x14ac:dyDescent="0.45">
      <c r="A316" s="6"/>
      <c r="B316" s="6"/>
      <c r="C316" s="10" t="str">
        <f>IFERROR(VLOOKUP(B316,'Incident Intake'!$A:$G,7,FALSE())&amp;" "&amp;VLOOKUP(B316,'Incident Intake'!$A:$F,6,FALSE()),"")</f>
        <v/>
      </c>
      <c r="D316" s="10" t="str">
        <f>IFERROR(VLOOKUP(B316,'Incident Intake'!$A:$J,10,FALSE()),"")</f>
        <v/>
      </c>
      <c r="E316" s="12"/>
      <c r="F316" s="6"/>
      <c r="G316" s="6"/>
      <c r="H316" s="6"/>
      <c r="I316" s="6"/>
      <c r="J316" s="6"/>
      <c r="K316" s="6"/>
      <c r="L316" s="63"/>
      <c r="M316" s="6"/>
      <c r="N316" s="6"/>
      <c r="O316" s="6"/>
      <c r="P316" s="6"/>
    </row>
    <row r="317" spans="1:16" ht="60" customHeight="1" x14ac:dyDescent="0.45">
      <c r="A317" s="4"/>
      <c r="B317" s="4"/>
      <c r="C317" s="10" t="str">
        <f>IFERROR(VLOOKUP(B317,'Incident Intake'!$A:$G,7,FALSE())&amp;" "&amp;VLOOKUP(B317,'Incident Intake'!$A:$F,6,FALSE()),"")</f>
        <v/>
      </c>
      <c r="D317" s="10" t="str">
        <f>IFERROR(VLOOKUP(B317,'Incident Intake'!$A:$J,10,FALSE()),"")</f>
        <v/>
      </c>
      <c r="E317" s="8"/>
      <c r="F317" s="4"/>
      <c r="G317" s="4"/>
      <c r="H317" s="4"/>
      <c r="I317" s="4"/>
      <c r="J317" s="4"/>
      <c r="K317" s="4"/>
      <c r="L317" s="62"/>
      <c r="M317" s="4"/>
      <c r="N317" s="4"/>
      <c r="O317" s="4"/>
      <c r="P317" s="4"/>
    </row>
    <row r="318" spans="1:16" ht="60" customHeight="1" x14ac:dyDescent="0.45">
      <c r="A318" s="6"/>
      <c r="B318" s="6"/>
      <c r="C318" s="10" t="str">
        <f>IFERROR(VLOOKUP(B318,'Incident Intake'!$A:$G,7,FALSE())&amp;" "&amp;VLOOKUP(B318,'Incident Intake'!$A:$F,6,FALSE()),"")</f>
        <v/>
      </c>
      <c r="D318" s="10" t="str">
        <f>IFERROR(VLOOKUP(B318,'Incident Intake'!$A:$J,10,FALSE()),"")</f>
        <v/>
      </c>
      <c r="E318" s="12"/>
      <c r="F318" s="6"/>
      <c r="G318" s="6"/>
      <c r="H318" s="6"/>
      <c r="I318" s="6"/>
      <c r="J318" s="6"/>
      <c r="K318" s="6"/>
      <c r="L318" s="63"/>
      <c r="M318" s="6"/>
      <c r="N318" s="6"/>
      <c r="O318" s="6"/>
      <c r="P318" s="6"/>
    </row>
    <row r="319" spans="1:16" ht="60" customHeight="1" x14ac:dyDescent="0.45">
      <c r="A319" s="4"/>
      <c r="B319" s="4"/>
      <c r="C319" s="10" t="str">
        <f>IFERROR(VLOOKUP(B319,'Incident Intake'!$A:$G,7,FALSE())&amp;" "&amp;VLOOKUP(B319,'Incident Intake'!$A:$F,6,FALSE()),"")</f>
        <v/>
      </c>
      <c r="D319" s="10" t="str">
        <f>IFERROR(VLOOKUP(B319,'Incident Intake'!$A:$J,10,FALSE()),"")</f>
        <v/>
      </c>
      <c r="E319" s="8"/>
      <c r="F319" s="4"/>
      <c r="G319" s="4"/>
      <c r="H319" s="4"/>
      <c r="I319" s="4"/>
      <c r="J319" s="4"/>
      <c r="K319" s="4"/>
      <c r="L319" s="62"/>
      <c r="M319" s="4"/>
      <c r="N319" s="4"/>
      <c r="O319" s="4"/>
      <c r="P319" s="4"/>
    </row>
    <row r="320" spans="1:16" ht="60" customHeight="1" x14ac:dyDescent="0.45">
      <c r="A320" s="6"/>
      <c r="B320" s="6"/>
      <c r="C320" s="10" t="str">
        <f>IFERROR(VLOOKUP(B320,'Incident Intake'!$A:$G,7,FALSE())&amp;" "&amp;VLOOKUP(B320,'Incident Intake'!$A:$F,6,FALSE()),"")</f>
        <v/>
      </c>
      <c r="D320" s="10" t="str">
        <f>IFERROR(VLOOKUP(B320,'Incident Intake'!$A:$J,10,FALSE()),"")</f>
        <v/>
      </c>
      <c r="E320" s="12"/>
      <c r="F320" s="6"/>
      <c r="G320" s="6"/>
      <c r="H320" s="6"/>
      <c r="I320" s="6"/>
      <c r="J320" s="6"/>
      <c r="K320" s="6"/>
      <c r="L320" s="63"/>
      <c r="M320" s="6"/>
      <c r="N320" s="6"/>
      <c r="O320" s="6"/>
      <c r="P320" s="6"/>
    </row>
    <row r="321" spans="1:16" ht="60" customHeight="1" x14ac:dyDescent="0.45">
      <c r="A321" s="4"/>
      <c r="B321" s="4"/>
      <c r="C321" s="10" t="str">
        <f>IFERROR(VLOOKUP(B321,'Incident Intake'!$A:$G,7,FALSE())&amp;" "&amp;VLOOKUP(B321,'Incident Intake'!$A:$F,6,FALSE()),"")</f>
        <v/>
      </c>
      <c r="D321" s="10" t="str">
        <f>IFERROR(VLOOKUP(B321,'Incident Intake'!$A:$J,10,FALSE()),"")</f>
        <v/>
      </c>
      <c r="E321" s="8"/>
      <c r="F321" s="4"/>
      <c r="G321" s="4"/>
      <c r="H321" s="4"/>
      <c r="I321" s="4"/>
      <c r="J321" s="4"/>
      <c r="K321" s="4"/>
      <c r="L321" s="62"/>
      <c r="M321" s="4"/>
      <c r="N321" s="4"/>
      <c r="O321" s="4"/>
      <c r="P321" s="4"/>
    </row>
    <row r="322" spans="1:16" ht="60" customHeight="1" x14ac:dyDescent="0.45">
      <c r="A322" s="6"/>
      <c r="B322" s="6"/>
      <c r="C322" s="10" t="str">
        <f>IFERROR(VLOOKUP(B322,'Incident Intake'!$A:$G,7,FALSE())&amp;" "&amp;VLOOKUP(B322,'Incident Intake'!$A:$F,6,FALSE()),"")</f>
        <v/>
      </c>
      <c r="D322" s="10" t="str">
        <f>IFERROR(VLOOKUP(B322,'Incident Intake'!$A:$J,10,FALSE()),"")</f>
        <v/>
      </c>
      <c r="E322" s="12"/>
      <c r="F322" s="6"/>
      <c r="G322" s="6"/>
      <c r="H322" s="6"/>
      <c r="I322" s="6"/>
      <c r="J322" s="6"/>
      <c r="K322" s="6"/>
      <c r="L322" s="63"/>
      <c r="M322" s="6"/>
      <c r="N322" s="6"/>
      <c r="O322" s="6"/>
      <c r="P322" s="6"/>
    </row>
    <row r="323" spans="1:16" ht="60" customHeight="1" x14ac:dyDescent="0.45">
      <c r="A323" s="4"/>
      <c r="B323" s="4"/>
      <c r="C323" s="10" t="str">
        <f>IFERROR(VLOOKUP(B323,'Incident Intake'!$A:$G,7,FALSE())&amp;" "&amp;VLOOKUP(B323,'Incident Intake'!$A:$F,6,FALSE()),"")</f>
        <v/>
      </c>
      <c r="D323" s="10" t="str">
        <f>IFERROR(VLOOKUP(B323,'Incident Intake'!$A:$J,10,FALSE()),"")</f>
        <v/>
      </c>
      <c r="E323" s="8"/>
      <c r="F323" s="4"/>
      <c r="G323" s="4"/>
      <c r="H323" s="4"/>
      <c r="I323" s="4"/>
      <c r="J323" s="4"/>
      <c r="K323" s="4"/>
      <c r="L323" s="62"/>
      <c r="M323" s="4"/>
      <c r="N323" s="4"/>
      <c r="O323" s="4"/>
      <c r="P323" s="4"/>
    </row>
    <row r="324" spans="1:16" ht="60" customHeight="1" x14ac:dyDescent="0.45">
      <c r="A324" s="6"/>
      <c r="B324" s="6"/>
      <c r="C324" s="10" t="str">
        <f>IFERROR(VLOOKUP(B324,'Incident Intake'!$A:$G,7,FALSE())&amp;" "&amp;VLOOKUP(B324,'Incident Intake'!$A:$F,6,FALSE()),"")</f>
        <v/>
      </c>
      <c r="D324" s="10" t="str">
        <f>IFERROR(VLOOKUP(B324,'Incident Intake'!$A:$J,10,FALSE()),"")</f>
        <v/>
      </c>
      <c r="E324" s="12"/>
      <c r="F324" s="6"/>
      <c r="G324" s="6"/>
      <c r="H324" s="6"/>
      <c r="I324" s="6"/>
      <c r="J324" s="6"/>
      <c r="K324" s="6"/>
      <c r="L324" s="63"/>
      <c r="M324" s="6"/>
      <c r="N324" s="6"/>
      <c r="O324" s="6"/>
      <c r="P324" s="6"/>
    </row>
    <row r="325" spans="1:16" ht="60" customHeight="1" x14ac:dyDescent="0.45">
      <c r="A325" s="4"/>
      <c r="B325" s="4"/>
      <c r="C325" s="10" t="str">
        <f>IFERROR(VLOOKUP(B325,'Incident Intake'!$A:$G,7,FALSE())&amp;" "&amp;VLOOKUP(B325,'Incident Intake'!$A:$F,6,FALSE()),"")</f>
        <v/>
      </c>
      <c r="D325" s="10" t="str">
        <f>IFERROR(VLOOKUP(B325,'Incident Intake'!$A:$J,10,FALSE()),"")</f>
        <v/>
      </c>
      <c r="E325" s="8"/>
      <c r="F325" s="4"/>
      <c r="G325" s="4"/>
      <c r="H325" s="4"/>
      <c r="I325" s="4"/>
      <c r="J325" s="4"/>
      <c r="K325" s="4"/>
      <c r="L325" s="62"/>
      <c r="M325" s="4"/>
      <c r="N325" s="4"/>
      <c r="O325" s="4"/>
      <c r="P325" s="4"/>
    </row>
    <row r="326" spans="1:16" ht="60" customHeight="1" x14ac:dyDescent="0.45">
      <c r="A326" s="6"/>
      <c r="B326" s="6"/>
      <c r="C326" s="10" t="str">
        <f>IFERROR(VLOOKUP(B326,'Incident Intake'!$A:$G,7,FALSE())&amp;" "&amp;VLOOKUP(B326,'Incident Intake'!$A:$F,6,FALSE()),"")</f>
        <v/>
      </c>
      <c r="D326" s="10" t="str">
        <f>IFERROR(VLOOKUP(B326,'Incident Intake'!$A:$J,10,FALSE()),"")</f>
        <v/>
      </c>
      <c r="E326" s="12"/>
      <c r="F326" s="6"/>
      <c r="G326" s="6"/>
      <c r="H326" s="6"/>
      <c r="I326" s="6"/>
      <c r="J326" s="6"/>
      <c r="K326" s="6"/>
      <c r="L326" s="63"/>
      <c r="M326" s="6"/>
      <c r="N326" s="6"/>
      <c r="O326" s="6"/>
      <c r="P326" s="6"/>
    </row>
    <row r="327" spans="1:16" ht="60" customHeight="1" x14ac:dyDescent="0.45">
      <c r="A327" s="4"/>
      <c r="B327" s="4"/>
      <c r="C327" s="10" t="str">
        <f>IFERROR(VLOOKUP(B327,'Incident Intake'!$A:$G,7,FALSE())&amp;" "&amp;VLOOKUP(B327,'Incident Intake'!$A:$F,6,FALSE()),"")</f>
        <v/>
      </c>
      <c r="D327" s="10" t="str">
        <f>IFERROR(VLOOKUP(B327,'Incident Intake'!$A:$J,10,FALSE()),"")</f>
        <v/>
      </c>
      <c r="E327" s="8"/>
      <c r="F327" s="4"/>
      <c r="G327" s="4"/>
      <c r="H327" s="4"/>
      <c r="I327" s="4"/>
      <c r="J327" s="4"/>
      <c r="K327" s="4"/>
      <c r="L327" s="62"/>
      <c r="M327" s="4"/>
      <c r="N327" s="4"/>
      <c r="O327" s="4"/>
      <c r="P327" s="4"/>
    </row>
    <row r="328" spans="1:16" ht="60" customHeight="1" x14ac:dyDescent="0.45">
      <c r="A328" s="6"/>
      <c r="B328" s="6"/>
      <c r="C328" s="10" t="str">
        <f>IFERROR(VLOOKUP(B328,'Incident Intake'!$A:$G,7,FALSE())&amp;" "&amp;VLOOKUP(B328,'Incident Intake'!$A:$F,6,FALSE()),"")</f>
        <v/>
      </c>
      <c r="D328" s="10" t="str">
        <f>IFERROR(VLOOKUP(B328,'Incident Intake'!$A:$J,10,FALSE()),"")</f>
        <v/>
      </c>
      <c r="E328" s="12"/>
      <c r="F328" s="6"/>
      <c r="G328" s="6"/>
      <c r="H328" s="6"/>
      <c r="I328" s="6"/>
      <c r="J328" s="6"/>
      <c r="K328" s="6"/>
      <c r="L328" s="63"/>
      <c r="M328" s="6"/>
      <c r="N328" s="6"/>
      <c r="O328" s="6"/>
      <c r="P328" s="6"/>
    </row>
    <row r="329" spans="1:16" ht="60" customHeight="1" x14ac:dyDescent="0.45">
      <c r="A329" s="4"/>
      <c r="B329" s="4"/>
      <c r="C329" s="10" t="str">
        <f>IFERROR(VLOOKUP(B329,'Incident Intake'!$A:$G,7,FALSE())&amp;" "&amp;VLOOKUP(B329,'Incident Intake'!$A:$F,6,FALSE()),"")</f>
        <v/>
      </c>
      <c r="D329" s="10" t="str">
        <f>IFERROR(VLOOKUP(B329,'Incident Intake'!$A:$J,10,FALSE()),"")</f>
        <v/>
      </c>
      <c r="E329" s="8"/>
      <c r="F329" s="4"/>
      <c r="G329" s="4"/>
      <c r="H329" s="4"/>
      <c r="I329" s="4"/>
      <c r="J329" s="4"/>
      <c r="K329" s="4"/>
      <c r="L329" s="62"/>
      <c r="M329" s="4"/>
      <c r="N329" s="4"/>
      <c r="O329" s="4"/>
      <c r="P329" s="4"/>
    </row>
    <row r="330" spans="1:16" ht="60" customHeight="1" x14ac:dyDescent="0.45">
      <c r="A330" s="6"/>
      <c r="B330" s="6"/>
      <c r="C330" s="10" t="str">
        <f>IFERROR(VLOOKUP(B330,'Incident Intake'!$A:$G,7,FALSE())&amp;" "&amp;VLOOKUP(B330,'Incident Intake'!$A:$F,6,FALSE()),"")</f>
        <v/>
      </c>
      <c r="D330" s="10" t="str">
        <f>IFERROR(VLOOKUP(B330,'Incident Intake'!$A:$J,10,FALSE()),"")</f>
        <v/>
      </c>
      <c r="E330" s="12"/>
      <c r="F330" s="6"/>
      <c r="G330" s="6"/>
      <c r="H330" s="6"/>
      <c r="I330" s="6"/>
      <c r="J330" s="6"/>
      <c r="K330" s="6"/>
      <c r="L330" s="63"/>
      <c r="M330" s="6"/>
      <c r="N330" s="6"/>
      <c r="O330" s="6"/>
      <c r="P330" s="6"/>
    </row>
    <row r="331" spans="1:16" ht="60" customHeight="1" x14ac:dyDescent="0.45">
      <c r="A331" s="4"/>
      <c r="B331" s="4"/>
      <c r="C331" s="10" t="str">
        <f>IFERROR(VLOOKUP(B331,'Incident Intake'!$A:$G,7,FALSE())&amp;" "&amp;VLOOKUP(B331,'Incident Intake'!$A:$F,6,FALSE()),"")</f>
        <v/>
      </c>
      <c r="D331" s="10" t="str">
        <f>IFERROR(VLOOKUP(B331,'Incident Intake'!$A:$J,10,FALSE()),"")</f>
        <v/>
      </c>
      <c r="E331" s="8"/>
      <c r="F331" s="4"/>
      <c r="G331" s="4"/>
      <c r="H331" s="4"/>
      <c r="I331" s="4"/>
      <c r="J331" s="4"/>
      <c r="K331" s="4"/>
      <c r="L331" s="62"/>
      <c r="M331" s="4"/>
      <c r="N331" s="4"/>
      <c r="O331" s="4"/>
      <c r="P331" s="4"/>
    </row>
    <row r="332" spans="1:16" ht="60" customHeight="1" x14ac:dyDescent="0.45">
      <c r="A332" s="6"/>
      <c r="B332" s="6"/>
      <c r="C332" s="10" t="str">
        <f>IFERROR(VLOOKUP(B332,'Incident Intake'!$A:$G,7,FALSE())&amp;" "&amp;VLOOKUP(B332,'Incident Intake'!$A:$F,6,FALSE()),"")</f>
        <v/>
      </c>
      <c r="D332" s="10" t="str">
        <f>IFERROR(VLOOKUP(B332,'Incident Intake'!$A:$J,10,FALSE()),"")</f>
        <v/>
      </c>
      <c r="E332" s="12"/>
      <c r="F332" s="6"/>
      <c r="G332" s="6"/>
      <c r="H332" s="6"/>
      <c r="I332" s="6"/>
      <c r="J332" s="6"/>
      <c r="K332" s="6"/>
      <c r="L332" s="63"/>
      <c r="M332" s="6"/>
      <c r="N332" s="6"/>
      <c r="O332" s="6"/>
      <c r="P332" s="6"/>
    </row>
    <row r="333" spans="1:16" ht="60" customHeight="1" x14ac:dyDescent="0.45">
      <c r="A333" s="4"/>
      <c r="B333" s="4"/>
      <c r="C333" s="10" t="str">
        <f>IFERROR(VLOOKUP(B333,'Incident Intake'!$A:$G,7,FALSE())&amp;" "&amp;VLOOKUP(B333,'Incident Intake'!$A:$F,6,FALSE()),"")</f>
        <v/>
      </c>
      <c r="D333" s="10" t="str">
        <f>IFERROR(VLOOKUP(B333,'Incident Intake'!$A:$J,10,FALSE()),"")</f>
        <v/>
      </c>
      <c r="E333" s="8"/>
      <c r="F333" s="4"/>
      <c r="G333" s="4"/>
      <c r="H333" s="4"/>
      <c r="I333" s="4"/>
      <c r="J333" s="4"/>
      <c r="K333" s="4"/>
      <c r="L333" s="62"/>
      <c r="M333" s="4"/>
      <c r="N333" s="4"/>
      <c r="O333" s="4"/>
      <c r="P333" s="4"/>
    </row>
    <row r="334" spans="1:16" ht="60" customHeight="1" x14ac:dyDescent="0.45">
      <c r="A334" s="6"/>
      <c r="B334" s="6"/>
      <c r="C334" s="10" t="str">
        <f>IFERROR(VLOOKUP(B334,'Incident Intake'!$A:$G,7,FALSE())&amp;" "&amp;VLOOKUP(B334,'Incident Intake'!$A:$F,6,FALSE()),"")</f>
        <v/>
      </c>
      <c r="D334" s="10" t="str">
        <f>IFERROR(VLOOKUP(B334,'Incident Intake'!$A:$J,10,FALSE()),"")</f>
        <v/>
      </c>
      <c r="E334" s="12"/>
      <c r="F334" s="6"/>
      <c r="G334" s="6"/>
      <c r="H334" s="6"/>
      <c r="I334" s="6"/>
      <c r="J334" s="6"/>
      <c r="K334" s="6"/>
      <c r="L334" s="63"/>
      <c r="M334" s="6"/>
      <c r="N334" s="6"/>
      <c r="O334" s="6"/>
      <c r="P334" s="6"/>
    </row>
    <row r="335" spans="1:16" ht="60" customHeight="1" x14ac:dyDescent="0.45">
      <c r="A335" s="4"/>
      <c r="B335" s="4"/>
      <c r="C335" s="10" t="str">
        <f>IFERROR(VLOOKUP(B335,'Incident Intake'!$A:$G,7,FALSE())&amp;" "&amp;VLOOKUP(B335,'Incident Intake'!$A:$F,6,FALSE()),"")</f>
        <v/>
      </c>
      <c r="D335" s="10" t="str">
        <f>IFERROR(VLOOKUP(B335,'Incident Intake'!$A:$J,10,FALSE()),"")</f>
        <v/>
      </c>
      <c r="E335" s="8"/>
      <c r="F335" s="4"/>
      <c r="G335" s="4"/>
      <c r="H335" s="4"/>
      <c r="I335" s="4"/>
      <c r="J335" s="4"/>
      <c r="K335" s="4"/>
      <c r="L335" s="62"/>
      <c r="M335" s="4"/>
      <c r="N335" s="4"/>
      <c r="O335" s="4"/>
      <c r="P335" s="4"/>
    </row>
    <row r="336" spans="1:16" ht="60" customHeight="1" x14ac:dyDescent="0.45">
      <c r="A336" s="6"/>
      <c r="B336" s="6"/>
      <c r="C336" s="10" t="str">
        <f>IFERROR(VLOOKUP(B336,'Incident Intake'!$A:$G,7,FALSE())&amp;" "&amp;VLOOKUP(B336,'Incident Intake'!$A:$F,6,FALSE()),"")</f>
        <v/>
      </c>
      <c r="D336" s="10" t="str">
        <f>IFERROR(VLOOKUP(B336,'Incident Intake'!$A:$J,10,FALSE()),"")</f>
        <v/>
      </c>
      <c r="E336" s="12"/>
      <c r="F336" s="6"/>
      <c r="G336" s="6"/>
      <c r="H336" s="6"/>
      <c r="I336" s="6"/>
      <c r="J336" s="6"/>
      <c r="K336" s="6"/>
      <c r="L336" s="63"/>
      <c r="M336" s="6"/>
      <c r="N336" s="6"/>
      <c r="O336" s="6"/>
      <c r="P336" s="6"/>
    </row>
    <row r="337" spans="1:16" ht="60" customHeight="1" x14ac:dyDescent="0.45">
      <c r="A337" s="4"/>
      <c r="B337" s="4"/>
      <c r="C337" s="10" t="str">
        <f>IFERROR(VLOOKUP(B337,'Incident Intake'!$A:$G,7,FALSE())&amp;" "&amp;VLOOKUP(B337,'Incident Intake'!$A:$F,6,FALSE()),"")</f>
        <v/>
      </c>
      <c r="D337" s="10" t="str">
        <f>IFERROR(VLOOKUP(B337,'Incident Intake'!$A:$J,10,FALSE()),"")</f>
        <v/>
      </c>
      <c r="E337" s="8"/>
      <c r="F337" s="4"/>
      <c r="G337" s="4"/>
      <c r="H337" s="4"/>
      <c r="I337" s="4"/>
      <c r="J337" s="4"/>
      <c r="K337" s="4"/>
      <c r="L337" s="62"/>
      <c r="M337" s="4"/>
      <c r="N337" s="4"/>
      <c r="O337" s="4"/>
      <c r="P337" s="4"/>
    </row>
    <row r="338" spans="1:16" ht="60" customHeight="1" x14ac:dyDescent="0.45">
      <c r="A338" s="6"/>
      <c r="B338" s="6"/>
      <c r="C338" s="10" t="str">
        <f>IFERROR(VLOOKUP(B338,'Incident Intake'!$A:$G,7,FALSE())&amp;" "&amp;VLOOKUP(B338,'Incident Intake'!$A:$F,6,FALSE()),"")</f>
        <v/>
      </c>
      <c r="D338" s="10" t="str">
        <f>IFERROR(VLOOKUP(B338,'Incident Intake'!$A:$J,10,FALSE()),"")</f>
        <v/>
      </c>
      <c r="E338" s="12"/>
      <c r="F338" s="6"/>
      <c r="G338" s="6"/>
      <c r="H338" s="6"/>
      <c r="I338" s="6"/>
      <c r="J338" s="6"/>
      <c r="K338" s="6"/>
      <c r="L338" s="63"/>
      <c r="M338" s="6"/>
      <c r="N338" s="6"/>
      <c r="O338" s="6"/>
      <c r="P338" s="6"/>
    </row>
    <row r="339" spans="1:16" ht="60" customHeight="1" x14ac:dyDescent="0.45">
      <c r="A339" s="4"/>
      <c r="B339" s="4"/>
      <c r="C339" s="10" t="str">
        <f>IFERROR(VLOOKUP(B339,'Incident Intake'!$A:$G,7,FALSE())&amp;" "&amp;VLOOKUP(B339,'Incident Intake'!$A:$F,6,FALSE()),"")</f>
        <v/>
      </c>
      <c r="D339" s="10" t="str">
        <f>IFERROR(VLOOKUP(B339,'Incident Intake'!$A:$J,10,FALSE()),"")</f>
        <v/>
      </c>
      <c r="E339" s="8"/>
      <c r="F339" s="4"/>
      <c r="G339" s="4"/>
      <c r="H339" s="4"/>
      <c r="I339" s="4"/>
      <c r="J339" s="4"/>
      <c r="K339" s="4"/>
      <c r="L339" s="62"/>
      <c r="M339" s="4"/>
      <c r="N339" s="4"/>
      <c r="O339" s="4"/>
      <c r="P339" s="4"/>
    </row>
    <row r="340" spans="1:16" ht="60" customHeight="1" x14ac:dyDescent="0.45">
      <c r="A340" s="6"/>
      <c r="B340" s="6"/>
      <c r="C340" s="10" t="str">
        <f>IFERROR(VLOOKUP(B340,'Incident Intake'!$A:$G,7,FALSE())&amp;" "&amp;VLOOKUP(B340,'Incident Intake'!$A:$F,6,FALSE()),"")</f>
        <v/>
      </c>
      <c r="D340" s="10" t="str">
        <f>IFERROR(VLOOKUP(B340,'Incident Intake'!$A:$J,10,FALSE()),"")</f>
        <v/>
      </c>
      <c r="E340" s="12"/>
      <c r="F340" s="6"/>
      <c r="G340" s="6"/>
      <c r="H340" s="6"/>
      <c r="I340" s="6"/>
      <c r="J340" s="6"/>
      <c r="K340" s="6"/>
      <c r="L340" s="63"/>
      <c r="M340" s="6"/>
      <c r="N340" s="6"/>
      <c r="O340" s="6"/>
      <c r="P340" s="6"/>
    </row>
    <row r="341" spans="1:16" ht="60" customHeight="1" x14ac:dyDescent="0.45">
      <c r="A341" s="4"/>
      <c r="B341" s="4"/>
      <c r="C341" s="10" t="str">
        <f>IFERROR(VLOOKUP(B341,'Incident Intake'!$A:$G,7,FALSE())&amp;" "&amp;VLOOKUP(B341,'Incident Intake'!$A:$F,6,FALSE()),"")</f>
        <v/>
      </c>
      <c r="D341" s="10" t="str">
        <f>IFERROR(VLOOKUP(B341,'Incident Intake'!$A:$J,10,FALSE()),"")</f>
        <v/>
      </c>
      <c r="E341" s="8"/>
      <c r="F341" s="4"/>
      <c r="G341" s="4"/>
      <c r="H341" s="4"/>
      <c r="I341" s="4"/>
      <c r="J341" s="4"/>
      <c r="K341" s="4"/>
      <c r="L341" s="62"/>
      <c r="M341" s="4"/>
      <c r="N341" s="4"/>
      <c r="O341" s="4"/>
      <c r="P341" s="4"/>
    </row>
    <row r="342" spans="1:16" ht="60" customHeight="1" x14ac:dyDescent="0.45">
      <c r="A342" s="6"/>
      <c r="B342" s="6"/>
      <c r="C342" s="10" t="str">
        <f>IFERROR(VLOOKUP(B342,'Incident Intake'!$A:$G,7,FALSE())&amp;" "&amp;VLOOKUP(B342,'Incident Intake'!$A:$F,6,FALSE()),"")</f>
        <v/>
      </c>
      <c r="D342" s="10" t="str">
        <f>IFERROR(VLOOKUP(B342,'Incident Intake'!$A:$J,10,FALSE()),"")</f>
        <v/>
      </c>
      <c r="E342" s="12"/>
      <c r="F342" s="6"/>
      <c r="G342" s="6"/>
      <c r="H342" s="6"/>
      <c r="I342" s="6"/>
      <c r="J342" s="6"/>
      <c r="K342" s="6"/>
      <c r="L342" s="63"/>
      <c r="M342" s="6"/>
      <c r="N342" s="6"/>
      <c r="O342" s="6"/>
      <c r="P342" s="6"/>
    </row>
    <row r="343" spans="1:16" ht="60" customHeight="1" x14ac:dyDescent="0.45">
      <c r="A343" s="4"/>
      <c r="B343" s="4"/>
      <c r="C343" s="10" t="str">
        <f>IFERROR(VLOOKUP(B343,'Incident Intake'!$A:$G,7,FALSE())&amp;" "&amp;VLOOKUP(B343,'Incident Intake'!$A:$F,6,FALSE()),"")</f>
        <v/>
      </c>
      <c r="D343" s="10" t="str">
        <f>IFERROR(VLOOKUP(B343,'Incident Intake'!$A:$J,10,FALSE()),"")</f>
        <v/>
      </c>
      <c r="E343" s="8"/>
      <c r="F343" s="4"/>
      <c r="G343" s="4"/>
      <c r="H343" s="4"/>
      <c r="I343" s="4"/>
      <c r="J343" s="4"/>
      <c r="K343" s="4"/>
      <c r="L343" s="62"/>
      <c r="M343" s="4"/>
      <c r="N343" s="4"/>
      <c r="O343" s="4"/>
      <c r="P343" s="4"/>
    </row>
    <row r="344" spans="1:16" ht="60" customHeight="1" x14ac:dyDescent="0.45">
      <c r="A344" s="6"/>
      <c r="B344" s="6"/>
      <c r="C344" s="10" t="str">
        <f>IFERROR(VLOOKUP(B344,'Incident Intake'!$A:$G,7,FALSE())&amp;" "&amp;VLOOKUP(B344,'Incident Intake'!$A:$F,6,FALSE()),"")</f>
        <v/>
      </c>
      <c r="D344" s="10" t="str">
        <f>IFERROR(VLOOKUP(B344,'Incident Intake'!$A:$J,10,FALSE()),"")</f>
        <v/>
      </c>
      <c r="E344" s="12"/>
      <c r="F344" s="6"/>
      <c r="G344" s="6"/>
      <c r="H344" s="6"/>
      <c r="I344" s="6"/>
      <c r="J344" s="6"/>
      <c r="K344" s="6"/>
      <c r="L344" s="63"/>
      <c r="M344" s="6"/>
      <c r="N344" s="6"/>
      <c r="O344" s="6"/>
      <c r="P344" s="6"/>
    </row>
    <row r="345" spans="1:16" ht="60" customHeight="1" x14ac:dyDescent="0.45">
      <c r="A345" s="4"/>
      <c r="B345" s="4"/>
      <c r="C345" s="10" t="str">
        <f>IFERROR(VLOOKUP(B345,'Incident Intake'!$A:$G,7,FALSE())&amp;" "&amp;VLOOKUP(B345,'Incident Intake'!$A:$F,6,FALSE()),"")</f>
        <v/>
      </c>
      <c r="D345" s="10" t="str">
        <f>IFERROR(VLOOKUP(B345,'Incident Intake'!$A:$J,10,FALSE()),"")</f>
        <v/>
      </c>
      <c r="E345" s="8"/>
      <c r="F345" s="4"/>
      <c r="G345" s="4"/>
      <c r="H345" s="4"/>
      <c r="I345" s="4"/>
      <c r="J345" s="4"/>
      <c r="K345" s="4"/>
      <c r="L345" s="62"/>
      <c r="M345" s="4"/>
      <c r="N345" s="4"/>
      <c r="O345" s="4"/>
      <c r="P345" s="4"/>
    </row>
    <row r="346" spans="1:16" ht="60" customHeight="1" x14ac:dyDescent="0.45">
      <c r="A346" s="6"/>
      <c r="B346" s="6"/>
      <c r="C346" s="10" t="str">
        <f>IFERROR(VLOOKUP(B346,'Incident Intake'!$A:$G,7,FALSE())&amp;" "&amp;VLOOKUP(B346,'Incident Intake'!$A:$F,6,FALSE()),"")</f>
        <v/>
      </c>
      <c r="D346" s="10" t="str">
        <f>IFERROR(VLOOKUP(B346,'Incident Intake'!$A:$J,10,FALSE()),"")</f>
        <v/>
      </c>
      <c r="E346" s="12"/>
      <c r="F346" s="6"/>
      <c r="G346" s="6"/>
      <c r="H346" s="6"/>
      <c r="I346" s="6"/>
      <c r="J346" s="6"/>
      <c r="K346" s="6"/>
      <c r="L346" s="63"/>
      <c r="M346" s="6"/>
      <c r="N346" s="6"/>
      <c r="O346" s="6"/>
      <c r="P346" s="6"/>
    </row>
    <row r="347" spans="1:16" ht="60" customHeight="1" x14ac:dyDescent="0.45">
      <c r="A347" s="4"/>
      <c r="B347" s="4"/>
      <c r="C347" s="10" t="str">
        <f>IFERROR(VLOOKUP(B347,'Incident Intake'!$A:$G,7,FALSE())&amp;" "&amp;VLOOKUP(B347,'Incident Intake'!$A:$F,6,FALSE()),"")</f>
        <v/>
      </c>
      <c r="D347" s="10" t="str">
        <f>IFERROR(VLOOKUP(B347,'Incident Intake'!$A:$J,10,FALSE()),"")</f>
        <v/>
      </c>
      <c r="E347" s="8"/>
      <c r="F347" s="4"/>
      <c r="G347" s="4"/>
      <c r="H347" s="4"/>
      <c r="I347" s="4"/>
      <c r="J347" s="4"/>
      <c r="K347" s="4"/>
      <c r="L347" s="62"/>
      <c r="M347" s="4"/>
      <c r="N347" s="4"/>
      <c r="O347" s="4"/>
      <c r="P347" s="4"/>
    </row>
    <row r="348" spans="1:16" ht="60" customHeight="1" x14ac:dyDescent="0.45">
      <c r="A348" s="6"/>
      <c r="B348" s="6"/>
      <c r="C348" s="10" t="str">
        <f>IFERROR(VLOOKUP(B348,'Incident Intake'!$A:$G,7,FALSE())&amp;" "&amp;VLOOKUP(B348,'Incident Intake'!$A:$F,6,FALSE()),"")</f>
        <v/>
      </c>
      <c r="D348" s="10" t="str">
        <f>IFERROR(VLOOKUP(B348,'Incident Intake'!$A:$J,10,FALSE()),"")</f>
        <v/>
      </c>
      <c r="E348" s="12"/>
      <c r="F348" s="6"/>
      <c r="G348" s="6"/>
      <c r="H348" s="6"/>
      <c r="I348" s="6"/>
      <c r="J348" s="6"/>
      <c r="K348" s="6"/>
      <c r="L348" s="63"/>
      <c r="M348" s="6"/>
      <c r="N348" s="6"/>
      <c r="O348" s="6"/>
      <c r="P348" s="6"/>
    </row>
    <row r="349" spans="1:16" ht="60" customHeight="1" x14ac:dyDescent="0.45">
      <c r="A349" s="4"/>
      <c r="B349" s="4"/>
      <c r="C349" s="10" t="str">
        <f>IFERROR(VLOOKUP(B349,'Incident Intake'!$A:$G,7,FALSE())&amp;" "&amp;VLOOKUP(B349,'Incident Intake'!$A:$F,6,FALSE()),"")</f>
        <v/>
      </c>
      <c r="D349" s="10" t="str">
        <f>IFERROR(VLOOKUP(B349,'Incident Intake'!$A:$J,10,FALSE()),"")</f>
        <v/>
      </c>
      <c r="E349" s="8"/>
      <c r="F349" s="4"/>
      <c r="G349" s="4"/>
      <c r="H349" s="4"/>
      <c r="I349" s="4"/>
      <c r="J349" s="4"/>
      <c r="K349" s="4"/>
      <c r="L349" s="62"/>
      <c r="M349" s="4"/>
      <c r="N349" s="4"/>
      <c r="O349" s="4"/>
      <c r="P349" s="4"/>
    </row>
    <row r="350" spans="1:16" ht="60" customHeight="1" x14ac:dyDescent="0.45">
      <c r="A350" s="6"/>
      <c r="B350" s="6"/>
      <c r="C350" s="10" t="str">
        <f>IFERROR(VLOOKUP(B350,'Incident Intake'!$A:$G,7,FALSE())&amp;" "&amp;VLOOKUP(B350,'Incident Intake'!$A:$F,6,FALSE()),"")</f>
        <v/>
      </c>
      <c r="D350" s="10" t="str">
        <f>IFERROR(VLOOKUP(B350,'Incident Intake'!$A:$J,10,FALSE()),"")</f>
        <v/>
      </c>
      <c r="E350" s="12"/>
      <c r="F350" s="6"/>
      <c r="G350" s="6"/>
      <c r="H350" s="6"/>
      <c r="I350" s="6"/>
      <c r="J350" s="6"/>
      <c r="K350" s="6"/>
      <c r="L350" s="63"/>
      <c r="M350" s="6"/>
      <c r="N350" s="6"/>
      <c r="O350" s="6"/>
      <c r="P350" s="6"/>
    </row>
    <row r="351" spans="1:16" ht="60" customHeight="1" x14ac:dyDescent="0.45">
      <c r="A351" s="4"/>
      <c r="B351" s="4"/>
      <c r="C351" s="10" t="str">
        <f>IFERROR(VLOOKUP(B351,'Incident Intake'!$A:$G,7,FALSE())&amp;" "&amp;VLOOKUP(B351,'Incident Intake'!$A:$F,6,FALSE()),"")</f>
        <v/>
      </c>
      <c r="D351" s="10" t="str">
        <f>IFERROR(VLOOKUP(B351,'Incident Intake'!$A:$J,10,FALSE()),"")</f>
        <v/>
      </c>
      <c r="E351" s="8"/>
      <c r="F351" s="4"/>
      <c r="G351" s="4"/>
      <c r="H351" s="4"/>
      <c r="I351" s="4"/>
      <c r="J351" s="4"/>
      <c r="K351" s="4"/>
      <c r="L351" s="62"/>
      <c r="M351" s="4"/>
      <c r="N351" s="4"/>
      <c r="O351" s="4"/>
      <c r="P351" s="4"/>
    </row>
    <row r="352" spans="1:16" ht="60" customHeight="1" x14ac:dyDescent="0.45">
      <c r="A352" s="6"/>
      <c r="B352" s="6"/>
      <c r="C352" s="10" t="str">
        <f>IFERROR(VLOOKUP(B352,'Incident Intake'!$A:$G,7,FALSE())&amp;" "&amp;VLOOKUP(B352,'Incident Intake'!$A:$F,6,FALSE()),"")</f>
        <v/>
      </c>
      <c r="D352" s="10" t="str">
        <f>IFERROR(VLOOKUP(B352,'Incident Intake'!$A:$J,10,FALSE()),"")</f>
        <v/>
      </c>
      <c r="E352" s="12"/>
      <c r="F352" s="6"/>
      <c r="G352" s="6"/>
      <c r="H352" s="6"/>
      <c r="I352" s="6"/>
      <c r="J352" s="6"/>
      <c r="K352" s="6"/>
      <c r="L352" s="63"/>
      <c r="M352" s="6"/>
      <c r="N352" s="6"/>
      <c r="O352" s="6"/>
      <c r="P352" s="6"/>
    </row>
    <row r="353" spans="1:16" ht="60" customHeight="1" x14ac:dyDescent="0.45">
      <c r="A353" s="4"/>
      <c r="B353" s="4"/>
      <c r="C353" s="10" t="str">
        <f>IFERROR(VLOOKUP(B353,'Incident Intake'!$A:$G,7,FALSE())&amp;" "&amp;VLOOKUP(B353,'Incident Intake'!$A:$F,6,FALSE()),"")</f>
        <v/>
      </c>
      <c r="D353" s="10" t="str">
        <f>IFERROR(VLOOKUP(B353,'Incident Intake'!$A:$J,10,FALSE()),"")</f>
        <v/>
      </c>
      <c r="E353" s="8"/>
      <c r="F353" s="4"/>
      <c r="G353" s="4"/>
      <c r="H353" s="4"/>
      <c r="I353" s="4"/>
      <c r="J353" s="4"/>
      <c r="K353" s="4"/>
      <c r="L353" s="62"/>
      <c r="M353" s="4"/>
      <c r="N353" s="4"/>
      <c r="O353" s="4"/>
      <c r="P353" s="4"/>
    </row>
    <row r="354" spans="1:16" ht="60" customHeight="1" x14ac:dyDescent="0.45">
      <c r="A354" s="6"/>
      <c r="B354" s="6"/>
      <c r="C354" s="10" t="str">
        <f>IFERROR(VLOOKUP(B354,'Incident Intake'!$A:$G,7,FALSE())&amp;" "&amp;VLOOKUP(B354,'Incident Intake'!$A:$F,6,FALSE()),"")</f>
        <v/>
      </c>
      <c r="D354" s="10" t="str">
        <f>IFERROR(VLOOKUP(B354,'Incident Intake'!$A:$J,10,FALSE()),"")</f>
        <v/>
      </c>
      <c r="E354" s="12"/>
      <c r="F354" s="6"/>
      <c r="G354" s="6"/>
      <c r="H354" s="6"/>
      <c r="I354" s="6"/>
      <c r="J354" s="6"/>
      <c r="K354" s="6"/>
      <c r="L354" s="63"/>
      <c r="M354" s="6"/>
      <c r="N354" s="6"/>
      <c r="O354" s="6"/>
      <c r="P354" s="6"/>
    </row>
    <row r="355" spans="1:16" ht="19.5" customHeight="1" x14ac:dyDescent="0.45">
      <c r="A355" s="87" t="s">
        <v>72</v>
      </c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</row>
  </sheetData>
  <mergeCells count="4">
    <mergeCell ref="A1:P1"/>
    <mergeCell ref="A355:P355"/>
    <mergeCell ref="A3:P3"/>
    <mergeCell ref="A2:P2"/>
  </mergeCells>
  <conditionalFormatting sqref="A5:P354">
    <cfRule type="expression" dxfId="8" priority="2">
      <formula>$O5="Yes"</formula>
    </cfRule>
    <cfRule type="expression" dxfId="7" priority="3">
      <formula>$G5="Subject Interview — Student"</formula>
    </cfRule>
    <cfRule type="expression" dxfId="6" priority="4">
      <formula>$G5="Legal Counsel Consultation"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900-000000000000}">
          <x14:formula1>
            <xm:f>Lists!$J$2:$J$9</xm:f>
          </x14:formula1>
          <xm:sqref>I5:I354</xm:sqref>
        </x14:dataValidation>
        <x14:dataValidation type="list" allowBlank="1" xr:uid="{00000000-0002-0000-0900-000001000000}">
          <x14:formula1>
            <xm:f>Lists!$F$2:$F$3</xm:f>
          </x14:formula1>
          <xm:sqref>O5:O354</xm:sqref>
        </x14:dataValidation>
        <x14:dataValidation type="list" allowBlank="1" xr:uid="{00000000-0002-0000-0900-000002000000}">
          <x14:formula1>
            <xm:f>Lists!$V$2:$V$11</xm:f>
          </x14:formula1>
          <xm:sqref>G5:G354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88888"/>
  </sheetPr>
  <dimension ref="A1:D35"/>
  <sheetViews>
    <sheetView zoomScaleNormal="100" workbookViewId="0"/>
  </sheetViews>
  <sheetFormatPr defaultColWidth="8.6640625" defaultRowHeight="14.25" x14ac:dyDescent="0.45"/>
  <cols>
    <col min="1" max="1" width="5" customWidth="1"/>
    <col min="2" max="2" width="30" customWidth="1"/>
    <col min="3" max="3" width="55" customWidth="1"/>
    <col min="4" max="4" width="5" customWidth="1"/>
  </cols>
  <sheetData>
    <row r="1" spans="1:4" ht="42" customHeight="1" x14ac:dyDescent="0.45">
      <c r="A1" s="114" t="s">
        <v>297</v>
      </c>
      <c r="B1" s="76"/>
      <c r="C1" s="76"/>
      <c r="D1" s="76"/>
    </row>
    <row r="2" spans="1:4" ht="19.5" customHeight="1" x14ac:dyDescent="0.45">
      <c r="A2" s="85" t="s">
        <v>298</v>
      </c>
      <c r="B2" s="76"/>
      <c r="C2" s="76"/>
      <c r="D2" s="76"/>
    </row>
    <row r="3" spans="1:4" ht="27.75" customHeight="1" x14ac:dyDescent="0.45">
      <c r="A3" s="83" t="s">
        <v>299</v>
      </c>
      <c r="B3" s="76"/>
      <c r="C3" s="76"/>
      <c r="D3" s="76"/>
    </row>
    <row r="4" spans="1:4" ht="48" customHeight="1" x14ac:dyDescent="0.45">
      <c r="B4" s="64" t="s">
        <v>300</v>
      </c>
      <c r="C4" s="6" t="s">
        <v>301</v>
      </c>
    </row>
    <row r="5" spans="1:4" ht="48" customHeight="1" x14ac:dyDescent="0.45">
      <c r="B5" s="65" t="s">
        <v>302</v>
      </c>
      <c r="C5" s="4" t="s">
        <v>303</v>
      </c>
    </row>
    <row r="6" spans="1:4" ht="48" customHeight="1" x14ac:dyDescent="0.45">
      <c r="B6" s="64" t="s">
        <v>304</v>
      </c>
      <c r="C6" s="6" t="s">
        <v>305</v>
      </c>
    </row>
    <row r="7" spans="1:4" ht="48" customHeight="1" x14ac:dyDescent="0.45">
      <c r="B7" s="65" t="s">
        <v>306</v>
      </c>
      <c r="C7" s="4" t="s">
        <v>307</v>
      </c>
    </row>
    <row r="8" spans="1:4" ht="48" customHeight="1" x14ac:dyDescent="0.45">
      <c r="B8" s="64" t="s">
        <v>308</v>
      </c>
      <c r="C8" s="6" t="s">
        <v>309</v>
      </c>
    </row>
    <row r="9" spans="1:4" ht="48" customHeight="1" x14ac:dyDescent="0.45">
      <c r="B9" s="65" t="s">
        <v>310</v>
      </c>
      <c r="C9" s="4" t="s">
        <v>311</v>
      </c>
    </row>
    <row r="10" spans="1:4" ht="48" customHeight="1" x14ac:dyDescent="0.45">
      <c r="B10" s="64" t="s">
        <v>312</v>
      </c>
      <c r="C10" s="6" t="s">
        <v>313</v>
      </c>
    </row>
    <row r="12" spans="1:4" ht="27.75" customHeight="1" x14ac:dyDescent="0.45">
      <c r="A12" s="83" t="s">
        <v>314</v>
      </c>
      <c r="B12" s="76"/>
      <c r="C12" s="76"/>
      <c r="D12" s="76"/>
    </row>
    <row r="13" spans="1:4" ht="48" customHeight="1" x14ac:dyDescent="0.45">
      <c r="B13" s="65" t="s">
        <v>315</v>
      </c>
      <c r="C13" s="4" t="s">
        <v>316</v>
      </c>
    </row>
    <row r="14" spans="1:4" ht="48" customHeight="1" x14ac:dyDescent="0.45">
      <c r="B14" s="64" t="s">
        <v>317</v>
      </c>
      <c r="C14" s="6" t="s">
        <v>318</v>
      </c>
    </row>
    <row r="15" spans="1:4" ht="48" customHeight="1" x14ac:dyDescent="0.45">
      <c r="B15" s="65" t="s">
        <v>319</v>
      </c>
      <c r="C15" s="4" t="s">
        <v>320</v>
      </c>
    </row>
    <row r="16" spans="1:4" ht="48" customHeight="1" x14ac:dyDescent="0.45">
      <c r="B16" s="64" t="s">
        <v>321</v>
      </c>
      <c r="C16" s="6" t="s">
        <v>322</v>
      </c>
    </row>
    <row r="17" spans="1:4" ht="48" customHeight="1" x14ac:dyDescent="0.45">
      <c r="B17" s="65" t="s">
        <v>323</v>
      </c>
      <c r="C17" s="4" t="s">
        <v>324</v>
      </c>
    </row>
    <row r="18" spans="1:4" ht="48" customHeight="1" x14ac:dyDescent="0.45">
      <c r="B18" s="64" t="s">
        <v>325</v>
      </c>
      <c r="C18" s="6" t="s">
        <v>326</v>
      </c>
    </row>
    <row r="19" spans="1:4" ht="48" customHeight="1" x14ac:dyDescent="0.45">
      <c r="B19" s="65" t="s">
        <v>327</v>
      </c>
      <c r="C19" s="4" t="s">
        <v>328</v>
      </c>
    </row>
    <row r="21" spans="1:4" ht="27.75" customHeight="1" x14ac:dyDescent="0.45">
      <c r="A21" s="83" t="s">
        <v>329</v>
      </c>
      <c r="B21" s="76"/>
      <c r="C21" s="76"/>
      <c r="D21" s="76"/>
    </row>
    <row r="22" spans="1:4" ht="48" customHeight="1" x14ac:dyDescent="0.45">
      <c r="B22" s="64" t="s">
        <v>330</v>
      </c>
      <c r="C22" s="6" t="s">
        <v>331</v>
      </c>
    </row>
    <row r="23" spans="1:4" ht="48" customHeight="1" x14ac:dyDescent="0.45">
      <c r="B23" s="65" t="s">
        <v>332</v>
      </c>
      <c r="C23" s="4" t="s">
        <v>333</v>
      </c>
    </row>
    <row r="24" spans="1:4" ht="48" customHeight="1" x14ac:dyDescent="0.45">
      <c r="B24" s="64" t="s">
        <v>334</v>
      </c>
      <c r="C24" s="6" t="s">
        <v>335</v>
      </c>
    </row>
    <row r="25" spans="1:4" ht="48" customHeight="1" x14ac:dyDescent="0.45">
      <c r="B25" s="65" t="s">
        <v>336</v>
      </c>
      <c r="C25" s="4" t="s">
        <v>337</v>
      </c>
    </row>
    <row r="26" spans="1:4" ht="48" customHeight="1" x14ac:dyDescent="0.45">
      <c r="B26" s="64" t="s">
        <v>338</v>
      </c>
      <c r="C26" s="6" t="s">
        <v>339</v>
      </c>
    </row>
    <row r="27" spans="1:4" ht="48" customHeight="1" x14ac:dyDescent="0.45">
      <c r="B27" s="65" t="s">
        <v>340</v>
      </c>
      <c r="C27" s="4" t="s">
        <v>341</v>
      </c>
    </row>
    <row r="29" spans="1:4" ht="27.75" customHeight="1" x14ac:dyDescent="0.45">
      <c r="A29" s="83" t="s">
        <v>342</v>
      </c>
      <c r="B29" s="76"/>
      <c r="C29" s="76"/>
      <c r="D29" s="76"/>
    </row>
    <row r="30" spans="1:4" ht="48" customHeight="1" x14ac:dyDescent="0.45">
      <c r="B30" s="64" t="s">
        <v>343</v>
      </c>
      <c r="C30" s="6" t="s">
        <v>344</v>
      </c>
    </row>
    <row r="31" spans="1:4" ht="48" customHeight="1" x14ac:dyDescent="0.45">
      <c r="B31" s="65" t="s">
        <v>345</v>
      </c>
      <c r="C31" s="4" t="s">
        <v>346</v>
      </c>
    </row>
    <row r="32" spans="1:4" ht="48" customHeight="1" x14ac:dyDescent="0.45">
      <c r="B32" s="64" t="s">
        <v>347</v>
      </c>
      <c r="C32" s="6" t="s">
        <v>348</v>
      </c>
    </row>
    <row r="33" spans="1:4" ht="48" customHeight="1" x14ac:dyDescent="0.45">
      <c r="B33" s="65" t="s">
        <v>349</v>
      </c>
      <c r="C33" s="4" t="s">
        <v>350</v>
      </c>
    </row>
    <row r="34" spans="1:4" ht="48" customHeight="1" x14ac:dyDescent="0.45">
      <c r="B34" s="64" t="s">
        <v>351</v>
      </c>
      <c r="C34" s="6" t="s">
        <v>352</v>
      </c>
    </row>
    <row r="35" spans="1:4" ht="19.5" customHeight="1" x14ac:dyDescent="0.45">
      <c r="A35" s="87" t="s">
        <v>72</v>
      </c>
      <c r="B35" s="76"/>
      <c r="C35" s="76"/>
      <c r="D35" s="76"/>
    </row>
  </sheetData>
  <mergeCells count="7">
    <mergeCell ref="A1:D1"/>
    <mergeCell ref="A35:D35"/>
    <mergeCell ref="A12:D12"/>
    <mergeCell ref="A3:D3"/>
    <mergeCell ref="A21:D21"/>
    <mergeCell ref="A29:D29"/>
    <mergeCell ref="A2:D2"/>
  </mergeCells>
  <pageMargins left="0.75" right="0.75" top="1" bottom="1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8650A"/>
  </sheetPr>
  <dimension ref="A1:C26"/>
  <sheetViews>
    <sheetView zoomScaleNormal="100" workbookViewId="0"/>
  </sheetViews>
  <sheetFormatPr defaultColWidth="8.6640625" defaultRowHeight="14.25" x14ac:dyDescent="0.45"/>
  <cols>
    <col min="1" max="1" width="44" customWidth="1"/>
    <col min="2" max="3" width="20" customWidth="1"/>
  </cols>
  <sheetData>
    <row r="1" spans="1:3" ht="51.75" customHeight="1" x14ac:dyDescent="0.45">
      <c r="A1" s="107" t="s">
        <v>353</v>
      </c>
      <c r="B1" s="76"/>
      <c r="C1" s="76"/>
    </row>
    <row r="2" spans="1:3" ht="25.5" customHeight="1" x14ac:dyDescent="0.45">
      <c r="A2" s="118" t="s">
        <v>354</v>
      </c>
      <c r="B2" s="76"/>
      <c r="C2" s="76"/>
    </row>
    <row r="4" spans="1:3" ht="36" customHeight="1" x14ac:dyDescent="0.45">
      <c r="A4" s="117" t="s">
        <v>355</v>
      </c>
      <c r="B4" s="76"/>
      <c r="C4" s="76"/>
    </row>
    <row r="5" spans="1:3" ht="25.5" customHeight="1" x14ac:dyDescent="0.45">
      <c r="A5" s="66" t="s">
        <v>356</v>
      </c>
      <c r="B5" s="67" t="s">
        <v>357</v>
      </c>
      <c r="C5" s="67" t="s">
        <v>358</v>
      </c>
    </row>
    <row r="6" spans="1:3" ht="25.5" customHeight="1" x14ac:dyDescent="0.45">
      <c r="A6" s="60" t="s">
        <v>359</v>
      </c>
      <c r="B6" s="68" t="s">
        <v>360</v>
      </c>
      <c r="C6" s="69" t="s">
        <v>361</v>
      </c>
    </row>
    <row r="7" spans="1:3" ht="25.5" customHeight="1" x14ac:dyDescent="0.45">
      <c r="A7" s="58" t="s">
        <v>362</v>
      </c>
      <c r="B7" s="70" t="s">
        <v>363</v>
      </c>
      <c r="C7" s="69" t="s">
        <v>364</v>
      </c>
    </row>
    <row r="8" spans="1:3" ht="25.5" customHeight="1" x14ac:dyDescent="0.45">
      <c r="A8" s="60" t="s">
        <v>365</v>
      </c>
      <c r="B8" s="68" t="s">
        <v>366</v>
      </c>
      <c r="C8" s="69" t="s">
        <v>367</v>
      </c>
    </row>
    <row r="9" spans="1:3" ht="25.5" customHeight="1" x14ac:dyDescent="0.45">
      <c r="A9" s="58" t="s">
        <v>368</v>
      </c>
      <c r="B9" s="71" t="s">
        <v>369</v>
      </c>
      <c r="C9" s="69" t="s">
        <v>370</v>
      </c>
    </row>
    <row r="10" spans="1:3" ht="25.5" customHeight="1" x14ac:dyDescent="0.45">
      <c r="A10" s="60" t="s">
        <v>325</v>
      </c>
      <c r="B10" s="68" t="s">
        <v>371</v>
      </c>
      <c r="C10" s="69" t="s">
        <v>372</v>
      </c>
    </row>
    <row r="11" spans="1:3" ht="25.5" customHeight="1" x14ac:dyDescent="0.45">
      <c r="A11" s="58" t="s">
        <v>373</v>
      </c>
      <c r="B11" s="71" t="s">
        <v>374</v>
      </c>
      <c r="C11" s="69" t="s">
        <v>375</v>
      </c>
    </row>
    <row r="12" spans="1:3" ht="25.5" customHeight="1" x14ac:dyDescent="0.45">
      <c r="A12" s="60" t="s">
        <v>376</v>
      </c>
      <c r="B12" s="68" t="s">
        <v>377</v>
      </c>
      <c r="C12" s="69" t="s">
        <v>378</v>
      </c>
    </row>
    <row r="13" spans="1:3" ht="25.5" customHeight="1" x14ac:dyDescent="0.45">
      <c r="A13" s="58" t="s">
        <v>379</v>
      </c>
      <c r="B13" s="71" t="s">
        <v>380</v>
      </c>
      <c r="C13" s="69" t="s">
        <v>381</v>
      </c>
    </row>
    <row r="14" spans="1:3" ht="25.5" customHeight="1" x14ac:dyDescent="0.45">
      <c r="A14" s="60" t="s">
        <v>382</v>
      </c>
      <c r="B14" s="68" t="s">
        <v>383</v>
      </c>
      <c r="C14" s="69" t="s">
        <v>384</v>
      </c>
    </row>
    <row r="15" spans="1:3" ht="25.5" customHeight="1" x14ac:dyDescent="0.45">
      <c r="A15" s="58" t="s">
        <v>385</v>
      </c>
      <c r="B15" s="71" t="s">
        <v>386</v>
      </c>
      <c r="C15" s="69" t="s">
        <v>387</v>
      </c>
    </row>
    <row r="16" spans="1:3" ht="25.5" customHeight="1" x14ac:dyDescent="0.45">
      <c r="A16" s="60" t="s">
        <v>388</v>
      </c>
      <c r="B16" s="72" t="s">
        <v>389</v>
      </c>
      <c r="C16" s="69" t="s">
        <v>390</v>
      </c>
    </row>
    <row r="17" spans="1:3" ht="25.5" customHeight="1" x14ac:dyDescent="0.45">
      <c r="A17" s="58" t="s">
        <v>391</v>
      </c>
      <c r="B17" s="73" t="s">
        <v>392</v>
      </c>
      <c r="C17" s="69" t="s">
        <v>393</v>
      </c>
    </row>
    <row r="18" spans="1:3" ht="25.5" customHeight="1" x14ac:dyDescent="0.45">
      <c r="A18" s="60" t="s">
        <v>394</v>
      </c>
      <c r="B18" s="68" t="s">
        <v>395</v>
      </c>
      <c r="C18" s="69" t="s">
        <v>396</v>
      </c>
    </row>
    <row r="19" spans="1:3" ht="25.5" customHeight="1" x14ac:dyDescent="0.45">
      <c r="A19" s="58" t="s">
        <v>397</v>
      </c>
      <c r="B19" s="70" t="s">
        <v>398</v>
      </c>
      <c r="C19" s="69" t="s">
        <v>399</v>
      </c>
    </row>
    <row r="20" spans="1:3" ht="25.5" customHeight="1" x14ac:dyDescent="0.45">
      <c r="A20" s="60" t="s">
        <v>400</v>
      </c>
      <c r="B20" s="72" t="s">
        <v>401</v>
      </c>
      <c r="C20" s="69" t="s">
        <v>402</v>
      </c>
    </row>
    <row r="21" spans="1:3" ht="25.5" customHeight="1" x14ac:dyDescent="0.45">
      <c r="A21" s="58" t="s">
        <v>403</v>
      </c>
      <c r="B21" s="70" t="s">
        <v>404</v>
      </c>
      <c r="C21" s="69" t="s">
        <v>405</v>
      </c>
    </row>
    <row r="23" spans="1:3" ht="43.5" customHeight="1" x14ac:dyDescent="0.45">
      <c r="A23" s="116" t="s">
        <v>406</v>
      </c>
      <c r="B23" s="76"/>
      <c r="C23" s="76"/>
    </row>
    <row r="25" spans="1:3" ht="30" customHeight="1" x14ac:dyDescent="0.45">
      <c r="A25" s="115" t="s">
        <v>407</v>
      </c>
      <c r="B25" s="76"/>
      <c r="C25" s="76"/>
    </row>
    <row r="26" spans="1:3" ht="19.5" customHeight="1" x14ac:dyDescent="0.45">
      <c r="A26" s="87" t="s">
        <v>72</v>
      </c>
      <c r="B26" s="76"/>
      <c r="C26" s="76"/>
    </row>
  </sheetData>
  <mergeCells count="6">
    <mergeCell ref="A25:C25"/>
    <mergeCell ref="A1:C1"/>
    <mergeCell ref="A23:C23"/>
    <mergeCell ref="A4:C4"/>
    <mergeCell ref="A26:C26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B2D7F"/>
  </sheetPr>
  <dimension ref="A1:V15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14" customWidth="1"/>
    <col min="2" max="2" width="13" customWidth="1"/>
    <col min="3" max="3" width="22" customWidth="1"/>
    <col min="4" max="4" width="28" customWidth="1"/>
    <col min="5" max="5" width="36" customWidth="1"/>
    <col min="6" max="6" width="28" customWidth="1"/>
    <col min="7" max="8" width="13" customWidth="1"/>
    <col min="9" max="9" width="14" customWidth="1"/>
    <col min="10" max="10" width="16" customWidth="1"/>
    <col min="11" max="11" width="13" customWidth="1"/>
    <col min="12" max="13" width="18" customWidth="1"/>
    <col min="14" max="14" width="12" customWidth="1"/>
    <col min="15" max="15" width="13" customWidth="1"/>
    <col min="16" max="16" width="24" customWidth="1"/>
    <col min="17" max="17" width="16" customWidth="1"/>
    <col min="18" max="18" width="14" customWidth="1"/>
    <col min="19" max="19" width="13" customWidth="1"/>
    <col min="20" max="20" width="20" customWidth="1"/>
    <col min="21" max="21" width="50" customWidth="1"/>
    <col min="22" max="22" width="14" customWidth="1"/>
  </cols>
  <sheetData>
    <row r="1" spans="1:22" ht="43.5" customHeight="1" x14ac:dyDescent="0.45">
      <c r="A1" s="86" t="s">
        <v>408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ht="21.75" customHeight="1" x14ac:dyDescent="0.45">
      <c r="A2" s="85" t="s">
        <v>409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2" ht="18" customHeight="1" x14ac:dyDescent="0.45">
      <c r="A3" s="84" t="s">
        <v>410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</row>
    <row r="4" spans="1:22" ht="36" customHeight="1" x14ac:dyDescent="0.45">
      <c r="A4" s="7" t="s">
        <v>38</v>
      </c>
      <c r="B4" s="7" t="s">
        <v>119</v>
      </c>
      <c r="C4" s="7" t="s">
        <v>121</v>
      </c>
      <c r="D4" s="7" t="s">
        <v>122</v>
      </c>
      <c r="E4" s="7" t="s">
        <v>411</v>
      </c>
      <c r="F4" s="7" t="s">
        <v>66</v>
      </c>
      <c r="G4" s="7" t="s">
        <v>67</v>
      </c>
      <c r="H4" s="7" t="s">
        <v>68</v>
      </c>
      <c r="I4" s="7" t="s">
        <v>412</v>
      </c>
      <c r="J4" s="7" t="s">
        <v>413</v>
      </c>
      <c r="K4" s="7" t="s">
        <v>414</v>
      </c>
      <c r="L4" s="7" t="s">
        <v>415</v>
      </c>
      <c r="M4" s="7" t="s">
        <v>416</v>
      </c>
      <c r="N4" s="7" t="s">
        <v>69</v>
      </c>
      <c r="O4" s="7" t="s">
        <v>417</v>
      </c>
      <c r="P4" s="7" t="s">
        <v>154</v>
      </c>
      <c r="Q4" s="7" t="s">
        <v>418</v>
      </c>
      <c r="R4" s="7" t="s">
        <v>419</v>
      </c>
      <c r="S4" s="7" t="s">
        <v>420</v>
      </c>
      <c r="T4" s="7" t="s">
        <v>421</v>
      </c>
      <c r="U4" s="7" t="s">
        <v>422</v>
      </c>
      <c r="V4" s="7" t="s">
        <v>423</v>
      </c>
    </row>
    <row r="5" spans="1:22" ht="18" customHeight="1" x14ac:dyDescent="0.45">
      <c r="A5" s="4"/>
      <c r="B5" s="39" t="str">
        <f>IFERROR(VLOOKUP(A5,'Incident Intake'!$A:$B,2,FALSE()),"")</f>
        <v/>
      </c>
      <c r="C5" s="10" t="str">
        <f>IFERROR(VLOOKUP(A5,'Incident Intake'!$A:$G,7,FALSE())&amp;" "&amp;VLOOKUP(A5,'Incident Intake'!$A:$F,6,FALSE()),"")</f>
        <v/>
      </c>
      <c r="D5" s="10" t="str">
        <f>IFERROR(VLOOKUP(A5,'Incident Intake'!$A:$J,10,FALSE()),"")</f>
        <v/>
      </c>
      <c r="E5" s="4"/>
      <c r="F5" s="4"/>
      <c r="G5" s="8"/>
      <c r="H5" s="8"/>
      <c r="I5" s="11" t="str">
        <f t="shared" ref="I5:I36" si="0">IF(OR(G5="",H5=""),"",H5-G5+1)</f>
        <v/>
      </c>
      <c r="J5" s="4"/>
      <c r="K5" s="8"/>
      <c r="L5" s="4"/>
      <c r="M5" s="39" t="str">
        <f t="shared" ref="M5:M36" si="1">IF(G5="","",G5+21)</f>
        <v/>
      </c>
      <c r="N5" s="4"/>
      <c r="O5" s="8"/>
      <c r="P5" s="4"/>
      <c r="Q5" s="39" t="str">
        <f t="shared" ref="Q5:Q36" si="2">IF(OR(N5&lt;&gt;"Yes",O5=""),"",O5+21)</f>
        <v/>
      </c>
      <c r="R5" s="4"/>
      <c r="S5" s="8"/>
      <c r="T5" s="10" t="str">
        <f t="shared" ref="T5:T36" si="3">IF(A5="","",IF(P5="Resolved — Overturned","OVERTURNED",IF(P5="Resolved — Modified","MODIFIED",IF(P5="Resolved — Upheld","UPHELD — CLOSED",IF(N5="Yes","APPEAL ACTIVE","CLOSED — NO APPEAL")))))</f>
        <v/>
      </c>
      <c r="U5" s="4"/>
      <c r="V5" s="4"/>
    </row>
    <row r="6" spans="1:22" ht="18" customHeight="1" x14ac:dyDescent="0.45">
      <c r="A6" s="6"/>
      <c r="B6" s="39" t="str">
        <f>IFERROR(VLOOKUP(A6,'Incident Intake'!$A:$B,2,FALSE()),"")</f>
        <v/>
      </c>
      <c r="C6" s="10" t="str">
        <f>IFERROR(VLOOKUP(A6,'Incident Intake'!$A:$G,7,FALSE())&amp;" "&amp;VLOOKUP(A6,'Incident Intake'!$A:$F,6,FALSE()),"")</f>
        <v/>
      </c>
      <c r="D6" s="10" t="str">
        <f>IFERROR(VLOOKUP(A6,'Incident Intake'!$A:$J,10,FALSE()),"")</f>
        <v/>
      </c>
      <c r="E6" s="6"/>
      <c r="F6" s="6"/>
      <c r="G6" s="12"/>
      <c r="H6" s="12"/>
      <c r="I6" s="11" t="str">
        <f t="shared" si="0"/>
        <v/>
      </c>
      <c r="J6" s="6"/>
      <c r="K6" s="12"/>
      <c r="L6" s="6"/>
      <c r="M6" s="39" t="str">
        <f t="shared" si="1"/>
        <v/>
      </c>
      <c r="N6" s="6"/>
      <c r="O6" s="12"/>
      <c r="P6" s="6"/>
      <c r="Q6" s="39" t="str">
        <f t="shared" si="2"/>
        <v/>
      </c>
      <c r="R6" s="6"/>
      <c r="S6" s="12"/>
      <c r="T6" s="10" t="str">
        <f t="shared" si="3"/>
        <v/>
      </c>
      <c r="U6" s="6"/>
      <c r="V6" s="6"/>
    </row>
    <row r="7" spans="1:22" ht="18" customHeight="1" x14ac:dyDescent="0.45">
      <c r="A7" s="4"/>
      <c r="B7" s="39" t="str">
        <f>IFERROR(VLOOKUP(A7,'Incident Intake'!$A:$B,2,FALSE()),"")</f>
        <v/>
      </c>
      <c r="C7" s="10" t="str">
        <f>IFERROR(VLOOKUP(A7,'Incident Intake'!$A:$G,7,FALSE())&amp;" "&amp;VLOOKUP(A7,'Incident Intake'!$A:$F,6,FALSE()),"")</f>
        <v/>
      </c>
      <c r="D7" s="10" t="str">
        <f>IFERROR(VLOOKUP(A7,'Incident Intake'!$A:$J,10,FALSE()),"")</f>
        <v/>
      </c>
      <c r="E7" s="4"/>
      <c r="F7" s="4"/>
      <c r="G7" s="8"/>
      <c r="H7" s="8"/>
      <c r="I7" s="11" t="str">
        <f t="shared" si="0"/>
        <v/>
      </c>
      <c r="J7" s="4"/>
      <c r="K7" s="8"/>
      <c r="L7" s="4"/>
      <c r="M7" s="39" t="str">
        <f t="shared" si="1"/>
        <v/>
      </c>
      <c r="N7" s="4"/>
      <c r="O7" s="8"/>
      <c r="P7" s="4"/>
      <c r="Q7" s="39" t="str">
        <f t="shared" si="2"/>
        <v/>
      </c>
      <c r="R7" s="4"/>
      <c r="S7" s="8"/>
      <c r="T7" s="10" t="str">
        <f t="shared" si="3"/>
        <v/>
      </c>
      <c r="U7" s="4"/>
      <c r="V7" s="4"/>
    </row>
    <row r="8" spans="1:22" ht="18" customHeight="1" x14ac:dyDescent="0.45">
      <c r="A8" s="6"/>
      <c r="B8" s="39" t="str">
        <f>IFERROR(VLOOKUP(A8,'Incident Intake'!$A:$B,2,FALSE()),"")</f>
        <v/>
      </c>
      <c r="C8" s="10" t="str">
        <f>IFERROR(VLOOKUP(A8,'Incident Intake'!$A:$G,7,FALSE())&amp;" "&amp;VLOOKUP(A8,'Incident Intake'!$A:$F,6,FALSE()),"")</f>
        <v/>
      </c>
      <c r="D8" s="10" t="str">
        <f>IFERROR(VLOOKUP(A8,'Incident Intake'!$A:$J,10,FALSE()),"")</f>
        <v/>
      </c>
      <c r="E8" s="6"/>
      <c r="F8" s="6"/>
      <c r="G8" s="12"/>
      <c r="H8" s="12"/>
      <c r="I8" s="11" t="str">
        <f t="shared" si="0"/>
        <v/>
      </c>
      <c r="J8" s="6"/>
      <c r="K8" s="12"/>
      <c r="L8" s="6"/>
      <c r="M8" s="39" t="str">
        <f t="shared" si="1"/>
        <v/>
      </c>
      <c r="N8" s="6"/>
      <c r="O8" s="12"/>
      <c r="P8" s="6"/>
      <c r="Q8" s="39" t="str">
        <f t="shared" si="2"/>
        <v/>
      </c>
      <c r="R8" s="6"/>
      <c r="S8" s="12"/>
      <c r="T8" s="10" t="str">
        <f t="shared" si="3"/>
        <v/>
      </c>
      <c r="U8" s="6"/>
      <c r="V8" s="6"/>
    </row>
    <row r="9" spans="1:22" ht="18" customHeight="1" x14ac:dyDescent="0.45">
      <c r="A9" s="4"/>
      <c r="B9" s="39" t="str">
        <f>IFERROR(VLOOKUP(A9,'Incident Intake'!$A:$B,2,FALSE()),"")</f>
        <v/>
      </c>
      <c r="C9" s="10" t="str">
        <f>IFERROR(VLOOKUP(A9,'Incident Intake'!$A:$G,7,FALSE())&amp;" "&amp;VLOOKUP(A9,'Incident Intake'!$A:$F,6,FALSE()),"")</f>
        <v/>
      </c>
      <c r="D9" s="10" t="str">
        <f>IFERROR(VLOOKUP(A9,'Incident Intake'!$A:$J,10,FALSE()),"")</f>
        <v/>
      </c>
      <c r="E9" s="4"/>
      <c r="F9" s="4"/>
      <c r="G9" s="8"/>
      <c r="H9" s="8"/>
      <c r="I9" s="11" t="str">
        <f t="shared" si="0"/>
        <v/>
      </c>
      <c r="J9" s="4"/>
      <c r="K9" s="8"/>
      <c r="L9" s="4"/>
      <c r="M9" s="39" t="str">
        <f t="shared" si="1"/>
        <v/>
      </c>
      <c r="N9" s="4"/>
      <c r="O9" s="8"/>
      <c r="P9" s="4"/>
      <c r="Q9" s="39" t="str">
        <f t="shared" si="2"/>
        <v/>
      </c>
      <c r="R9" s="4"/>
      <c r="S9" s="8"/>
      <c r="T9" s="10" t="str">
        <f t="shared" si="3"/>
        <v/>
      </c>
      <c r="U9" s="4"/>
      <c r="V9" s="4"/>
    </row>
    <row r="10" spans="1:22" ht="18" customHeight="1" x14ac:dyDescent="0.45">
      <c r="A10" s="6"/>
      <c r="B10" s="39" t="str">
        <f>IFERROR(VLOOKUP(A10,'Incident Intake'!$A:$B,2,FALSE()),"")</f>
        <v/>
      </c>
      <c r="C10" s="10" t="str">
        <f>IFERROR(VLOOKUP(A10,'Incident Intake'!$A:$G,7,FALSE())&amp;" "&amp;VLOOKUP(A10,'Incident Intake'!$A:$F,6,FALSE()),"")</f>
        <v/>
      </c>
      <c r="D10" s="10" t="str">
        <f>IFERROR(VLOOKUP(A10,'Incident Intake'!$A:$J,10,FALSE()),"")</f>
        <v/>
      </c>
      <c r="E10" s="6"/>
      <c r="F10" s="6"/>
      <c r="G10" s="12"/>
      <c r="H10" s="12"/>
      <c r="I10" s="11" t="str">
        <f t="shared" si="0"/>
        <v/>
      </c>
      <c r="J10" s="6"/>
      <c r="K10" s="12"/>
      <c r="L10" s="6"/>
      <c r="M10" s="39" t="str">
        <f t="shared" si="1"/>
        <v/>
      </c>
      <c r="N10" s="6"/>
      <c r="O10" s="12"/>
      <c r="P10" s="6"/>
      <c r="Q10" s="39" t="str">
        <f t="shared" si="2"/>
        <v/>
      </c>
      <c r="R10" s="6"/>
      <c r="S10" s="12"/>
      <c r="T10" s="10" t="str">
        <f t="shared" si="3"/>
        <v/>
      </c>
      <c r="U10" s="6"/>
      <c r="V10" s="6"/>
    </row>
    <row r="11" spans="1:22" ht="18" customHeight="1" x14ac:dyDescent="0.45">
      <c r="A11" s="4"/>
      <c r="B11" s="39" t="str">
        <f>IFERROR(VLOOKUP(A11,'Incident Intake'!$A:$B,2,FALSE()),"")</f>
        <v/>
      </c>
      <c r="C11" s="10" t="str">
        <f>IFERROR(VLOOKUP(A11,'Incident Intake'!$A:$G,7,FALSE())&amp;" "&amp;VLOOKUP(A11,'Incident Intake'!$A:$F,6,FALSE()),"")</f>
        <v/>
      </c>
      <c r="D11" s="10" t="str">
        <f>IFERROR(VLOOKUP(A11,'Incident Intake'!$A:$J,10,FALSE()),"")</f>
        <v/>
      </c>
      <c r="E11" s="4"/>
      <c r="F11" s="4"/>
      <c r="G11" s="8"/>
      <c r="H11" s="8"/>
      <c r="I11" s="11" t="str">
        <f t="shared" si="0"/>
        <v/>
      </c>
      <c r="J11" s="4"/>
      <c r="K11" s="8"/>
      <c r="L11" s="4"/>
      <c r="M11" s="39" t="str">
        <f t="shared" si="1"/>
        <v/>
      </c>
      <c r="N11" s="4"/>
      <c r="O11" s="8"/>
      <c r="P11" s="4"/>
      <c r="Q11" s="39" t="str">
        <f t="shared" si="2"/>
        <v/>
      </c>
      <c r="R11" s="4"/>
      <c r="S11" s="8"/>
      <c r="T11" s="10" t="str">
        <f t="shared" si="3"/>
        <v/>
      </c>
      <c r="U11" s="4"/>
      <c r="V11" s="4"/>
    </row>
    <row r="12" spans="1:22" ht="18" customHeight="1" x14ac:dyDescent="0.45">
      <c r="A12" s="6"/>
      <c r="B12" s="39" t="str">
        <f>IFERROR(VLOOKUP(A12,'Incident Intake'!$A:$B,2,FALSE()),"")</f>
        <v/>
      </c>
      <c r="C12" s="10" t="str">
        <f>IFERROR(VLOOKUP(A12,'Incident Intake'!$A:$G,7,FALSE())&amp;" "&amp;VLOOKUP(A12,'Incident Intake'!$A:$F,6,FALSE()),"")</f>
        <v/>
      </c>
      <c r="D12" s="10" t="str">
        <f>IFERROR(VLOOKUP(A12,'Incident Intake'!$A:$J,10,FALSE()),"")</f>
        <v/>
      </c>
      <c r="E12" s="6"/>
      <c r="F12" s="6"/>
      <c r="G12" s="12"/>
      <c r="H12" s="12"/>
      <c r="I12" s="11" t="str">
        <f t="shared" si="0"/>
        <v/>
      </c>
      <c r="J12" s="6"/>
      <c r="K12" s="12"/>
      <c r="L12" s="6"/>
      <c r="M12" s="39" t="str">
        <f t="shared" si="1"/>
        <v/>
      </c>
      <c r="N12" s="6"/>
      <c r="O12" s="12"/>
      <c r="P12" s="6"/>
      <c r="Q12" s="39" t="str">
        <f t="shared" si="2"/>
        <v/>
      </c>
      <c r="R12" s="6"/>
      <c r="S12" s="12"/>
      <c r="T12" s="10" t="str">
        <f t="shared" si="3"/>
        <v/>
      </c>
      <c r="U12" s="6"/>
      <c r="V12" s="6"/>
    </row>
    <row r="13" spans="1:22" ht="18" customHeight="1" x14ac:dyDescent="0.45">
      <c r="A13" s="4"/>
      <c r="B13" s="39" t="str">
        <f>IFERROR(VLOOKUP(A13,'Incident Intake'!$A:$B,2,FALSE()),"")</f>
        <v/>
      </c>
      <c r="C13" s="10" t="str">
        <f>IFERROR(VLOOKUP(A13,'Incident Intake'!$A:$G,7,FALSE())&amp;" "&amp;VLOOKUP(A13,'Incident Intake'!$A:$F,6,FALSE()),"")</f>
        <v/>
      </c>
      <c r="D13" s="10" t="str">
        <f>IFERROR(VLOOKUP(A13,'Incident Intake'!$A:$J,10,FALSE()),"")</f>
        <v/>
      </c>
      <c r="E13" s="4"/>
      <c r="F13" s="4"/>
      <c r="G13" s="8"/>
      <c r="H13" s="8"/>
      <c r="I13" s="11" t="str">
        <f t="shared" si="0"/>
        <v/>
      </c>
      <c r="J13" s="4"/>
      <c r="K13" s="8"/>
      <c r="L13" s="4"/>
      <c r="M13" s="39" t="str">
        <f t="shared" si="1"/>
        <v/>
      </c>
      <c r="N13" s="4"/>
      <c r="O13" s="8"/>
      <c r="P13" s="4"/>
      <c r="Q13" s="39" t="str">
        <f t="shared" si="2"/>
        <v/>
      </c>
      <c r="R13" s="4"/>
      <c r="S13" s="8"/>
      <c r="T13" s="10" t="str">
        <f t="shared" si="3"/>
        <v/>
      </c>
      <c r="U13" s="4"/>
      <c r="V13" s="4"/>
    </row>
    <row r="14" spans="1:22" ht="18" customHeight="1" x14ac:dyDescent="0.45">
      <c r="A14" s="6"/>
      <c r="B14" s="39" t="str">
        <f>IFERROR(VLOOKUP(A14,'Incident Intake'!$A:$B,2,FALSE()),"")</f>
        <v/>
      </c>
      <c r="C14" s="10" t="str">
        <f>IFERROR(VLOOKUP(A14,'Incident Intake'!$A:$G,7,FALSE())&amp;" "&amp;VLOOKUP(A14,'Incident Intake'!$A:$F,6,FALSE()),"")</f>
        <v/>
      </c>
      <c r="D14" s="10" t="str">
        <f>IFERROR(VLOOKUP(A14,'Incident Intake'!$A:$J,10,FALSE()),"")</f>
        <v/>
      </c>
      <c r="E14" s="6"/>
      <c r="F14" s="6"/>
      <c r="G14" s="12"/>
      <c r="H14" s="12"/>
      <c r="I14" s="11" t="str">
        <f t="shared" si="0"/>
        <v/>
      </c>
      <c r="J14" s="6"/>
      <c r="K14" s="12"/>
      <c r="L14" s="6"/>
      <c r="M14" s="39" t="str">
        <f t="shared" si="1"/>
        <v/>
      </c>
      <c r="N14" s="6"/>
      <c r="O14" s="12"/>
      <c r="P14" s="6"/>
      <c r="Q14" s="39" t="str">
        <f t="shared" si="2"/>
        <v/>
      </c>
      <c r="R14" s="6"/>
      <c r="S14" s="12"/>
      <c r="T14" s="10" t="str">
        <f t="shared" si="3"/>
        <v/>
      </c>
      <c r="U14" s="6"/>
      <c r="V14" s="6"/>
    </row>
    <row r="15" spans="1:22" ht="18" customHeight="1" x14ac:dyDescent="0.45">
      <c r="A15" s="4"/>
      <c r="B15" s="39" t="str">
        <f>IFERROR(VLOOKUP(A15,'Incident Intake'!$A:$B,2,FALSE()),"")</f>
        <v/>
      </c>
      <c r="C15" s="10" t="str">
        <f>IFERROR(VLOOKUP(A15,'Incident Intake'!$A:$G,7,FALSE())&amp;" "&amp;VLOOKUP(A15,'Incident Intake'!$A:$F,6,FALSE()),"")</f>
        <v/>
      </c>
      <c r="D15" s="10" t="str">
        <f>IFERROR(VLOOKUP(A15,'Incident Intake'!$A:$J,10,FALSE()),"")</f>
        <v/>
      </c>
      <c r="E15" s="4"/>
      <c r="F15" s="4"/>
      <c r="G15" s="8"/>
      <c r="H15" s="8"/>
      <c r="I15" s="11" t="str">
        <f t="shared" si="0"/>
        <v/>
      </c>
      <c r="J15" s="4"/>
      <c r="K15" s="8"/>
      <c r="L15" s="4"/>
      <c r="M15" s="39" t="str">
        <f t="shared" si="1"/>
        <v/>
      </c>
      <c r="N15" s="4"/>
      <c r="O15" s="8"/>
      <c r="P15" s="4"/>
      <c r="Q15" s="39" t="str">
        <f t="shared" si="2"/>
        <v/>
      </c>
      <c r="R15" s="4"/>
      <c r="S15" s="8"/>
      <c r="T15" s="10" t="str">
        <f t="shared" si="3"/>
        <v/>
      </c>
      <c r="U15" s="4"/>
      <c r="V15" s="4"/>
    </row>
    <row r="16" spans="1:22" ht="18" customHeight="1" x14ac:dyDescent="0.45">
      <c r="A16" s="6"/>
      <c r="B16" s="39" t="str">
        <f>IFERROR(VLOOKUP(A16,'Incident Intake'!$A:$B,2,FALSE()),"")</f>
        <v/>
      </c>
      <c r="C16" s="10" t="str">
        <f>IFERROR(VLOOKUP(A16,'Incident Intake'!$A:$G,7,FALSE())&amp;" "&amp;VLOOKUP(A16,'Incident Intake'!$A:$F,6,FALSE()),"")</f>
        <v/>
      </c>
      <c r="D16" s="10" t="str">
        <f>IFERROR(VLOOKUP(A16,'Incident Intake'!$A:$J,10,FALSE()),"")</f>
        <v/>
      </c>
      <c r="E16" s="6"/>
      <c r="F16" s="6"/>
      <c r="G16" s="12"/>
      <c r="H16" s="12"/>
      <c r="I16" s="11" t="str">
        <f t="shared" si="0"/>
        <v/>
      </c>
      <c r="J16" s="6"/>
      <c r="K16" s="12"/>
      <c r="L16" s="6"/>
      <c r="M16" s="39" t="str">
        <f t="shared" si="1"/>
        <v/>
      </c>
      <c r="N16" s="6"/>
      <c r="O16" s="12"/>
      <c r="P16" s="6"/>
      <c r="Q16" s="39" t="str">
        <f t="shared" si="2"/>
        <v/>
      </c>
      <c r="R16" s="6"/>
      <c r="S16" s="12"/>
      <c r="T16" s="10" t="str">
        <f t="shared" si="3"/>
        <v/>
      </c>
      <c r="U16" s="6"/>
      <c r="V16" s="6"/>
    </row>
    <row r="17" spans="1:22" ht="18" customHeight="1" x14ac:dyDescent="0.45">
      <c r="A17" s="4"/>
      <c r="B17" s="39" t="str">
        <f>IFERROR(VLOOKUP(A17,'Incident Intake'!$A:$B,2,FALSE()),"")</f>
        <v/>
      </c>
      <c r="C17" s="10" t="str">
        <f>IFERROR(VLOOKUP(A17,'Incident Intake'!$A:$G,7,FALSE())&amp;" "&amp;VLOOKUP(A17,'Incident Intake'!$A:$F,6,FALSE()),"")</f>
        <v/>
      </c>
      <c r="D17" s="10" t="str">
        <f>IFERROR(VLOOKUP(A17,'Incident Intake'!$A:$J,10,FALSE()),"")</f>
        <v/>
      </c>
      <c r="E17" s="4"/>
      <c r="F17" s="4"/>
      <c r="G17" s="8"/>
      <c r="H17" s="8"/>
      <c r="I17" s="11" t="str">
        <f t="shared" si="0"/>
        <v/>
      </c>
      <c r="J17" s="4"/>
      <c r="K17" s="8"/>
      <c r="L17" s="4"/>
      <c r="M17" s="39" t="str">
        <f t="shared" si="1"/>
        <v/>
      </c>
      <c r="N17" s="4"/>
      <c r="O17" s="8"/>
      <c r="P17" s="4"/>
      <c r="Q17" s="39" t="str">
        <f t="shared" si="2"/>
        <v/>
      </c>
      <c r="R17" s="4"/>
      <c r="S17" s="8"/>
      <c r="T17" s="10" t="str">
        <f t="shared" si="3"/>
        <v/>
      </c>
      <c r="U17" s="4"/>
      <c r="V17" s="4"/>
    </row>
    <row r="18" spans="1:22" ht="18" customHeight="1" x14ac:dyDescent="0.45">
      <c r="A18" s="6"/>
      <c r="B18" s="39" t="str">
        <f>IFERROR(VLOOKUP(A18,'Incident Intake'!$A:$B,2,FALSE()),"")</f>
        <v/>
      </c>
      <c r="C18" s="10" t="str">
        <f>IFERROR(VLOOKUP(A18,'Incident Intake'!$A:$G,7,FALSE())&amp;" "&amp;VLOOKUP(A18,'Incident Intake'!$A:$F,6,FALSE()),"")</f>
        <v/>
      </c>
      <c r="D18" s="10" t="str">
        <f>IFERROR(VLOOKUP(A18,'Incident Intake'!$A:$J,10,FALSE()),"")</f>
        <v/>
      </c>
      <c r="E18" s="6"/>
      <c r="F18" s="6"/>
      <c r="G18" s="12"/>
      <c r="H18" s="12"/>
      <c r="I18" s="11" t="str">
        <f t="shared" si="0"/>
        <v/>
      </c>
      <c r="J18" s="6"/>
      <c r="K18" s="12"/>
      <c r="L18" s="6"/>
      <c r="M18" s="39" t="str">
        <f t="shared" si="1"/>
        <v/>
      </c>
      <c r="N18" s="6"/>
      <c r="O18" s="12"/>
      <c r="P18" s="6"/>
      <c r="Q18" s="39" t="str">
        <f t="shared" si="2"/>
        <v/>
      </c>
      <c r="R18" s="6"/>
      <c r="S18" s="12"/>
      <c r="T18" s="10" t="str">
        <f t="shared" si="3"/>
        <v/>
      </c>
      <c r="U18" s="6"/>
      <c r="V18" s="6"/>
    </row>
    <row r="19" spans="1:22" ht="18" customHeight="1" x14ac:dyDescent="0.45">
      <c r="A19" s="4"/>
      <c r="B19" s="39" t="str">
        <f>IFERROR(VLOOKUP(A19,'Incident Intake'!$A:$B,2,FALSE()),"")</f>
        <v/>
      </c>
      <c r="C19" s="10" t="str">
        <f>IFERROR(VLOOKUP(A19,'Incident Intake'!$A:$G,7,FALSE())&amp;" "&amp;VLOOKUP(A19,'Incident Intake'!$A:$F,6,FALSE()),"")</f>
        <v/>
      </c>
      <c r="D19" s="10" t="str">
        <f>IFERROR(VLOOKUP(A19,'Incident Intake'!$A:$J,10,FALSE()),"")</f>
        <v/>
      </c>
      <c r="E19" s="4"/>
      <c r="F19" s="4"/>
      <c r="G19" s="8"/>
      <c r="H19" s="8"/>
      <c r="I19" s="11" t="str">
        <f t="shared" si="0"/>
        <v/>
      </c>
      <c r="J19" s="4"/>
      <c r="K19" s="8"/>
      <c r="L19" s="4"/>
      <c r="M19" s="39" t="str">
        <f t="shared" si="1"/>
        <v/>
      </c>
      <c r="N19" s="4"/>
      <c r="O19" s="8"/>
      <c r="P19" s="4"/>
      <c r="Q19" s="39" t="str">
        <f t="shared" si="2"/>
        <v/>
      </c>
      <c r="R19" s="4"/>
      <c r="S19" s="8"/>
      <c r="T19" s="10" t="str">
        <f t="shared" si="3"/>
        <v/>
      </c>
      <c r="U19" s="4"/>
      <c r="V19" s="4"/>
    </row>
    <row r="20" spans="1:22" ht="18" customHeight="1" x14ac:dyDescent="0.45">
      <c r="A20" s="6"/>
      <c r="B20" s="39" t="str">
        <f>IFERROR(VLOOKUP(A20,'Incident Intake'!$A:$B,2,FALSE()),"")</f>
        <v/>
      </c>
      <c r="C20" s="10" t="str">
        <f>IFERROR(VLOOKUP(A20,'Incident Intake'!$A:$G,7,FALSE())&amp;" "&amp;VLOOKUP(A20,'Incident Intake'!$A:$F,6,FALSE()),"")</f>
        <v/>
      </c>
      <c r="D20" s="10" t="str">
        <f>IFERROR(VLOOKUP(A20,'Incident Intake'!$A:$J,10,FALSE()),"")</f>
        <v/>
      </c>
      <c r="E20" s="6"/>
      <c r="F20" s="6"/>
      <c r="G20" s="12"/>
      <c r="H20" s="12"/>
      <c r="I20" s="11" t="str">
        <f t="shared" si="0"/>
        <v/>
      </c>
      <c r="J20" s="6"/>
      <c r="K20" s="12"/>
      <c r="L20" s="6"/>
      <c r="M20" s="39" t="str">
        <f t="shared" si="1"/>
        <v/>
      </c>
      <c r="N20" s="6"/>
      <c r="O20" s="12"/>
      <c r="P20" s="6"/>
      <c r="Q20" s="39" t="str">
        <f t="shared" si="2"/>
        <v/>
      </c>
      <c r="R20" s="6"/>
      <c r="S20" s="12"/>
      <c r="T20" s="10" t="str">
        <f t="shared" si="3"/>
        <v/>
      </c>
      <c r="U20" s="6"/>
      <c r="V20" s="6"/>
    </row>
    <row r="21" spans="1:22" ht="18" customHeight="1" x14ac:dyDescent="0.45">
      <c r="A21" s="4"/>
      <c r="B21" s="39" t="str">
        <f>IFERROR(VLOOKUP(A21,'Incident Intake'!$A:$B,2,FALSE()),"")</f>
        <v/>
      </c>
      <c r="C21" s="10" t="str">
        <f>IFERROR(VLOOKUP(A21,'Incident Intake'!$A:$G,7,FALSE())&amp;" "&amp;VLOOKUP(A21,'Incident Intake'!$A:$F,6,FALSE()),"")</f>
        <v/>
      </c>
      <c r="D21" s="10" t="str">
        <f>IFERROR(VLOOKUP(A21,'Incident Intake'!$A:$J,10,FALSE()),"")</f>
        <v/>
      </c>
      <c r="E21" s="4"/>
      <c r="F21" s="4"/>
      <c r="G21" s="8"/>
      <c r="H21" s="8"/>
      <c r="I21" s="11" t="str">
        <f t="shared" si="0"/>
        <v/>
      </c>
      <c r="J21" s="4"/>
      <c r="K21" s="8"/>
      <c r="L21" s="4"/>
      <c r="M21" s="39" t="str">
        <f t="shared" si="1"/>
        <v/>
      </c>
      <c r="N21" s="4"/>
      <c r="O21" s="8"/>
      <c r="P21" s="4"/>
      <c r="Q21" s="39" t="str">
        <f t="shared" si="2"/>
        <v/>
      </c>
      <c r="R21" s="4"/>
      <c r="S21" s="8"/>
      <c r="T21" s="10" t="str">
        <f t="shared" si="3"/>
        <v/>
      </c>
      <c r="U21" s="4"/>
      <c r="V21" s="4"/>
    </row>
    <row r="22" spans="1:22" ht="18" customHeight="1" x14ac:dyDescent="0.45">
      <c r="A22" s="6"/>
      <c r="B22" s="39" t="str">
        <f>IFERROR(VLOOKUP(A22,'Incident Intake'!$A:$B,2,FALSE()),"")</f>
        <v/>
      </c>
      <c r="C22" s="10" t="str">
        <f>IFERROR(VLOOKUP(A22,'Incident Intake'!$A:$G,7,FALSE())&amp;" "&amp;VLOOKUP(A22,'Incident Intake'!$A:$F,6,FALSE()),"")</f>
        <v/>
      </c>
      <c r="D22" s="10" t="str">
        <f>IFERROR(VLOOKUP(A22,'Incident Intake'!$A:$J,10,FALSE()),"")</f>
        <v/>
      </c>
      <c r="E22" s="6"/>
      <c r="F22" s="6"/>
      <c r="G22" s="12"/>
      <c r="H22" s="12"/>
      <c r="I22" s="11" t="str">
        <f t="shared" si="0"/>
        <v/>
      </c>
      <c r="J22" s="6"/>
      <c r="K22" s="12"/>
      <c r="L22" s="6"/>
      <c r="M22" s="39" t="str">
        <f t="shared" si="1"/>
        <v/>
      </c>
      <c r="N22" s="6"/>
      <c r="O22" s="12"/>
      <c r="P22" s="6"/>
      <c r="Q22" s="39" t="str">
        <f t="shared" si="2"/>
        <v/>
      </c>
      <c r="R22" s="6"/>
      <c r="S22" s="12"/>
      <c r="T22" s="10" t="str">
        <f t="shared" si="3"/>
        <v/>
      </c>
      <c r="U22" s="6"/>
      <c r="V22" s="6"/>
    </row>
    <row r="23" spans="1:22" ht="18" customHeight="1" x14ac:dyDescent="0.45">
      <c r="A23" s="4"/>
      <c r="B23" s="39" t="str">
        <f>IFERROR(VLOOKUP(A23,'Incident Intake'!$A:$B,2,FALSE()),"")</f>
        <v/>
      </c>
      <c r="C23" s="10" t="str">
        <f>IFERROR(VLOOKUP(A23,'Incident Intake'!$A:$G,7,FALSE())&amp;" "&amp;VLOOKUP(A23,'Incident Intake'!$A:$F,6,FALSE()),"")</f>
        <v/>
      </c>
      <c r="D23" s="10" t="str">
        <f>IFERROR(VLOOKUP(A23,'Incident Intake'!$A:$J,10,FALSE()),"")</f>
        <v/>
      </c>
      <c r="E23" s="4"/>
      <c r="F23" s="4"/>
      <c r="G23" s="8"/>
      <c r="H23" s="8"/>
      <c r="I23" s="11" t="str">
        <f t="shared" si="0"/>
        <v/>
      </c>
      <c r="J23" s="4"/>
      <c r="K23" s="8"/>
      <c r="L23" s="4"/>
      <c r="M23" s="39" t="str">
        <f t="shared" si="1"/>
        <v/>
      </c>
      <c r="N23" s="4"/>
      <c r="O23" s="8"/>
      <c r="P23" s="4"/>
      <c r="Q23" s="39" t="str">
        <f t="shared" si="2"/>
        <v/>
      </c>
      <c r="R23" s="4"/>
      <c r="S23" s="8"/>
      <c r="T23" s="10" t="str">
        <f t="shared" si="3"/>
        <v/>
      </c>
      <c r="U23" s="4"/>
      <c r="V23" s="4"/>
    </row>
    <row r="24" spans="1:22" ht="18" customHeight="1" x14ac:dyDescent="0.45">
      <c r="A24" s="6"/>
      <c r="B24" s="39" t="str">
        <f>IFERROR(VLOOKUP(A24,'Incident Intake'!$A:$B,2,FALSE()),"")</f>
        <v/>
      </c>
      <c r="C24" s="10" t="str">
        <f>IFERROR(VLOOKUP(A24,'Incident Intake'!$A:$G,7,FALSE())&amp;" "&amp;VLOOKUP(A24,'Incident Intake'!$A:$F,6,FALSE()),"")</f>
        <v/>
      </c>
      <c r="D24" s="10" t="str">
        <f>IFERROR(VLOOKUP(A24,'Incident Intake'!$A:$J,10,FALSE()),"")</f>
        <v/>
      </c>
      <c r="E24" s="6"/>
      <c r="F24" s="6"/>
      <c r="G24" s="12"/>
      <c r="H24" s="12"/>
      <c r="I24" s="11" t="str">
        <f t="shared" si="0"/>
        <v/>
      </c>
      <c r="J24" s="6"/>
      <c r="K24" s="12"/>
      <c r="L24" s="6"/>
      <c r="M24" s="39" t="str">
        <f t="shared" si="1"/>
        <v/>
      </c>
      <c r="N24" s="6"/>
      <c r="O24" s="12"/>
      <c r="P24" s="6"/>
      <c r="Q24" s="39" t="str">
        <f t="shared" si="2"/>
        <v/>
      </c>
      <c r="R24" s="6"/>
      <c r="S24" s="12"/>
      <c r="T24" s="10" t="str">
        <f t="shared" si="3"/>
        <v/>
      </c>
      <c r="U24" s="6"/>
      <c r="V24" s="6"/>
    </row>
    <row r="25" spans="1:22" ht="18" customHeight="1" x14ac:dyDescent="0.45">
      <c r="A25" s="4"/>
      <c r="B25" s="39" t="str">
        <f>IFERROR(VLOOKUP(A25,'Incident Intake'!$A:$B,2,FALSE()),"")</f>
        <v/>
      </c>
      <c r="C25" s="10" t="str">
        <f>IFERROR(VLOOKUP(A25,'Incident Intake'!$A:$G,7,FALSE())&amp;" "&amp;VLOOKUP(A25,'Incident Intake'!$A:$F,6,FALSE()),"")</f>
        <v/>
      </c>
      <c r="D25" s="10" t="str">
        <f>IFERROR(VLOOKUP(A25,'Incident Intake'!$A:$J,10,FALSE()),"")</f>
        <v/>
      </c>
      <c r="E25" s="4"/>
      <c r="F25" s="4"/>
      <c r="G25" s="8"/>
      <c r="H25" s="8"/>
      <c r="I25" s="11" t="str">
        <f t="shared" si="0"/>
        <v/>
      </c>
      <c r="J25" s="4"/>
      <c r="K25" s="8"/>
      <c r="L25" s="4"/>
      <c r="M25" s="39" t="str">
        <f t="shared" si="1"/>
        <v/>
      </c>
      <c r="N25" s="4"/>
      <c r="O25" s="8"/>
      <c r="P25" s="4"/>
      <c r="Q25" s="39" t="str">
        <f t="shared" si="2"/>
        <v/>
      </c>
      <c r="R25" s="4"/>
      <c r="S25" s="8"/>
      <c r="T25" s="10" t="str">
        <f t="shared" si="3"/>
        <v/>
      </c>
      <c r="U25" s="4"/>
      <c r="V25" s="4"/>
    </row>
    <row r="26" spans="1:22" ht="18" customHeight="1" x14ac:dyDescent="0.45">
      <c r="A26" s="6"/>
      <c r="B26" s="39" t="str">
        <f>IFERROR(VLOOKUP(A26,'Incident Intake'!$A:$B,2,FALSE()),"")</f>
        <v/>
      </c>
      <c r="C26" s="10" t="str">
        <f>IFERROR(VLOOKUP(A26,'Incident Intake'!$A:$G,7,FALSE())&amp;" "&amp;VLOOKUP(A26,'Incident Intake'!$A:$F,6,FALSE()),"")</f>
        <v/>
      </c>
      <c r="D26" s="10" t="str">
        <f>IFERROR(VLOOKUP(A26,'Incident Intake'!$A:$J,10,FALSE()),"")</f>
        <v/>
      </c>
      <c r="E26" s="6"/>
      <c r="F26" s="6"/>
      <c r="G26" s="12"/>
      <c r="H26" s="12"/>
      <c r="I26" s="11" t="str">
        <f t="shared" si="0"/>
        <v/>
      </c>
      <c r="J26" s="6"/>
      <c r="K26" s="12"/>
      <c r="L26" s="6"/>
      <c r="M26" s="39" t="str">
        <f t="shared" si="1"/>
        <v/>
      </c>
      <c r="N26" s="6"/>
      <c r="O26" s="12"/>
      <c r="P26" s="6"/>
      <c r="Q26" s="39" t="str">
        <f t="shared" si="2"/>
        <v/>
      </c>
      <c r="R26" s="6"/>
      <c r="S26" s="12"/>
      <c r="T26" s="10" t="str">
        <f t="shared" si="3"/>
        <v/>
      </c>
      <c r="U26" s="6"/>
      <c r="V26" s="6"/>
    </row>
    <row r="27" spans="1:22" ht="18" customHeight="1" x14ac:dyDescent="0.45">
      <c r="A27" s="4"/>
      <c r="B27" s="39" t="str">
        <f>IFERROR(VLOOKUP(A27,'Incident Intake'!$A:$B,2,FALSE()),"")</f>
        <v/>
      </c>
      <c r="C27" s="10" t="str">
        <f>IFERROR(VLOOKUP(A27,'Incident Intake'!$A:$G,7,FALSE())&amp;" "&amp;VLOOKUP(A27,'Incident Intake'!$A:$F,6,FALSE()),"")</f>
        <v/>
      </c>
      <c r="D27" s="10" t="str">
        <f>IFERROR(VLOOKUP(A27,'Incident Intake'!$A:$J,10,FALSE()),"")</f>
        <v/>
      </c>
      <c r="E27" s="4"/>
      <c r="F27" s="4"/>
      <c r="G27" s="8"/>
      <c r="H27" s="8"/>
      <c r="I27" s="11" t="str">
        <f t="shared" si="0"/>
        <v/>
      </c>
      <c r="J27" s="4"/>
      <c r="K27" s="8"/>
      <c r="L27" s="4"/>
      <c r="M27" s="39" t="str">
        <f t="shared" si="1"/>
        <v/>
      </c>
      <c r="N27" s="4"/>
      <c r="O27" s="8"/>
      <c r="P27" s="4"/>
      <c r="Q27" s="39" t="str">
        <f t="shared" si="2"/>
        <v/>
      </c>
      <c r="R27" s="4"/>
      <c r="S27" s="8"/>
      <c r="T27" s="10" t="str">
        <f t="shared" si="3"/>
        <v/>
      </c>
      <c r="U27" s="4"/>
      <c r="V27" s="4"/>
    </row>
    <row r="28" spans="1:22" ht="18" customHeight="1" x14ac:dyDescent="0.45">
      <c r="A28" s="6"/>
      <c r="B28" s="39" t="str">
        <f>IFERROR(VLOOKUP(A28,'Incident Intake'!$A:$B,2,FALSE()),"")</f>
        <v/>
      </c>
      <c r="C28" s="10" t="str">
        <f>IFERROR(VLOOKUP(A28,'Incident Intake'!$A:$G,7,FALSE())&amp;" "&amp;VLOOKUP(A28,'Incident Intake'!$A:$F,6,FALSE()),"")</f>
        <v/>
      </c>
      <c r="D28" s="10" t="str">
        <f>IFERROR(VLOOKUP(A28,'Incident Intake'!$A:$J,10,FALSE()),"")</f>
        <v/>
      </c>
      <c r="E28" s="6"/>
      <c r="F28" s="6"/>
      <c r="G28" s="12"/>
      <c r="H28" s="12"/>
      <c r="I28" s="11" t="str">
        <f t="shared" si="0"/>
        <v/>
      </c>
      <c r="J28" s="6"/>
      <c r="K28" s="12"/>
      <c r="L28" s="6"/>
      <c r="M28" s="39" t="str">
        <f t="shared" si="1"/>
        <v/>
      </c>
      <c r="N28" s="6"/>
      <c r="O28" s="12"/>
      <c r="P28" s="6"/>
      <c r="Q28" s="39" t="str">
        <f t="shared" si="2"/>
        <v/>
      </c>
      <c r="R28" s="6"/>
      <c r="S28" s="12"/>
      <c r="T28" s="10" t="str">
        <f t="shared" si="3"/>
        <v/>
      </c>
      <c r="U28" s="6"/>
      <c r="V28" s="6"/>
    </row>
    <row r="29" spans="1:22" ht="18" customHeight="1" x14ac:dyDescent="0.45">
      <c r="A29" s="4"/>
      <c r="B29" s="39" t="str">
        <f>IFERROR(VLOOKUP(A29,'Incident Intake'!$A:$B,2,FALSE()),"")</f>
        <v/>
      </c>
      <c r="C29" s="10" t="str">
        <f>IFERROR(VLOOKUP(A29,'Incident Intake'!$A:$G,7,FALSE())&amp;" "&amp;VLOOKUP(A29,'Incident Intake'!$A:$F,6,FALSE()),"")</f>
        <v/>
      </c>
      <c r="D29" s="10" t="str">
        <f>IFERROR(VLOOKUP(A29,'Incident Intake'!$A:$J,10,FALSE()),"")</f>
        <v/>
      </c>
      <c r="E29" s="4"/>
      <c r="F29" s="4"/>
      <c r="G29" s="8"/>
      <c r="H29" s="8"/>
      <c r="I29" s="11" t="str">
        <f t="shared" si="0"/>
        <v/>
      </c>
      <c r="J29" s="4"/>
      <c r="K29" s="8"/>
      <c r="L29" s="4"/>
      <c r="M29" s="39" t="str">
        <f t="shared" si="1"/>
        <v/>
      </c>
      <c r="N29" s="4"/>
      <c r="O29" s="8"/>
      <c r="P29" s="4"/>
      <c r="Q29" s="39" t="str">
        <f t="shared" si="2"/>
        <v/>
      </c>
      <c r="R29" s="4"/>
      <c r="S29" s="8"/>
      <c r="T29" s="10" t="str">
        <f t="shared" si="3"/>
        <v/>
      </c>
      <c r="U29" s="4"/>
      <c r="V29" s="4"/>
    </row>
    <row r="30" spans="1:22" ht="18" customHeight="1" x14ac:dyDescent="0.45">
      <c r="A30" s="6"/>
      <c r="B30" s="39" t="str">
        <f>IFERROR(VLOOKUP(A30,'Incident Intake'!$A:$B,2,FALSE()),"")</f>
        <v/>
      </c>
      <c r="C30" s="10" t="str">
        <f>IFERROR(VLOOKUP(A30,'Incident Intake'!$A:$G,7,FALSE())&amp;" "&amp;VLOOKUP(A30,'Incident Intake'!$A:$F,6,FALSE()),"")</f>
        <v/>
      </c>
      <c r="D30" s="10" t="str">
        <f>IFERROR(VLOOKUP(A30,'Incident Intake'!$A:$J,10,FALSE()),"")</f>
        <v/>
      </c>
      <c r="E30" s="6"/>
      <c r="F30" s="6"/>
      <c r="G30" s="12"/>
      <c r="H30" s="12"/>
      <c r="I30" s="11" t="str">
        <f t="shared" si="0"/>
        <v/>
      </c>
      <c r="J30" s="6"/>
      <c r="K30" s="12"/>
      <c r="L30" s="6"/>
      <c r="M30" s="39" t="str">
        <f t="shared" si="1"/>
        <v/>
      </c>
      <c r="N30" s="6"/>
      <c r="O30" s="12"/>
      <c r="P30" s="6"/>
      <c r="Q30" s="39" t="str">
        <f t="shared" si="2"/>
        <v/>
      </c>
      <c r="R30" s="6"/>
      <c r="S30" s="12"/>
      <c r="T30" s="10" t="str">
        <f t="shared" si="3"/>
        <v/>
      </c>
      <c r="U30" s="6"/>
      <c r="V30" s="6"/>
    </row>
    <row r="31" spans="1:22" ht="18" customHeight="1" x14ac:dyDescent="0.45">
      <c r="A31" s="4"/>
      <c r="B31" s="39" t="str">
        <f>IFERROR(VLOOKUP(A31,'Incident Intake'!$A:$B,2,FALSE()),"")</f>
        <v/>
      </c>
      <c r="C31" s="10" t="str">
        <f>IFERROR(VLOOKUP(A31,'Incident Intake'!$A:$G,7,FALSE())&amp;" "&amp;VLOOKUP(A31,'Incident Intake'!$A:$F,6,FALSE()),"")</f>
        <v/>
      </c>
      <c r="D31" s="10" t="str">
        <f>IFERROR(VLOOKUP(A31,'Incident Intake'!$A:$J,10,FALSE()),"")</f>
        <v/>
      </c>
      <c r="E31" s="4"/>
      <c r="F31" s="4"/>
      <c r="G31" s="8"/>
      <c r="H31" s="8"/>
      <c r="I31" s="11" t="str">
        <f t="shared" si="0"/>
        <v/>
      </c>
      <c r="J31" s="4"/>
      <c r="K31" s="8"/>
      <c r="L31" s="4"/>
      <c r="M31" s="39" t="str">
        <f t="shared" si="1"/>
        <v/>
      </c>
      <c r="N31" s="4"/>
      <c r="O31" s="8"/>
      <c r="P31" s="4"/>
      <c r="Q31" s="39" t="str">
        <f t="shared" si="2"/>
        <v/>
      </c>
      <c r="R31" s="4"/>
      <c r="S31" s="8"/>
      <c r="T31" s="10" t="str">
        <f t="shared" si="3"/>
        <v/>
      </c>
      <c r="U31" s="4"/>
      <c r="V31" s="4"/>
    </row>
    <row r="32" spans="1:22" ht="18" customHeight="1" x14ac:dyDescent="0.45">
      <c r="A32" s="6"/>
      <c r="B32" s="39" t="str">
        <f>IFERROR(VLOOKUP(A32,'Incident Intake'!$A:$B,2,FALSE()),"")</f>
        <v/>
      </c>
      <c r="C32" s="10" t="str">
        <f>IFERROR(VLOOKUP(A32,'Incident Intake'!$A:$G,7,FALSE())&amp;" "&amp;VLOOKUP(A32,'Incident Intake'!$A:$F,6,FALSE()),"")</f>
        <v/>
      </c>
      <c r="D32" s="10" t="str">
        <f>IFERROR(VLOOKUP(A32,'Incident Intake'!$A:$J,10,FALSE()),"")</f>
        <v/>
      </c>
      <c r="E32" s="6"/>
      <c r="F32" s="6"/>
      <c r="G32" s="12"/>
      <c r="H32" s="12"/>
      <c r="I32" s="11" t="str">
        <f t="shared" si="0"/>
        <v/>
      </c>
      <c r="J32" s="6"/>
      <c r="K32" s="12"/>
      <c r="L32" s="6"/>
      <c r="M32" s="39" t="str">
        <f t="shared" si="1"/>
        <v/>
      </c>
      <c r="N32" s="6"/>
      <c r="O32" s="12"/>
      <c r="P32" s="6"/>
      <c r="Q32" s="39" t="str">
        <f t="shared" si="2"/>
        <v/>
      </c>
      <c r="R32" s="6"/>
      <c r="S32" s="12"/>
      <c r="T32" s="10" t="str">
        <f t="shared" si="3"/>
        <v/>
      </c>
      <c r="U32" s="6"/>
      <c r="V32" s="6"/>
    </row>
    <row r="33" spans="1:22" ht="18" customHeight="1" x14ac:dyDescent="0.45">
      <c r="A33" s="4"/>
      <c r="B33" s="39" t="str">
        <f>IFERROR(VLOOKUP(A33,'Incident Intake'!$A:$B,2,FALSE()),"")</f>
        <v/>
      </c>
      <c r="C33" s="10" t="str">
        <f>IFERROR(VLOOKUP(A33,'Incident Intake'!$A:$G,7,FALSE())&amp;" "&amp;VLOOKUP(A33,'Incident Intake'!$A:$F,6,FALSE()),"")</f>
        <v/>
      </c>
      <c r="D33" s="10" t="str">
        <f>IFERROR(VLOOKUP(A33,'Incident Intake'!$A:$J,10,FALSE()),"")</f>
        <v/>
      </c>
      <c r="E33" s="4"/>
      <c r="F33" s="4"/>
      <c r="G33" s="8"/>
      <c r="H33" s="8"/>
      <c r="I33" s="11" t="str">
        <f t="shared" si="0"/>
        <v/>
      </c>
      <c r="J33" s="4"/>
      <c r="K33" s="8"/>
      <c r="L33" s="4"/>
      <c r="M33" s="39" t="str">
        <f t="shared" si="1"/>
        <v/>
      </c>
      <c r="N33" s="4"/>
      <c r="O33" s="8"/>
      <c r="P33" s="4"/>
      <c r="Q33" s="39" t="str">
        <f t="shared" si="2"/>
        <v/>
      </c>
      <c r="R33" s="4"/>
      <c r="S33" s="8"/>
      <c r="T33" s="10" t="str">
        <f t="shared" si="3"/>
        <v/>
      </c>
      <c r="U33" s="4"/>
      <c r="V33" s="4"/>
    </row>
    <row r="34" spans="1:22" ht="18" customHeight="1" x14ac:dyDescent="0.45">
      <c r="A34" s="6"/>
      <c r="B34" s="39" t="str">
        <f>IFERROR(VLOOKUP(A34,'Incident Intake'!$A:$B,2,FALSE()),"")</f>
        <v/>
      </c>
      <c r="C34" s="10" t="str">
        <f>IFERROR(VLOOKUP(A34,'Incident Intake'!$A:$G,7,FALSE())&amp;" "&amp;VLOOKUP(A34,'Incident Intake'!$A:$F,6,FALSE()),"")</f>
        <v/>
      </c>
      <c r="D34" s="10" t="str">
        <f>IFERROR(VLOOKUP(A34,'Incident Intake'!$A:$J,10,FALSE()),"")</f>
        <v/>
      </c>
      <c r="E34" s="6"/>
      <c r="F34" s="6"/>
      <c r="G34" s="12"/>
      <c r="H34" s="12"/>
      <c r="I34" s="11" t="str">
        <f t="shared" si="0"/>
        <v/>
      </c>
      <c r="J34" s="6"/>
      <c r="K34" s="12"/>
      <c r="L34" s="6"/>
      <c r="M34" s="39" t="str">
        <f t="shared" si="1"/>
        <v/>
      </c>
      <c r="N34" s="6"/>
      <c r="O34" s="12"/>
      <c r="P34" s="6"/>
      <c r="Q34" s="39" t="str">
        <f t="shared" si="2"/>
        <v/>
      </c>
      <c r="R34" s="6"/>
      <c r="S34" s="12"/>
      <c r="T34" s="10" t="str">
        <f t="shared" si="3"/>
        <v/>
      </c>
      <c r="U34" s="6"/>
      <c r="V34" s="6"/>
    </row>
    <row r="35" spans="1:22" ht="18" customHeight="1" x14ac:dyDescent="0.45">
      <c r="A35" s="4"/>
      <c r="B35" s="39" t="str">
        <f>IFERROR(VLOOKUP(A35,'Incident Intake'!$A:$B,2,FALSE()),"")</f>
        <v/>
      </c>
      <c r="C35" s="10" t="str">
        <f>IFERROR(VLOOKUP(A35,'Incident Intake'!$A:$G,7,FALSE())&amp;" "&amp;VLOOKUP(A35,'Incident Intake'!$A:$F,6,FALSE()),"")</f>
        <v/>
      </c>
      <c r="D35" s="10" t="str">
        <f>IFERROR(VLOOKUP(A35,'Incident Intake'!$A:$J,10,FALSE()),"")</f>
        <v/>
      </c>
      <c r="E35" s="4"/>
      <c r="F35" s="4"/>
      <c r="G35" s="8"/>
      <c r="H35" s="8"/>
      <c r="I35" s="11" t="str">
        <f t="shared" si="0"/>
        <v/>
      </c>
      <c r="J35" s="4"/>
      <c r="K35" s="8"/>
      <c r="L35" s="4"/>
      <c r="M35" s="39" t="str">
        <f t="shared" si="1"/>
        <v/>
      </c>
      <c r="N35" s="4"/>
      <c r="O35" s="8"/>
      <c r="P35" s="4"/>
      <c r="Q35" s="39" t="str">
        <f t="shared" si="2"/>
        <v/>
      </c>
      <c r="R35" s="4"/>
      <c r="S35" s="8"/>
      <c r="T35" s="10" t="str">
        <f t="shared" si="3"/>
        <v/>
      </c>
      <c r="U35" s="4"/>
      <c r="V35" s="4"/>
    </row>
    <row r="36" spans="1:22" ht="18" customHeight="1" x14ac:dyDescent="0.45">
      <c r="A36" s="6"/>
      <c r="B36" s="39" t="str">
        <f>IFERROR(VLOOKUP(A36,'Incident Intake'!$A:$B,2,FALSE()),"")</f>
        <v/>
      </c>
      <c r="C36" s="10" t="str">
        <f>IFERROR(VLOOKUP(A36,'Incident Intake'!$A:$G,7,FALSE())&amp;" "&amp;VLOOKUP(A36,'Incident Intake'!$A:$F,6,FALSE()),"")</f>
        <v/>
      </c>
      <c r="D36" s="10" t="str">
        <f>IFERROR(VLOOKUP(A36,'Incident Intake'!$A:$J,10,FALSE()),"")</f>
        <v/>
      </c>
      <c r="E36" s="6"/>
      <c r="F36" s="6"/>
      <c r="G36" s="12"/>
      <c r="H36" s="12"/>
      <c r="I36" s="11" t="str">
        <f t="shared" si="0"/>
        <v/>
      </c>
      <c r="J36" s="6"/>
      <c r="K36" s="12"/>
      <c r="L36" s="6"/>
      <c r="M36" s="39" t="str">
        <f t="shared" si="1"/>
        <v/>
      </c>
      <c r="N36" s="6"/>
      <c r="O36" s="12"/>
      <c r="P36" s="6"/>
      <c r="Q36" s="39" t="str">
        <f t="shared" si="2"/>
        <v/>
      </c>
      <c r="R36" s="6"/>
      <c r="S36" s="12"/>
      <c r="T36" s="10" t="str">
        <f t="shared" si="3"/>
        <v/>
      </c>
      <c r="U36" s="6"/>
      <c r="V36" s="6"/>
    </row>
    <row r="37" spans="1:22" ht="18" customHeight="1" x14ac:dyDescent="0.45">
      <c r="A37" s="4"/>
      <c r="B37" s="39" t="str">
        <f>IFERROR(VLOOKUP(A37,'Incident Intake'!$A:$B,2,FALSE()),"")</f>
        <v/>
      </c>
      <c r="C37" s="10" t="str">
        <f>IFERROR(VLOOKUP(A37,'Incident Intake'!$A:$G,7,FALSE())&amp;" "&amp;VLOOKUP(A37,'Incident Intake'!$A:$F,6,FALSE()),"")</f>
        <v/>
      </c>
      <c r="D37" s="10" t="str">
        <f>IFERROR(VLOOKUP(A37,'Incident Intake'!$A:$J,10,FALSE()),"")</f>
        <v/>
      </c>
      <c r="E37" s="4"/>
      <c r="F37" s="4"/>
      <c r="G37" s="8"/>
      <c r="H37" s="8"/>
      <c r="I37" s="11" t="str">
        <f t="shared" ref="I37:I68" si="4">IF(OR(G37="",H37=""),"",H37-G37+1)</f>
        <v/>
      </c>
      <c r="J37" s="4"/>
      <c r="K37" s="8"/>
      <c r="L37" s="4"/>
      <c r="M37" s="39" t="str">
        <f t="shared" ref="M37:M68" si="5">IF(G37="","",G37+21)</f>
        <v/>
      </c>
      <c r="N37" s="4"/>
      <c r="O37" s="8"/>
      <c r="P37" s="4"/>
      <c r="Q37" s="39" t="str">
        <f t="shared" ref="Q37:Q68" si="6">IF(OR(N37&lt;&gt;"Yes",O37=""),"",O37+21)</f>
        <v/>
      </c>
      <c r="R37" s="4"/>
      <c r="S37" s="8"/>
      <c r="T37" s="10" t="str">
        <f t="shared" ref="T37:T68" si="7">IF(A37="","",IF(P37="Resolved — Overturned","OVERTURNED",IF(P37="Resolved — Modified","MODIFIED",IF(P37="Resolved — Upheld","UPHELD — CLOSED",IF(N37="Yes","APPEAL ACTIVE","CLOSED — NO APPEAL")))))</f>
        <v/>
      </c>
      <c r="U37" s="4"/>
      <c r="V37" s="4"/>
    </row>
    <row r="38" spans="1:22" ht="18" customHeight="1" x14ac:dyDescent="0.45">
      <c r="A38" s="6"/>
      <c r="B38" s="39" t="str">
        <f>IFERROR(VLOOKUP(A38,'Incident Intake'!$A:$B,2,FALSE()),"")</f>
        <v/>
      </c>
      <c r="C38" s="10" t="str">
        <f>IFERROR(VLOOKUP(A38,'Incident Intake'!$A:$G,7,FALSE())&amp;" "&amp;VLOOKUP(A38,'Incident Intake'!$A:$F,6,FALSE()),"")</f>
        <v/>
      </c>
      <c r="D38" s="10" t="str">
        <f>IFERROR(VLOOKUP(A38,'Incident Intake'!$A:$J,10,FALSE()),"")</f>
        <v/>
      </c>
      <c r="E38" s="6"/>
      <c r="F38" s="6"/>
      <c r="G38" s="12"/>
      <c r="H38" s="12"/>
      <c r="I38" s="11" t="str">
        <f t="shared" si="4"/>
        <v/>
      </c>
      <c r="J38" s="6"/>
      <c r="K38" s="12"/>
      <c r="L38" s="6"/>
      <c r="M38" s="39" t="str">
        <f t="shared" si="5"/>
        <v/>
      </c>
      <c r="N38" s="6"/>
      <c r="O38" s="12"/>
      <c r="P38" s="6"/>
      <c r="Q38" s="39" t="str">
        <f t="shared" si="6"/>
        <v/>
      </c>
      <c r="R38" s="6"/>
      <c r="S38" s="12"/>
      <c r="T38" s="10" t="str">
        <f t="shared" si="7"/>
        <v/>
      </c>
      <c r="U38" s="6"/>
      <c r="V38" s="6"/>
    </row>
    <row r="39" spans="1:22" ht="18" customHeight="1" x14ac:dyDescent="0.45">
      <c r="A39" s="4"/>
      <c r="B39" s="39" t="str">
        <f>IFERROR(VLOOKUP(A39,'Incident Intake'!$A:$B,2,FALSE()),"")</f>
        <v/>
      </c>
      <c r="C39" s="10" t="str">
        <f>IFERROR(VLOOKUP(A39,'Incident Intake'!$A:$G,7,FALSE())&amp;" "&amp;VLOOKUP(A39,'Incident Intake'!$A:$F,6,FALSE()),"")</f>
        <v/>
      </c>
      <c r="D39" s="10" t="str">
        <f>IFERROR(VLOOKUP(A39,'Incident Intake'!$A:$J,10,FALSE()),"")</f>
        <v/>
      </c>
      <c r="E39" s="4"/>
      <c r="F39" s="4"/>
      <c r="G39" s="8"/>
      <c r="H39" s="8"/>
      <c r="I39" s="11" t="str">
        <f t="shared" si="4"/>
        <v/>
      </c>
      <c r="J39" s="4"/>
      <c r="K39" s="8"/>
      <c r="L39" s="4"/>
      <c r="M39" s="39" t="str">
        <f t="shared" si="5"/>
        <v/>
      </c>
      <c r="N39" s="4"/>
      <c r="O39" s="8"/>
      <c r="P39" s="4"/>
      <c r="Q39" s="39" t="str">
        <f t="shared" si="6"/>
        <v/>
      </c>
      <c r="R39" s="4"/>
      <c r="S39" s="8"/>
      <c r="T39" s="10" t="str">
        <f t="shared" si="7"/>
        <v/>
      </c>
      <c r="U39" s="4"/>
      <c r="V39" s="4"/>
    </row>
    <row r="40" spans="1:22" ht="18" customHeight="1" x14ac:dyDescent="0.45">
      <c r="A40" s="6"/>
      <c r="B40" s="39" t="str">
        <f>IFERROR(VLOOKUP(A40,'Incident Intake'!$A:$B,2,FALSE()),"")</f>
        <v/>
      </c>
      <c r="C40" s="10" t="str">
        <f>IFERROR(VLOOKUP(A40,'Incident Intake'!$A:$G,7,FALSE())&amp;" "&amp;VLOOKUP(A40,'Incident Intake'!$A:$F,6,FALSE()),"")</f>
        <v/>
      </c>
      <c r="D40" s="10" t="str">
        <f>IFERROR(VLOOKUP(A40,'Incident Intake'!$A:$J,10,FALSE()),"")</f>
        <v/>
      </c>
      <c r="E40" s="6"/>
      <c r="F40" s="6"/>
      <c r="G40" s="12"/>
      <c r="H40" s="12"/>
      <c r="I40" s="11" t="str">
        <f t="shared" si="4"/>
        <v/>
      </c>
      <c r="J40" s="6"/>
      <c r="K40" s="12"/>
      <c r="L40" s="6"/>
      <c r="M40" s="39" t="str">
        <f t="shared" si="5"/>
        <v/>
      </c>
      <c r="N40" s="6"/>
      <c r="O40" s="12"/>
      <c r="P40" s="6"/>
      <c r="Q40" s="39" t="str">
        <f t="shared" si="6"/>
        <v/>
      </c>
      <c r="R40" s="6"/>
      <c r="S40" s="12"/>
      <c r="T40" s="10" t="str">
        <f t="shared" si="7"/>
        <v/>
      </c>
      <c r="U40" s="6"/>
      <c r="V40" s="6"/>
    </row>
    <row r="41" spans="1:22" ht="18" customHeight="1" x14ac:dyDescent="0.45">
      <c r="A41" s="4"/>
      <c r="B41" s="39" t="str">
        <f>IFERROR(VLOOKUP(A41,'Incident Intake'!$A:$B,2,FALSE()),"")</f>
        <v/>
      </c>
      <c r="C41" s="10" t="str">
        <f>IFERROR(VLOOKUP(A41,'Incident Intake'!$A:$G,7,FALSE())&amp;" "&amp;VLOOKUP(A41,'Incident Intake'!$A:$F,6,FALSE()),"")</f>
        <v/>
      </c>
      <c r="D41" s="10" t="str">
        <f>IFERROR(VLOOKUP(A41,'Incident Intake'!$A:$J,10,FALSE()),"")</f>
        <v/>
      </c>
      <c r="E41" s="4"/>
      <c r="F41" s="4"/>
      <c r="G41" s="8"/>
      <c r="H41" s="8"/>
      <c r="I41" s="11" t="str">
        <f t="shared" si="4"/>
        <v/>
      </c>
      <c r="J41" s="4"/>
      <c r="K41" s="8"/>
      <c r="L41" s="4"/>
      <c r="M41" s="39" t="str">
        <f t="shared" si="5"/>
        <v/>
      </c>
      <c r="N41" s="4"/>
      <c r="O41" s="8"/>
      <c r="P41" s="4"/>
      <c r="Q41" s="39" t="str">
        <f t="shared" si="6"/>
        <v/>
      </c>
      <c r="R41" s="4"/>
      <c r="S41" s="8"/>
      <c r="T41" s="10" t="str">
        <f t="shared" si="7"/>
        <v/>
      </c>
      <c r="U41" s="4"/>
      <c r="V41" s="4"/>
    </row>
    <row r="42" spans="1:22" ht="18" customHeight="1" x14ac:dyDescent="0.45">
      <c r="A42" s="6"/>
      <c r="B42" s="39" t="str">
        <f>IFERROR(VLOOKUP(A42,'Incident Intake'!$A:$B,2,FALSE()),"")</f>
        <v/>
      </c>
      <c r="C42" s="10" t="str">
        <f>IFERROR(VLOOKUP(A42,'Incident Intake'!$A:$G,7,FALSE())&amp;" "&amp;VLOOKUP(A42,'Incident Intake'!$A:$F,6,FALSE()),"")</f>
        <v/>
      </c>
      <c r="D42" s="10" t="str">
        <f>IFERROR(VLOOKUP(A42,'Incident Intake'!$A:$J,10,FALSE()),"")</f>
        <v/>
      </c>
      <c r="E42" s="6"/>
      <c r="F42" s="6"/>
      <c r="G42" s="12"/>
      <c r="H42" s="12"/>
      <c r="I42" s="11" t="str">
        <f t="shared" si="4"/>
        <v/>
      </c>
      <c r="J42" s="6"/>
      <c r="K42" s="12"/>
      <c r="L42" s="6"/>
      <c r="M42" s="39" t="str">
        <f t="shared" si="5"/>
        <v/>
      </c>
      <c r="N42" s="6"/>
      <c r="O42" s="12"/>
      <c r="P42" s="6"/>
      <c r="Q42" s="39" t="str">
        <f t="shared" si="6"/>
        <v/>
      </c>
      <c r="R42" s="6"/>
      <c r="S42" s="12"/>
      <c r="T42" s="10" t="str">
        <f t="shared" si="7"/>
        <v/>
      </c>
      <c r="U42" s="6"/>
      <c r="V42" s="6"/>
    </row>
    <row r="43" spans="1:22" ht="18" customHeight="1" x14ac:dyDescent="0.45">
      <c r="A43" s="4"/>
      <c r="B43" s="39" t="str">
        <f>IFERROR(VLOOKUP(A43,'Incident Intake'!$A:$B,2,FALSE()),"")</f>
        <v/>
      </c>
      <c r="C43" s="10" t="str">
        <f>IFERROR(VLOOKUP(A43,'Incident Intake'!$A:$G,7,FALSE())&amp;" "&amp;VLOOKUP(A43,'Incident Intake'!$A:$F,6,FALSE()),"")</f>
        <v/>
      </c>
      <c r="D43" s="10" t="str">
        <f>IFERROR(VLOOKUP(A43,'Incident Intake'!$A:$J,10,FALSE()),"")</f>
        <v/>
      </c>
      <c r="E43" s="4"/>
      <c r="F43" s="4"/>
      <c r="G43" s="8"/>
      <c r="H43" s="8"/>
      <c r="I43" s="11" t="str">
        <f t="shared" si="4"/>
        <v/>
      </c>
      <c r="J43" s="4"/>
      <c r="K43" s="8"/>
      <c r="L43" s="4"/>
      <c r="M43" s="39" t="str">
        <f t="shared" si="5"/>
        <v/>
      </c>
      <c r="N43" s="4"/>
      <c r="O43" s="8"/>
      <c r="P43" s="4"/>
      <c r="Q43" s="39" t="str">
        <f t="shared" si="6"/>
        <v/>
      </c>
      <c r="R43" s="4"/>
      <c r="S43" s="8"/>
      <c r="T43" s="10" t="str">
        <f t="shared" si="7"/>
        <v/>
      </c>
      <c r="U43" s="4"/>
      <c r="V43" s="4"/>
    </row>
    <row r="44" spans="1:22" ht="18" customHeight="1" x14ac:dyDescent="0.45">
      <c r="A44" s="6"/>
      <c r="B44" s="39" t="str">
        <f>IFERROR(VLOOKUP(A44,'Incident Intake'!$A:$B,2,FALSE()),"")</f>
        <v/>
      </c>
      <c r="C44" s="10" t="str">
        <f>IFERROR(VLOOKUP(A44,'Incident Intake'!$A:$G,7,FALSE())&amp;" "&amp;VLOOKUP(A44,'Incident Intake'!$A:$F,6,FALSE()),"")</f>
        <v/>
      </c>
      <c r="D44" s="10" t="str">
        <f>IFERROR(VLOOKUP(A44,'Incident Intake'!$A:$J,10,FALSE()),"")</f>
        <v/>
      </c>
      <c r="E44" s="6"/>
      <c r="F44" s="6"/>
      <c r="G44" s="12"/>
      <c r="H44" s="12"/>
      <c r="I44" s="11" t="str">
        <f t="shared" si="4"/>
        <v/>
      </c>
      <c r="J44" s="6"/>
      <c r="K44" s="12"/>
      <c r="L44" s="6"/>
      <c r="M44" s="39" t="str">
        <f t="shared" si="5"/>
        <v/>
      </c>
      <c r="N44" s="6"/>
      <c r="O44" s="12"/>
      <c r="P44" s="6"/>
      <c r="Q44" s="39" t="str">
        <f t="shared" si="6"/>
        <v/>
      </c>
      <c r="R44" s="6"/>
      <c r="S44" s="12"/>
      <c r="T44" s="10" t="str">
        <f t="shared" si="7"/>
        <v/>
      </c>
      <c r="U44" s="6"/>
      <c r="V44" s="6"/>
    </row>
    <row r="45" spans="1:22" ht="18" customHeight="1" x14ac:dyDescent="0.45">
      <c r="A45" s="4"/>
      <c r="B45" s="39" t="str">
        <f>IFERROR(VLOOKUP(A45,'Incident Intake'!$A:$B,2,FALSE()),"")</f>
        <v/>
      </c>
      <c r="C45" s="10" t="str">
        <f>IFERROR(VLOOKUP(A45,'Incident Intake'!$A:$G,7,FALSE())&amp;" "&amp;VLOOKUP(A45,'Incident Intake'!$A:$F,6,FALSE()),"")</f>
        <v/>
      </c>
      <c r="D45" s="10" t="str">
        <f>IFERROR(VLOOKUP(A45,'Incident Intake'!$A:$J,10,FALSE()),"")</f>
        <v/>
      </c>
      <c r="E45" s="4"/>
      <c r="F45" s="4"/>
      <c r="G45" s="8"/>
      <c r="H45" s="8"/>
      <c r="I45" s="11" t="str">
        <f t="shared" si="4"/>
        <v/>
      </c>
      <c r="J45" s="4"/>
      <c r="K45" s="8"/>
      <c r="L45" s="4"/>
      <c r="M45" s="39" t="str">
        <f t="shared" si="5"/>
        <v/>
      </c>
      <c r="N45" s="4"/>
      <c r="O45" s="8"/>
      <c r="P45" s="4"/>
      <c r="Q45" s="39" t="str">
        <f t="shared" si="6"/>
        <v/>
      </c>
      <c r="R45" s="4"/>
      <c r="S45" s="8"/>
      <c r="T45" s="10" t="str">
        <f t="shared" si="7"/>
        <v/>
      </c>
      <c r="U45" s="4"/>
      <c r="V45" s="4"/>
    </row>
    <row r="46" spans="1:22" ht="18" customHeight="1" x14ac:dyDescent="0.45">
      <c r="A46" s="6"/>
      <c r="B46" s="39" t="str">
        <f>IFERROR(VLOOKUP(A46,'Incident Intake'!$A:$B,2,FALSE()),"")</f>
        <v/>
      </c>
      <c r="C46" s="10" t="str">
        <f>IFERROR(VLOOKUP(A46,'Incident Intake'!$A:$G,7,FALSE())&amp;" "&amp;VLOOKUP(A46,'Incident Intake'!$A:$F,6,FALSE()),"")</f>
        <v/>
      </c>
      <c r="D46" s="10" t="str">
        <f>IFERROR(VLOOKUP(A46,'Incident Intake'!$A:$J,10,FALSE()),"")</f>
        <v/>
      </c>
      <c r="E46" s="6"/>
      <c r="F46" s="6"/>
      <c r="G46" s="12"/>
      <c r="H46" s="12"/>
      <c r="I46" s="11" t="str">
        <f t="shared" si="4"/>
        <v/>
      </c>
      <c r="J46" s="6"/>
      <c r="K46" s="12"/>
      <c r="L46" s="6"/>
      <c r="M46" s="39" t="str">
        <f t="shared" si="5"/>
        <v/>
      </c>
      <c r="N46" s="6"/>
      <c r="O46" s="12"/>
      <c r="P46" s="6"/>
      <c r="Q46" s="39" t="str">
        <f t="shared" si="6"/>
        <v/>
      </c>
      <c r="R46" s="6"/>
      <c r="S46" s="12"/>
      <c r="T46" s="10" t="str">
        <f t="shared" si="7"/>
        <v/>
      </c>
      <c r="U46" s="6"/>
      <c r="V46" s="6"/>
    </row>
    <row r="47" spans="1:22" ht="18" customHeight="1" x14ac:dyDescent="0.45">
      <c r="A47" s="4"/>
      <c r="B47" s="39" t="str">
        <f>IFERROR(VLOOKUP(A47,'Incident Intake'!$A:$B,2,FALSE()),"")</f>
        <v/>
      </c>
      <c r="C47" s="10" t="str">
        <f>IFERROR(VLOOKUP(A47,'Incident Intake'!$A:$G,7,FALSE())&amp;" "&amp;VLOOKUP(A47,'Incident Intake'!$A:$F,6,FALSE()),"")</f>
        <v/>
      </c>
      <c r="D47" s="10" t="str">
        <f>IFERROR(VLOOKUP(A47,'Incident Intake'!$A:$J,10,FALSE()),"")</f>
        <v/>
      </c>
      <c r="E47" s="4"/>
      <c r="F47" s="4"/>
      <c r="G47" s="8"/>
      <c r="H47" s="8"/>
      <c r="I47" s="11" t="str">
        <f t="shared" si="4"/>
        <v/>
      </c>
      <c r="J47" s="4"/>
      <c r="K47" s="8"/>
      <c r="L47" s="4"/>
      <c r="M47" s="39" t="str">
        <f t="shared" si="5"/>
        <v/>
      </c>
      <c r="N47" s="4"/>
      <c r="O47" s="8"/>
      <c r="P47" s="4"/>
      <c r="Q47" s="39" t="str">
        <f t="shared" si="6"/>
        <v/>
      </c>
      <c r="R47" s="4"/>
      <c r="S47" s="8"/>
      <c r="T47" s="10" t="str">
        <f t="shared" si="7"/>
        <v/>
      </c>
      <c r="U47" s="4"/>
      <c r="V47" s="4"/>
    </row>
    <row r="48" spans="1:22" ht="18" customHeight="1" x14ac:dyDescent="0.45">
      <c r="A48" s="6"/>
      <c r="B48" s="39" t="str">
        <f>IFERROR(VLOOKUP(A48,'Incident Intake'!$A:$B,2,FALSE()),"")</f>
        <v/>
      </c>
      <c r="C48" s="10" t="str">
        <f>IFERROR(VLOOKUP(A48,'Incident Intake'!$A:$G,7,FALSE())&amp;" "&amp;VLOOKUP(A48,'Incident Intake'!$A:$F,6,FALSE()),"")</f>
        <v/>
      </c>
      <c r="D48" s="10" t="str">
        <f>IFERROR(VLOOKUP(A48,'Incident Intake'!$A:$J,10,FALSE()),"")</f>
        <v/>
      </c>
      <c r="E48" s="6"/>
      <c r="F48" s="6"/>
      <c r="G48" s="12"/>
      <c r="H48" s="12"/>
      <c r="I48" s="11" t="str">
        <f t="shared" si="4"/>
        <v/>
      </c>
      <c r="J48" s="6"/>
      <c r="K48" s="12"/>
      <c r="L48" s="6"/>
      <c r="M48" s="39" t="str">
        <f t="shared" si="5"/>
        <v/>
      </c>
      <c r="N48" s="6"/>
      <c r="O48" s="12"/>
      <c r="P48" s="6"/>
      <c r="Q48" s="39" t="str">
        <f t="shared" si="6"/>
        <v/>
      </c>
      <c r="R48" s="6"/>
      <c r="S48" s="12"/>
      <c r="T48" s="10" t="str">
        <f t="shared" si="7"/>
        <v/>
      </c>
      <c r="U48" s="6"/>
      <c r="V48" s="6"/>
    </row>
    <row r="49" spans="1:22" ht="18" customHeight="1" x14ac:dyDescent="0.45">
      <c r="A49" s="4"/>
      <c r="B49" s="39" t="str">
        <f>IFERROR(VLOOKUP(A49,'Incident Intake'!$A:$B,2,FALSE()),"")</f>
        <v/>
      </c>
      <c r="C49" s="10" t="str">
        <f>IFERROR(VLOOKUP(A49,'Incident Intake'!$A:$G,7,FALSE())&amp;" "&amp;VLOOKUP(A49,'Incident Intake'!$A:$F,6,FALSE()),"")</f>
        <v/>
      </c>
      <c r="D49" s="10" t="str">
        <f>IFERROR(VLOOKUP(A49,'Incident Intake'!$A:$J,10,FALSE()),"")</f>
        <v/>
      </c>
      <c r="E49" s="4"/>
      <c r="F49" s="4"/>
      <c r="G49" s="8"/>
      <c r="H49" s="8"/>
      <c r="I49" s="11" t="str">
        <f t="shared" si="4"/>
        <v/>
      </c>
      <c r="J49" s="4"/>
      <c r="K49" s="8"/>
      <c r="L49" s="4"/>
      <c r="M49" s="39" t="str">
        <f t="shared" si="5"/>
        <v/>
      </c>
      <c r="N49" s="4"/>
      <c r="O49" s="8"/>
      <c r="P49" s="4"/>
      <c r="Q49" s="39" t="str">
        <f t="shared" si="6"/>
        <v/>
      </c>
      <c r="R49" s="4"/>
      <c r="S49" s="8"/>
      <c r="T49" s="10" t="str">
        <f t="shared" si="7"/>
        <v/>
      </c>
      <c r="U49" s="4"/>
      <c r="V49" s="4"/>
    </row>
    <row r="50" spans="1:22" ht="18" customHeight="1" x14ac:dyDescent="0.45">
      <c r="A50" s="6"/>
      <c r="B50" s="39" t="str">
        <f>IFERROR(VLOOKUP(A50,'Incident Intake'!$A:$B,2,FALSE()),"")</f>
        <v/>
      </c>
      <c r="C50" s="10" t="str">
        <f>IFERROR(VLOOKUP(A50,'Incident Intake'!$A:$G,7,FALSE())&amp;" "&amp;VLOOKUP(A50,'Incident Intake'!$A:$F,6,FALSE()),"")</f>
        <v/>
      </c>
      <c r="D50" s="10" t="str">
        <f>IFERROR(VLOOKUP(A50,'Incident Intake'!$A:$J,10,FALSE()),"")</f>
        <v/>
      </c>
      <c r="E50" s="6"/>
      <c r="F50" s="6"/>
      <c r="G50" s="12"/>
      <c r="H50" s="12"/>
      <c r="I50" s="11" t="str">
        <f t="shared" si="4"/>
        <v/>
      </c>
      <c r="J50" s="6"/>
      <c r="K50" s="12"/>
      <c r="L50" s="6"/>
      <c r="M50" s="39" t="str">
        <f t="shared" si="5"/>
        <v/>
      </c>
      <c r="N50" s="6"/>
      <c r="O50" s="12"/>
      <c r="P50" s="6"/>
      <c r="Q50" s="39" t="str">
        <f t="shared" si="6"/>
        <v/>
      </c>
      <c r="R50" s="6"/>
      <c r="S50" s="12"/>
      <c r="T50" s="10" t="str">
        <f t="shared" si="7"/>
        <v/>
      </c>
      <c r="U50" s="6"/>
      <c r="V50" s="6"/>
    </row>
    <row r="51" spans="1:22" ht="18" customHeight="1" x14ac:dyDescent="0.45">
      <c r="A51" s="4"/>
      <c r="B51" s="39" t="str">
        <f>IFERROR(VLOOKUP(A51,'Incident Intake'!$A:$B,2,FALSE()),"")</f>
        <v/>
      </c>
      <c r="C51" s="10" t="str">
        <f>IFERROR(VLOOKUP(A51,'Incident Intake'!$A:$G,7,FALSE())&amp;" "&amp;VLOOKUP(A51,'Incident Intake'!$A:$F,6,FALSE()),"")</f>
        <v/>
      </c>
      <c r="D51" s="10" t="str">
        <f>IFERROR(VLOOKUP(A51,'Incident Intake'!$A:$J,10,FALSE()),"")</f>
        <v/>
      </c>
      <c r="E51" s="4"/>
      <c r="F51" s="4"/>
      <c r="G51" s="8"/>
      <c r="H51" s="8"/>
      <c r="I51" s="11" t="str">
        <f t="shared" si="4"/>
        <v/>
      </c>
      <c r="J51" s="4"/>
      <c r="K51" s="8"/>
      <c r="L51" s="4"/>
      <c r="M51" s="39" t="str">
        <f t="shared" si="5"/>
        <v/>
      </c>
      <c r="N51" s="4"/>
      <c r="O51" s="8"/>
      <c r="P51" s="4"/>
      <c r="Q51" s="39" t="str">
        <f t="shared" si="6"/>
        <v/>
      </c>
      <c r="R51" s="4"/>
      <c r="S51" s="8"/>
      <c r="T51" s="10" t="str">
        <f t="shared" si="7"/>
        <v/>
      </c>
      <c r="U51" s="4"/>
      <c r="V51" s="4"/>
    </row>
    <row r="52" spans="1:22" ht="18" customHeight="1" x14ac:dyDescent="0.45">
      <c r="A52" s="6"/>
      <c r="B52" s="39" t="str">
        <f>IFERROR(VLOOKUP(A52,'Incident Intake'!$A:$B,2,FALSE()),"")</f>
        <v/>
      </c>
      <c r="C52" s="10" t="str">
        <f>IFERROR(VLOOKUP(A52,'Incident Intake'!$A:$G,7,FALSE())&amp;" "&amp;VLOOKUP(A52,'Incident Intake'!$A:$F,6,FALSE()),"")</f>
        <v/>
      </c>
      <c r="D52" s="10" t="str">
        <f>IFERROR(VLOOKUP(A52,'Incident Intake'!$A:$J,10,FALSE()),"")</f>
        <v/>
      </c>
      <c r="E52" s="6"/>
      <c r="F52" s="6"/>
      <c r="G52" s="12"/>
      <c r="H52" s="12"/>
      <c r="I52" s="11" t="str">
        <f t="shared" si="4"/>
        <v/>
      </c>
      <c r="J52" s="6"/>
      <c r="K52" s="12"/>
      <c r="L52" s="6"/>
      <c r="M52" s="39" t="str">
        <f t="shared" si="5"/>
        <v/>
      </c>
      <c r="N52" s="6"/>
      <c r="O52" s="12"/>
      <c r="P52" s="6"/>
      <c r="Q52" s="39" t="str">
        <f t="shared" si="6"/>
        <v/>
      </c>
      <c r="R52" s="6"/>
      <c r="S52" s="12"/>
      <c r="T52" s="10" t="str">
        <f t="shared" si="7"/>
        <v/>
      </c>
      <c r="U52" s="6"/>
      <c r="V52" s="6"/>
    </row>
    <row r="53" spans="1:22" ht="18" customHeight="1" x14ac:dyDescent="0.45">
      <c r="A53" s="4"/>
      <c r="B53" s="39" t="str">
        <f>IFERROR(VLOOKUP(A53,'Incident Intake'!$A:$B,2,FALSE()),"")</f>
        <v/>
      </c>
      <c r="C53" s="10" t="str">
        <f>IFERROR(VLOOKUP(A53,'Incident Intake'!$A:$G,7,FALSE())&amp;" "&amp;VLOOKUP(A53,'Incident Intake'!$A:$F,6,FALSE()),"")</f>
        <v/>
      </c>
      <c r="D53" s="10" t="str">
        <f>IFERROR(VLOOKUP(A53,'Incident Intake'!$A:$J,10,FALSE()),"")</f>
        <v/>
      </c>
      <c r="E53" s="4"/>
      <c r="F53" s="4"/>
      <c r="G53" s="8"/>
      <c r="H53" s="8"/>
      <c r="I53" s="11" t="str">
        <f t="shared" si="4"/>
        <v/>
      </c>
      <c r="J53" s="4"/>
      <c r="K53" s="8"/>
      <c r="L53" s="4"/>
      <c r="M53" s="39" t="str">
        <f t="shared" si="5"/>
        <v/>
      </c>
      <c r="N53" s="4"/>
      <c r="O53" s="8"/>
      <c r="P53" s="4"/>
      <c r="Q53" s="39" t="str">
        <f t="shared" si="6"/>
        <v/>
      </c>
      <c r="R53" s="4"/>
      <c r="S53" s="8"/>
      <c r="T53" s="10" t="str">
        <f t="shared" si="7"/>
        <v/>
      </c>
      <c r="U53" s="4"/>
      <c r="V53" s="4"/>
    </row>
    <row r="54" spans="1:22" ht="18" customHeight="1" x14ac:dyDescent="0.45">
      <c r="A54" s="6"/>
      <c r="B54" s="39" t="str">
        <f>IFERROR(VLOOKUP(A54,'Incident Intake'!$A:$B,2,FALSE()),"")</f>
        <v/>
      </c>
      <c r="C54" s="10" t="str">
        <f>IFERROR(VLOOKUP(A54,'Incident Intake'!$A:$G,7,FALSE())&amp;" "&amp;VLOOKUP(A54,'Incident Intake'!$A:$F,6,FALSE()),"")</f>
        <v/>
      </c>
      <c r="D54" s="10" t="str">
        <f>IFERROR(VLOOKUP(A54,'Incident Intake'!$A:$J,10,FALSE()),"")</f>
        <v/>
      </c>
      <c r="E54" s="6"/>
      <c r="F54" s="6"/>
      <c r="G54" s="12"/>
      <c r="H54" s="12"/>
      <c r="I54" s="11" t="str">
        <f t="shared" si="4"/>
        <v/>
      </c>
      <c r="J54" s="6"/>
      <c r="K54" s="12"/>
      <c r="L54" s="6"/>
      <c r="M54" s="39" t="str">
        <f t="shared" si="5"/>
        <v/>
      </c>
      <c r="N54" s="6"/>
      <c r="O54" s="12"/>
      <c r="P54" s="6"/>
      <c r="Q54" s="39" t="str">
        <f t="shared" si="6"/>
        <v/>
      </c>
      <c r="R54" s="6"/>
      <c r="S54" s="12"/>
      <c r="T54" s="10" t="str">
        <f t="shared" si="7"/>
        <v/>
      </c>
      <c r="U54" s="6"/>
      <c r="V54" s="6"/>
    </row>
    <row r="55" spans="1:22" ht="18" customHeight="1" x14ac:dyDescent="0.45">
      <c r="A55" s="4"/>
      <c r="B55" s="39" t="str">
        <f>IFERROR(VLOOKUP(A55,'Incident Intake'!$A:$B,2,FALSE()),"")</f>
        <v/>
      </c>
      <c r="C55" s="10" t="str">
        <f>IFERROR(VLOOKUP(A55,'Incident Intake'!$A:$G,7,FALSE())&amp;" "&amp;VLOOKUP(A55,'Incident Intake'!$A:$F,6,FALSE()),"")</f>
        <v/>
      </c>
      <c r="D55" s="10" t="str">
        <f>IFERROR(VLOOKUP(A55,'Incident Intake'!$A:$J,10,FALSE()),"")</f>
        <v/>
      </c>
      <c r="E55" s="4"/>
      <c r="F55" s="4"/>
      <c r="G55" s="8"/>
      <c r="H55" s="8"/>
      <c r="I55" s="11" t="str">
        <f t="shared" si="4"/>
        <v/>
      </c>
      <c r="J55" s="4"/>
      <c r="K55" s="8"/>
      <c r="L55" s="4"/>
      <c r="M55" s="39" t="str">
        <f t="shared" si="5"/>
        <v/>
      </c>
      <c r="N55" s="4"/>
      <c r="O55" s="8"/>
      <c r="P55" s="4"/>
      <c r="Q55" s="39" t="str">
        <f t="shared" si="6"/>
        <v/>
      </c>
      <c r="R55" s="4"/>
      <c r="S55" s="8"/>
      <c r="T55" s="10" t="str">
        <f t="shared" si="7"/>
        <v/>
      </c>
      <c r="U55" s="4"/>
      <c r="V55" s="4"/>
    </row>
    <row r="56" spans="1:22" ht="18" customHeight="1" x14ac:dyDescent="0.45">
      <c r="A56" s="6"/>
      <c r="B56" s="39" t="str">
        <f>IFERROR(VLOOKUP(A56,'Incident Intake'!$A:$B,2,FALSE()),"")</f>
        <v/>
      </c>
      <c r="C56" s="10" t="str">
        <f>IFERROR(VLOOKUP(A56,'Incident Intake'!$A:$G,7,FALSE())&amp;" "&amp;VLOOKUP(A56,'Incident Intake'!$A:$F,6,FALSE()),"")</f>
        <v/>
      </c>
      <c r="D56" s="10" t="str">
        <f>IFERROR(VLOOKUP(A56,'Incident Intake'!$A:$J,10,FALSE()),"")</f>
        <v/>
      </c>
      <c r="E56" s="6"/>
      <c r="F56" s="6"/>
      <c r="G56" s="12"/>
      <c r="H56" s="12"/>
      <c r="I56" s="11" t="str">
        <f t="shared" si="4"/>
        <v/>
      </c>
      <c r="J56" s="6"/>
      <c r="K56" s="12"/>
      <c r="L56" s="6"/>
      <c r="M56" s="39" t="str">
        <f t="shared" si="5"/>
        <v/>
      </c>
      <c r="N56" s="6"/>
      <c r="O56" s="12"/>
      <c r="P56" s="6"/>
      <c r="Q56" s="39" t="str">
        <f t="shared" si="6"/>
        <v/>
      </c>
      <c r="R56" s="6"/>
      <c r="S56" s="12"/>
      <c r="T56" s="10" t="str">
        <f t="shared" si="7"/>
        <v/>
      </c>
      <c r="U56" s="6"/>
      <c r="V56" s="6"/>
    </row>
    <row r="57" spans="1:22" ht="18" customHeight="1" x14ac:dyDescent="0.45">
      <c r="A57" s="4"/>
      <c r="B57" s="39" t="str">
        <f>IFERROR(VLOOKUP(A57,'Incident Intake'!$A:$B,2,FALSE()),"")</f>
        <v/>
      </c>
      <c r="C57" s="10" t="str">
        <f>IFERROR(VLOOKUP(A57,'Incident Intake'!$A:$G,7,FALSE())&amp;" "&amp;VLOOKUP(A57,'Incident Intake'!$A:$F,6,FALSE()),"")</f>
        <v/>
      </c>
      <c r="D57" s="10" t="str">
        <f>IFERROR(VLOOKUP(A57,'Incident Intake'!$A:$J,10,FALSE()),"")</f>
        <v/>
      </c>
      <c r="E57" s="4"/>
      <c r="F57" s="4"/>
      <c r="G57" s="8"/>
      <c r="H57" s="8"/>
      <c r="I57" s="11" t="str">
        <f t="shared" si="4"/>
        <v/>
      </c>
      <c r="J57" s="4"/>
      <c r="K57" s="8"/>
      <c r="L57" s="4"/>
      <c r="M57" s="39" t="str">
        <f t="shared" si="5"/>
        <v/>
      </c>
      <c r="N57" s="4"/>
      <c r="O57" s="8"/>
      <c r="P57" s="4"/>
      <c r="Q57" s="39" t="str">
        <f t="shared" si="6"/>
        <v/>
      </c>
      <c r="R57" s="4"/>
      <c r="S57" s="8"/>
      <c r="T57" s="10" t="str">
        <f t="shared" si="7"/>
        <v/>
      </c>
      <c r="U57" s="4"/>
      <c r="V57" s="4"/>
    </row>
    <row r="58" spans="1:22" ht="18" customHeight="1" x14ac:dyDescent="0.45">
      <c r="A58" s="6"/>
      <c r="B58" s="39" t="str">
        <f>IFERROR(VLOOKUP(A58,'Incident Intake'!$A:$B,2,FALSE()),"")</f>
        <v/>
      </c>
      <c r="C58" s="10" t="str">
        <f>IFERROR(VLOOKUP(A58,'Incident Intake'!$A:$G,7,FALSE())&amp;" "&amp;VLOOKUP(A58,'Incident Intake'!$A:$F,6,FALSE()),"")</f>
        <v/>
      </c>
      <c r="D58" s="10" t="str">
        <f>IFERROR(VLOOKUP(A58,'Incident Intake'!$A:$J,10,FALSE()),"")</f>
        <v/>
      </c>
      <c r="E58" s="6"/>
      <c r="F58" s="6"/>
      <c r="G58" s="12"/>
      <c r="H58" s="12"/>
      <c r="I58" s="11" t="str">
        <f t="shared" si="4"/>
        <v/>
      </c>
      <c r="J58" s="6"/>
      <c r="K58" s="12"/>
      <c r="L58" s="6"/>
      <c r="M58" s="39" t="str">
        <f t="shared" si="5"/>
        <v/>
      </c>
      <c r="N58" s="6"/>
      <c r="O58" s="12"/>
      <c r="P58" s="6"/>
      <c r="Q58" s="39" t="str">
        <f t="shared" si="6"/>
        <v/>
      </c>
      <c r="R58" s="6"/>
      <c r="S58" s="12"/>
      <c r="T58" s="10" t="str">
        <f t="shared" si="7"/>
        <v/>
      </c>
      <c r="U58" s="6"/>
      <c r="V58" s="6"/>
    </row>
    <row r="59" spans="1:22" ht="18" customHeight="1" x14ac:dyDescent="0.45">
      <c r="A59" s="4"/>
      <c r="B59" s="39" t="str">
        <f>IFERROR(VLOOKUP(A59,'Incident Intake'!$A:$B,2,FALSE()),"")</f>
        <v/>
      </c>
      <c r="C59" s="10" t="str">
        <f>IFERROR(VLOOKUP(A59,'Incident Intake'!$A:$G,7,FALSE())&amp;" "&amp;VLOOKUP(A59,'Incident Intake'!$A:$F,6,FALSE()),"")</f>
        <v/>
      </c>
      <c r="D59" s="10" t="str">
        <f>IFERROR(VLOOKUP(A59,'Incident Intake'!$A:$J,10,FALSE()),"")</f>
        <v/>
      </c>
      <c r="E59" s="4"/>
      <c r="F59" s="4"/>
      <c r="G59" s="8"/>
      <c r="H59" s="8"/>
      <c r="I59" s="11" t="str">
        <f t="shared" si="4"/>
        <v/>
      </c>
      <c r="J59" s="4"/>
      <c r="K59" s="8"/>
      <c r="L59" s="4"/>
      <c r="M59" s="39" t="str">
        <f t="shared" si="5"/>
        <v/>
      </c>
      <c r="N59" s="4"/>
      <c r="O59" s="8"/>
      <c r="P59" s="4"/>
      <c r="Q59" s="39" t="str">
        <f t="shared" si="6"/>
        <v/>
      </c>
      <c r="R59" s="4"/>
      <c r="S59" s="8"/>
      <c r="T59" s="10" t="str">
        <f t="shared" si="7"/>
        <v/>
      </c>
      <c r="U59" s="4"/>
      <c r="V59" s="4"/>
    </row>
    <row r="60" spans="1:22" ht="18" customHeight="1" x14ac:dyDescent="0.45">
      <c r="A60" s="6"/>
      <c r="B60" s="39" t="str">
        <f>IFERROR(VLOOKUP(A60,'Incident Intake'!$A:$B,2,FALSE()),"")</f>
        <v/>
      </c>
      <c r="C60" s="10" t="str">
        <f>IFERROR(VLOOKUP(A60,'Incident Intake'!$A:$G,7,FALSE())&amp;" "&amp;VLOOKUP(A60,'Incident Intake'!$A:$F,6,FALSE()),"")</f>
        <v/>
      </c>
      <c r="D60" s="10" t="str">
        <f>IFERROR(VLOOKUP(A60,'Incident Intake'!$A:$J,10,FALSE()),"")</f>
        <v/>
      </c>
      <c r="E60" s="6"/>
      <c r="F60" s="6"/>
      <c r="G60" s="12"/>
      <c r="H60" s="12"/>
      <c r="I60" s="11" t="str">
        <f t="shared" si="4"/>
        <v/>
      </c>
      <c r="J60" s="6"/>
      <c r="K60" s="12"/>
      <c r="L60" s="6"/>
      <c r="M60" s="39" t="str">
        <f t="shared" si="5"/>
        <v/>
      </c>
      <c r="N60" s="6"/>
      <c r="O60" s="12"/>
      <c r="P60" s="6"/>
      <c r="Q60" s="39" t="str">
        <f t="shared" si="6"/>
        <v/>
      </c>
      <c r="R60" s="6"/>
      <c r="S60" s="12"/>
      <c r="T60" s="10" t="str">
        <f t="shared" si="7"/>
        <v/>
      </c>
      <c r="U60" s="6"/>
      <c r="V60" s="6"/>
    </row>
    <row r="61" spans="1:22" ht="18" customHeight="1" x14ac:dyDescent="0.45">
      <c r="A61" s="4"/>
      <c r="B61" s="39" t="str">
        <f>IFERROR(VLOOKUP(A61,'Incident Intake'!$A:$B,2,FALSE()),"")</f>
        <v/>
      </c>
      <c r="C61" s="10" t="str">
        <f>IFERROR(VLOOKUP(A61,'Incident Intake'!$A:$G,7,FALSE())&amp;" "&amp;VLOOKUP(A61,'Incident Intake'!$A:$F,6,FALSE()),"")</f>
        <v/>
      </c>
      <c r="D61" s="10" t="str">
        <f>IFERROR(VLOOKUP(A61,'Incident Intake'!$A:$J,10,FALSE()),"")</f>
        <v/>
      </c>
      <c r="E61" s="4"/>
      <c r="F61" s="4"/>
      <c r="G61" s="8"/>
      <c r="H61" s="8"/>
      <c r="I61" s="11" t="str">
        <f t="shared" si="4"/>
        <v/>
      </c>
      <c r="J61" s="4"/>
      <c r="K61" s="8"/>
      <c r="L61" s="4"/>
      <c r="M61" s="39" t="str">
        <f t="shared" si="5"/>
        <v/>
      </c>
      <c r="N61" s="4"/>
      <c r="O61" s="8"/>
      <c r="P61" s="4"/>
      <c r="Q61" s="39" t="str">
        <f t="shared" si="6"/>
        <v/>
      </c>
      <c r="R61" s="4"/>
      <c r="S61" s="8"/>
      <c r="T61" s="10" t="str">
        <f t="shared" si="7"/>
        <v/>
      </c>
      <c r="U61" s="4"/>
      <c r="V61" s="4"/>
    </row>
    <row r="62" spans="1:22" ht="18" customHeight="1" x14ac:dyDescent="0.45">
      <c r="A62" s="6"/>
      <c r="B62" s="39" t="str">
        <f>IFERROR(VLOOKUP(A62,'Incident Intake'!$A:$B,2,FALSE()),"")</f>
        <v/>
      </c>
      <c r="C62" s="10" t="str">
        <f>IFERROR(VLOOKUP(A62,'Incident Intake'!$A:$G,7,FALSE())&amp;" "&amp;VLOOKUP(A62,'Incident Intake'!$A:$F,6,FALSE()),"")</f>
        <v/>
      </c>
      <c r="D62" s="10" t="str">
        <f>IFERROR(VLOOKUP(A62,'Incident Intake'!$A:$J,10,FALSE()),"")</f>
        <v/>
      </c>
      <c r="E62" s="6"/>
      <c r="F62" s="6"/>
      <c r="G62" s="12"/>
      <c r="H62" s="12"/>
      <c r="I62" s="11" t="str">
        <f t="shared" si="4"/>
        <v/>
      </c>
      <c r="J62" s="6"/>
      <c r="K62" s="12"/>
      <c r="L62" s="6"/>
      <c r="M62" s="39" t="str">
        <f t="shared" si="5"/>
        <v/>
      </c>
      <c r="N62" s="6"/>
      <c r="O62" s="12"/>
      <c r="P62" s="6"/>
      <c r="Q62" s="39" t="str">
        <f t="shared" si="6"/>
        <v/>
      </c>
      <c r="R62" s="6"/>
      <c r="S62" s="12"/>
      <c r="T62" s="10" t="str">
        <f t="shared" si="7"/>
        <v/>
      </c>
      <c r="U62" s="6"/>
      <c r="V62" s="6"/>
    </row>
    <row r="63" spans="1:22" ht="18" customHeight="1" x14ac:dyDescent="0.45">
      <c r="A63" s="4"/>
      <c r="B63" s="39" t="str">
        <f>IFERROR(VLOOKUP(A63,'Incident Intake'!$A:$B,2,FALSE()),"")</f>
        <v/>
      </c>
      <c r="C63" s="10" t="str">
        <f>IFERROR(VLOOKUP(A63,'Incident Intake'!$A:$G,7,FALSE())&amp;" "&amp;VLOOKUP(A63,'Incident Intake'!$A:$F,6,FALSE()),"")</f>
        <v/>
      </c>
      <c r="D63" s="10" t="str">
        <f>IFERROR(VLOOKUP(A63,'Incident Intake'!$A:$J,10,FALSE()),"")</f>
        <v/>
      </c>
      <c r="E63" s="4"/>
      <c r="F63" s="4"/>
      <c r="G63" s="8"/>
      <c r="H63" s="8"/>
      <c r="I63" s="11" t="str">
        <f t="shared" si="4"/>
        <v/>
      </c>
      <c r="J63" s="4"/>
      <c r="K63" s="8"/>
      <c r="L63" s="4"/>
      <c r="M63" s="39" t="str">
        <f t="shared" si="5"/>
        <v/>
      </c>
      <c r="N63" s="4"/>
      <c r="O63" s="8"/>
      <c r="P63" s="4"/>
      <c r="Q63" s="39" t="str">
        <f t="shared" si="6"/>
        <v/>
      </c>
      <c r="R63" s="4"/>
      <c r="S63" s="8"/>
      <c r="T63" s="10" t="str">
        <f t="shared" si="7"/>
        <v/>
      </c>
      <c r="U63" s="4"/>
      <c r="V63" s="4"/>
    </row>
    <row r="64" spans="1:22" ht="18" customHeight="1" x14ac:dyDescent="0.45">
      <c r="A64" s="6"/>
      <c r="B64" s="39" t="str">
        <f>IFERROR(VLOOKUP(A64,'Incident Intake'!$A:$B,2,FALSE()),"")</f>
        <v/>
      </c>
      <c r="C64" s="10" t="str">
        <f>IFERROR(VLOOKUP(A64,'Incident Intake'!$A:$G,7,FALSE())&amp;" "&amp;VLOOKUP(A64,'Incident Intake'!$A:$F,6,FALSE()),"")</f>
        <v/>
      </c>
      <c r="D64" s="10" t="str">
        <f>IFERROR(VLOOKUP(A64,'Incident Intake'!$A:$J,10,FALSE()),"")</f>
        <v/>
      </c>
      <c r="E64" s="6"/>
      <c r="F64" s="6"/>
      <c r="G64" s="12"/>
      <c r="H64" s="12"/>
      <c r="I64" s="11" t="str">
        <f t="shared" si="4"/>
        <v/>
      </c>
      <c r="J64" s="6"/>
      <c r="K64" s="12"/>
      <c r="L64" s="6"/>
      <c r="M64" s="39" t="str">
        <f t="shared" si="5"/>
        <v/>
      </c>
      <c r="N64" s="6"/>
      <c r="O64" s="12"/>
      <c r="P64" s="6"/>
      <c r="Q64" s="39" t="str">
        <f t="shared" si="6"/>
        <v/>
      </c>
      <c r="R64" s="6"/>
      <c r="S64" s="12"/>
      <c r="T64" s="10" t="str">
        <f t="shared" si="7"/>
        <v/>
      </c>
      <c r="U64" s="6"/>
      <c r="V64" s="6"/>
    </row>
    <row r="65" spans="1:22" ht="18" customHeight="1" x14ac:dyDescent="0.45">
      <c r="A65" s="4"/>
      <c r="B65" s="39" t="str">
        <f>IFERROR(VLOOKUP(A65,'Incident Intake'!$A:$B,2,FALSE()),"")</f>
        <v/>
      </c>
      <c r="C65" s="10" t="str">
        <f>IFERROR(VLOOKUP(A65,'Incident Intake'!$A:$G,7,FALSE())&amp;" "&amp;VLOOKUP(A65,'Incident Intake'!$A:$F,6,FALSE()),"")</f>
        <v/>
      </c>
      <c r="D65" s="10" t="str">
        <f>IFERROR(VLOOKUP(A65,'Incident Intake'!$A:$J,10,FALSE()),"")</f>
        <v/>
      </c>
      <c r="E65" s="4"/>
      <c r="F65" s="4"/>
      <c r="G65" s="8"/>
      <c r="H65" s="8"/>
      <c r="I65" s="11" t="str">
        <f t="shared" si="4"/>
        <v/>
      </c>
      <c r="J65" s="4"/>
      <c r="K65" s="8"/>
      <c r="L65" s="4"/>
      <c r="M65" s="39" t="str">
        <f t="shared" si="5"/>
        <v/>
      </c>
      <c r="N65" s="4"/>
      <c r="O65" s="8"/>
      <c r="P65" s="4"/>
      <c r="Q65" s="39" t="str">
        <f t="shared" si="6"/>
        <v/>
      </c>
      <c r="R65" s="4"/>
      <c r="S65" s="8"/>
      <c r="T65" s="10" t="str">
        <f t="shared" si="7"/>
        <v/>
      </c>
      <c r="U65" s="4"/>
      <c r="V65" s="4"/>
    </row>
    <row r="66" spans="1:22" ht="18" customHeight="1" x14ac:dyDescent="0.45">
      <c r="A66" s="6"/>
      <c r="B66" s="39" t="str">
        <f>IFERROR(VLOOKUP(A66,'Incident Intake'!$A:$B,2,FALSE()),"")</f>
        <v/>
      </c>
      <c r="C66" s="10" t="str">
        <f>IFERROR(VLOOKUP(A66,'Incident Intake'!$A:$G,7,FALSE())&amp;" "&amp;VLOOKUP(A66,'Incident Intake'!$A:$F,6,FALSE()),"")</f>
        <v/>
      </c>
      <c r="D66" s="10" t="str">
        <f>IFERROR(VLOOKUP(A66,'Incident Intake'!$A:$J,10,FALSE()),"")</f>
        <v/>
      </c>
      <c r="E66" s="6"/>
      <c r="F66" s="6"/>
      <c r="G66" s="12"/>
      <c r="H66" s="12"/>
      <c r="I66" s="11" t="str">
        <f t="shared" si="4"/>
        <v/>
      </c>
      <c r="J66" s="6"/>
      <c r="K66" s="12"/>
      <c r="L66" s="6"/>
      <c r="M66" s="39" t="str">
        <f t="shared" si="5"/>
        <v/>
      </c>
      <c r="N66" s="6"/>
      <c r="O66" s="12"/>
      <c r="P66" s="6"/>
      <c r="Q66" s="39" t="str">
        <f t="shared" si="6"/>
        <v/>
      </c>
      <c r="R66" s="6"/>
      <c r="S66" s="12"/>
      <c r="T66" s="10" t="str">
        <f t="shared" si="7"/>
        <v/>
      </c>
      <c r="U66" s="6"/>
      <c r="V66" s="6"/>
    </row>
    <row r="67" spans="1:22" ht="18" customHeight="1" x14ac:dyDescent="0.45">
      <c r="A67" s="4"/>
      <c r="B67" s="39" t="str">
        <f>IFERROR(VLOOKUP(A67,'Incident Intake'!$A:$B,2,FALSE()),"")</f>
        <v/>
      </c>
      <c r="C67" s="10" t="str">
        <f>IFERROR(VLOOKUP(A67,'Incident Intake'!$A:$G,7,FALSE())&amp;" "&amp;VLOOKUP(A67,'Incident Intake'!$A:$F,6,FALSE()),"")</f>
        <v/>
      </c>
      <c r="D67" s="10" t="str">
        <f>IFERROR(VLOOKUP(A67,'Incident Intake'!$A:$J,10,FALSE()),"")</f>
        <v/>
      </c>
      <c r="E67" s="4"/>
      <c r="F67" s="4"/>
      <c r="G67" s="8"/>
      <c r="H67" s="8"/>
      <c r="I67" s="11" t="str">
        <f t="shared" si="4"/>
        <v/>
      </c>
      <c r="J67" s="4"/>
      <c r="K67" s="8"/>
      <c r="L67" s="4"/>
      <c r="M67" s="39" t="str">
        <f t="shared" si="5"/>
        <v/>
      </c>
      <c r="N67" s="4"/>
      <c r="O67" s="8"/>
      <c r="P67" s="4"/>
      <c r="Q67" s="39" t="str">
        <f t="shared" si="6"/>
        <v/>
      </c>
      <c r="R67" s="4"/>
      <c r="S67" s="8"/>
      <c r="T67" s="10" t="str">
        <f t="shared" si="7"/>
        <v/>
      </c>
      <c r="U67" s="4"/>
      <c r="V67" s="4"/>
    </row>
    <row r="68" spans="1:22" ht="18" customHeight="1" x14ac:dyDescent="0.45">
      <c r="A68" s="6"/>
      <c r="B68" s="39" t="str">
        <f>IFERROR(VLOOKUP(A68,'Incident Intake'!$A:$B,2,FALSE()),"")</f>
        <v/>
      </c>
      <c r="C68" s="10" t="str">
        <f>IFERROR(VLOOKUP(A68,'Incident Intake'!$A:$G,7,FALSE())&amp;" "&amp;VLOOKUP(A68,'Incident Intake'!$A:$F,6,FALSE()),"")</f>
        <v/>
      </c>
      <c r="D68" s="10" t="str">
        <f>IFERROR(VLOOKUP(A68,'Incident Intake'!$A:$J,10,FALSE()),"")</f>
        <v/>
      </c>
      <c r="E68" s="6"/>
      <c r="F68" s="6"/>
      <c r="G68" s="12"/>
      <c r="H68" s="12"/>
      <c r="I68" s="11" t="str">
        <f t="shared" si="4"/>
        <v/>
      </c>
      <c r="J68" s="6"/>
      <c r="K68" s="12"/>
      <c r="L68" s="6"/>
      <c r="M68" s="39" t="str">
        <f t="shared" si="5"/>
        <v/>
      </c>
      <c r="N68" s="6"/>
      <c r="O68" s="12"/>
      <c r="P68" s="6"/>
      <c r="Q68" s="39" t="str">
        <f t="shared" si="6"/>
        <v/>
      </c>
      <c r="R68" s="6"/>
      <c r="S68" s="12"/>
      <c r="T68" s="10" t="str">
        <f t="shared" si="7"/>
        <v/>
      </c>
      <c r="U68" s="6"/>
      <c r="V68" s="6"/>
    </row>
    <row r="69" spans="1:22" ht="18" customHeight="1" x14ac:dyDescent="0.45">
      <c r="A69" s="4"/>
      <c r="B69" s="39" t="str">
        <f>IFERROR(VLOOKUP(A69,'Incident Intake'!$A:$B,2,FALSE()),"")</f>
        <v/>
      </c>
      <c r="C69" s="10" t="str">
        <f>IFERROR(VLOOKUP(A69,'Incident Intake'!$A:$G,7,FALSE())&amp;" "&amp;VLOOKUP(A69,'Incident Intake'!$A:$F,6,FALSE()),"")</f>
        <v/>
      </c>
      <c r="D69" s="10" t="str">
        <f>IFERROR(VLOOKUP(A69,'Incident Intake'!$A:$J,10,FALSE()),"")</f>
        <v/>
      </c>
      <c r="E69" s="4"/>
      <c r="F69" s="4"/>
      <c r="G69" s="8"/>
      <c r="H69" s="8"/>
      <c r="I69" s="11" t="str">
        <f t="shared" ref="I69:I100" si="8">IF(OR(G69="",H69=""),"",H69-G69+1)</f>
        <v/>
      </c>
      <c r="J69" s="4"/>
      <c r="K69" s="8"/>
      <c r="L69" s="4"/>
      <c r="M69" s="39" t="str">
        <f t="shared" ref="M69:M100" si="9">IF(G69="","",G69+21)</f>
        <v/>
      </c>
      <c r="N69" s="4"/>
      <c r="O69" s="8"/>
      <c r="P69" s="4"/>
      <c r="Q69" s="39" t="str">
        <f t="shared" ref="Q69:Q100" si="10">IF(OR(N69&lt;&gt;"Yes",O69=""),"",O69+21)</f>
        <v/>
      </c>
      <c r="R69" s="4"/>
      <c r="S69" s="8"/>
      <c r="T69" s="10" t="str">
        <f t="shared" ref="T69:T100" si="11">IF(A69="","",IF(P69="Resolved — Overturned","OVERTURNED",IF(P69="Resolved — Modified","MODIFIED",IF(P69="Resolved — Upheld","UPHELD — CLOSED",IF(N69="Yes","APPEAL ACTIVE","CLOSED — NO APPEAL")))))</f>
        <v/>
      </c>
      <c r="U69" s="4"/>
      <c r="V69" s="4"/>
    </row>
    <row r="70" spans="1:22" ht="18" customHeight="1" x14ac:dyDescent="0.45">
      <c r="A70" s="6"/>
      <c r="B70" s="39" t="str">
        <f>IFERROR(VLOOKUP(A70,'Incident Intake'!$A:$B,2,FALSE()),"")</f>
        <v/>
      </c>
      <c r="C70" s="10" t="str">
        <f>IFERROR(VLOOKUP(A70,'Incident Intake'!$A:$G,7,FALSE())&amp;" "&amp;VLOOKUP(A70,'Incident Intake'!$A:$F,6,FALSE()),"")</f>
        <v/>
      </c>
      <c r="D70" s="10" t="str">
        <f>IFERROR(VLOOKUP(A70,'Incident Intake'!$A:$J,10,FALSE()),"")</f>
        <v/>
      </c>
      <c r="E70" s="6"/>
      <c r="F70" s="6"/>
      <c r="G70" s="12"/>
      <c r="H70" s="12"/>
      <c r="I70" s="11" t="str">
        <f t="shared" si="8"/>
        <v/>
      </c>
      <c r="J70" s="6"/>
      <c r="K70" s="12"/>
      <c r="L70" s="6"/>
      <c r="M70" s="39" t="str">
        <f t="shared" si="9"/>
        <v/>
      </c>
      <c r="N70" s="6"/>
      <c r="O70" s="12"/>
      <c r="P70" s="6"/>
      <c r="Q70" s="39" t="str">
        <f t="shared" si="10"/>
        <v/>
      </c>
      <c r="R70" s="6"/>
      <c r="S70" s="12"/>
      <c r="T70" s="10" t="str">
        <f t="shared" si="11"/>
        <v/>
      </c>
      <c r="U70" s="6"/>
      <c r="V70" s="6"/>
    </row>
    <row r="71" spans="1:22" ht="18" customHeight="1" x14ac:dyDescent="0.45">
      <c r="A71" s="4"/>
      <c r="B71" s="39" t="str">
        <f>IFERROR(VLOOKUP(A71,'Incident Intake'!$A:$B,2,FALSE()),"")</f>
        <v/>
      </c>
      <c r="C71" s="10" t="str">
        <f>IFERROR(VLOOKUP(A71,'Incident Intake'!$A:$G,7,FALSE())&amp;" "&amp;VLOOKUP(A71,'Incident Intake'!$A:$F,6,FALSE()),"")</f>
        <v/>
      </c>
      <c r="D71" s="10" t="str">
        <f>IFERROR(VLOOKUP(A71,'Incident Intake'!$A:$J,10,FALSE()),"")</f>
        <v/>
      </c>
      <c r="E71" s="4"/>
      <c r="F71" s="4"/>
      <c r="G71" s="8"/>
      <c r="H71" s="8"/>
      <c r="I71" s="11" t="str">
        <f t="shared" si="8"/>
        <v/>
      </c>
      <c r="J71" s="4"/>
      <c r="K71" s="8"/>
      <c r="L71" s="4"/>
      <c r="M71" s="39" t="str">
        <f t="shared" si="9"/>
        <v/>
      </c>
      <c r="N71" s="4"/>
      <c r="O71" s="8"/>
      <c r="P71" s="4"/>
      <c r="Q71" s="39" t="str">
        <f t="shared" si="10"/>
        <v/>
      </c>
      <c r="R71" s="4"/>
      <c r="S71" s="8"/>
      <c r="T71" s="10" t="str">
        <f t="shared" si="11"/>
        <v/>
      </c>
      <c r="U71" s="4"/>
      <c r="V71" s="4"/>
    </row>
    <row r="72" spans="1:22" ht="18" customHeight="1" x14ac:dyDescent="0.45">
      <c r="A72" s="6"/>
      <c r="B72" s="39" t="str">
        <f>IFERROR(VLOOKUP(A72,'Incident Intake'!$A:$B,2,FALSE()),"")</f>
        <v/>
      </c>
      <c r="C72" s="10" t="str">
        <f>IFERROR(VLOOKUP(A72,'Incident Intake'!$A:$G,7,FALSE())&amp;" "&amp;VLOOKUP(A72,'Incident Intake'!$A:$F,6,FALSE()),"")</f>
        <v/>
      </c>
      <c r="D72" s="10" t="str">
        <f>IFERROR(VLOOKUP(A72,'Incident Intake'!$A:$J,10,FALSE()),"")</f>
        <v/>
      </c>
      <c r="E72" s="6"/>
      <c r="F72" s="6"/>
      <c r="G72" s="12"/>
      <c r="H72" s="12"/>
      <c r="I72" s="11" t="str">
        <f t="shared" si="8"/>
        <v/>
      </c>
      <c r="J72" s="6"/>
      <c r="K72" s="12"/>
      <c r="L72" s="6"/>
      <c r="M72" s="39" t="str">
        <f t="shared" si="9"/>
        <v/>
      </c>
      <c r="N72" s="6"/>
      <c r="O72" s="12"/>
      <c r="P72" s="6"/>
      <c r="Q72" s="39" t="str">
        <f t="shared" si="10"/>
        <v/>
      </c>
      <c r="R72" s="6"/>
      <c r="S72" s="12"/>
      <c r="T72" s="10" t="str">
        <f t="shared" si="11"/>
        <v/>
      </c>
      <c r="U72" s="6"/>
      <c r="V72" s="6"/>
    </row>
    <row r="73" spans="1:22" ht="18" customHeight="1" x14ac:dyDescent="0.45">
      <c r="A73" s="4"/>
      <c r="B73" s="39" t="str">
        <f>IFERROR(VLOOKUP(A73,'Incident Intake'!$A:$B,2,FALSE()),"")</f>
        <v/>
      </c>
      <c r="C73" s="10" t="str">
        <f>IFERROR(VLOOKUP(A73,'Incident Intake'!$A:$G,7,FALSE())&amp;" "&amp;VLOOKUP(A73,'Incident Intake'!$A:$F,6,FALSE()),"")</f>
        <v/>
      </c>
      <c r="D73" s="10" t="str">
        <f>IFERROR(VLOOKUP(A73,'Incident Intake'!$A:$J,10,FALSE()),"")</f>
        <v/>
      </c>
      <c r="E73" s="4"/>
      <c r="F73" s="4"/>
      <c r="G73" s="8"/>
      <c r="H73" s="8"/>
      <c r="I73" s="11" t="str">
        <f t="shared" si="8"/>
        <v/>
      </c>
      <c r="J73" s="4"/>
      <c r="K73" s="8"/>
      <c r="L73" s="4"/>
      <c r="M73" s="39" t="str">
        <f t="shared" si="9"/>
        <v/>
      </c>
      <c r="N73" s="4"/>
      <c r="O73" s="8"/>
      <c r="P73" s="4"/>
      <c r="Q73" s="39" t="str">
        <f t="shared" si="10"/>
        <v/>
      </c>
      <c r="R73" s="4"/>
      <c r="S73" s="8"/>
      <c r="T73" s="10" t="str">
        <f t="shared" si="11"/>
        <v/>
      </c>
      <c r="U73" s="4"/>
      <c r="V73" s="4"/>
    </row>
    <row r="74" spans="1:22" ht="18" customHeight="1" x14ac:dyDescent="0.45">
      <c r="A74" s="6"/>
      <c r="B74" s="39" t="str">
        <f>IFERROR(VLOOKUP(A74,'Incident Intake'!$A:$B,2,FALSE()),"")</f>
        <v/>
      </c>
      <c r="C74" s="10" t="str">
        <f>IFERROR(VLOOKUP(A74,'Incident Intake'!$A:$G,7,FALSE())&amp;" "&amp;VLOOKUP(A74,'Incident Intake'!$A:$F,6,FALSE()),"")</f>
        <v/>
      </c>
      <c r="D74" s="10" t="str">
        <f>IFERROR(VLOOKUP(A74,'Incident Intake'!$A:$J,10,FALSE()),"")</f>
        <v/>
      </c>
      <c r="E74" s="6"/>
      <c r="F74" s="6"/>
      <c r="G74" s="12"/>
      <c r="H74" s="12"/>
      <c r="I74" s="11" t="str">
        <f t="shared" si="8"/>
        <v/>
      </c>
      <c r="J74" s="6"/>
      <c r="K74" s="12"/>
      <c r="L74" s="6"/>
      <c r="M74" s="39" t="str">
        <f t="shared" si="9"/>
        <v/>
      </c>
      <c r="N74" s="6"/>
      <c r="O74" s="12"/>
      <c r="P74" s="6"/>
      <c r="Q74" s="39" t="str">
        <f t="shared" si="10"/>
        <v/>
      </c>
      <c r="R74" s="6"/>
      <c r="S74" s="12"/>
      <c r="T74" s="10" t="str">
        <f t="shared" si="11"/>
        <v/>
      </c>
      <c r="U74" s="6"/>
      <c r="V74" s="6"/>
    </row>
    <row r="75" spans="1:22" ht="18" customHeight="1" x14ac:dyDescent="0.45">
      <c r="A75" s="4"/>
      <c r="B75" s="39" t="str">
        <f>IFERROR(VLOOKUP(A75,'Incident Intake'!$A:$B,2,FALSE()),"")</f>
        <v/>
      </c>
      <c r="C75" s="10" t="str">
        <f>IFERROR(VLOOKUP(A75,'Incident Intake'!$A:$G,7,FALSE())&amp;" "&amp;VLOOKUP(A75,'Incident Intake'!$A:$F,6,FALSE()),"")</f>
        <v/>
      </c>
      <c r="D75" s="10" t="str">
        <f>IFERROR(VLOOKUP(A75,'Incident Intake'!$A:$J,10,FALSE()),"")</f>
        <v/>
      </c>
      <c r="E75" s="4"/>
      <c r="F75" s="4"/>
      <c r="G75" s="8"/>
      <c r="H75" s="8"/>
      <c r="I75" s="11" t="str">
        <f t="shared" si="8"/>
        <v/>
      </c>
      <c r="J75" s="4"/>
      <c r="K75" s="8"/>
      <c r="L75" s="4"/>
      <c r="M75" s="39" t="str">
        <f t="shared" si="9"/>
        <v/>
      </c>
      <c r="N75" s="4"/>
      <c r="O75" s="8"/>
      <c r="P75" s="4"/>
      <c r="Q75" s="39" t="str">
        <f t="shared" si="10"/>
        <v/>
      </c>
      <c r="R75" s="4"/>
      <c r="S75" s="8"/>
      <c r="T75" s="10" t="str">
        <f t="shared" si="11"/>
        <v/>
      </c>
      <c r="U75" s="4"/>
      <c r="V75" s="4"/>
    </row>
    <row r="76" spans="1:22" ht="18" customHeight="1" x14ac:dyDescent="0.45">
      <c r="A76" s="6"/>
      <c r="B76" s="39" t="str">
        <f>IFERROR(VLOOKUP(A76,'Incident Intake'!$A:$B,2,FALSE()),"")</f>
        <v/>
      </c>
      <c r="C76" s="10" t="str">
        <f>IFERROR(VLOOKUP(A76,'Incident Intake'!$A:$G,7,FALSE())&amp;" "&amp;VLOOKUP(A76,'Incident Intake'!$A:$F,6,FALSE()),"")</f>
        <v/>
      </c>
      <c r="D76" s="10" t="str">
        <f>IFERROR(VLOOKUP(A76,'Incident Intake'!$A:$J,10,FALSE()),"")</f>
        <v/>
      </c>
      <c r="E76" s="6"/>
      <c r="F76" s="6"/>
      <c r="G76" s="12"/>
      <c r="H76" s="12"/>
      <c r="I76" s="11" t="str">
        <f t="shared" si="8"/>
        <v/>
      </c>
      <c r="J76" s="6"/>
      <c r="K76" s="12"/>
      <c r="L76" s="6"/>
      <c r="M76" s="39" t="str">
        <f t="shared" si="9"/>
        <v/>
      </c>
      <c r="N76" s="6"/>
      <c r="O76" s="12"/>
      <c r="P76" s="6"/>
      <c r="Q76" s="39" t="str">
        <f t="shared" si="10"/>
        <v/>
      </c>
      <c r="R76" s="6"/>
      <c r="S76" s="12"/>
      <c r="T76" s="10" t="str">
        <f t="shared" si="11"/>
        <v/>
      </c>
      <c r="U76" s="6"/>
      <c r="V76" s="6"/>
    </row>
    <row r="77" spans="1:22" ht="18" customHeight="1" x14ac:dyDescent="0.45">
      <c r="A77" s="4"/>
      <c r="B77" s="39" t="str">
        <f>IFERROR(VLOOKUP(A77,'Incident Intake'!$A:$B,2,FALSE()),"")</f>
        <v/>
      </c>
      <c r="C77" s="10" t="str">
        <f>IFERROR(VLOOKUP(A77,'Incident Intake'!$A:$G,7,FALSE())&amp;" "&amp;VLOOKUP(A77,'Incident Intake'!$A:$F,6,FALSE()),"")</f>
        <v/>
      </c>
      <c r="D77" s="10" t="str">
        <f>IFERROR(VLOOKUP(A77,'Incident Intake'!$A:$J,10,FALSE()),"")</f>
        <v/>
      </c>
      <c r="E77" s="4"/>
      <c r="F77" s="4"/>
      <c r="G77" s="8"/>
      <c r="H77" s="8"/>
      <c r="I77" s="11" t="str">
        <f t="shared" si="8"/>
        <v/>
      </c>
      <c r="J77" s="4"/>
      <c r="K77" s="8"/>
      <c r="L77" s="4"/>
      <c r="M77" s="39" t="str">
        <f t="shared" si="9"/>
        <v/>
      </c>
      <c r="N77" s="4"/>
      <c r="O77" s="8"/>
      <c r="P77" s="4"/>
      <c r="Q77" s="39" t="str">
        <f t="shared" si="10"/>
        <v/>
      </c>
      <c r="R77" s="4"/>
      <c r="S77" s="8"/>
      <c r="T77" s="10" t="str">
        <f t="shared" si="11"/>
        <v/>
      </c>
      <c r="U77" s="4"/>
      <c r="V77" s="4"/>
    </row>
    <row r="78" spans="1:22" ht="18" customHeight="1" x14ac:dyDescent="0.45">
      <c r="A78" s="6"/>
      <c r="B78" s="39" t="str">
        <f>IFERROR(VLOOKUP(A78,'Incident Intake'!$A:$B,2,FALSE()),"")</f>
        <v/>
      </c>
      <c r="C78" s="10" t="str">
        <f>IFERROR(VLOOKUP(A78,'Incident Intake'!$A:$G,7,FALSE())&amp;" "&amp;VLOOKUP(A78,'Incident Intake'!$A:$F,6,FALSE()),"")</f>
        <v/>
      </c>
      <c r="D78" s="10" t="str">
        <f>IFERROR(VLOOKUP(A78,'Incident Intake'!$A:$J,10,FALSE()),"")</f>
        <v/>
      </c>
      <c r="E78" s="6"/>
      <c r="F78" s="6"/>
      <c r="G78" s="12"/>
      <c r="H78" s="12"/>
      <c r="I78" s="11" t="str">
        <f t="shared" si="8"/>
        <v/>
      </c>
      <c r="J78" s="6"/>
      <c r="K78" s="12"/>
      <c r="L78" s="6"/>
      <c r="M78" s="39" t="str">
        <f t="shared" si="9"/>
        <v/>
      </c>
      <c r="N78" s="6"/>
      <c r="O78" s="12"/>
      <c r="P78" s="6"/>
      <c r="Q78" s="39" t="str">
        <f t="shared" si="10"/>
        <v/>
      </c>
      <c r="R78" s="6"/>
      <c r="S78" s="12"/>
      <c r="T78" s="10" t="str">
        <f t="shared" si="11"/>
        <v/>
      </c>
      <c r="U78" s="6"/>
      <c r="V78" s="6"/>
    </row>
    <row r="79" spans="1:22" ht="18" customHeight="1" x14ac:dyDescent="0.45">
      <c r="A79" s="4"/>
      <c r="B79" s="39" t="str">
        <f>IFERROR(VLOOKUP(A79,'Incident Intake'!$A:$B,2,FALSE()),"")</f>
        <v/>
      </c>
      <c r="C79" s="10" t="str">
        <f>IFERROR(VLOOKUP(A79,'Incident Intake'!$A:$G,7,FALSE())&amp;" "&amp;VLOOKUP(A79,'Incident Intake'!$A:$F,6,FALSE()),"")</f>
        <v/>
      </c>
      <c r="D79" s="10" t="str">
        <f>IFERROR(VLOOKUP(A79,'Incident Intake'!$A:$J,10,FALSE()),"")</f>
        <v/>
      </c>
      <c r="E79" s="4"/>
      <c r="F79" s="4"/>
      <c r="G79" s="8"/>
      <c r="H79" s="8"/>
      <c r="I79" s="11" t="str">
        <f t="shared" si="8"/>
        <v/>
      </c>
      <c r="J79" s="4"/>
      <c r="K79" s="8"/>
      <c r="L79" s="4"/>
      <c r="M79" s="39" t="str">
        <f t="shared" si="9"/>
        <v/>
      </c>
      <c r="N79" s="4"/>
      <c r="O79" s="8"/>
      <c r="P79" s="4"/>
      <c r="Q79" s="39" t="str">
        <f t="shared" si="10"/>
        <v/>
      </c>
      <c r="R79" s="4"/>
      <c r="S79" s="8"/>
      <c r="T79" s="10" t="str">
        <f t="shared" si="11"/>
        <v/>
      </c>
      <c r="U79" s="4"/>
      <c r="V79" s="4"/>
    </row>
    <row r="80" spans="1:22" ht="18" customHeight="1" x14ac:dyDescent="0.45">
      <c r="A80" s="6"/>
      <c r="B80" s="39" t="str">
        <f>IFERROR(VLOOKUP(A80,'Incident Intake'!$A:$B,2,FALSE()),"")</f>
        <v/>
      </c>
      <c r="C80" s="10" t="str">
        <f>IFERROR(VLOOKUP(A80,'Incident Intake'!$A:$G,7,FALSE())&amp;" "&amp;VLOOKUP(A80,'Incident Intake'!$A:$F,6,FALSE()),"")</f>
        <v/>
      </c>
      <c r="D80" s="10" t="str">
        <f>IFERROR(VLOOKUP(A80,'Incident Intake'!$A:$J,10,FALSE()),"")</f>
        <v/>
      </c>
      <c r="E80" s="6"/>
      <c r="F80" s="6"/>
      <c r="G80" s="12"/>
      <c r="H80" s="12"/>
      <c r="I80" s="11" t="str">
        <f t="shared" si="8"/>
        <v/>
      </c>
      <c r="J80" s="6"/>
      <c r="K80" s="12"/>
      <c r="L80" s="6"/>
      <c r="M80" s="39" t="str">
        <f t="shared" si="9"/>
        <v/>
      </c>
      <c r="N80" s="6"/>
      <c r="O80" s="12"/>
      <c r="P80" s="6"/>
      <c r="Q80" s="39" t="str">
        <f t="shared" si="10"/>
        <v/>
      </c>
      <c r="R80" s="6"/>
      <c r="S80" s="12"/>
      <c r="T80" s="10" t="str">
        <f t="shared" si="11"/>
        <v/>
      </c>
      <c r="U80" s="6"/>
      <c r="V80" s="6"/>
    </row>
    <row r="81" spans="1:22" ht="18" customHeight="1" x14ac:dyDescent="0.45">
      <c r="A81" s="4"/>
      <c r="B81" s="39" t="str">
        <f>IFERROR(VLOOKUP(A81,'Incident Intake'!$A:$B,2,FALSE()),"")</f>
        <v/>
      </c>
      <c r="C81" s="10" t="str">
        <f>IFERROR(VLOOKUP(A81,'Incident Intake'!$A:$G,7,FALSE())&amp;" "&amp;VLOOKUP(A81,'Incident Intake'!$A:$F,6,FALSE()),"")</f>
        <v/>
      </c>
      <c r="D81" s="10" t="str">
        <f>IFERROR(VLOOKUP(A81,'Incident Intake'!$A:$J,10,FALSE()),"")</f>
        <v/>
      </c>
      <c r="E81" s="4"/>
      <c r="F81" s="4"/>
      <c r="G81" s="8"/>
      <c r="H81" s="8"/>
      <c r="I81" s="11" t="str">
        <f t="shared" si="8"/>
        <v/>
      </c>
      <c r="J81" s="4"/>
      <c r="K81" s="8"/>
      <c r="L81" s="4"/>
      <c r="M81" s="39" t="str">
        <f t="shared" si="9"/>
        <v/>
      </c>
      <c r="N81" s="4"/>
      <c r="O81" s="8"/>
      <c r="P81" s="4"/>
      <c r="Q81" s="39" t="str">
        <f t="shared" si="10"/>
        <v/>
      </c>
      <c r="R81" s="4"/>
      <c r="S81" s="8"/>
      <c r="T81" s="10" t="str">
        <f t="shared" si="11"/>
        <v/>
      </c>
      <c r="U81" s="4"/>
      <c r="V81" s="4"/>
    </row>
    <row r="82" spans="1:22" ht="18" customHeight="1" x14ac:dyDescent="0.45">
      <c r="A82" s="6"/>
      <c r="B82" s="39" t="str">
        <f>IFERROR(VLOOKUP(A82,'Incident Intake'!$A:$B,2,FALSE()),"")</f>
        <v/>
      </c>
      <c r="C82" s="10" t="str">
        <f>IFERROR(VLOOKUP(A82,'Incident Intake'!$A:$G,7,FALSE())&amp;" "&amp;VLOOKUP(A82,'Incident Intake'!$A:$F,6,FALSE()),"")</f>
        <v/>
      </c>
      <c r="D82" s="10" t="str">
        <f>IFERROR(VLOOKUP(A82,'Incident Intake'!$A:$J,10,FALSE()),"")</f>
        <v/>
      </c>
      <c r="E82" s="6"/>
      <c r="F82" s="6"/>
      <c r="G82" s="12"/>
      <c r="H82" s="12"/>
      <c r="I82" s="11" t="str">
        <f t="shared" si="8"/>
        <v/>
      </c>
      <c r="J82" s="6"/>
      <c r="K82" s="12"/>
      <c r="L82" s="6"/>
      <c r="M82" s="39" t="str">
        <f t="shared" si="9"/>
        <v/>
      </c>
      <c r="N82" s="6"/>
      <c r="O82" s="12"/>
      <c r="P82" s="6"/>
      <c r="Q82" s="39" t="str">
        <f t="shared" si="10"/>
        <v/>
      </c>
      <c r="R82" s="6"/>
      <c r="S82" s="12"/>
      <c r="T82" s="10" t="str">
        <f t="shared" si="11"/>
        <v/>
      </c>
      <c r="U82" s="6"/>
      <c r="V82" s="6"/>
    </row>
    <row r="83" spans="1:22" ht="18" customHeight="1" x14ac:dyDescent="0.45">
      <c r="A83" s="4"/>
      <c r="B83" s="39" t="str">
        <f>IFERROR(VLOOKUP(A83,'Incident Intake'!$A:$B,2,FALSE()),"")</f>
        <v/>
      </c>
      <c r="C83" s="10" t="str">
        <f>IFERROR(VLOOKUP(A83,'Incident Intake'!$A:$G,7,FALSE())&amp;" "&amp;VLOOKUP(A83,'Incident Intake'!$A:$F,6,FALSE()),"")</f>
        <v/>
      </c>
      <c r="D83" s="10" t="str">
        <f>IFERROR(VLOOKUP(A83,'Incident Intake'!$A:$J,10,FALSE()),"")</f>
        <v/>
      </c>
      <c r="E83" s="4"/>
      <c r="F83" s="4"/>
      <c r="G83" s="8"/>
      <c r="H83" s="8"/>
      <c r="I83" s="11" t="str">
        <f t="shared" si="8"/>
        <v/>
      </c>
      <c r="J83" s="4"/>
      <c r="K83" s="8"/>
      <c r="L83" s="4"/>
      <c r="M83" s="39" t="str">
        <f t="shared" si="9"/>
        <v/>
      </c>
      <c r="N83" s="4"/>
      <c r="O83" s="8"/>
      <c r="P83" s="4"/>
      <c r="Q83" s="39" t="str">
        <f t="shared" si="10"/>
        <v/>
      </c>
      <c r="R83" s="4"/>
      <c r="S83" s="8"/>
      <c r="T83" s="10" t="str">
        <f t="shared" si="11"/>
        <v/>
      </c>
      <c r="U83" s="4"/>
      <c r="V83" s="4"/>
    </row>
    <row r="84" spans="1:22" ht="18" customHeight="1" x14ac:dyDescent="0.45">
      <c r="A84" s="6"/>
      <c r="B84" s="39" t="str">
        <f>IFERROR(VLOOKUP(A84,'Incident Intake'!$A:$B,2,FALSE()),"")</f>
        <v/>
      </c>
      <c r="C84" s="10" t="str">
        <f>IFERROR(VLOOKUP(A84,'Incident Intake'!$A:$G,7,FALSE())&amp;" "&amp;VLOOKUP(A84,'Incident Intake'!$A:$F,6,FALSE()),"")</f>
        <v/>
      </c>
      <c r="D84" s="10" t="str">
        <f>IFERROR(VLOOKUP(A84,'Incident Intake'!$A:$J,10,FALSE()),"")</f>
        <v/>
      </c>
      <c r="E84" s="6"/>
      <c r="F84" s="6"/>
      <c r="G84" s="12"/>
      <c r="H84" s="12"/>
      <c r="I84" s="11" t="str">
        <f t="shared" si="8"/>
        <v/>
      </c>
      <c r="J84" s="6"/>
      <c r="K84" s="12"/>
      <c r="L84" s="6"/>
      <c r="M84" s="39" t="str">
        <f t="shared" si="9"/>
        <v/>
      </c>
      <c r="N84" s="6"/>
      <c r="O84" s="12"/>
      <c r="P84" s="6"/>
      <c r="Q84" s="39" t="str">
        <f t="shared" si="10"/>
        <v/>
      </c>
      <c r="R84" s="6"/>
      <c r="S84" s="12"/>
      <c r="T84" s="10" t="str">
        <f t="shared" si="11"/>
        <v/>
      </c>
      <c r="U84" s="6"/>
      <c r="V84" s="6"/>
    </row>
    <row r="85" spans="1:22" ht="18" customHeight="1" x14ac:dyDescent="0.45">
      <c r="A85" s="4"/>
      <c r="B85" s="39" t="str">
        <f>IFERROR(VLOOKUP(A85,'Incident Intake'!$A:$B,2,FALSE()),"")</f>
        <v/>
      </c>
      <c r="C85" s="10" t="str">
        <f>IFERROR(VLOOKUP(A85,'Incident Intake'!$A:$G,7,FALSE())&amp;" "&amp;VLOOKUP(A85,'Incident Intake'!$A:$F,6,FALSE()),"")</f>
        <v/>
      </c>
      <c r="D85" s="10" t="str">
        <f>IFERROR(VLOOKUP(A85,'Incident Intake'!$A:$J,10,FALSE()),"")</f>
        <v/>
      </c>
      <c r="E85" s="4"/>
      <c r="F85" s="4"/>
      <c r="G85" s="8"/>
      <c r="H85" s="8"/>
      <c r="I85" s="11" t="str">
        <f t="shared" si="8"/>
        <v/>
      </c>
      <c r="J85" s="4"/>
      <c r="K85" s="8"/>
      <c r="L85" s="4"/>
      <c r="M85" s="39" t="str">
        <f t="shared" si="9"/>
        <v/>
      </c>
      <c r="N85" s="4"/>
      <c r="O85" s="8"/>
      <c r="P85" s="4"/>
      <c r="Q85" s="39" t="str">
        <f t="shared" si="10"/>
        <v/>
      </c>
      <c r="R85" s="4"/>
      <c r="S85" s="8"/>
      <c r="T85" s="10" t="str">
        <f t="shared" si="11"/>
        <v/>
      </c>
      <c r="U85" s="4"/>
      <c r="V85" s="4"/>
    </row>
    <row r="86" spans="1:22" ht="18" customHeight="1" x14ac:dyDescent="0.45">
      <c r="A86" s="6"/>
      <c r="B86" s="39" t="str">
        <f>IFERROR(VLOOKUP(A86,'Incident Intake'!$A:$B,2,FALSE()),"")</f>
        <v/>
      </c>
      <c r="C86" s="10" t="str">
        <f>IFERROR(VLOOKUP(A86,'Incident Intake'!$A:$G,7,FALSE())&amp;" "&amp;VLOOKUP(A86,'Incident Intake'!$A:$F,6,FALSE()),"")</f>
        <v/>
      </c>
      <c r="D86" s="10" t="str">
        <f>IFERROR(VLOOKUP(A86,'Incident Intake'!$A:$J,10,FALSE()),"")</f>
        <v/>
      </c>
      <c r="E86" s="6"/>
      <c r="F86" s="6"/>
      <c r="G86" s="12"/>
      <c r="H86" s="12"/>
      <c r="I86" s="11" t="str">
        <f t="shared" si="8"/>
        <v/>
      </c>
      <c r="J86" s="6"/>
      <c r="K86" s="12"/>
      <c r="L86" s="6"/>
      <c r="M86" s="39" t="str">
        <f t="shared" si="9"/>
        <v/>
      </c>
      <c r="N86" s="6"/>
      <c r="O86" s="12"/>
      <c r="P86" s="6"/>
      <c r="Q86" s="39" t="str">
        <f t="shared" si="10"/>
        <v/>
      </c>
      <c r="R86" s="6"/>
      <c r="S86" s="12"/>
      <c r="T86" s="10" t="str">
        <f t="shared" si="11"/>
        <v/>
      </c>
      <c r="U86" s="6"/>
      <c r="V86" s="6"/>
    </row>
    <row r="87" spans="1:22" ht="18" customHeight="1" x14ac:dyDescent="0.45">
      <c r="A87" s="4"/>
      <c r="B87" s="39" t="str">
        <f>IFERROR(VLOOKUP(A87,'Incident Intake'!$A:$B,2,FALSE()),"")</f>
        <v/>
      </c>
      <c r="C87" s="10" t="str">
        <f>IFERROR(VLOOKUP(A87,'Incident Intake'!$A:$G,7,FALSE())&amp;" "&amp;VLOOKUP(A87,'Incident Intake'!$A:$F,6,FALSE()),"")</f>
        <v/>
      </c>
      <c r="D87" s="10" t="str">
        <f>IFERROR(VLOOKUP(A87,'Incident Intake'!$A:$J,10,FALSE()),"")</f>
        <v/>
      </c>
      <c r="E87" s="4"/>
      <c r="F87" s="4"/>
      <c r="G87" s="8"/>
      <c r="H87" s="8"/>
      <c r="I87" s="11" t="str">
        <f t="shared" si="8"/>
        <v/>
      </c>
      <c r="J87" s="4"/>
      <c r="K87" s="8"/>
      <c r="L87" s="4"/>
      <c r="M87" s="39" t="str">
        <f t="shared" si="9"/>
        <v/>
      </c>
      <c r="N87" s="4"/>
      <c r="O87" s="8"/>
      <c r="P87" s="4"/>
      <c r="Q87" s="39" t="str">
        <f t="shared" si="10"/>
        <v/>
      </c>
      <c r="R87" s="4"/>
      <c r="S87" s="8"/>
      <c r="T87" s="10" t="str">
        <f t="shared" si="11"/>
        <v/>
      </c>
      <c r="U87" s="4"/>
      <c r="V87" s="4"/>
    </row>
    <row r="88" spans="1:22" ht="18" customHeight="1" x14ac:dyDescent="0.45">
      <c r="A88" s="6"/>
      <c r="B88" s="39" t="str">
        <f>IFERROR(VLOOKUP(A88,'Incident Intake'!$A:$B,2,FALSE()),"")</f>
        <v/>
      </c>
      <c r="C88" s="10" t="str">
        <f>IFERROR(VLOOKUP(A88,'Incident Intake'!$A:$G,7,FALSE())&amp;" "&amp;VLOOKUP(A88,'Incident Intake'!$A:$F,6,FALSE()),"")</f>
        <v/>
      </c>
      <c r="D88" s="10" t="str">
        <f>IFERROR(VLOOKUP(A88,'Incident Intake'!$A:$J,10,FALSE()),"")</f>
        <v/>
      </c>
      <c r="E88" s="6"/>
      <c r="F88" s="6"/>
      <c r="G88" s="12"/>
      <c r="H88" s="12"/>
      <c r="I88" s="11" t="str">
        <f t="shared" si="8"/>
        <v/>
      </c>
      <c r="J88" s="6"/>
      <c r="K88" s="12"/>
      <c r="L88" s="6"/>
      <c r="M88" s="39" t="str">
        <f t="shared" si="9"/>
        <v/>
      </c>
      <c r="N88" s="6"/>
      <c r="O88" s="12"/>
      <c r="P88" s="6"/>
      <c r="Q88" s="39" t="str">
        <f t="shared" si="10"/>
        <v/>
      </c>
      <c r="R88" s="6"/>
      <c r="S88" s="12"/>
      <c r="T88" s="10" t="str">
        <f t="shared" si="11"/>
        <v/>
      </c>
      <c r="U88" s="6"/>
      <c r="V88" s="6"/>
    </row>
    <row r="89" spans="1:22" ht="18" customHeight="1" x14ac:dyDescent="0.45">
      <c r="A89" s="4"/>
      <c r="B89" s="39" t="str">
        <f>IFERROR(VLOOKUP(A89,'Incident Intake'!$A:$B,2,FALSE()),"")</f>
        <v/>
      </c>
      <c r="C89" s="10" t="str">
        <f>IFERROR(VLOOKUP(A89,'Incident Intake'!$A:$G,7,FALSE())&amp;" "&amp;VLOOKUP(A89,'Incident Intake'!$A:$F,6,FALSE()),"")</f>
        <v/>
      </c>
      <c r="D89" s="10" t="str">
        <f>IFERROR(VLOOKUP(A89,'Incident Intake'!$A:$J,10,FALSE()),"")</f>
        <v/>
      </c>
      <c r="E89" s="4"/>
      <c r="F89" s="4"/>
      <c r="G89" s="8"/>
      <c r="H89" s="8"/>
      <c r="I89" s="11" t="str">
        <f t="shared" si="8"/>
        <v/>
      </c>
      <c r="J89" s="4"/>
      <c r="K89" s="8"/>
      <c r="L89" s="4"/>
      <c r="M89" s="39" t="str">
        <f t="shared" si="9"/>
        <v/>
      </c>
      <c r="N89" s="4"/>
      <c r="O89" s="8"/>
      <c r="P89" s="4"/>
      <c r="Q89" s="39" t="str">
        <f t="shared" si="10"/>
        <v/>
      </c>
      <c r="R89" s="4"/>
      <c r="S89" s="8"/>
      <c r="T89" s="10" t="str">
        <f t="shared" si="11"/>
        <v/>
      </c>
      <c r="U89" s="4"/>
      <c r="V89" s="4"/>
    </row>
    <row r="90" spans="1:22" ht="18" customHeight="1" x14ac:dyDescent="0.45">
      <c r="A90" s="6"/>
      <c r="B90" s="39" t="str">
        <f>IFERROR(VLOOKUP(A90,'Incident Intake'!$A:$B,2,FALSE()),"")</f>
        <v/>
      </c>
      <c r="C90" s="10" t="str">
        <f>IFERROR(VLOOKUP(A90,'Incident Intake'!$A:$G,7,FALSE())&amp;" "&amp;VLOOKUP(A90,'Incident Intake'!$A:$F,6,FALSE()),"")</f>
        <v/>
      </c>
      <c r="D90" s="10" t="str">
        <f>IFERROR(VLOOKUP(A90,'Incident Intake'!$A:$J,10,FALSE()),"")</f>
        <v/>
      </c>
      <c r="E90" s="6"/>
      <c r="F90" s="6"/>
      <c r="G90" s="12"/>
      <c r="H90" s="12"/>
      <c r="I90" s="11" t="str">
        <f t="shared" si="8"/>
        <v/>
      </c>
      <c r="J90" s="6"/>
      <c r="K90" s="12"/>
      <c r="L90" s="6"/>
      <c r="M90" s="39" t="str">
        <f t="shared" si="9"/>
        <v/>
      </c>
      <c r="N90" s="6"/>
      <c r="O90" s="12"/>
      <c r="P90" s="6"/>
      <c r="Q90" s="39" t="str">
        <f t="shared" si="10"/>
        <v/>
      </c>
      <c r="R90" s="6"/>
      <c r="S90" s="12"/>
      <c r="T90" s="10" t="str">
        <f t="shared" si="11"/>
        <v/>
      </c>
      <c r="U90" s="6"/>
      <c r="V90" s="6"/>
    </row>
    <row r="91" spans="1:22" ht="18" customHeight="1" x14ac:dyDescent="0.45">
      <c r="A91" s="4"/>
      <c r="B91" s="39" t="str">
        <f>IFERROR(VLOOKUP(A91,'Incident Intake'!$A:$B,2,FALSE()),"")</f>
        <v/>
      </c>
      <c r="C91" s="10" t="str">
        <f>IFERROR(VLOOKUP(A91,'Incident Intake'!$A:$G,7,FALSE())&amp;" "&amp;VLOOKUP(A91,'Incident Intake'!$A:$F,6,FALSE()),"")</f>
        <v/>
      </c>
      <c r="D91" s="10" t="str">
        <f>IFERROR(VLOOKUP(A91,'Incident Intake'!$A:$J,10,FALSE()),"")</f>
        <v/>
      </c>
      <c r="E91" s="4"/>
      <c r="F91" s="4"/>
      <c r="G91" s="8"/>
      <c r="H91" s="8"/>
      <c r="I91" s="11" t="str">
        <f t="shared" si="8"/>
        <v/>
      </c>
      <c r="J91" s="4"/>
      <c r="K91" s="8"/>
      <c r="L91" s="4"/>
      <c r="M91" s="39" t="str">
        <f t="shared" si="9"/>
        <v/>
      </c>
      <c r="N91" s="4"/>
      <c r="O91" s="8"/>
      <c r="P91" s="4"/>
      <c r="Q91" s="39" t="str">
        <f t="shared" si="10"/>
        <v/>
      </c>
      <c r="R91" s="4"/>
      <c r="S91" s="8"/>
      <c r="T91" s="10" t="str">
        <f t="shared" si="11"/>
        <v/>
      </c>
      <c r="U91" s="4"/>
      <c r="V91" s="4"/>
    </row>
    <row r="92" spans="1:22" ht="18" customHeight="1" x14ac:dyDescent="0.45">
      <c r="A92" s="6"/>
      <c r="B92" s="39" t="str">
        <f>IFERROR(VLOOKUP(A92,'Incident Intake'!$A:$B,2,FALSE()),"")</f>
        <v/>
      </c>
      <c r="C92" s="10" t="str">
        <f>IFERROR(VLOOKUP(A92,'Incident Intake'!$A:$G,7,FALSE())&amp;" "&amp;VLOOKUP(A92,'Incident Intake'!$A:$F,6,FALSE()),"")</f>
        <v/>
      </c>
      <c r="D92" s="10" t="str">
        <f>IFERROR(VLOOKUP(A92,'Incident Intake'!$A:$J,10,FALSE()),"")</f>
        <v/>
      </c>
      <c r="E92" s="6"/>
      <c r="F92" s="6"/>
      <c r="G92" s="12"/>
      <c r="H92" s="12"/>
      <c r="I92" s="11" t="str">
        <f t="shared" si="8"/>
        <v/>
      </c>
      <c r="J92" s="6"/>
      <c r="K92" s="12"/>
      <c r="L92" s="6"/>
      <c r="M92" s="39" t="str">
        <f t="shared" si="9"/>
        <v/>
      </c>
      <c r="N92" s="6"/>
      <c r="O92" s="12"/>
      <c r="P92" s="6"/>
      <c r="Q92" s="39" t="str">
        <f t="shared" si="10"/>
        <v/>
      </c>
      <c r="R92" s="6"/>
      <c r="S92" s="12"/>
      <c r="T92" s="10" t="str">
        <f t="shared" si="11"/>
        <v/>
      </c>
      <c r="U92" s="6"/>
      <c r="V92" s="6"/>
    </row>
    <row r="93" spans="1:22" ht="18" customHeight="1" x14ac:dyDescent="0.45">
      <c r="A93" s="4"/>
      <c r="B93" s="39" t="str">
        <f>IFERROR(VLOOKUP(A93,'Incident Intake'!$A:$B,2,FALSE()),"")</f>
        <v/>
      </c>
      <c r="C93" s="10" t="str">
        <f>IFERROR(VLOOKUP(A93,'Incident Intake'!$A:$G,7,FALSE())&amp;" "&amp;VLOOKUP(A93,'Incident Intake'!$A:$F,6,FALSE()),"")</f>
        <v/>
      </c>
      <c r="D93" s="10" t="str">
        <f>IFERROR(VLOOKUP(A93,'Incident Intake'!$A:$J,10,FALSE()),"")</f>
        <v/>
      </c>
      <c r="E93" s="4"/>
      <c r="F93" s="4"/>
      <c r="G93" s="8"/>
      <c r="H93" s="8"/>
      <c r="I93" s="11" t="str">
        <f t="shared" si="8"/>
        <v/>
      </c>
      <c r="J93" s="4"/>
      <c r="K93" s="8"/>
      <c r="L93" s="4"/>
      <c r="M93" s="39" t="str">
        <f t="shared" si="9"/>
        <v/>
      </c>
      <c r="N93" s="4"/>
      <c r="O93" s="8"/>
      <c r="P93" s="4"/>
      <c r="Q93" s="39" t="str">
        <f t="shared" si="10"/>
        <v/>
      </c>
      <c r="R93" s="4"/>
      <c r="S93" s="8"/>
      <c r="T93" s="10" t="str">
        <f t="shared" si="11"/>
        <v/>
      </c>
      <c r="U93" s="4"/>
      <c r="V93" s="4"/>
    </row>
    <row r="94" spans="1:22" ht="18" customHeight="1" x14ac:dyDescent="0.45">
      <c r="A94" s="6"/>
      <c r="B94" s="39" t="str">
        <f>IFERROR(VLOOKUP(A94,'Incident Intake'!$A:$B,2,FALSE()),"")</f>
        <v/>
      </c>
      <c r="C94" s="10" t="str">
        <f>IFERROR(VLOOKUP(A94,'Incident Intake'!$A:$G,7,FALSE())&amp;" "&amp;VLOOKUP(A94,'Incident Intake'!$A:$F,6,FALSE()),"")</f>
        <v/>
      </c>
      <c r="D94" s="10" t="str">
        <f>IFERROR(VLOOKUP(A94,'Incident Intake'!$A:$J,10,FALSE()),"")</f>
        <v/>
      </c>
      <c r="E94" s="6"/>
      <c r="F94" s="6"/>
      <c r="G94" s="12"/>
      <c r="H94" s="12"/>
      <c r="I94" s="11" t="str">
        <f t="shared" si="8"/>
        <v/>
      </c>
      <c r="J94" s="6"/>
      <c r="K94" s="12"/>
      <c r="L94" s="6"/>
      <c r="M94" s="39" t="str">
        <f t="shared" si="9"/>
        <v/>
      </c>
      <c r="N94" s="6"/>
      <c r="O94" s="12"/>
      <c r="P94" s="6"/>
      <c r="Q94" s="39" t="str">
        <f t="shared" si="10"/>
        <v/>
      </c>
      <c r="R94" s="6"/>
      <c r="S94" s="12"/>
      <c r="T94" s="10" t="str">
        <f t="shared" si="11"/>
        <v/>
      </c>
      <c r="U94" s="6"/>
      <c r="V94" s="6"/>
    </row>
    <row r="95" spans="1:22" ht="18" customHeight="1" x14ac:dyDescent="0.45">
      <c r="A95" s="4"/>
      <c r="B95" s="39" t="str">
        <f>IFERROR(VLOOKUP(A95,'Incident Intake'!$A:$B,2,FALSE()),"")</f>
        <v/>
      </c>
      <c r="C95" s="10" t="str">
        <f>IFERROR(VLOOKUP(A95,'Incident Intake'!$A:$G,7,FALSE())&amp;" "&amp;VLOOKUP(A95,'Incident Intake'!$A:$F,6,FALSE()),"")</f>
        <v/>
      </c>
      <c r="D95" s="10" t="str">
        <f>IFERROR(VLOOKUP(A95,'Incident Intake'!$A:$J,10,FALSE()),"")</f>
        <v/>
      </c>
      <c r="E95" s="4"/>
      <c r="F95" s="4"/>
      <c r="G95" s="8"/>
      <c r="H95" s="8"/>
      <c r="I95" s="11" t="str">
        <f t="shared" si="8"/>
        <v/>
      </c>
      <c r="J95" s="4"/>
      <c r="K95" s="8"/>
      <c r="L95" s="4"/>
      <c r="M95" s="39" t="str">
        <f t="shared" si="9"/>
        <v/>
      </c>
      <c r="N95" s="4"/>
      <c r="O95" s="8"/>
      <c r="P95" s="4"/>
      <c r="Q95" s="39" t="str">
        <f t="shared" si="10"/>
        <v/>
      </c>
      <c r="R95" s="4"/>
      <c r="S95" s="8"/>
      <c r="T95" s="10" t="str">
        <f t="shared" si="11"/>
        <v/>
      </c>
      <c r="U95" s="4"/>
      <c r="V95" s="4"/>
    </row>
    <row r="96" spans="1:22" ht="18" customHeight="1" x14ac:dyDescent="0.45">
      <c r="A96" s="6"/>
      <c r="B96" s="39" t="str">
        <f>IFERROR(VLOOKUP(A96,'Incident Intake'!$A:$B,2,FALSE()),"")</f>
        <v/>
      </c>
      <c r="C96" s="10" t="str">
        <f>IFERROR(VLOOKUP(A96,'Incident Intake'!$A:$G,7,FALSE())&amp;" "&amp;VLOOKUP(A96,'Incident Intake'!$A:$F,6,FALSE()),"")</f>
        <v/>
      </c>
      <c r="D96" s="10" t="str">
        <f>IFERROR(VLOOKUP(A96,'Incident Intake'!$A:$J,10,FALSE()),"")</f>
        <v/>
      </c>
      <c r="E96" s="6"/>
      <c r="F96" s="6"/>
      <c r="G96" s="12"/>
      <c r="H96" s="12"/>
      <c r="I96" s="11" t="str">
        <f t="shared" si="8"/>
        <v/>
      </c>
      <c r="J96" s="6"/>
      <c r="K96" s="12"/>
      <c r="L96" s="6"/>
      <c r="M96" s="39" t="str">
        <f t="shared" si="9"/>
        <v/>
      </c>
      <c r="N96" s="6"/>
      <c r="O96" s="12"/>
      <c r="P96" s="6"/>
      <c r="Q96" s="39" t="str">
        <f t="shared" si="10"/>
        <v/>
      </c>
      <c r="R96" s="6"/>
      <c r="S96" s="12"/>
      <c r="T96" s="10" t="str">
        <f t="shared" si="11"/>
        <v/>
      </c>
      <c r="U96" s="6"/>
      <c r="V96" s="6"/>
    </row>
    <row r="97" spans="1:22" ht="18" customHeight="1" x14ac:dyDescent="0.45">
      <c r="A97" s="4"/>
      <c r="B97" s="39" t="str">
        <f>IFERROR(VLOOKUP(A97,'Incident Intake'!$A:$B,2,FALSE()),"")</f>
        <v/>
      </c>
      <c r="C97" s="10" t="str">
        <f>IFERROR(VLOOKUP(A97,'Incident Intake'!$A:$G,7,FALSE())&amp;" "&amp;VLOOKUP(A97,'Incident Intake'!$A:$F,6,FALSE()),"")</f>
        <v/>
      </c>
      <c r="D97" s="10" t="str">
        <f>IFERROR(VLOOKUP(A97,'Incident Intake'!$A:$J,10,FALSE()),"")</f>
        <v/>
      </c>
      <c r="E97" s="4"/>
      <c r="F97" s="4"/>
      <c r="G97" s="8"/>
      <c r="H97" s="8"/>
      <c r="I97" s="11" t="str">
        <f t="shared" si="8"/>
        <v/>
      </c>
      <c r="J97" s="4"/>
      <c r="K97" s="8"/>
      <c r="L97" s="4"/>
      <c r="M97" s="39" t="str">
        <f t="shared" si="9"/>
        <v/>
      </c>
      <c r="N97" s="4"/>
      <c r="O97" s="8"/>
      <c r="P97" s="4"/>
      <c r="Q97" s="39" t="str">
        <f t="shared" si="10"/>
        <v/>
      </c>
      <c r="R97" s="4"/>
      <c r="S97" s="8"/>
      <c r="T97" s="10" t="str">
        <f t="shared" si="11"/>
        <v/>
      </c>
      <c r="U97" s="4"/>
      <c r="V97" s="4"/>
    </row>
    <row r="98" spans="1:22" ht="18" customHeight="1" x14ac:dyDescent="0.45">
      <c r="A98" s="6"/>
      <c r="B98" s="39" t="str">
        <f>IFERROR(VLOOKUP(A98,'Incident Intake'!$A:$B,2,FALSE()),"")</f>
        <v/>
      </c>
      <c r="C98" s="10" t="str">
        <f>IFERROR(VLOOKUP(A98,'Incident Intake'!$A:$G,7,FALSE())&amp;" "&amp;VLOOKUP(A98,'Incident Intake'!$A:$F,6,FALSE()),"")</f>
        <v/>
      </c>
      <c r="D98" s="10" t="str">
        <f>IFERROR(VLOOKUP(A98,'Incident Intake'!$A:$J,10,FALSE()),"")</f>
        <v/>
      </c>
      <c r="E98" s="6"/>
      <c r="F98" s="6"/>
      <c r="G98" s="12"/>
      <c r="H98" s="12"/>
      <c r="I98" s="11" t="str">
        <f t="shared" si="8"/>
        <v/>
      </c>
      <c r="J98" s="6"/>
      <c r="K98" s="12"/>
      <c r="L98" s="6"/>
      <c r="M98" s="39" t="str">
        <f t="shared" si="9"/>
        <v/>
      </c>
      <c r="N98" s="6"/>
      <c r="O98" s="12"/>
      <c r="P98" s="6"/>
      <c r="Q98" s="39" t="str">
        <f t="shared" si="10"/>
        <v/>
      </c>
      <c r="R98" s="6"/>
      <c r="S98" s="12"/>
      <c r="T98" s="10" t="str">
        <f t="shared" si="11"/>
        <v/>
      </c>
      <c r="U98" s="6"/>
      <c r="V98" s="6"/>
    </row>
    <row r="99" spans="1:22" ht="18" customHeight="1" x14ac:dyDescent="0.45">
      <c r="A99" s="4"/>
      <c r="B99" s="39" t="str">
        <f>IFERROR(VLOOKUP(A99,'Incident Intake'!$A:$B,2,FALSE()),"")</f>
        <v/>
      </c>
      <c r="C99" s="10" t="str">
        <f>IFERROR(VLOOKUP(A99,'Incident Intake'!$A:$G,7,FALSE())&amp;" "&amp;VLOOKUP(A99,'Incident Intake'!$A:$F,6,FALSE()),"")</f>
        <v/>
      </c>
      <c r="D99" s="10" t="str">
        <f>IFERROR(VLOOKUP(A99,'Incident Intake'!$A:$J,10,FALSE()),"")</f>
        <v/>
      </c>
      <c r="E99" s="4"/>
      <c r="F99" s="4"/>
      <c r="G99" s="8"/>
      <c r="H99" s="8"/>
      <c r="I99" s="11" t="str">
        <f t="shared" si="8"/>
        <v/>
      </c>
      <c r="J99" s="4"/>
      <c r="K99" s="8"/>
      <c r="L99" s="4"/>
      <c r="M99" s="39" t="str">
        <f t="shared" si="9"/>
        <v/>
      </c>
      <c r="N99" s="4"/>
      <c r="O99" s="8"/>
      <c r="P99" s="4"/>
      <c r="Q99" s="39" t="str">
        <f t="shared" si="10"/>
        <v/>
      </c>
      <c r="R99" s="4"/>
      <c r="S99" s="8"/>
      <c r="T99" s="10" t="str">
        <f t="shared" si="11"/>
        <v/>
      </c>
      <c r="U99" s="4"/>
      <c r="V99" s="4"/>
    </row>
    <row r="100" spans="1:22" ht="18" customHeight="1" x14ac:dyDescent="0.45">
      <c r="A100" s="6"/>
      <c r="B100" s="39" t="str">
        <f>IFERROR(VLOOKUP(A100,'Incident Intake'!$A:$B,2,FALSE()),"")</f>
        <v/>
      </c>
      <c r="C100" s="10" t="str">
        <f>IFERROR(VLOOKUP(A100,'Incident Intake'!$A:$G,7,FALSE())&amp;" "&amp;VLOOKUP(A100,'Incident Intake'!$A:$F,6,FALSE()),"")</f>
        <v/>
      </c>
      <c r="D100" s="10" t="str">
        <f>IFERROR(VLOOKUP(A100,'Incident Intake'!$A:$J,10,FALSE()),"")</f>
        <v/>
      </c>
      <c r="E100" s="6"/>
      <c r="F100" s="6"/>
      <c r="G100" s="12"/>
      <c r="H100" s="12"/>
      <c r="I100" s="11" t="str">
        <f t="shared" si="8"/>
        <v/>
      </c>
      <c r="J100" s="6"/>
      <c r="K100" s="12"/>
      <c r="L100" s="6"/>
      <c r="M100" s="39" t="str">
        <f t="shared" si="9"/>
        <v/>
      </c>
      <c r="N100" s="6"/>
      <c r="O100" s="12"/>
      <c r="P100" s="6"/>
      <c r="Q100" s="39" t="str">
        <f t="shared" si="10"/>
        <v/>
      </c>
      <c r="R100" s="6"/>
      <c r="S100" s="12"/>
      <c r="T100" s="10" t="str">
        <f t="shared" si="11"/>
        <v/>
      </c>
      <c r="U100" s="6"/>
      <c r="V100" s="6"/>
    </row>
    <row r="101" spans="1:22" ht="18" customHeight="1" x14ac:dyDescent="0.45">
      <c r="A101" s="4"/>
      <c r="B101" s="39" t="str">
        <f>IFERROR(VLOOKUP(A101,'Incident Intake'!$A:$B,2,FALSE()),"")</f>
        <v/>
      </c>
      <c r="C101" s="10" t="str">
        <f>IFERROR(VLOOKUP(A101,'Incident Intake'!$A:$G,7,FALSE())&amp;" "&amp;VLOOKUP(A101,'Incident Intake'!$A:$F,6,FALSE()),"")</f>
        <v/>
      </c>
      <c r="D101" s="10" t="str">
        <f>IFERROR(VLOOKUP(A101,'Incident Intake'!$A:$J,10,FALSE()),"")</f>
        <v/>
      </c>
      <c r="E101" s="4"/>
      <c r="F101" s="4"/>
      <c r="G101" s="8"/>
      <c r="H101" s="8"/>
      <c r="I101" s="11" t="str">
        <f t="shared" ref="I101:I132" si="12">IF(OR(G101="",H101=""),"",H101-G101+1)</f>
        <v/>
      </c>
      <c r="J101" s="4"/>
      <c r="K101" s="8"/>
      <c r="L101" s="4"/>
      <c r="M101" s="39" t="str">
        <f t="shared" ref="M101:M132" si="13">IF(G101="","",G101+21)</f>
        <v/>
      </c>
      <c r="N101" s="4"/>
      <c r="O101" s="8"/>
      <c r="P101" s="4"/>
      <c r="Q101" s="39" t="str">
        <f t="shared" ref="Q101:Q132" si="14">IF(OR(N101&lt;&gt;"Yes",O101=""),"",O101+21)</f>
        <v/>
      </c>
      <c r="R101" s="4"/>
      <c r="S101" s="8"/>
      <c r="T101" s="10" t="str">
        <f t="shared" ref="T101:T132" si="15">IF(A101="","",IF(P101="Resolved — Overturned","OVERTURNED",IF(P101="Resolved — Modified","MODIFIED",IF(P101="Resolved — Upheld","UPHELD — CLOSED",IF(N101="Yes","APPEAL ACTIVE","CLOSED — NO APPEAL")))))</f>
        <v/>
      </c>
      <c r="U101" s="4"/>
      <c r="V101" s="4"/>
    </row>
    <row r="102" spans="1:22" ht="18" customHeight="1" x14ac:dyDescent="0.45">
      <c r="A102" s="6"/>
      <c r="B102" s="39" t="str">
        <f>IFERROR(VLOOKUP(A102,'Incident Intake'!$A:$B,2,FALSE()),"")</f>
        <v/>
      </c>
      <c r="C102" s="10" t="str">
        <f>IFERROR(VLOOKUP(A102,'Incident Intake'!$A:$G,7,FALSE())&amp;" "&amp;VLOOKUP(A102,'Incident Intake'!$A:$F,6,FALSE()),"")</f>
        <v/>
      </c>
      <c r="D102" s="10" t="str">
        <f>IFERROR(VLOOKUP(A102,'Incident Intake'!$A:$J,10,FALSE()),"")</f>
        <v/>
      </c>
      <c r="E102" s="6"/>
      <c r="F102" s="6"/>
      <c r="G102" s="12"/>
      <c r="H102" s="12"/>
      <c r="I102" s="11" t="str">
        <f t="shared" si="12"/>
        <v/>
      </c>
      <c r="J102" s="6"/>
      <c r="K102" s="12"/>
      <c r="L102" s="6"/>
      <c r="M102" s="39" t="str">
        <f t="shared" si="13"/>
        <v/>
      </c>
      <c r="N102" s="6"/>
      <c r="O102" s="12"/>
      <c r="P102" s="6"/>
      <c r="Q102" s="39" t="str">
        <f t="shared" si="14"/>
        <v/>
      </c>
      <c r="R102" s="6"/>
      <c r="S102" s="12"/>
      <c r="T102" s="10" t="str">
        <f t="shared" si="15"/>
        <v/>
      </c>
      <c r="U102" s="6"/>
      <c r="V102" s="6"/>
    </row>
    <row r="103" spans="1:22" ht="18" customHeight="1" x14ac:dyDescent="0.45">
      <c r="A103" s="4"/>
      <c r="B103" s="39" t="str">
        <f>IFERROR(VLOOKUP(A103,'Incident Intake'!$A:$B,2,FALSE()),"")</f>
        <v/>
      </c>
      <c r="C103" s="10" t="str">
        <f>IFERROR(VLOOKUP(A103,'Incident Intake'!$A:$G,7,FALSE())&amp;" "&amp;VLOOKUP(A103,'Incident Intake'!$A:$F,6,FALSE()),"")</f>
        <v/>
      </c>
      <c r="D103" s="10" t="str">
        <f>IFERROR(VLOOKUP(A103,'Incident Intake'!$A:$J,10,FALSE()),"")</f>
        <v/>
      </c>
      <c r="E103" s="4"/>
      <c r="F103" s="4"/>
      <c r="G103" s="8"/>
      <c r="H103" s="8"/>
      <c r="I103" s="11" t="str">
        <f t="shared" si="12"/>
        <v/>
      </c>
      <c r="J103" s="4"/>
      <c r="K103" s="8"/>
      <c r="L103" s="4"/>
      <c r="M103" s="39" t="str">
        <f t="shared" si="13"/>
        <v/>
      </c>
      <c r="N103" s="4"/>
      <c r="O103" s="8"/>
      <c r="P103" s="4"/>
      <c r="Q103" s="39" t="str">
        <f t="shared" si="14"/>
        <v/>
      </c>
      <c r="R103" s="4"/>
      <c r="S103" s="8"/>
      <c r="T103" s="10" t="str">
        <f t="shared" si="15"/>
        <v/>
      </c>
      <c r="U103" s="4"/>
      <c r="V103" s="4"/>
    </row>
    <row r="104" spans="1:22" ht="18" customHeight="1" x14ac:dyDescent="0.45">
      <c r="A104" s="6"/>
      <c r="B104" s="39" t="str">
        <f>IFERROR(VLOOKUP(A104,'Incident Intake'!$A:$B,2,FALSE()),"")</f>
        <v/>
      </c>
      <c r="C104" s="10" t="str">
        <f>IFERROR(VLOOKUP(A104,'Incident Intake'!$A:$G,7,FALSE())&amp;" "&amp;VLOOKUP(A104,'Incident Intake'!$A:$F,6,FALSE()),"")</f>
        <v/>
      </c>
      <c r="D104" s="10" t="str">
        <f>IFERROR(VLOOKUP(A104,'Incident Intake'!$A:$J,10,FALSE()),"")</f>
        <v/>
      </c>
      <c r="E104" s="6"/>
      <c r="F104" s="6"/>
      <c r="G104" s="12"/>
      <c r="H104" s="12"/>
      <c r="I104" s="11" t="str">
        <f t="shared" si="12"/>
        <v/>
      </c>
      <c r="J104" s="6"/>
      <c r="K104" s="12"/>
      <c r="L104" s="6"/>
      <c r="M104" s="39" t="str">
        <f t="shared" si="13"/>
        <v/>
      </c>
      <c r="N104" s="6"/>
      <c r="O104" s="12"/>
      <c r="P104" s="6"/>
      <c r="Q104" s="39" t="str">
        <f t="shared" si="14"/>
        <v/>
      </c>
      <c r="R104" s="6"/>
      <c r="S104" s="12"/>
      <c r="T104" s="10" t="str">
        <f t="shared" si="15"/>
        <v/>
      </c>
      <c r="U104" s="6"/>
      <c r="V104" s="6"/>
    </row>
    <row r="105" spans="1:22" ht="18" customHeight="1" x14ac:dyDescent="0.45">
      <c r="A105" s="4"/>
      <c r="B105" s="39" t="str">
        <f>IFERROR(VLOOKUP(A105,'Incident Intake'!$A:$B,2,FALSE()),"")</f>
        <v/>
      </c>
      <c r="C105" s="10" t="str">
        <f>IFERROR(VLOOKUP(A105,'Incident Intake'!$A:$G,7,FALSE())&amp;" "&amp;VLOOKUP(A105,'Incident Intake'!$A:$F,6,FALSE()),"")</f>
        <v/>
      </c>
      <c r="D105" s="10" t="str">
        <f>IFERROR(VLOOKUP(A105,'Incident Intake'!$A:$J,10,FALSE()),"")</f>
        <v/>
      </c>
      <c r="E105" s="4"/>
      <c r="F105" s="4"/>
      <c r="G105" s="8"/>
      <c r="H105" s="8"/>
      <c r="I105" s="11" t="str">
        <f t="shared" si="12"/>
        <v/>
      </c>
      <c r="J105" s="4"/>
      <c r="K105" s="8"/>
      <c r="L105" s="4"/>
      <c r="M105" s="39" t="str">
        <f t="shared" si="13"/>
        <v/>
      </c>
      <c r="N105" s="4"/>
      <c r="O105" s="8"/>
      <c r="P105" s="4"/>
      <c r="Q105" s="39" t="str">
        <f t="shared" si="14"/>
        <v/>
      </c>
      <c r="R105" s="4"/>
      <c r="S105" s="8"/>
      <c r="T105" s="10" t="str">
        <f t="shared" si="15"/>
        <v/>
      </c>
      <c r="U105" s="4"/>
      <c r="V105" s="4"/>
    </row>
    <row r="106" spans="1:22" ht="18" customHeight="1" x14ac:dyDescent="0.45">
      <c r="A106" s="6"/>
      <c r="B106" s="39" t="str">
        <f>IFERROR(VLOOKUP(A106,'Incident Intake'!$A:$B,2,FALSE()),"")</f>
        <v/>
      </c>
      <c r="C106" s="10" t="str">
        <f>IFERROR(VLOOKUP(A106,'Incident Intake'!$A:$G,7,FALSE())&amp;" "&amp;VLOOKUP(A106,'Incident Intake'!$A:$F,6,FALSE()),"")</f>
        <v/>
      </c>
      <c r="D106" s="10" t="str">
        <f>IFERROR(VLOOKUP(A106,'Incident Intake'!$A:$J,10,FALSE()),"")</f>
        <v/>
      </c>
      <c r="E106" s="6"/>
      <c r="F106" s="6"/>
      <c r="G106" s="12"/>
      <c r="H106" s="12"/>
      <c r="I106" s="11" t="str">
        <f t="shared" si="12"/>
        <v/>
      </c>
      <c r="J106" s="6"/>
      <c r="K106" s="12"/>
      <c r="L106" s="6"/>
      <c r="M106" s="39" t="str">
        <f t="shared" si="13"/>
        <v/>
      </c>
      <c r="N106" s="6"/>
      <c r="O106" s="12"/>
      <c r="P106" s="6"/>
      <c r="Q106" s="39" t="str">
        <f t="shared" si="14"/>
        <v/>
      </c>
      <c r="R106" s="6"/>
      <c r="S106" s="12"/>
      <c r="T106" s="10" t="str">
        <f t="shared" si="15"/>
        <v/>
      </c>
      <c r="U106" s="6"/>
      <c r="V106" s="6"/>
    </row>
    <row r="107" spans="1:22" ht="18" customHeight="1" x14ac:dyDescent="0.45">
      <c r="A107" s="4"/>
      <c r="B107" s="39" t="str">
        <f>IFERROR(VLOOKUP(A107,'Incident Intake'!$A:$B,2,FALSE()),"")</f>
        <v/>
      </c>
      <c r="C107" s="10" t="str">
        <f>IFERROR(VLOOKUP(A107,'Incident Intake'!$A:$G,7,FALSE())&amp;" "&amp;VLOOKUP(A107,'Incident Intake'!$A:$F,6,FALSE()),"")</f>
        <v/>
      </c>
      <c r="D107" s="10" t="str">
        <f>IFERROR(VLOOKUP(A107,'Incident Intake'!$A:$J,10,FALSE()),"")</f>
        <v/>
      </c>
      <c r="E107" s="4"/>
      <c r="F107" s="4"/>
      <c r="G107" s="8"/>
      <c r="H107" s="8"/>
      <c r="I107" s="11" t="str">
        <f t="shared" si="12"/>
        <v/>
      </c>
      <c r="J107" s="4"/>
      <c r="K107" s="8"/>
      <c r="L107" s="4"/>
      <c r="M107" s="39" t="str">
        <f t="shared" si="13"/>
        <v/>
      </c>
      <c r="N107" s="4"/>
      <c r="O107" s="8"/>
      <c r="P107" s="4"/>
      <c r="Q107" s="39" t="str">
        <f t="shared" si="14"/>
        <v/>
      </c>
      <c r="R107" s="4"/>
      <c r="S107" s="8"/>
      <c r="T107" s="10" t="str">
        <f t="shared" si="15"/>
        <v/>
      </c>
      <c r="U107" s="4"/>
      <c r="V107" s="4"/>
    </row>
    <row r="108" spans="1:22" ht="18" customHeight="1" x14ac:dyDescent="0.45">
      <c r="A108" s="6"/>
      <c r="B108" s="39" t="str">
        <f>IFERROR(VLOOKUP(A108,'Incident Intake'!$A:$B,2,FALSE()),"")</f>
        <v/>
      </c>
      <c r="C108" s="10" t="str">
        <f>IFERROR(VLOOKUP(A108,'Incident Intake'!$A:$G,7,FALSE())&amp;" "&amp;VLOOKUP(A108,'Incident Intake'!$A:$F,6,FALSE()),"")</f>
        <v/>
      </c>
      <c r="D108" s="10" t="str">
        <f>IFERROR(VLOOKUP(A108,'Incident Intake'!$A:$J,10,FALSE()),"")</f>
        <v/>
      </c>
      <c r="E108" s="6"/>
      <c r="F108" s="6"/>
      <c r="G108" s="12"/>
      <c r="H108" s="12"/>
      <c r="I108" s="11" t="str">
        <f t="shared" si="12"/>
        <v/>
      </c>
      <c r="J108" s="6"/>
      <c r="K108" s="12"/>
      <c r="L108" s="6"/>
      <c r="M108" s="39" t="str">
        <f t="shared" si="13"/>
        <v/>
      </c>
      <c r="N108" s="6"/>
      <c r="O108" s="12"/>
      <c r="P108" s="6"/>
      <c r="Q108" s="39" t="str">
        <f t="shared" si="14"/>
        <v/>
      </c>
      <c r="R108" s="6"/>
      <c r="S108" s="12"/>
      <c r="T108" s="10" t="str">
        <f t="shared" si="15"/>
        <v/>
      </c>
      <c r="U108" s="6"/>
      <c r="V108" s="6"/>
    </row>
    <row r="109" spans="1:22" ht="18" customHeight="1" x14ac:dyDescent="0.45">
      <c r="A109" s="4"/>
      <c r="B109" s="39" t="str">
        <f>IFERROR(VLOOKUP(A109,'Incident Intake'!$A:$B,2,FALSE()),"")</f>
        <v/>
      </c>
      <c r="C109" s="10" t="str">
        <f>IFERROR(VLOOKUP(A109,'Incident Intake'!$A:$G,7,FALSE())&amp;" "&amp;VLOOKUP(A109,'Incident Intake'!$A:$F,6,FALSE()),"")</f>
        <v/>
      </c>
      <c r="D109" s="10" t="str">
        <f>IFERROR(VLOOKUP(A109,'Incident Intake'!$A:$J,10,FALSE()),"")</f>
        <v/>
      </c>
      <c r="E109" s="4"/>
      <c r="F109" s="4"/>
      <c r="G109" s="8"/>
      <c r="H109" s="8"/>
      <c r="I109" s="11" t="str">
        <f t="shared" si="12"/>
        <v/>
      </c>
      <c r="J109" s="4"/>
      <c r="K109" s="8"/>
      <c r="L109" s="4"/>
      <c r="M109" s="39" t="str">
        <f t="shared" si="13"/>
        <v/>
      </c>
      <c r="N109" s="4"/>
      <c r="O109" s="8"/>
      <c r="P109" s="4"/>
      <c r="Q109" s="39" t="str">
        <f t="shared" si="14"/>
        <v/>
      </c>
      <c r="R109" s="4"/>
      <c r="S109" s="8"/>
      <c r="T109" s="10" t="str">
        <f t="shared" si="15"/>
        <v/>
      </c>
      <c r="U109" s="4"/>
      <c r="V109" s="4"/>
    </row>
    <row r="110" spans="1:22" ht="18" customHeight="1" x14ac:dyDescent="0.45">
      <c r="A110" s="6"/>
      <c r="B110" s="39" t="str">
        <f>IFERROR(VLOOKUP(A110,'Incident Intake'!$A:$B,2,FALSE()),"")</f>
        <v/>
      </c>
      <c r="C110" s="10" t="str">
        <f>IFERROR(VLOOKUP(A110,'Incident Intake'!$A:$G,7,FALSE())&amp;" "&amp;VLOOKUP(A110,'Incident Intake'!$A:$F,6,FALSE()),"")</f>
        <v/>
      </c>
      <c r="D110" s="10" t="str">
        <f>IFERROR(VLOOKUP(A110,'Incident Intake'!$A:$J,10,FALSE()),"")</f>
        <v/>
      </c>
      <c r="E110" s="6"/>
      <c r="F110" s="6"/>
      <c r="G110" s="12"/>
      <c r="H110" s="12"/>
      <c r="I110" s="11" t="str">
        <f t="shared" si="12"/>
        <v/>
      </c>
      <c r="J110" s="6"/>
      <c r="K110" s="12"/>
      <c r="L110" s="6"/>
      <c r="M110" s="39" t="str">
        <f t="shared" si="13"/>
        <v/>
      </c>
      <c r="N110" s="6"/>
      <c r="O110" s="12"/>
      <c r="P110" s="6"/>
      <c r="Q110" s="39" t="str">
        <f t="shared" si="14"/>
        <v/>
      </c>
      <c r="R110" s="6"/>
      <c r="S110" s="12"/>
      <c r="T110" s="10" t="str">
        <f t="shared" si="15"/>
        <v/>
      </c>
      <c r="U110" s="6"/>
      <c r="V110" s="6"/>
    </row>
    <row r="111" spans="1:22" ht="18" customHeight="1" x14ac:dyDescent="0.45">
      <c r="A111" s="4"/>
      <c r="B111" s="39" t="str">
        <f>IFERROR(VLOOKUP(A111,'Incident Intake'!$A:$B,2,FALSE()),"")</f>
        <v/>
      </c>
      <c r="C111" s="10" t="str">
        <f>IFERROR(VLOOKUP(A111,'Incident Intake'!$A:$G,7,FALSE())&amp;" "&amp;VLOOKUP(A111,'Incident Intake'!$A:$F,6,FALSE()),"")</f>
        <v/>
      </c>
      <c r="D111" s="10" t="str">
        <f>IFERROR(VLOOKUP(A111,'Incident Intake'!$A:$J,10,FALSE()),"")</f>
        <v/>
      </c>
      <c r="E111" s="4"/>
      <c r="F111" s="4"/>
      <c r="G111" s="8"/>
      <c r="H111" s="8"/>
      <c r="I111" s="11" t="str">
        <f t="shared" si="12"/>
        <v/>
      </c>
      <c r="J111" s="4"/>
      <c r="K111" s="8"/>
      <c r="L111" s="4"/>
      <c r="M111" s="39" t="str">
        <f t="shared" si="13"/>
        <v/>
      </c>
      <c r="N111" s="4"/>
      <c r="O111" s="8"/>
      <c r="P111" s="4"/>
      <c r="Q111" s="39" t="str">
        <f t="shared" si="14"/>
        <v/>
      </c>
      <c r="R111" s="4"/>
      <c r="S111" s="8"/>
      <c r="T111" s="10" t="str">
        <f t="shared" si="15"/>
        <v/>
      </c>
      <c r="U111" s="4"/>
      <c r="V111" s="4"/>
    </row>
    <row r="112" spans="1:22" ht="18" customHeight="1" x14ac:dyDescent="0.45">
      <c r="A112" s="6"/>
      <c r="B112" s="39" t="str">
        <f>IFERROR(VLOOKUP(A112,'Incident Intake'!$A:$B,2,FALSE()),"")</f>
        <v/>
      </c>
      <c r="C112" s="10" t="str">
        <f>IFERROR(VLOOKUP(A112,'Incident Intake'!$A:$G,7,FALSE())&amp;" "&amp;VLOOKUP(A112,'Incident Intake'!$A:$F,6,FALSE()),"")</f>
        <v/>
      </c>
      <c r="D112" s="10" t="str">
        <f>IFERROR(VLOOKUP(A112,'Incident Intake'!$A:$J,10,FALSE()),"")</f>
        <v/>
      </c>
      <c r="E112" s="6"/>
      <c r="F112" s="6"/>
      <c r="G112" s="12"/>
      <c r="H112" s="12"/>
      <c r="I112" s="11" t="str">
        <f t="shared" si="12"/>
        <v/>
      </c>
      <c r="J112" s="6"/>
      <c r="K112" s="12"/>
      <c r="L112" s="6"/>
      <c r="M112" s="39" t="str">
        <f t="shared" si="13"/>
        <v/>
      </c>
      <c r="N112" s="6"/>
      <c r="O112" s="12"/>
      <c r="P112" s="6"/>
      <c r="Q112" s="39" t="str">
        <f t="shared" si="14"/>
        <v/>
      </c>
      <c r="R112" s="6"/>
      <c r="S112" s="12"/>
      <c r="T112" s="10" t="str">
        <f t="shared" si="15"/>
        <v/>
      </c>
      <c r="U112" s="6"/>
      <c r="V112" s="6"/>
    </row>
    <row r="113" spans="1:22" ht="18" customHeight="1" x14ac:dyDescent="0.45">
      <c r="A113" s="4"/>
      <c r="B113" s="39" t="str">
        <f>IFERROR(VLOOKUP(A113,'Incident Intake'!$A:$B,2,FALSE()),"")</f>
        <v/>
      </c>
      <c r="C113" s="10" t="str">
        <f>IFERROR(VLOOKUP(A113,'Incident Intake'!$A:$G,7,FALSE())&amp;" "&amp;VLOOKUP(A113,'Incident Intake'!$A:$F,6,FALSE()),"")</f>
        <v/>
      </c>
      <c r="D113" s="10" t="str">
        <f>IFERROR(VLOOKUP(A113,'Incident Intake'!$A:$J,10,FALSE()),"")</f>
        <v/>
      </c>
      <c r="E113" s="4"/>
      <c r="F113" s="4"/>
      <c r="G113" s="8"/>
      <c r="H113" s="8"/>
      <c r="I113" s="11" t="str">
        <f t="shared" si="12"/>
        <v/>
      </c>
      <c r="J113" s="4"/>
      <c r="K113" s="8"/>
      <c r="L113" s="4"/>
      <c r="M113" s="39" t="str">
        <f t="shared" si="13"/>
        <v/>
      </c>
      <c r="N113" s="4"/>
      <c r="O113" s="8"/>
      <c r="P113" s="4"/>
      <c r="Q113" s="39" t="str">
        <f t="shared" si="14"/>
        <v/>
      </c>
      <c r="R113" s="4"/>
      <c r="S113" s="8"/>
      <c r="T113" s="10" t="str">
        <f t="shared" si="15"/>
        <v/>
      </c>
      <c r="U113" s="4"/>
      <c r="V113" s="4"/>
    </row>
    <row r="114" spans="1:22" ht="18" customHeight="1" x14ac:dyDescent="0.45">
      <c r="A114" s="6"/>
      <c r="B114" s="39" t="str">
        <f>IFERROR(VLOOKUP(A114,'Incident Intake'!$A:$B,2,FALSE()),"")</f>
        <v/>
      </c>
      <c r="C114" s="10" t="str">
        <f>IFERROR(VLOOKUP(A114,'Incident Intake'!$A:$G,7,FALSE())&amp;" "&amp;VLOOKUP(A114,'Incident Intake'!$A:$F,6,FALSE()),"")</f>
        <v/>
      </c>
      <c r="D114" s="10" t="str">
        <f>IFERROR(VLOOKUP(A114,'Incident Intake'!$A:$J,10,FALSE()),"")</f>
        <v/>
      </c>
      <c r="E114" s="6"/>
      <c r="F114" s="6"/>
      <c r="G114" s="12"/>
      <c r="H114" s="12"/>
      <c r="I114" s="11" t="str">
        <f t="shared" si="12"/>
        <v/>
      </c>
      <c r="J114" s="6"/>
      <c r="K114" s="12"/>
      <c r="L114" s="6"/>
      <c r="M114" s="39" t="str">
        <f t="shared" si="13"/>
        <v/>
      </c>
      <c r="N114" s="6"/>
      <c r="O114" s="12"/>
      <c r="P114" s="6"/>
      <c r="Q114" s="39" t="str">
        <f t="shared" si="14"/>
        <v/>
      </c>
      <c r="R114" s="6"/>
      <c r="S114" s="12"/>
      <c r="T114" s="10" t="str">
        <f t="shared" si="15"/>
        <v/>
      </c>
      <c r="U114" s="6"/>
      <c r="V114" s="6"/>
    </row>
    <row r="115" spans="1:22" ht="18" customHeight="1" x14ac:dyDescent="0.45">
      <c r="A115" s="4"/>
      <c r="B115" s="39" t="str">
        <f>IFERROR(VLOOKUP(A115,'Incident Intake'!$A:$B,2,FALSE()),"")</f>
        <v/>
      </c>
      <c r="C115" s="10" t="str">
        <f>IFERROR(VLOOKUP(A115,'Incident Intake'!$A:$G,7,FALSE())&amp;" "&amp;VLOOKUP(A115,'Incident Intake'!$A:$F,6,FALSE()),"")</f>
        <v/>
      </c>
      <c r="D115" s="10" t="str">
        <f>IFERROR(VLOOKUP(A115,'Incident Intake'!$A:$J,10,FALSE()),"")</f>
        <v/>
      </c>
      <c r="E115" s="4"/>
      <c r="F115" s="4"/>
      <c r="G115" s="8"/>
      <c r="H115" s="8"/>
      <c r="I115" s="11" t="str">
        <f t="shared" si="12"/>
        <v/>
      </c>
      <c r="J115" s="4"/>
      <c r="K115" s="8"/>
      <c r="L115" s="4"/>
      <c r="M115" s="39" t="str">
        <f t="shared" si="13"/>
        <v/>
      </c>
      <c r="N115" s="4"/>
      <c r="O115" s="8"/>
      <c r="P115" s="4"/>
      <c r="Q115" s="39" t="str">
        <f t="shared" si="14"/>
        <v/>
      </c>
      <c r="R115" s="4"/>
      <c r="S115" s="8"/>
      <c r="T115" s="10" t="str">
        <f t="shared" si="15"/>
        <v/>
      </c>
      <c r="U115" s="4"/>
      <c r="V115" s="4"/>
    </row>
    <row r="116" spans="1:22" ht="18" customHeight="1" x14ac:dyDescent="0.45">
      <c r="A116" s="6"/>
      <c r="B116" s="39" t="str">
        <f>IFERROR(VLOOKUP(A116,'Incident Intake'!$A:$B,2,FALSE()),"")</f>
        <v/>
      </c>
      <c r="C116" s="10" t="str">
        <f>IFERROR(VLOOKUP(A116,'Incident Intake'!$A:$G,7,FALSE())&amp;" "&amp;VLOOKUP(A116,'Incident Intake'!$A:$F,6,FALSE()),"")</f>
        <v/>
      </c>
      <c r="D116" s="10" t="str">
        <f>IFERROR(VLOOKUP(A116,'Incident Intake'!$A:$J,10,FALSE()),"")</f>
        <v/>
      </c>
      <c r="E116" s="6"/>
      <c r="F116" s="6"/>
      <c r="G116" s="12"/>
      <c r="H116" s="12"/>
      <c r="I116" s="11" t="str">
        <f t="shared" si="12"/>
        <v/>
      </c>
      <c r="J116" s="6"/>
      <c r="K116" s="12"/>
      <c r="L116" s="6"/>
      <c r="M116" s="39" t="str">
        <f t="shared" si="13"/>
        <v/>
      </c>
      <c r="N116" s="6"/>
      <c r="O116" s="12"/>
      <c r="P116" s="6"/>
      <c r="Q116" s="39" t="str">
        <f t="shared" si="14"/>
        <v/>
      </c>
      <c r="R116" s="6"/>
      <c r="S116" s="12"/>
      <c r="T116" s="10" t="str">
        <f t="shared" si="15"/>
        <v/>
      </c>
      <c r="U116" s="6"/>
      <c r="V116" s="6"/>
    </row>
    <row r="117" spans="1:22" ht="18" customHeight="1" x14ac:dyDescent="0.45">
      <c r="A117" s="4"/>
      <c r="B117" s="39" t="str">
        <f>IFERROR(VLOOKUP(A117,'Incident Intake'!$A:$B,2,FALSE()),"")</f>
        <v/>
      </c>
      <c r="C117" s="10" t="str">
        <f>IFERROR(VLOOKUP(A117,'Incident Intake'!$A:$G,7,FALSE())&amp;" "&amp;VLOOKUP(A117,'Incident Intake'!$A:$F,6,FALSE()),"")</f>
        <v/>
      </c>
      <c r="D117" s="10" t="str">
        <f>IFERROR(VLOOKUP(A117,'Incident Intake'!$A:$J,10,FALSE()),"")</f>
        <v/>
      </c>
      <c r="E117" s="4"/>
      <c r="F117" s="4"/>
      <c r="G117" s="8"/>
      <c r="H117" s="8"/>
      <c r="I117" s="11" t="str">
        <f t="shared" si="12"/>
        <v/>
      </c>
      <c r="J117" s="4"/>
      <c r="K117" s="8"/>
      <c r="L117" s="4"/>
      <c r="M117" s="39" t="str">
        <f t="shared" si="13"/>
        <v/>
      </c>
      <c r="N117" s="4"/>
      <c r="O117" s="8"/>
      <c r="P117" s="4"/>
      <c r="Q117" s="39" t="str">
        <f t="shared" si="14"/>
        <v/>
      </c>
      <c r="R117" s="4"/>
      <c r="S117" s="8"/>
      <c r="T117" s="10" t="str">
        <f t="shared" si="15"/>
        <v/>
      </c>
      <c r="U117" s="4"/>
      <c r="V117" s="4"/>
    </row>
    <row r="118" spans="1:22" ht="18" customHeight="1" x14ac:dyDescent="0.45">
      <c r="A118" s="6"/>
      <c r="B118" s="39" t="str">
        <f>IFERROR(VLOOKUP(A118,'Incident Intake'!$A:$B,2,FALSE()),"")</f>
        <v/>
      </c>
      <c r="C118" s="10" t="str">
        <f>IFERROR(VLOOKUP(A118,'Incident Intake'!$A:$G,7,FALSE())&amp;" "&amp;VLOOKUP(A118,'Incident Intake'!$A:$F,6,FALSE()),"")</f>
        <v/>
      </c>
      <c r="D118" s="10" t="str">
        <f>IFERROR(VLOOKUP(A118,'Incident Intake'!$A:$J,10,FALSE()),"")</f>
        <v/>
      </c>
      <c r="E118" s="6"/>
      <c r="F118" s="6"/>
      <c r="G118" s="12"/>
      <c r="H118" s="12"/>
      <c r="I118" s="11" t="str">
        <f t="shared" si="12"/>
        <v/>
      </c>
      <c r="J118" s="6"/>
      <c r="K118" s="12"/>
      <c r="L118" s="6"/>
      <c r="M118" s="39" t="str">
        <f t="shared" si="13"/>
        <v/>
      </c>
      <c r="N118" s="6"/>
      <c r="O118" s="12"/>
      <c r="P118" s="6"/>
      <c r="Q118" s="39" t="str">
        <f t="shared" si="14"/>
        <v/>
      </c>
      <c r="R118" s="6"/>
      <c r="S118" s="12"/>
      <c r="T118" s="10" t="str">
        <f t="shared" si="15"/>
        <v/>
      </c>
      <c r="U118" s="6"/>
      <c r="V118" s="6"/>
    </row>
    <row r="119" spans="1:22" ht="18" customHeight="1" x14ac:dyDescent="0.45">
      <c r="A119" s="4"/>
      <c r="B119" s="39" t="str">
        <f>IFERROR(VLOOKUP(A119,'Incident Intake'!$A:$B,2,FALSE()),"")</f>
        <v/>
      </c>
      <c r="C119" s="10" t="str">
        <f>IFERROR(VLOOKUP(A119,'Incident Intake'!$A:$G,7,FALSE())&amp;" "&amp;VLOOKUP(A119,'Incident Intake'!$A:$F,6,FALSE()),"")</f>
        <v/>
      </c>
      <c r="D119" s="10" t="str">
        <f>IFERROR(VLOOKUP(A119,'Incident Intake'!$A:$J,10,FALSE()),"")</f>
        <v/>
      </c>
      <c r="E119" s="4"/>
      <c r="F119" s="4"/>
      <c r="G119" s="8"/>
      <c r="H119" s="8"/>
      <c r="I119" s="11" t="str">
        <f t="shared" si="12"/>
        <v/>
      </c>
      <c r="J119" s="4"/>
      <c r="K119" s="8"/>
      <c r="L119" s="4"/>
      <c r="M119" s="39" t="str">
        <f t="shared" si="13"/>
        <v/>
      </c>
      <c r="N119" s="4"/>
      <c r="O119" s="8"/>
      <c r="P119" s="4"/>
      <c r="Q119" s="39" t="str">
        <f t="shared" si="14"/>
        <v/>
      </c>
      <c r="R119" s="4"/>
      <c r="S119" s="8"/>
      <c r="T119" s="10" t="str">
        <f t="shared" si="15"/>
        <v/>
      </c>
      <c r="U119" s="4"/>
      <c r="V119" s="4"/>
    </row>
    <row r="120" spans="1:22" ht="18" customHeight="1" x14ac:dyDescent="0.45">
      <c r="A120" s="6"/>
      <c r="B120" s="39" t="str">
        <f>IFERROR(VLOOKUP(A120,'Incident Intake'!$A:$B,2,FALSE()),"")</f>
        <v/>
      </c>
      <c r="C120" s="10" t="str">
        <f>IFERROR(VLOOKUP(A120,'Incident Intake'!$A:$G,7,FALSE())&amp;" "&amp;VLOOKUP(A120,'Incident Intake'!$A:$F,6,FALSE()),"")</f>
        <v/>
      </c>
      <c r="D120" s="10" t="str">
        <f>IFERROR(VLOOKUP(A120,'Incident Intake'!$A:$J,10,FALSE()),"")</f>
        <v/>
      </c>
      <c r="E120" s="6"/>
      <c r="F120" s="6"/>
      <c r="G120" s="12"/>
      <c r="H120" s="12"/>
      <c r="I120" s="11" t="str">
        <f t="shared" si="12"/>
        <v/>
      </c>
      <c r="J120" s="6"/>
      <c r="K120" s="12"/>
      <c r="L120" s="6"/>
      <c r="M120" s="39" t="str">
        <f t="shared" si="13"/>
        <v/>
      </c>
      <c r="N120" s="6"/>
      <c r="O120" s="12"/>
      <c r="P120" s="6"/>
      <c r="Q120" s="39" t="str">
        <f t="shared" si="14"/>
        <v/>
      </c>
      <c r="R120" s="6"/>
      <c r="S120" s="12"/>
      <c r="T120" s="10" t="str">
        <f t="shared" si="15"/>
        <v/>
      </c>
      <c r="U120" s="6"/>
      <c r="V120" s="6"/>
    </row>
    <row r="121" spans="1:22" ht="18" customHeight="1" x14ac:dyDescent="0.45">
      <c r="A121" s="4"/>
      <c r="B121" s="39" t="str">
        <f>IFERROR(VLOOKUP(A121,'Incident Intake'!$A:$B,2,FALSE()),"")</f>
        <v/>
      </c>
      <c r="C121" s="10" t="str">
        <f>IFERROR(VLOOKUP(A121,'Incident Intake'!$A:$G,7,FALSE())&amp;" "&amp;VLOOKUP(A121,'Incident Intake'!$A:$F,6,FALSE()),"")</f>
        <v/>
      </c>
      <c r="D121" s="10" t="str">
        <f>IFERROR(VLOOKUP(A121,'Incident Intake'!$A:$J,10,FALSE()),"")</f>
        <v/>
      </c>
      <c r="E121" s="4"/>
      <c r="F121" s="4"/>
      <c r="G121" s="8"/>
      <c r="H121" s="8"/>
      <c r="I121" s="11" t="str">
        <f t="shared" si="12"/>
        <v/>
      </c>
      <c r="J121" s="4"/>
      <c r="K121" s="8"/>
      <c r="L121" s="4"/>
      <c r="M121" s="39" t="str">
        <f t="shared" si="13"/>
        <v/>
      </c>
      <c r="N121" s="4"/>
      <c r="O121" s="8"/>
      <c r="P121" s="4"/>
      <c r="Q121" s="39" t="str">
        <f t="shared" si="14"/>
        <v/>
      </c>
      <c r="R121" s="4"/>
      <c r="S121" s="8"/>
      <c r="T121" s="10" t="str">
        <f t="shared" si="15"/>
        <v/>
      </c>
      <c r="U121" s="4"/>
      <c r="V121" s="4"/>
    </row>
    <row r="122" spans="1:22" ht="18" customHeight="1" x14ac:dyDescent="0.45">
      <c r="A122" s="6"/>
      <c r="B122" s="39" t="str">
        <f>IFERROR(VLOOKUP(A122,'Incident Intake'!$A:$B,2,FALSE()),"")</f>
        <v/>
      </c>
      <c r="C122" s="10" t="str">
        <f>IFERROR(VLOOKUP(A122,'Incident Intake'!$A:$G,7,FALSE())&amp;" "&amp;VLOOKUP(A122,'Incident Intake'!$A:$F,6,FALSE()),"")</f>
        <v/>
      </c>
      <c r="D122" s="10" t="str">
        <f>IFERROR(VLOOKUP(A122,'Incident Intake'!$A:$J,10,FALSE()),"")</f>
        <v/>
      </c>
      <c r="E122" s="6"/>
      <c r="F122" s="6"/>
      <c r="G122" s="12"/>
      <c r="H122" s="12"/>
      <c r="I122" s="11" t="str">
        <f t="shared" si="12"/>
        <v/>
      </c>
      <c r="J122" s="6"/>
      <c r="K122" s="12"/>
      <c r="L122" s="6"/>
      <c r="M122" s="39" t="str">
        <f t="shared" si="13"/>
        <v/>
      </c>
      <c r="N122" s="6"/>
      <c r="O122" s="12"/>
      <c r="P122" s="6"/>
      <c r="Q122" s="39" t="str">
        <f t="shared" si="14"/>
        <v/>
      </c>
      <c r="R122" s="6"/>
      <c r="S122" s="12"/>
      <c r="T122" s="10" t="str">
        <f t="shared" si="15"/>
        <v/>
      </c>
      <c r="U122" s="6"/>
      <c r="V122" s="6"/>
    </row>
    <row r="123" spans="1:22" ht="18" customHeight="1" x14ac:dyDescent="0.45">
      <c r="A123" s="4"/>
      <c r="B123" s="39" t="str">
        <f>IFERROR(VLOOKUP(A123,'Incident Intake'!$A:$B,2,FALSE()),"")</f>
        <v/>
      </c>
      <c r="C123" s="10" t="str">
        <f>IFERROR(VLOOKUP(A123,'Incident Intake'!$A:$G,7,FALSE())&amp;" "&amp;VLOOKUP(A123,'Incident Intake'!$A:$F,6,FALSE()),"")</f>
        <v/>
      </c>
      <c r="D123" s="10" t="str">
        <f>IFERROR(VLOOKUP(A123,'Incident Intake'!$A:$J,10,FALSE()),"")</f>
        <v/>
      </c>
      <c r="E123" s="4"/>
      <c r="F123" s="4"/>
      <c r="G123" s="8"/>
      <c r="H123" s="8"/>
      <c r="I123" s="11" t="str">
        <f t="shared" si="12"/>
        <v/>
      </c>
      <c r="J123" s="4"/>
      <c r="K123" s="8"/>
      <c r="L123" s="4"/>
      <c r="M123" s="39" t="str">
        <f t="shared" si="13"/>
        <v/>
      </c>
      <c r="N123" s="4"/>
      <c r="O123" s="8"/>
      <c r="P123" s="4"/>
      <c r="Q123" s="39" t="str">
        <f t="shared" si="14"/>
        <v/>
      </c>
      <c r="R123" s="4"/>
      <c r="S123" s="8"/>
      <c r="T123" s="10" t="str">
        <f t="shared" si="15"/>
        <v/>
      </c>
      <c r="U123" s="4"/>
      <c r="V123" s="4"/>
    </row>
    <row r="124" spans="1:22" ht="18" customHeight="1" x14ac:dyDescent="0.45">
      <c r="A124" s="6"/>
      <c r="B124" s="39" t="str">
        <f>IFERROR(VLOOKUP(A124,'Incident Intake'!$A:$B,2,FALSE()),"")</f>
        <v/>
      </c>
      <c r="C124" s="10" t="str">
        <f>IFERROR(VLOOKUP(A124,'Incident Intake'!$A:$G,7,FALSE())&amp;" "&amp;VLOOKUP(A124,'Incident Intake'!$A:$F,6,FALSE()),"")</f>
        <v/>
      </c>
      <c r="D124" s="10" t="str">
        <f>IFERROR(VLOOKUP(A124,'Incident Intake'!$A:$J,10,FALSE()),"")</f>
        <v/>
      </c>
      <c r="E124" s="6"/>
      <c r="F124" s="6"/>
      <c r="G124" s="12"/>
      <c r="H124" s="12"/>
      <c r="I124" s="11" t="str">
        <f t="shared" si="12"/>
        <v/>
      </c>
      <c r="J124" s="6"/>
      <c r="K124" s="12"/>
      <c r="L124" s="6"/>
      <c r="M124" s="39" t="str">
        <f t="shared" si="13"/>
        <v/>
      </c>
      <c r="N124" s="6"/>
      <c r="O124" s="12"/>
      <c r="P124" s="6"/>
      <c r="Q124" s="39" t="str">
        <f t="shared" si="14"/>
        <v/>
      </c>
      <c r="R124" s="6"/>
      <c r="S124" s="12"/>
      <c r="T124" s="10" t="str">
        <f t="shared" si="15"/>
        <v/>
      </c>
      <c r="U124" s="6"/>
      <c r="V124" s="6"/>
    </row>
    <row r="125" spans="1:22" ht="18" customHeight="1" x14ac:dyDescent="0.45">
      <c r="A125" s="4"/>
      <c r="B125" s="39" t="str">
        <f>IFERROR(VLOOKUP(A125,'Incident Intake'!$A:$B,2,FALSE()),"")</f>
        <v/>
      </c>
      <c r="C125" s="10" t="str">
        <f>IFERROR(VLOOKUP(A125,'Incident Intake'!$A:$G,7,FALSE())&amp;" "&amp;VLOOKUP(A125,'Incident Intake'!$A:$F,6,FALSE()),"")</f>
        <v/>
      </c>
      <c r="D125" s="10" t="str">
        <f>IFERROR(VLOOKUP(A125,'Incident Intake'!$A:$J,10,FALSE()),"")</f>
        <v/>
      </c>
      <c r="E125" s="4"/>
      <c r="F125" s="4"/>
      <c r="G125" s="8"/>
      <c r="H125" s="8"/>
      <c r="I125" s="11" t="str">
        <f t="shared" si="12"/>
        <v/>
      </c>
      <c r="J125" s="4"/>
      <c r="K125" s="8"/>
      <c r="L125" s="4"/>
      <c r="M125" s="39" t="str">
        <f t="shared" si="13"/>
        <v/>
      </c>
      <c r="N125" s="4"/>
      <c r="O125" s="8"/>
      <c r="P125" s="4"/>
      <c r="Q125" s="39" t="str">
        <f t="shared" si="14"/>
        <v/>
      </c>
      <c r="R125" s="4"/>
      <c r="S125" s="8"/>
      <c r="T125" s="10" t="str">
        <f t="shared" si="15"/>
        <v/>
      </c>
      <c r="U125" s="4"/>
      <c r="V125" s="4"/>
    </row>
    <row r="126" spans="1:22" ht="18" customHeight="1" x14ac:dyDescent="0.45">
      <c r="A126" s="6"/>
      <c r="B126" s="39" t="str">
        <f>IFERROR(VLOOKUP(A126,'Incident Intake'!$A:$B,2,FALSE()),"")</f>
        <v/>
      </c>
      <c r="C126" s="10" t="str">
        <f>IFERROR(VLOOKUP(A126,'Incident Intake'!$A:$G,7,FALSE())&amp;" "&amp;VLOOKUP(A126,'Incident Intake'!$A:$F,6,FALSE()),"")</f>
        <v/>
      </c>
      <c r="D126" s="10" t="str">
        <f>IFERROR(VLOOKUP(A126,'Incident Intake'!$A:$J,10,FALSE()),"")</f>
        <v/>
      </c>
      <c r="E126" s="6"/>
      <c r="F126" s="6"/>
      <c r="G126" s="12"/>
      <c r="H126" s="12"/>
      <c r="I126" s="11" t="str">
        <f t="shared" si="12"/>
        <v/>
      </c>
      <c r="J126" s="6"/>
      <c r="K126" s="12"/>
      <c r="L126" s="6"/>
      <c r="M126" s="39" t="str">
        <f t="shared" si="13"/>
        <v/>
      </c>
      <c r="N126" s="6"/>
      <c r="O126" s="12"/>
      <c r="P126" s="6"/>
      <c r="Q126" s="39" t="str">
        <f t="shared" si="14"/>
        <v/>
      </c>
      <c r="R126" s="6"/>
      <c r="S126" s="12"/>
      <c r="T126" s="10" t="str">
        <f t="shared" si="15"/>
        <v/>
      </c>
      <c r="U126" s="6"/>
      <c r="V126" s="6"/>
    </row>
    <row r="127" spans="1:22" ht="18" customHeight="1" x14ac:dyDescent="0.45">
      <c r="A127" s="4"/>
      <c r="B127" s="39" t="str">
        <f>IFERROR(VLOOKUP(A127,'Incident Intake'!$A:$B,2,FALSE()),"")</f>
        <v/>
      </c>
      <c r="C127" s="10" t="str">
        <f>IFERROR(VLOOKUP(A127,'Incident Intake'!$A:$G,7,FALSE())&amp;" "&amp;VLOOKUP(A127,'Incident Intake'!$A:$F,6,FALSE()),"")</f>
        <v/>
      </c>
      <c r="D127" s="10" t="str">
        <f>IFERROR(VLOOKUP(A127,'Incident Intake'!$A:$J,10,FALSE()),"")</f>
        <v/>
      </c>
      <c r="E127" s="4"/>
      <c r="F127" s="4"/>
      <c r="G127" s="8"/>
      <c r="H127" s="8"/>
      <c r="I127" s="11" t="str">
        <f t="shared" si="12"/>
        <v/>
      </c>
      <c r="J127" s="4"/>
      <c r="K127" s="8"/>
      <c r="L127" s="4"/>
      <c r="M127" s="39" t="str">
        <f t="shared" si="13"/>
        <v/>
      </c>
      <c r="N127" s="4"/>
      <c r="O127" s="8"/>
      <c r="P127" s="4"/>
      <c r="Q127" s="39" t="str">
        <f t="shared" si="14"/>
        <v/>
      </c>
      <c r="R127" s="4"/>
      <c r="S127" s="8"/>
      <c r="T127" s="10" t="str">
        <f t="shared" si="15"/>
        <v/>
      </c>
      <c r="U127" s="4"/>
      <c r="V127" s="4"/>
    </row>
    <row r="128" spans="1:22" ht="18" customHeight="1" x14ac:dyDescent="0.45">
      <c r="A128" s="6"/>
      <c r="B128" s="39" t="str">
        <f>IFERROR(VLOOKUP(A128,'Incident Intake'!$A:$B,2,FALSE()),"")</f>
        <v/>
      </c>
      <c r="C128" s="10" t="str">
        <f>IFERROR(VLOOKUP(A128,'Incident Intake'!$A:$G,7,FALSE())&amp;" "&amp;VLOOKUP(A128,'Incident Intake'!$A:$F,6,FALSE()),"")</f>
        <v/>
      </c>
      <c r="D128" s="10" t="str">
        <f>IFERROR(VLOOKUP(A128,'Incident Intake'!$A:$J,10,FALSE()),"")</f>
        <v/>
      </c>
      <c r="E128" s="6"/>
      <c r="F128" s="6"/>
      <c r="G128" s="12"/>
      <c r="H128" s="12"/>
      <c r="I128" s="11" t="str">
        <f t="shared" si="12"/>
        <v/>
      </c>
      <c r="J128" s="6"/>
      <c r="K128" s="12"/>
      <c r="L128" s="6"/>
      <c r="M128" s="39" t="str">
        <f t="shared" si="13"/>
        <v/>
      </c>
      <c r="N128" s="6"/>
      <c r="O128" s="12"/>
      <c r="P128" s="6"/>
      <c r="Q128" s="39" t="str">
        <f t="shared" si="14"/>
        <v/>
      </c>
      <c r="R128" s="6"/>
      <c r="S128" s="12"/>
      <c r="T128" s="10" t="str">
        <f t="shared" si="15"/>
        <v/>
      </c>
      <c r="U128" s="6"/>
      <c r="V128" s="6"/>
    </row>
    <row r="129" spans="1:22" ht="18" customHeight="1" x14ac:dyDescent="0.45">
      <c r="A129" s="4"/>
      <c r="B129" s="39" t="str">
        <f>IFERROR(VLOOKUP(A129,'Incident Intake'!$A:$B,2,FALSE()),"")</f>
        <v/>
      </c>
      <c r="C129" s="10" t="str">
        <f>IFERROR(VLOOKUP(A129,'Incident Intake'!$A:$G,7,FALSE())&amp;" "&amp;VLOOKUP(A129,'Incident Intake'!$A:$F,6,FALSE()),"")</f>
        <v/>
      </c>
      <c r="D129" s="10" t="str">
        <f>IFERROR(VLOOKUP(A129,'Incident Intake'!$A:$J,10,FALSE()),"")</f>
        <v/>
      </c>
      <c r="E129" s="4"/>
      <c r="F129" s="4"/>
      <c r="G129" s="8"/>
      <c r="H129" s="8"/>
      <c r="I129" s="11" t="str">
        <f t="shared" si="12"/>
        <v/>
      </c>
      <c r="J129" s="4"/>
      <c r="K129" s="8"/>
      <c r="L129" s="4"/>
      <c r="M129" s="39" t="str">
        <f t="shared" si="13"/>
        <v/>
      </c>
      <c r="N129" s="4"/>
      <c r="O129" s="8"/>
      <c r="P129" s="4"/>
      <c r="Q129" s="39" t="str">
        <f t="shared" si="14"/>
        <v/>
      </c>
      <c r="R129" s="4"/>
      <c r="S129" s="8"/>
      <c r="T129" s="10" t="str">
        <f t="shared" si="15"/>
        <v/>
      </c>
      <c r="U129" s="4"/>
      <c r="V129" s="4"/>
    </row>
    <row r="130" spans="1:22" ht="18" customHeight="1" x14ac:dyDescent="0.45">
      <c r="A130" s="6"/>
      <c r="B130" s="39" t="str">
        <f>IFERROR(VLOOKUP(A130,'Incident Intake'!$A:$B,2,FALSE()),"")</f>
        <v/>
      </c>
      <c r="C130" s="10" t="str">
        <f>IFERROR(VLOOKUP(A130,'Incident Intake'!$A:$G,7,FALSE())&amp;" "&amp;VLOOKUP(A130,'Incident Intake'!$A:$F,6,FALSE()),"")</f>
        <v/>
      </c>
      <c r="D130" s="10" t="str">
        <f>IFERROR(VLOOKUP(A130,'Incident Intake'!$A:$J,10,FALSE()),"")</f>
        <v/>
      </c>
      <c r="E130" s="6"/>
      <c r="F130" s="6"/>
      <c r="G130" s="12"/>
      <c r="H130" s="12"/>
      <c r="I130" s="11" t="str">
        <f t="shared" si="12"/>
        <v/>
      </c>
      <c r="J130" s="6"/>
      <c r="K130" s="12"/>
      <c r="L130" s="6"/>
      <c r="M130" s="39" t="str">
        <f t="shared" si="13"/>
        <v/>
      </c>
      <c r="N130" s="6"/>
      <c r="O130" s="12"/>
      <c r="P130" s="6"/>
      <c r="Q130" s="39" t="str">
        <f t="shared" si="14"/>
        <v/>
      </c>
      <c r="R130" s="6"/>
      <c r="S130" s="12"/>
      <c r="T130" s="10" t="str">
        <f t="shared" si="15"/>
        <v/>
      </c>
      <c r="U130" s="6"/>
      <c r="V130" s="6"/>
    </row>
    <row r="131" spans="1:22" ht="18" customHeight="1" x14ac:dyDescent="0.45">
      <c r="A131" s="4"/>
      <c r="B131" s="39" t="str">
        <f>IFERROR(VLOOKUP(A131,'Incident Intake'!$A:$B,2,FALSE()),"")</f>
        <v/>
      </c>
      <c r="C131" s="10" t="str">
        <f>IFERROR(VLOOKUP(A131,'Incident Intake'!$A:$G,7,FALSE())&amp;" "&amp;VLOOKUP(A131,'Incident Intake'!$A:$F,6,FALSE()),"")</f>
        <v/>
      </c>
      <c r="D131" s="10" t="str">
        <f>IFERROR(VLOOKUP(A131,'Incident Intake'!$A:$J,10,FALSE()),"")</f>
        <v/>
      </c>
      <c r="E131" s="4"/>
      <c r="F131" s="4"/>
      <c r="G131" s="8"/>
      <c r="H131" s="8"/>
      <c r="I131" s="11" t="str">
        <f t="shared" si="12"/>
        <v/>
      </c>
      <c r="J131" s="4"/>
      <c r="K131" s="8"/>
      <c r="L131" s="4"/>
      <c r="M131" s="39" t="str">
        <f t="shared" si="13"/>
        <v/>
      </c>
      <c r="N131" s="4"/>
      <c r="O131" s="8"/>
      <c r="P131" s="4"/>
      <c r="Q131" s="39" t="str">
        <f t="shared" si="14"/>
        <v/>
      </c>
      <c r="R131" s="4"/>
      <c r="S131" s="8"/>
      <c r="T131" s="10" t="str">
        <f t="shared" si="15"/>
        <v/>
      </c>
      <c r="U131" s="4"/>
      <c r="V131" s="4"/>
    </row>
    <row r="132" spans="1:22" ht="18" customHeight="1" x14ac:dyDescent="0.45">
      <c r="A132" s="6"/>
      <c r="B132" s="39" t="str">
        <f>IFERROR(VLOOKUP(A132,'Incident Intake'!$A:$B,2,FALSE()),"")</f>
        <v/>
      </c>
      <c r="C132" s="10" t="str">
        <f>IFERROR(VLOOKUP(A132,'Incident Intake'!$A:$G,7,FALSE())&amp;" "&amp;VLOOKUP(A132,'Incident Intake'!$A:$F,6,FALSE()),"")</f>
        <v/>
      </c>
      <c r="D132" s="10" t="str">
        <f>IFERROR(VLOOKUP(A132,'Incident Intake'!$A:$J,10,FALSE()),"")</f>
        <v/>
      </c>
      <c r="E132" s="6"/>
      <c r="F132" s="6"/>
      <c r="G132" s="12"/>
      <c r="H132" s="12"/>
      <c r="I132" s="11" t="str">
        <f t="shared" si="12"/>
        <v/>
      </c>
      <c r="J132" s="6"/>
      <c r="K132" s="12"/>
      <c r="L132" s="6"/>
      <c r="M132" s="39" t="str">
        <f t="shared" si="13"/>
        <v/>
      </c>
      <c r="N132" s="6"/>
      <c r="O132" s="12"/>
      <c r="P132" s="6"/>
      <c r="Q132" s="39" t="str">
        <f t="shared" si="14"/>
        <v/>
      </c>
      <c r="R132" s="6"/>
      <c r="S132" s="12"/>
      <c r="T132" s="10" t="str">
        <f t="shared" si="15"/>
        <v/>
      </c>
      <c r="U132" s="6"/>
      <c r="V132" s="6"/>
    </row>
    <row r="133" spans="1:22" ht="18" customHeight="1" x14ac:dyDescent="0.45">
      <c r="A133" s="4"/>
      <c r="B133" s="39" t="str">
        <f>IFERROR(VLOOKUP(A133,'Incident Intake'!$A:$B,2,FALSE()),"")</f>
        <v/>
      </c>
      <c r="C133" s="10" t="str">
        <f>IFERROR(VLOOKUP(A133,'Incident Intake'!$A:$G,7,FALSE())&amp;" "&amp;VLOOKUP(A133,'Incident Intake'!$A:$F,6,FALSE()),"")</f>
        <v/>
      </c>
      <c r="D133" s="10" t="str">
        <f>IFERROR(VLOOKUP(A133,'Incident Intake'!$A:$J,10,FALSE()),"")</f>
        <v/>
      </c>
      <c r="E133" s="4"/>
      <c r="F133" s="4"/>
      <c r="G133" s="8"/>
      <c r="H133" s="8"/>
      <c r="I133" s="11" t="str">
        <f t="shared" ref="I133:I164" si="16">IF(OR(G133="",H133=""),"",H133-G133+1)</f>
        <v/>
      </c>
      <c r="J133" s="4"/>
      <c r="K133" s="8"/>
      <c r="L133" s="4"/>
      <c r="M133" s="39" t="str">
        <f t="shared" ref="M133:M154" si="17">IF(G133="","",G133+21)</f>
        <v/>
      </c>
      <c r="N133" s="4"/>
      <c r="O133" s="8"/>
      <c r="P133" s="4"/>
      <c r="Q133" s="39" t="str">
        <f t="shared" ref="Q133:Q154" si="18">IF(OR(N133&lt;&gt;"Yes",O133=""),"",O133+21)</f>
        <v/>
      </c>
      <c r="R133" s="4"/>
      <c r="S133" s="8"/>
      <c r="T133" s="10" t="str">
        <f t="shared" ref="T133:T154" si="19">IF(A133="","",IF(P133="Resolved — Overturned","OVERTURNED",IF(P133="Resolved — Modified","MODIFIED",IF(P133="Resolved — Upheld","UPHELD — CLOSED",IF(N133="Yes","APPEAL ACTIVE","CLOSED — NO APPEAL")))))</f>
        <v/>
      </c>
      <c r="U133" s="4"/>
      <c r="V133" s="4"/>
    </row>
    <row r="134" spans="1:22" ht="18" customHeight="1" x14ac:dyDescent="0.45">
      <c r="A134" s="6"/>
      <c r="B134" s="39" t="str">
        <f>IFERROR(VLOOKUP(A134,'Incident Intake'!$A:$B,2,FALSE()),"")</f>
        <v/>
      </c>
      <c r="C134" s="10" t="str">
        <f>IFERROR(VLOOKUP(A134,'Incident Intake'!$A:$G,7,FALSE())&amp;" "&amp;VLOOKUP(A134,'Incident Intake'!$A:$F,6,FALSE()),"")</f>
        <v/>
      </c>
      <c r="D134" s="10" t="str">
        <f>IFERROR(VLOOKUP(A134,'Incident Intake'!$A:$J,10,FALSE()),"")</f>
        <v/>
      </c>
      <c r="E134" s="6"/>
      <c r="F134" s="6"/>
      <c r="G134" s="12"/>
      <c r="H134" s="12"/>
      <c r="I134" s="11" t="str">
        <f t="shared" si="16"/>
        <v/>
      </c>
      <c r="J134" s="6"/>
      <c r="K134" s="12"/>
      <c r="L134" s="6"/>
      <c r="M134" s="39" t="str">
        <f t="shared" si="17"/>
        <v/>
      </c>
      <c r="N134" s="6"/>
      <c r="O134" s="12"/>
      <c r="P134" s="6"/>
      <c r="Q134" s="39" t="str">
        <f t="shared" si="18"/>
        <v/>
      </c>
      <c r="R134" s="6"/>
      <c r="S134" s="12"/>
      <c r="T134" s="10" t="str">
        <f t="shared" si="19"/>
        <v/>
      </c>
      <c r="U134" s="6"/>
      <c r="V134" s="6"/>
    </row>
    <row r="135" spans="1:22" ht="18" customHeight="1" x14ac:dyDescent="0.45">
      <c r="A135" s="4"/>
      <c r="B135" s="39" t="str">
        <f>IFERROR(VLOOKUP(A135,'Incident Intake'!$A:$B,2,FALSE()),"")</f>
        <v/>
      </c>
      <c r="C135" s="10" t="str">
        <f>IFERROR(VLOOKUP(A135,'Incident Intake'!$A:$G,7,FALSE())&amp;" "&amp;VLOOKUP(A135,'Incident Intake'!$A:$F,6,FALSE()),"")</f>
        <v/>
      </c>
      <c r="D135" s="10" t="str">
        <f>IFERROR(VLOOKUP(A135,'Incident Intake'!$A:$J,10,FALSE()),"")</f>
        <v/>
      </c>
      <c r="E135" s="4"/>
      <c r="F135" s="4"/>
      <c r="G135" s="8"/>
      <c r="H135" s="8"/>
      <c r="I135" s="11" t="str">
        <f t="shared" si="16"/>
        <v/>
      </c>
      <c r="J135" s="4"/>
      <c r="K135" s="8"/>
      <c r="L135" s="4"/>
      <c r="M135" s="39" t="str">
        <f t="shared" si="17"/>
        <v/>
      </c>
      <c r="N135" s="4"/>
      <c r="O135" s="8"/>
      <c r="P135" s="4"/>
      <c r="Q135" s="39" t="str">
        <f t="shared" si="18"/>
        <v/>
      </c>
      <c r="R135" s="4"/>
      <c r="S135" s="8"/>
      <c r="T135" s="10" t="str">
        <f t="shared" si="19"/>
        <v/>
      </c>
      <c r="U135" s="4"/>
      <c r="V135" s="4"/>
    </row>
    <row r="136" spans="1:22" ht="18" customHeight="1" x14ac:dyDescent="0.45">
      <c r="A136" s="6"/>
      <c r="B136" s="39" t="str">
        <f>IFERROR(VLOOKUP(A136,'Incident Intake'!$A:$B,2,FALSE()),"")</f>
        <v/>
      </c>
      <c r="C136" s="10" t="str">
        <f>IFERROR(VLOOKUP(A136,'Incident Intake'!$A:$G,7,FALSE())&amp;" "&amp;VLOOKUP(A136,'Incident Intake'!$A:$F,6,FALSE()),"")</f>
        <v/>
      </c>
      <c r="D136" s="10" t="str">
        <f>IFERROR(VLOOKUP(A136,'Incident Intake'!$A:$J,10,FALSE()),"")</f>
        <v/>
      </c>
      <c r="E136" s="6"/>
      <c r="F136" s="6"/>
      <c r="G136" s="12"/>
      <c r="H136" s="12"/>
      <c r="I136" s="11" t="str">
        <f t="shared" si="16"/>
        <v/>
      </c>
      <c r="J136" s="6"/>
      <c r="K136" s="12"/>
      <c r="L136" s="6"/>
      <c r="M136" s="39" t="str">
        <f t="shared" si="17"/>
        <v/>
      </c>
      <c r="N136" s="6"/>
      <c r="O136" s="12"/>
      <c r="P136" s="6"/>
      <c r="Q136" s="39" t="str">
        <f t="shared" si="18"/>
        <v/>
      </c>
      <c r="R136" s="6"/>
      <c r="S136" s="12"/>
      <c r="T136" s="10" t="str">
        <f t="shared" si="19"/>
        <v/>
      </c>
      <c r="U136" s="6"/>
      <c r="V136" s="6"/>
    </row>
    <row r="137" spans="1:22" ht="18" customHeight="1" x14ac:dyDescent="0.45">
      <c r="A137" s="4"/>
      <c r="B137" s="39" t="str">
        <f>IFERROR(VLOOKUP(A137,'Incident Intake'!$A:$B,2,FALSE()),"")</f>
        <v/>
      </c>
      <c r="C137" s="10" t="str">
        <f>IFERROR(VLOOKUP(A137,'Incident Intake'!$A:$G,7,FALSE())&amp;" "&amp;VLOOKUP(A137,'Incident Intake'!$A:$F,6,FALSE()),"")</f>
        <v/>
      </c>
      <c r="D137" s="10" t="str">
        <f>IFERROR(VLOOKUP(A137,'Incident Intake'!$A:$J,10,FALSE()),"")</f>
        <v/>
      </c>
      <c r="E137" s="4"/>
      <c r="F137" s="4"/>
      <c r="G137" s="8"/>
      <c r="H137" s="8"/>
      <c r="I137" s="11" t="str">
        <f t="shared" si="16"/>
        <v/>
      </c>
      <c r="J137" s="4"/>
      <c r="K137" s="8"/>
      <c r="L137" s="4"/>
      <c r="M137" s="39" t="str">
        <f t="shared" si="17"/>
        <v/>
      </c>
      <c r="N137" s="4"/>
      <c r="O137" s="8"/>
      <c r="P137" s="4"/>
      <c r="Q137" s="39" t="str">
        <f t="shared" si="18"/>
        <v/>
      </c>
      <c r="R137" s="4"/>
      <c r="S137" s="8"/>
      <c r="T137" s="10" t="str">
        <f t="shared" si="19"/>
        <v/>
      </c>
      <c r="U137" s="4"/>
      <c r="V137" s="4"/>
    </row>
    <row r="138" spans="1:22" ht="18" customHeight="1" x14ac:dyDescent="0.45">
      <c r="A138" s="6"/>
      <c r="B138" s="39" t="str">
        <f>IFERROR(VLOOKUP(A138,'Incident Intake'!$A:$B,2,FALSE()),"")</f>
        <v/>
      </c>
      <c r="C138" s="10" t="str">
        <f>IFERROR(VLOOKUP(A138,'Incident Intake'!$A:$G,7,FALSE())&amp;" "&amp;VLOOKUP(A138,'Incident Intake'!$A:$F,6,FALSE()),"")</f>
        <v/>
      </c>
      <c r="D138" s="10" t="str">
        <f>IFERROR(VLOOKUP(A138,'Incident Intake'!$A:$J,10,FALSE()),"")</f>
        <v/>
      </c>
      <c r="E138" s="6"/>
      <c r="F138" s="6"/>
      <c r="G138" s="12"/>
      <c r="H138" s="12"/>
      <c r="I138" s="11" t="str">
        <f t="shared" si="16"/>
        <v/>
      </c>
      <c r="J138" s="6"/>
      <c r="K138" s="12"/>
      <c r="L138" s="6"/>
      <c r="M138" s="39" t="str">
        <f t="shared" si="17"/>
        <v/>
      </c>
      <c r="N138" s="6"/>
      <c r="O138" s="12"/>
      <c r="P138" s="6"/>
      <c r="Q138" s="39" t="str">
        <f t="shared" si="18"/>
        <v/>
      </c>
      <c r="R138" s="6"/>
      <c r="S138" s="12"/>
      <c r="T138" s="10" t="str">
        <f t="shared" si="19"/>
        <v/>
      </c>
      <c r="U138" s="6"/>
      <c r="V138" s="6"/>
    </row>
    <row r="139" spans="1:22" ht="18" customHeight="1" x14ac:dyDescent="0.45">
      <c r="A139" s="4"/>
      <c r="B139" s="39" t="str">
        <f>IFERROR(VLOOKUP(A139,'Incident Intake'!$A:$B,2,FALSE()),"")</f>
        <v/>
      </c>
      <c r="C139" s="10" t="str">
        <f>IFERROR(VLOOKUP(A139,'Incident Intake'!$A:$G,7,FALSE())&amp;" "&amp;VLOOKUP(A139,'Incident Intake'!$A:$F,6,FALSE()),"")</f>
        <v/>
      </c>
      <c r="D139" s="10" t="str">
        <f>IFERROR(VLOOKUP(A139,'Incident Intake'!$A:$J,10,FALSE()),"")</f>
        <v/>
      </c>
      <c r="E139" s="4"/>
      <c r="F139" s="4"/>
      <c r="G139" s="8"/>
      <c r="H139" s="8"/>
      <c r="I139" s="11" t="str">
        <f t="shared" si="16"/>
        <v/>
      </c>
      <c r="J139" s="4"/>
      <c r="K139" s="8"/>
      <c r="L139" s="4"/>
      <c r="M139" s="39" t="str">
        <f t="shared" si="17"/>
        <v/>
      </c>
      <c r="N139" s="4"/>
      <c r="O139" s="8"/>
      <c r="P139" s="4"/>
      <c r="Q139" s="39" t="str">
        <f t="shared" si="18"/>
        <v/>
      </c>
      <c r="R139" s="4"/>
      <c r="S139" s="8"/>
      <c r="T139" s="10" t="str">
        <f t="shared" si="19"/>
        <v/>
      </c>
      <c r="U139" s="4"/>
      <c r="V139" s="4"/>
    </row>
    <row r="140" spans="1:22" ht="18" customHeight="1" x14ac:dyDescent="0.45">
      <c r="A140" s="6"/>
      <c r="B140" s="39" t="str">
        <f>IFERROR(VLOOKUP(A140,'Incident Intake'!$A:$B,2,FALSE()),"")</f>
        <v/>
      </c>
      <c r="C140" s="10" t="str">
        <f>IFERROR(VLOOKUP(A140,'Incident Intake'!$A:$G,7,FALSE())&amp;" "&amp;VLOOKUP(A140,'Incident Intake'!$A:$F,6,FALSE()),"")</f>
        <v/>
      </c>
      <c r="D140" s="10" t="str">
        <f>IFERROR(VLOOKUP(A140,'Incident Intake'!$A:$J,10,FALSE()),"")</f>
        <v/>
      </c>
      <c r="E140" s="6"/>
      <c r="F140" s="6"/>
      <c r="G140" s="12"/>
      <c r="H140" s="12"/>
      <c r="I140" s="11" t="str">
        <f t="shared" si="16"/>
        <v/>
      </c>
      <c r="J140" s="6"/>
      <c r="K140" s="12"/>
      <c r="L140" s="6"/>
      <c r="M140" s="39" t="str">
        <f t="shared" si="17"/>
        <v/>
      </c>
      <c r="N140" s="6"/>
      <c r="O140" s="12"/>
      <c r="P140" s="6"/>
      <c r="Q140" s="39" t="str">
        <f t="shared" si="18"/>
        <v/>
      </c>
      <c r="R140" s="6"/>
      <c r="S140" s="12"/>
      <c r="T140" s="10" t="str">
        <f t="shared" si="19"/>
        <v/>
      </c>
      <c r="U140" s="6"/>
      <c r="V140" s="6"/>
    </row>
    <row r="141" spans="1:22" ht="18" customHeight="1" x14ac:dyDescent="0.45">
      <c r="A141" s="4"/>
      <c r="B141" s="39" t="str">
        <f>IFERROR(VLOOKUP(A141,'Incident Intake'!$A:$B,2,FALSE()),"")</f>
        <v/>
      </c>
      <c r="C141" s="10" t="str">
        <f>IFERROR(VLOOKUP(A141,'Incident Intake'!$A:$G,7,FALSE())&amp;" "&amp;VLOOKUP(A141,'Incident Intake'!$A:$F,6,FALSE()),"")</f>
        <v/>
      </c>
      <c r="D141" s="10" t="str">
        <f>IFERROR(VLOOKUP(A141,'Incident Intake'!$A:$J,10,FALSE()),"")</f>
        <v/>
      </c>
      <c r="E141" s="4"/>
      <c r="F141" s="4"/>
      <c r="G141" s="8"/>
      <c r="H141" s="8"/>
      <c r="I141" s="11" t="str">
        <f t="shared" si="16"/>
        <v/>
      </c>
      <c r="J141" s="4"/>
      <c r="K141" s="8"/>
      <c r="L141" s="4"/>
      <c r="M141" s="39" t="str">
        <f t="shared" si="17"/>
        <v/>
      </c>
      <c r="N141" s="4"/>
      <c r="O141" s="8"/>
      <c r="P141" s="4"/>
      <c r="Q141" s="39" t="str">
        <f t="shared" si="18"/>
        <v/>
      </c>
      <c r="R141" s="4"/>
      <c r="S141" s="8"/>
      <c r="T141" s="10" t="str">
        <f t="shared" si="19"/>
        <v/>
      </c>
      <c r="U141" s="4"/>
      <c r="V141" s="4"/>
    </row>
    <row r="142" spans="1:22" ht="18" customHeight="1" x14ac:dyDescent="0.45">
      <c r="A142" s="6"/>
      <c r="B142" s="39" t="str">
        <f>IFERROR(VLOOKUP(A142,'Incident Intake'!$A:$B,2,FALSE()),"")</f>
        <v/>
      </c>
      <c r="C142" s="10" t="str">
        <f>IFERROR(VLOOKUP(A142,'Incident Intake'!$A:$G,7,FALSE())&amp;" "&amp;VLOOKUP(A142,'Incident Intake'!$A:$F,6,FALSE()),"")</f>
        <v/>
      </c>
      <c r="D142" s="10" t="str">
        <f>IFERROR(VLOOKUP(A142,'Incident Intake'!$A:$J,10,FALSE()),"")</f>
        <v/>
      </c>
      <c r="E142" s="6"/>
      <c r="F142" s="6"/>
      <c r="G142" s="12"/>
      <c r="H142" s="12"/>
      <c r="I142" s="11" t="str">
        <f t="shared" si="16"/>
        <v/>
      </c>
      <c r="J142" s="6"/>
      <c r="K142" s="12"/>
      <c r="L142" s="6"/>
      <c r="M142" s="39" t="str">
        <f t="shared" si="17"/>
        <v/>
      </c>
      <c r="N142" s="6"/>
      <c r="O142" s="12"/>
      <c r="P142" s="6"/>
      <c r="Q142" s="39" t="str">
        <f t="shared" si="18"/>
        <v/>
      </c>
      <c r="R142" s="6"/>
      <c r="S142" s="12"/>
      <c r="T142" s="10" t="str">
        <f t="shared" si="19"/>
        <v/>
      </c>
      <c r="U142" s="6"/>
      <c r="V142" s="6"/>
    </row>
    <row r="143" spans="1:22" ht="18" customHeight="1" x14ac:dyDescent="0.45">
      <c r="A143" s="4"/>
      <c r="B143" s="39" t="str">
        <f>IFERROR(VLOOKUP(A143,'Incident Intake'!$A:$B,2,FALSE()),"")</f>
        <v/>
      </c>
      <c r="C143" s="10" t="str">
        <f>IFERROR(VLOOKUP(A143,'Incident Intake'!$A:$G,7,FALSE())&amp;" "&amp;VLOOKUP(A143,'Incident Intake'!$A:$F,6,FALSE()),"")</f>
        <v/>
      </c>
      <c r="D143" s="10" t="str">
        <f>IFERROR(VLOOKUP(A143,'Incident Intake'!$A:$J,10,FALSE()),"")</f>
        <v/>
      </c>
      <c r="E143" s="4"/>
      <c r="F143" s="4"/>
      <c r="G143" s="8"/>
      <c r="H143" s="8"/>
      <c r="I143" s="11" t="str">
        <f t="shared" si="16"/>
        <v/>
      </c>
      <c r="J143" s="4"/>
      <c r="K143" s="8"/>
      <c r="L143" s="4"/>
      <c r="M143" s="39" t="str">
        <f t="shared" si="17"/>
        <v/>
      </c>
      <c r="N143" s="4"/>
      <c r="O143" s="8"/>
      <c r="P143" s="4"/>
      <c r="Q143" s="39" t="str">
        <f t="shared" si="18"/>
        <v/>
      </c>
      <c r="R143" s="4"/>
      <c r="S143" s="8"/>
      <c r="T143" s="10" t="str">
        <f t="shared" si="19"/>
        <v/>
      </c>
      <c r="U143" s="4"/>
      <c r="V143" s="4"/>
    </row>
    <row r="144" spans="1:22" ht="18" customHeight="1" x14ac:dyDescent="0.45">
      <c r="A144" s="6"/>
      <c r="B144" s="39" t="str">
        <f>IFERROR(VLOOKUP(A144,'Incident Intake'!$A:$B,2,FALSE()),"")</f>
        <v/>
      </c>
      <c r="C144" s="10" t="str">
        <f>IFERROR(VLOOKUP(A144,'Incident Intake'!$A:$G,7,FALSE())&amp;" "&amp;VLOOKUP(A144,'Incident Intake'!$A:$F,6,FALSE()),"")</f>
        <v/>
      </c>
      <c r="D144" s="10" t="str">
        <f>IFERROR(VLOOKUP(A144,'Incident Intake'!$A:$J,10,FALSE()),"")</f>
        <v/>
      </c>
      <c r="E144" s="6"/>
      <c r="F144" s="6"/>
      <c r="G144" s="12"/>
      <c r="H144" s="12"/>
      <c r="I144" s="11" t="str">
        <f t="shared" si="16"/>
        <v/>
      </c>
      <c r="J144" s="6"/>
      <c r="K144" s="12"/>
      <c r="L144" s="6"/>
      <c r="M144" s="39" t="str">
        <f t="shared" si="17"/>
        <v/>
      </c>
      <c r="N144" s="6"/>
      <c r="O144" s="12"/>
      <c r="P144" s="6"/>
      <c r="Q144" s="39" t="str">
        <f t="shared" si="18"/>
        <v/>
      </c>
      <c r="R144" s="6"/>
      <c r="S144" s="12"/>
      <c r="T144" s="10" t="str">
        <f t="shared" si="19"/>
        <v/>
      </c>
      <c r="U144" s="6"/>
      <c r="V144" s="6"/>
    </row>
    <row r="145" spans="1:22" ht="18" customHeight="1" x14ac:dyDescent="0.45">
      <c r="A145" s="4"/>
      <c r="B145" s="39" t="str">
        <f>IFERROR(VLOOKUP(A145,'Incident Intake'!$A:$B,2,FALSE()),"")</f>
        <v/>
      </c>
      <c r="C145" s="10" t="str">
        <f>IFERROR(VLOOKUP(A145,'Incident Intake'!$A:$G,7,FALSE())&amp;" "&amp;VLOOKUP(A145,'Incident Intake'!$A:$F,6,FALSE()),"")</f>
        <v/>
      </c>
      <c r="D145" s="10" t="str">
        <f>IFERROR(VLOOKUP(A145,'Incident Intake'!$A:$J,10,FALSE()),"")</f>
        <v/>
      </c>
      <c r="E145" s="4"/>
      <c r="F145" s="4"/>
      <c r="G145" s="8"/>
      <c r="H145" s="8"/>
      <c r="I145" s="11" t="str">
        <f t="shared" si="16"/>
        <v/>
      </c>
      <c r="J145" s="4"/>
      <c r="K145" s="8"/>
      <c r="L145" s="4"/>
      <c r="M145" s="39" t="str">
        <f t="shared" si="17"/>
        <v/>
      </c>
      <c r="N145" s="4"/>
      <c r="O145" s="8"/>
      <c r="P145" s="4"/>
      <c r="Q145" s="39" t="str">
        <f t="shared" si="18"/>
        <v/>
      </c>
      <c r="R145" s="4"/>
      <c r="S145" s="8"/>
      <c r="T145" s="10" t="str">
        <f t="shared" si="19"/>
        <v/>
      </c>
      <c r="U145" s="4"/>
      <c r="V145" s="4"/>
    </row>
    <row r="146" spans="1:22" ht="18" customHeight="1" x14ac:dyDescent="0.45">
      <c r="A146" s="6"/>
      <c r="B146" s="39" t="str">
        <f>IFERROR(VLOOKUP(A146,'Incident Intake'!$A:$B,2,FALSE()),"")</f>
        <v/>
      </c>
      <c r="C146" s="10" t="str">
        <f>IFERROR(VLOOKUP(A146,'Incident Intake'!$A:$G,7,FALSE())&amp;" "&amp;VLOOKUP(A146,'Incident Intake'!$A:$F,6,FALSE()),"")</f>
        <v/>
      </c>
      <c r="D146" s="10" t="str">
        <f>IFERROR(VLOOKUP(A146,'Incident Intake'!$A:$J,10,FALSE()),"")</f>
        <v/>
      </c>
      <c r="E146" s="6"/>
      <c r="F146" s="6"/>
      <c r="G146" s="12"/>
      <c r="H146" s="12"/>
      <c r="I146" s="11" t="str">
        <f t="shared" si="16"/>
        <v/>
      </c>
      <c r="J146" s="6"/>
      <c r="K146" s="12"/>
      <c r="L146" s="6"/>
      <c r="M146" s="39" t="str">
        <f t="shared" si="17"/>
        <v/>
      </c>
      <c r="N146" s="6"/>
      <c r="O146" s="12"/>
      <c r="P146" s="6"/>
      <c r="Q146" s="39" t="str">
        <f t="shared" si="18"/>
        <v/>
      </c>
      <c r="R146" s="6"/>
      <c r="S146" s="12"/>
      <c r="T146" s="10" t="str">
        <f t="shared" si="19"/>
        <v/>
      </c>
      <c r="U146" s="6"/>
      <c r="V146" s="6"/>
    </row>
    <row r="147" spans="1:22" ht="18" customHeight="1" x14ac:dyDescent="0.45">
      <c r="A147" s="4"/>
      <c r="B147" s="39" t="str">
        <f>IFERROR(VLOOKUP(A147,'Incident Intake'!$A:$B,2,FALSE()),"")</f>
        <v/>
      </c>
      <c r="C147" s="10" t="str">
        <f>IFERROR(VLOOKUP(A147,'Incident Intake'!$A:$G,7,FALSE())&amp;" "&amp;VLOOKUP(A147,'Incident Intake'!$A:$F,6,FALSE()),"")</f>
        <v/>
      </c>
      <c r="D147" s="10" t="str">
        <f>IFERROR(VLOOKUP(A147,'Incident Intake'!$A:$J,10,FALSE()),"")</f>
        <v/>
      </c>
      <c r="E147" s="4"/>
      <c r="F147" s="4"/>
      <c r="G147" s="8"/>
      <c r="H147" s="8"/>
      <c r="I147" s="11" t="str">
        <f t="shared" si="16"/>
        <v/>
      </c>
      <c r="J147" s="4"/>
      <c r="K147" s="8"/>
      <c r="L147" s="4"/>
      <c r="M147" s="39" t="str">
        <f t="shared" si="17"/>
        <v/>
      </c>
      <c r="N147" s="4"/>
      <c r="O147" s="8"/>
      <c r="P147" s="4"/>
      <c r="Q147" s="39" t="str">
        <f t="shared" si="18"/>
        <v/>
      </c>
      <c r="R147" s="4"/>
      <c r="S147" s="8"/>
      <c r="T147" s="10" t="str">
        <f t="shared" si="19"/>
        <v/>
      </c>
      <c r="U147" s="4"/>
      <c r="V147" s="4"/>
    </row>
    <row r="148" spans="1:22" ht="18" customHeight="1" x14ac:dyDescent="0.45">
      <c r="A148" s="6"/>
      <c r="B148" s="39" t="str">
        <f>IFERROR(VLOOKUP(A148,'Incident Intake'!$A:$B,2,FALSE()),"")</f>
        <v/>
      </c>
      <c r="C148" s="10" t="str">
        <f>IFERROR(VLOOKUP(A148,'Incident Intake'!$A:$G,7,FALSE())&amp;" "&amp;VLOOKUP(A148,'Incident Intake'!$A:$F,6,FALSE()),"")</f>
        <v/>
      </c>
      <c r="D148" s="10" t="str">
        <f>IFERROR(VLOOKUP(A148,'Incident Intake'!$A:$J,10,FALSE()),"")</f>
        <v/>
      </c>
      <c r="E148" s="6"/>
      <c r="F148" s="6"/>
      <c r="G148" s="12"/>
      <c r="H148" s="12"/>
      <c r="I148" s="11" t="str">
        <f t="shared" si="16"/>
        <v/>
      </c>
      <c r="J148" s="6"/>
      <c r="K148" s="12"/>
      <c r="L148" s="6"/>
      <c r="M148" s="39" t="str">
        <f t="shared" si="17"/>
        <v/>
      </c>
      <c r="N148" s="6"/>
      <c r="O148" s="12"/>
      <c r="P148" s="6"/>
      <c r="Q148" s="39" t="str">
        <f t="shared" si="18"/>
        <v/>
      </c>
      <c r="R148" s="6"/>
      <c r="S148" s="12"/>
      <c r="T148" s="10" t="str">
        <f t="shared" si="19"/>
        <v/>
      </c>
      <c r="U148" s="6"/>
      <c r="V148" s="6"/>
    </row>
    <row r="149" spans="1:22" ht="18" customHeight="1" x14ac:dyDescent="0.45">
      <c r="A149" s="4"/>
      <c r="B149" s="39" t="str">
        <f>IFERROR(VLOOKUP(A149,'Incident Intake'!$A:$B,2,FALSE()),"")</f>
        <v/>
      </c>
      <c r="C149" s="10" t="str">
        <f>IFERROR(VLOOKUP(A149,'Incident Intake'!$A:$G,7,FALSE())&amp;" "&amp;VLOOKUP(A149,'Incident Intake'!$A:$F,6,FALSE()),"")</f>
        <v/>
      </c>
      <c r="D149" s="10" t="str">
        <f>IFERROR(VLOOKUP(A149,'Incident Intake'!$A:$J,10,FALSE()),"")</f>
        <v/>
      </c>
      <c r="E149" s="4"/>
      <c r="F149" s="4"/>
      <c r="G149" s="8"/>
      <c r="H149" s="8"/>
      <c r="I149" s="11" t="str">
        <f t="shared" si="16"/>
        <v/>
      </c>
      <c r="J149" s="4"/>
      <c r="K149" s="8"/>
      <c r="L149" s="4"/>
      <c r="M149" s="39" t="str">
        <f t="shared" si="17"/>
        <v/>
      </c>
      <c r="N149" s="4"/>
      <c r="O149" s="8"/>
      <c r="P149" s="4"/>
      <c r="Q149" s="39" t="str">
        <f t="shared" si="18"/>
        <v/>
      </c>
      <c r="R149" s="4"/>
      <c r="S149" s="8"/>
      <c r="T149" s="10" t="str">
        <f t="shared" si="19"/>
        <v/>
      </c>
      <c r="U149" s="4"/>
      <c r="V149" s="4"/>
    </row>
    <row r="150" spans="1:22" ht="18" customHeight="1" x14ac:dyDescent="0.45">
      <c r="A150" s="6"/>
      <c r="B150" s="39" t="str">
        <f>IFERROR(VLOOKUP(A150,'Incident Intake'!$A:$B,2,FALSE()),"")</f>
        <v/>
      </c>
      <c r="C150" s="10" t="str">
        <f>IFERROR(VLOOKUP(A150,'Incident Intake'!$A:$G,7,FALSE())&amp;" "&amp;VLOOKUP(A150,'Incident Intake'!$A:$F,6,FALSE()),"")</f>
        <v/>
      </c>
      <c r="D150" s="10" t="str">
        <f>IFERROR(VLOOKUP(A150,'Incident Intake'!$A:$J,10,FALSE()),"")</f>
        <v/>
      </c>
      <c r="E150" s="6"/>
      <c r="F150" s="6"/>
      <c r="G150" s="12"/>
      <c r="H150" s="12"/>
      <c r="I150" s="11" t="str">
        <f t="shared" si="16"/>
        <v/>
      </c>
      <c r="J150" s="6"/>
      <c r="K150" s="12"/>
      <c r="L150" s="6"/>
      <c r="M150" s="39" t="str">
        <f t="shared" si="17"/>
        <v/>
      </c>
      <c r="N150" s="6"/>
      <c r="O150" s="12"/>
      <c r="P150" s="6"/>
      <c r="Q150" s="39" t="str">
        <f t="shared" si="18"/>
        <v/>
      </c>
      <c r="R150" s="6"/>
      <c r="S150" s="12"/>
      <c r="T150" s="10" t="str">
        <f t="shared" si="19"/>
        <v/>
      </c>
      <c r="U150" s="6"/>
      <c r="V150" s="6"/>
    </row>
    <row r="151" spans="1:22" ht="18" customHeight="1" x14ac:dyDescent="0.45">
      <c r="A151" s="4"/>
      <c r="B151" s="39" t="str">
        <f>IFERROR(VLOOKUP(A151,'Incident Intake'!$A:$B,2,FALSE()),"")</f>
        <v/>
      </c>
      <c r="C151" s="10" t="str">
        <f>IFERROR(VLOOKUP(A151,'Incident Intake'!$A:$G,7,FALSE())&amp;" "&amp;VLOOKUP(A151,'Incident Intake'!$A:$F,6,FALSE()),"")</f>
        <v/>
      </c>
      <c r="D151" s="10" t="str">
        <f>IFERROR(VLOOKUP(A151,'Incident Intake'!$A:$J,10,FALSE()),"")</f>
        <v/>
      </c>
      <c r="E151" s="4"/>
      <c r="F151" s="4"/>
      <c r="G151" s="8"/>
      <c r="H151" s="8"/>
      <c r="I151" s="11" t="str">
        <f t="shared" si="16"/>
        <v/>
      </c>
      <c r="J151" s="4"/>
      <c r="K151" s="8"/>
      <c r="L151" s="4"/>
      <c r="M151" s="39" t="str">
        <f t="shared" si="17"/>
        <v/>
      </c>
      <c r="N151" s="4"/>
      <c r="O151" s="8"/>
      <c r="P151" s="4"/>
      <c r="Q151" s="39" t="str">
        <f t="shared" si="18"/>
        <v/>
      </c>
      <c r="R151" s="4"/>
      <c r="S151" s="8"/>
      <c r="T151" s="10" t="str">
        <f t="shared" si="19"/>
        <v/>
      </c>
      <c r="U151" s="4"/>
      <c r="V151" s="4"/>
    </row>
    <row r="152" spans="1:22" ht="18" customHeight="1" x14ac:dyDescent="0.45">
      <c r="A152" s="6"/>
      <c r="B152" s="39" t="str">
        <f>IFERROR(VLOOKUP(A152,'Incident Intake'!$A:$B,2,FALSE()),"")</f>
        <v/>
      </c>
      <c r="C152" s="10" t="str">
        <f>IFERROR(VLOOKUP(A152,'Incident Intake'!$A:$G,7,FALSE())&amp;" "&amp;VLOOKUP(A152,'Incident Intake'!$A:$F,6,FALSE()),"")</f>
        <v/>
      </c>
      <c r="D152" s="10" t="str">
        <f>IFERROR(VLOOKUP(A152,'Incident Intake'!$A:$J,10,FALSE()),"")</f>
        <v/>
      </c>
      <c r="E152" s="6"/>
      <c r="F152" s="6"/>
      <c r="G152" s="12"/>
      <c r="H152" s="12"/>
      <c r="I152" s="11" t="str">
        <f t="shared" si="16"/>
        <v/>
      </c>
      <c r="J152" s="6"/>
      <c r="K152" s="12"/>
      <c r="L152" s="6"/>
      <c r="M152" s="39" t="str">
        <f t="shared" si="17"/>
        <v/>
      </c>
      <c r="N152" s="6"/>
      <c r="O152" s="12"/>
      <c r="P152" s="6"/>
      <c r="Q152" s="39" t="str">
        <f t="shared" si="18"/>
        <v/>
      </c>
      <c r="R152" s="6"/>
      <c r="S152" s="12"/>
      <c r="T152" s="10" t="str">
        <f t="shared" si="19"/>
        <v/>
      </c>
      <c r="U152" s="6"/>
      <c r="V152" s="6"/>
    </row>
    <row r="153" spans="1:22" ht="18" customHeight="1" x14ac:dyDescent="0.45">
      <c r="A153" s="4"/>
      <c r="B153" s="39" t="str">
        <f>IFERROR(VLOOKUP(A153,'Incident Intake'!$A:$B,2,FALSE()),"")</f>
        <v/>
      </c>
      <c r="C153" s="10" t="str">
        <f>IFERROR(VLOOKUP(A153,'Incident Intake'!$A:$G,7,FALSE())&amp;" "&amp;VLOOKUP(A153,'Incident Intake'!$A:$F,6,FALSE()),"")</f>
        <v/>
      </c>
      <c r="D153" s="10" t="str">
        <f>IFERROR(VLOOKUP(A153,'Incident Intake'!$A:$J,10,FALSE()),"")</f>
        <v/>
      </c>
      <c r="E153" s="4"/>
      <c r="F153" s="4"/>
      <c r="G153" s="8"/>
      <c r="H153" s="8"/>
      <c r="I153" s="11" t="str">
        <f t="shared" si="16"/>
        <v/>
      </c>
      <c r="J153" s="4"/>
      <c r="K153" s="8"/>
      <c r="L153" s="4"/>
      <c r="M153" s="39" t="str">
        <f t="shared" si="17"/>
        <v/>
      </c>
      <c r="N153" s="4"/>
      <c r="O153" s="8"/>
      <c r="P153" s="4"/>
      <c r="Q153" s="39" t="str">
        <f t="shared" si="18"/>
        <v/>
      </c>
      <c r="R153" s="4"/>
      <c r="S153" s="8"/>
      <c r="T153" s="10" t="str">
        <f t="shared" si="19"/>
        <v/>
      </c>
      <c r="U153" s="4"/>
      <c r="V153" s="4"/>
    </row>
    <row r="154" spans="1:22" ht="18" customHeight="1" x14ac:dyDescent="0.45">
      <c r="A154" s="6"/>
      <c r="B154" s="39" t="str">
        <f>IFERROR(VLOOKUP(A154,'Incident Intake'!$A:$B,2,FALSE()),"")</f>
        <v/>
      </c>
      <c r="C154" s="10" t="str">
        <f>IFERROR(VLOOKUP(A154,'Incident Intake'!$A:$G,7,FALSE())&amp;" "&amp;VLOOKUP(A154,'Incident Intake'!$A:$F,6,FALSE()),"")</f>
        <v/>
      </c>
      <c r="D154" s="10" t="str">
        <f>IFERROR(VLOOKUP(A154,'Incident Intake'!$A:$J,10,FALSE()),"")</f>
        <v/>
      </c>
      <c r="E154" s="6"/>
      <c r="F154" s="6"/>
      <c r="G154" s="12"/>
      <c r="H154" s="12"/>
      <c r="I154" s="11" t="str">
        <f t="shared" si="16"/>
        <v/>
      </c>
      <c r="J154" s="6"/>
      <c r="K154" s="12"/>
      <c r="L154" s="6"/>
      <c r="M154" s="39" t="str">
        <f t="shared" si="17"/>
        <v/>
      </c>
      <c r="N154" s="6"/>
      <c r="O154" s="12"/>
      <c r="P154" s="6"/>
      <c r="Q154" s="39" t="str">
        <f t="shared" si="18"/>
        <v/>
      </c>
      <c r="R154" s="6"/>
      <c r="S154" s="12"/>
      <c r="T154" s="10" t="str">
        <f t="shared" si="19"/>
        <v/>
      </c>
      <c r="U154" s="6"/>
      <c r="V154" s="6"/>
    </row>
    <row r="155" spans="1:22" ht="19.5" customHeight="1" x14ac:dyDescent="0.45">
      <c r="A155" s="87" t="s">
        <v>72</v>
      </c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</row>
  </sheetData>
  <mergeCells count="4">
    <mergeCell ref="A2:V2"/>
    <mergeCell ref="A1:V1"/>
    <mergeCell ref="A155:V155"/>
    <mergeCell ref="A3:V3"/>
  </mergeCells>
  <conditionalFormatting sqref="A5:V154">
    <cfRule type="expression" dxfId="5" priority="2">
      <formula>AND($N5="Yes",$Q5&lt;TODAY())</formula>
    </cfRule>
    <cfRule type="expression" dxfId="4" priority="3">
      <formula>AND($N5="Yes",$Q5-TODAY()&lt;=3)</formula>
    </cfRule>
    <cfRule type="expression" dxfId="3" priority="4">
      <formula>$T5="OVERTURNED"</formula>
    </cfRule>
    <cfRule type="expression" dxfId="2" priority="5">
      <formula>$T5="APPEAL ACTIVE"</formula>
    </cfRule>
    <cfRule type="expression" dxfId="1" priority="6">
      <formula>$T5="CLOSED — NO APPEAL"</formula>
    </cfRule>
  </conditionalFormatting>
  <conditionalFormatting sqref="M5:M154">
    <cfRule type="expression" dxfId="0" priority="7">
      <formula>AND($M5&lt;TODAY(),$J5&lt;&gt;"Yes")</formula>
    </cfRule>
  </conditionalFormatting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C00-000000000000}">
          <x14:formula1>
            <xm:f>Lists!$P$2:$P$7</xm:f>
          </x14:formula1>
          <xm:sqref>E5:E154</xm:sqref>
        </x14:dataValidation>
        <x14:dataValidation type="list" allowBlank="1" xr:uid="{00000000-0002-0000-0C00-000001000000}">
          <x14:formula1>
            <xm:f>Lists!$E$2:$E$17</xm:f>
          </x14:formula1>
          <xm:sqref>F5:F154</xm:sqref>
        </x14:dataValidation>
        <x14:dataValidation type="list" allowBlank="1" xr:uid="{00000000-0002-0000-0C00-000002000000}">
          <x14:formula1>
            <xm:f>Lists!$F$2:$F$3</xm:f>
          </x14:formula1>
          <xm:sqref>J5:J154 N5:N154 R5:R154</xm:sqref>
        </x14:dataValidation>
        <x14:dataValidation type="list" allowBlank="1" xr:uid="{00000000-0002-0000-0C00-000003000000}">
          <x14:formula1>
            <xm:f>Lists!$K$2:$K$7</xm:f>
          </x14:formula1>
          <xm:sqref>L5:L154</xm:sqref>
        </x14:dataValidation>
        <x14:dataValidation type="list" allowBlank="1" xr:uid="{00000000-0002-0000-0C00-000004000000}">
          <x14:formula1>
            <xm:f>Lists!$O$2:$O$9</xm:f>
          </x14:formula1>
          <xm:sqref>P5:P154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88888"/>
  </sheetPr>
  <dimension ref="A1:V19"/>
  <sheetViews>
    <sheetView zoomScaleNormal="100" workbookViewId="0"/>
  </sheetViews>
  <sheetFormatPr defaultColWidth="8.6640625" defaultRowHeight="14.25" x14ac:dyDescent="0.45"/>
  <cols>
    <col min="1" max="19" width="28" customWidth="1"/>
    <col min="20" max="21" width="80" customWidth="1"/>
  </cols>
  <sheetData>
    <row r="1" spans="1:22" ht="15" customHeight="1" x14ac:dyDescent="0.45">
      <c r="A1" s="74" t="s">
        <v>424</v>
      </c>
      <c r="B1" s="74" t="s">
        <v>425</v>
      </c>
      <c r="C1" s="74" t="s">
        <v>426</v>
      </c>
      <c r="D1" s="74" t="s">
        <v>427</v>
      </c>
      <c r="E1" s="74" t="s">
        <v>428</v>
      </c>
      <c r="F1" s="74" t="s">
        <v>429</v>
      </c>
      <c r="G1" s="74" t="s">
        <v>430</v>
      </c>
      <c r="H1" s="74" t="s">
        <v>431</v>
      </c>
      <c r="I1" s="74" t="s">
        <v>432</v>
      </c>
      <c r="J1" s="74" t="s">
        <v>433</v>
      </c>
      <c r="K1" s="74" t="s">
        <v>434</v>
      </c>
      <c r="L1" s="74" t="s">
        <v>435</v>
      </c>
      <c r="M1" s="74" t="s">
        <v>436</v>
      </c>
      <c r="N1" s="74" t="s">
        <v>437</v>
      </c>
      <c r="O1" s="74" t="s">
        <v>438</v>
      </c>
      <c r="P1" s="74" t="s">
        <v>439</v>
      </c>
      <c r="Q1" s="74" t="s">
        <v>440</v>
      </c>
      <c r="R1" s="74" t="s">
        <v>441</v>
      </c>
      <c r="S1" s="74" t="s">
        <v>442</v>
      </c>
      <c r="T1" s="74" t="s">
        <v>443</v>
      </c>
      <c r="U1" s="74" t="s">
        <v>444</v>
      </c>
      <c r="V1" t="s">
        <v>445</v>
      </c>
    </row>
    <row r="2" spans="1:22" ht="74.25" customHeight="1" x14ac:dyDescent="0.45">
      <c r="A2" s="6" t="s">
        <v>446</v>
      </c>
      <c r="B2" s="6" t="s">
        <v>447</v>
      </c>
      <c r="C2" s="6" t="s">
        <v>448</v>
      </c>
      <c r="D2" s="6" t="s">
        <v>449</v>
      </c>
      <c r="E2" s="6" t="s">
        <v>450</v>
      </c>
      <c r="F2" s="6" t="s">
        <v>451</v>
      </c>
      <c r="G2" s="6" t="s">
        <v>451</v>
      </c>
      <c r="H2" s="6" t="s">
        <v>451</v>
      </c>
      <c r="I2" s="6" t="s">
        <v>452</v>
      </c>
      <c r="J2" s="6" t="s">
        <v>453</v>
      </c>
      <c r="K2" s="6" t="s">
        <v>454</v>
      </c>
      <c r="L2" s="6" t="s">
        <v>455</v>
      </c>
      <c r="M2" s="6" t="s">
        <v>456</v>
      </c>
      <c r="N2" s="6" t="s">
        <v>457</v>
      </c>
      <c r="O2" s="6" t="s">
        <v>458</v>
      </c>
      <c r="P2" s="6" t="s">
        <v>459</v>
      </c>
      <c r="Q2" s="6" t="s">
        <v>460</v>
      </c>
      <c r="R2" s="6" t="s">
        <v>461</v>
      </c>
      <c r="S2" s="6" t="s">
        <v>462</v>
      </c>
      <c r="T2" s="6" t="s">
        <v>446</v>
      </c>
      <c r="U2" s="6" t="s">
        <v>463</v>
      </c>
      <c r="V2" t="s">
        <v>464</v>
      </c>
    </row>
    <row r="3" spans="1:22" ht="63.75" customHeight="1" x14ac:dyDescent="0.45">
      <c r="A3" s="4" t="s">
        <v>465</v>
      </c>
      <c r="B3" s="4" t="s">
        <v>302</v>
      </c>
      <c r="C3" s="4" t="s">
        <v>466</v>
      </c>
      <c r="D3" s="4" t="s">
        <v>82</v>
      </c>
      <c r="E3" s="4" t="s">
        <v>467</v>
      </c>
      <c r="F3" s="4" t="s">
        <v>452</v>
      </c>
      <c r="G3" s="4" t="s">
        <v>452</v>
      </c>
      <c r="H3" s="4" t="s">
        <v>452</v>
      </c>
      <c r="I3" s="4" t="s">
        <v>468</v>
      </c>
      <c r="J3" s="4" t="s">
        <v>469</v>
      </c>
      <c r="K3" s="4" t="s">
        <v>470</v>
      </c>
      <c r="L3" s="4" t="s">
        <v>471</v>
      </c>
      <c r="M3" s="4" t="s">
        <v>472</v>
      </c>
      <c r="N3" s="4" t="s">
        <v>473</v>
      </c>
      <c r="O3" s="4" t="s">
        <v>474</v>
      </c>
      <c r="P3" s="4" t="s">
        <v>475</v>
      </c>
      <c r="Q3" s="4" t="s">
        <v>476</v>
      </c>
      <c r="R3" s="4" t="s">
        <v>477</v>
      </c>
      <c r="S3" s="4" t="s">
        <v>478</v>
      </c>
      <c r="T3" s="4" t="s">
        <v>479</v>
      </c>
      <c r="U3" s="4" t="s">
        <v>480</v>
      </c>
      <c r="V3" t="s">
        <v>481</v>
      </c>
    </row>
    <row r="4" spans="1:22" ht="74.25" customHeight="1" x14ac:dyDescent="0.45">
      <c r="A4" s="6" t="s">
        <v>482</v>
      </c>
      <c r="B4" s="6" t="s">
        <v>483</v>
      </c>
      <c r="C4" s="6" t="s">
        <v>484</v>
      </c>
      <c r="D4" s="6" t="s">
        <v>83</v>
      </c>
      <c r="E4" s="6" t="s">
        <v>485</v>
      </c>
      <c r="G4" s="6" t="s">
        <v>486</v>
      </c>
      <c r="H4" s="6" t="s">
        <v>487</v>
      </c>
      <c r="I4" s="6" t="s">
        <v>488</v>
      </c>
      <c r="J4" s="6" t="s">
        <v>489</v>
      </c>
      <c r="K4" s="6" t="s">
        <v>490</v>
      </c>
      <c r="L4" s="6" t="s">
        <v>491</v>
      </c>
      <c r="M4" s="6" t="s">
        <v>492</v>
      </c>
      <c r="N4" s="6" t="s">
        <v>493</v>
      </c>
      <c r="O4" s="6" t="s">
        <v>494</v>
      </c>
      <c r="P4" s="6" t="s">
        <v>495</v>
      </c>
      <c r="Q4" s="6" t="s">
        <v>496</v>
      </c>
      <c r="R4" s="6" t="s">
        <v>497</v>
      </c>
      <c r="S4" s="6" t="s">
        <v>498</v>
      </c>
      <c r="T4" s="6" t="s">
        <v>482</v>
      </c>
      <c r="U4" s="6" t="s">
        <v>499</v>
      </c>
      <c r="V4" t="s">
        <v>500</v>
      </c>
    </row>
    <row r="5" spans="1:22" ht="74.25" customHeight="1" x14ac:dyDescent="0.45">
      <c r="A5" s="4" t="s">
        <v>501</v>
      </c>
      <c r="B5" s="4" t="s">
        <v>502</v>
      </c>
      <c r="C5" s="4" t="s">
        <v>503</v>
      </c>
      <c r="D5" s="4" t="s">
        <v>66</v>
      </c>
      <c r="E5" s="4" t="s">
        <v>504</v>
      </c>
      <c r="I5" s="4" t="s">
        <v>505</v>
      </c>
      <c r="J5" s="4" t="s">
        <v>506</v>
      </c>
      <c r="K5" s="4" t="s">
        <v>507</v>
      </c>
      <c r="L5" s="4" t="s">
        <v>508</v>
      </c>
      <c r="M5" s="4" t="s">
        <v>509</v>
      </c>
      <c r="N5" s="4" t="s">
        <v>510</v>
      </c>
      <c r="O5" s="4" t="s">
        <v>511</v>
      </c>
      <c r="P5" s="4" t="s">
        <v>512</v>
      </c>
      <c r="Q5" s="4" t="s">
        <v>513</v>
      </c>
      <c r="R5" s="4" t="s">
        <v>514</v>
      </c>
      <c r="S5" s="4" t="s">
        <v>515</v>
      </c>
      <c r="T5" s="4" t="s">
        <v>501</v>
      </c>
      <c r="U5" s="4" t="s">
        <v>516</v>
      </c>
      <c r="V5" t="s">
        <v>517</v>
      </c>
    </row>
    <row r="6" spans="1:22" ht="74.25" customHeight="1" x14ac:dyDescent="0.45">
      <c r="A6" s="6" t="s">
        <v>518</v>
      </c>
      <c r="B6" s="6" t="s">
        <v>519</v>
      </c>
      <c r="C6" s="6" t="s">
        <v>520</v>
      </c>
      <c r="D6" s="6" t="s">
        <v>521</v>
      </c>
      <c r="E6" s="6" t="s">
        <v>522</v>
      </c>
      <c r="I6" s="6" t="s">
        <v>523</v>
      </c>
      <c r="J6" s="6" t="s">
        <v>524</v>
      </c>
      <c r="K6" s="6" t="s">
        <v>525</v>
      </c>
      <c r="L6" s="6" t="s">
        <v>526</v>
      </c>
      <c r="M6" s="6" t="s">
        <v>527</v>
      </c>
      <c r="N6" s="6" t="s">
        <v>528</v>
      </c>
      <c r="O6" s="6" t="s">
        <v>529</v>
      </c>
      <c r="P6" s="6" t="s">
        <v>530</v>
      </c>
      <c r="Q6" s="6" t="s">
        <v>531</v>
      </c>
      <c r="R6" s="6" t="s">
        <v>532</v>
      </c>
      <c r="S6" s="6" t="s">
        <v>533</v>
      </c>
      <c r="T6" s="6" t="s">
        <v>534</v>
      </c>
      <c r="U6" s="6" t="s">
        <v>535</v>
      </c>
      <c r="V6" t="s">
        <v>536</v>
      </c>
    </row>
    <row r="7" spans="1:22" ht="74.25" customHeight="1" x14ac:dyDescent="0.45">
      <c r="A7" s="4" t="s">
        <v>534</v>
      </c>
      <c r="B7" s="4" t="s">
        <v>537</v>
      </c>
      <c r="C7" s="4" t="s">
        <v>538</v>
      </c>
      <c r="D7" s="4" t="s">
        <v>85</v>
      </c>
      <c r="E7" s="4" t="s">
        <v>539</v>
      </c>
      <c r="J7" s="4" t="s">
        <v>540</v>
      </c>
      <c r="K7" s="4" t="s">
        <v>541</v>
      </c>
      <c r="L7" s="4" t="s">
        <v>542</v>
      </c>
      <c r="M7" s="4" t="s">
        <v>543</v>
      </c>
      <c r="N7" s="4" t="s">
        <v>544</v>
      </c>
      <c r="O7" s="4" t="s">
        <v>545</v>
      </c>
      <c r="P7" s="4" t="s">
        <v>546</v>
      </c>
      <c r="R7" s="4" t="s">
        <v>547</v>
      </c>
      <c r="S7" s="4" t="s">
        <v>548</v>
      </c>
      <c r="T7" s="4" t="s">
        <v>549</v>
      </c>
      <c r="U7" s="4" t="s">
        <v>550</v>
      </c>
      <c r="V7" t="s">
        <v>551</v>
      </c>
    </row>
    <row r="8" spans="1:22" ht="63.75" customHeight="1" x14ac:dyDescent="0.45">
      <c r="A8" s="6" t="s">
        <v>552</v>
      </c>
      <c r="B8" s="6" t="s">
        <v>553</v>
      </c>
      <c r="C8" s="6" t="s">
        <v>554</v>
      </c>
      <c r="E8" s="6" t="s">
        <v>555</v>
      </c>
      <c r="J8" s="6" t="s">
        <v>556</v>
      </c>
      <c r="L8" s="6" t="s">
        <v>557</v>
      </c>
      <c r="M8" s="6" t="s">
        <v>558</v>
      </c>
      <c r="N8" s="6" t="s">
        <v>559</v>
      </c>
      <c r="O8" s="6" t="s">
        <v>560</v>
      </c>
      <c r="R8" s="6" t="s">
        <v>561</v>
      </c>
      <c r="T8" s="6" t="s">
        <v>562</v>
      </c>
      <c r="U8" s="6" t="s">
        <v>563</v>
      </c>
      <c r="V8" t="s">
        <v>564</v>
      </c>
    </row>
    <row r="9" spans="1:22" ht="74.25" customHeight="1" x14ac:dyDescent="0.45">
      <c r="A9" s="4" t="s">
        <v>565</v>
      </c>
      <c r="B9" s="4" t="s">
        <v>566</v>
      </c>
      <c r="C9" s="4" t="s">
        <v>567</v>
      </c>
      <c r="E9" s="4" t="s">
        <v>568</v>
      </c>
      <c r="J9" s="4" t="s">
        <v>559</v>
      </c>
      <c r="L9" s="4" t="s">
        <v>569</v>
      </c>
      <c r="M9" s="4" t="s">
        <v>570</v>
      </c>
      <c r="O9" s="4" t="s">
        <v>571</v>
      </c>
      <c r="R9" s="4" t="s">
        <v>572</v>
      </c>
      <c r="T9" s="4" t="s">
        <v>573</v>
      </c>
      <c r="U9" s="4" t="s">
        <v>574</v>
      </c>
      <c r="V9" t="s">
        <v>575</v>
      </c>
    </row>
    <row r="10" spans="1:22" ht="63.75" customHeight="1" x14ac:dyDescent="0.45">
      <c r="A10" s="6" t="s">
        <v>479</v>
      </c>
      <c r="B10" s="6" t="s">
        <v>576</v>
      </c>
      <c r="C10" s="6" t="s">
        <v>577</v>
      </c>
      <c r="E10" s="6" t="s">
        <v>578</v>
      </c>
      <c r="L10" s="6" t="s">
        <v>579</v>
      </c>
      <c r="M10" s="6" t="s">
        <v>580</v>
      </c>
      <c r="R10" s="6" t="s">
        <v>581</v>
      </c>
      <c r="T10" s="6" t="s">
        <v>582</v>
      </c>
      <c r="U10" s="6" t="s">
        <v>583</v>
      </c>
      <c r="V10" t="s">
        <v>584</v>
      </c>
    </row>
    <row r="11" spans="1:22" ht="53.25" customHeight="1" x14ac:dyDescent="0.45">
      <c r="A11" s="4" t="s">
        <v>585</v>
      </c>
      <c r="B11" s="4" t="s">
        <v>586</v>
      </c>
      <c r="C11" s="4" t="s">
        <v>587</v>
      </c>
      <c r="E11" s="4" t="s">
        <v>588</v>
      </c>
      <c r="M11" s="4" t="s">
        <v>589</v>
      </c>
      <c r="R11" s="4" t="s">
        <v>590</v>
      </c>
      <c r="T11" s="4" t="s">
        <v>591</v>
      </c>
      <c r="U11" s="4" t="s">
        <v>592</v>
      </c>
      <c r="V11" t="s">
        <v>593</v>
      </c>
    </row>
    <row r="12" spans="1:22" ht="74.25" customHeight="1" x14ac:dyDescent="0.45">
      <c r="A12" s="6" t="s">
        <v>562</v>
      </c>
      <c r="B12" s="6" t="s">
        <v>594</v>
      </c>
      <c r="C12" s="6" t="s">
        <v>595</v>
      </c>
      <c r="E12" s="6" t="s">
        <v>596</v>
      </c>
      <c r="M12" s="6" t="s">
        <v>597</v>
      </c>
      <c r="R12" s="6" t="s">
        <v>598</v>
      </c>
      <c r="T12" s="6" t="s">
        <v>599</v>
      </c>
      <c r="U12" s="6" t="s">
        <v>600</v>
      </c>
    </row>
    <row r="13" spans="1:22" ht="74.25" customHeight="1" x14ac:dyDescent="0.45">
      <c r="A13" s="4" t="s">
        <v>599</v>
      </c>
      <c r="B13" s="4" t="s">
        <v>601</v>
      </c>
      <c r="C13" s="4" t="s">
        <v>602</v>
      </c>
      <c r="E13" s="4" t="s">
        <v>603</v>
      </c>
      <c r="M13" s="4" t="s">
        <v>604</v>
      </c>
      <c r="R13" s="4" t="s">
        <v>605</v>
      </c>
      <c r="T13" s="4" t="s">
        <v>552</v>
      </c>
      <c r="U13" s="4" t="s">
        <v>606</v>
      </c>
    </row>
    <row r="14" spans="1:22" ht="63.75" customHeight="1" x14ac:dyDescent="0.45">
      <c r="A14" s="6" t="s">
        <v>549</v>
      </c>
      <c r="B14" s="6" t="s">
        <v>607</v>
      </c>
      <c r="E14" s="6" t="s">
        <v>608</v>
      </c>
      <c r="M14" s="6" t="s">
        <v>609</v>
      </c>
      <c r="R14" s="6" t="s">
        <v>610</v>
      </c>
      <c r="T14" s="6" t="s">
        <v>565</v>
      </c>
      <c r="U14" s="6" t="s">
        <v>611</v>
      </c>
    </row>
    <row r="15" spans="1:22" ht="63.75" customHeight="1" x14ac:dyDescent="0.45">
      <c r="A15" s="4" t="s">
        <v>591</v>
      </c>
      <c r="B15" s="4" t="s">
        <v>559</v>
      </c>
      <c r="E15" s="4" t="s">
        <v>245</v>
      </c>
      <c r="M15" s="4" t="s">
        <v>559</v>
      </c>
      <c r="R15" s="4" t="s">
        <v>612</v>
      </c>
      <c r="T15" s="4" t="s">
        <v>613</v>
      </c>
      <c r="U15" s="4" t="s">
        <v>614</v>
      </c>
    </row>
    <row r="16" spans="1:22" ht="53.25" customHeight="1" x14ac:dyDescent="0.45">
      <c r="A16" s="6" t="s">
        <v>613</v>
      </c>
      <c r="E16" s="6" t="s">
        <v>615</v>
      </c>
      <c r="T16" s="6" t="s">
        <v>616</v>
      </c>
      <c r="U16" s="6" t="s">
        <v>617</v>
      </c>
    </row>
    <row r="17" spans="1:5" ht="15" customHeight="1" x14ac:dyDescent="0.45">
      <c r="A17" s="4" t="s">
        <v>573</v>
      </c>
      <c r="E17" s="4" t="s">
        <v>618</v>
      </c>
    </row>
    <row r="18" spans="1:5" ht="15" customHeight="1" x14ac:dyDescent="0.45">
      <c r="A18" s="6" t="s">
        <v>582</v>
      </c>
    </row>
    <row r="19" spans="1:5" ht="15" customHeight="1" x14ac:dyDescent="0.45">
      <c r="A19" s="4" t="s">
        <v>616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Cover</vt:lpstr>
      <vt:lpstr>Incident Intake</vt:lpstr>
      <vt:lpstr>⚡ Command Dashboard</vt:lpstr>
      <vt:lpstr>Investigation Tracker</vt:lpstr>
      <vt:lpstr>10-Day Compliance</vt:lpstr>
      <vt:lpstr>Evidence Tracker</vt:lpstr>
      <vt:lpstr>Parent Contact Log</vt:lpstr>
      <vt:lpstr>Discipline Trends</vt:lpstr>
      <vt:lpstr>📋 Monday Briefing</vt:lpstr>
      <vt:lpstr>Investigation Notes</vt:lpstr>
      <vt:lpstr>Reference</vt:lpstr>
      <vt:lpstr>↑ Upgrade to Waypoint</vt:lpstr>
      <vt:lpstr>Outcome &amp; Letters</vt:lpstr>
      <vt:lpstr>Lists</vt:lpstr>
      <vt:lpstr>'10-Day Compliance'!Print_Titles</vt:lpstr>
      <vt:lpstr>'Evidence Tracker'!Print_Titles</vt:lpstr>
      <vt:lpstr>'Incident Intake'!Print_Titles</vt:lpstr>
      <vt:lpstr>'Investigation Notes'!Print_Titles</vt:lpstr>
      <vt:lpstr>'Investigation Tracker'!Print_Titles</vt:lpstr>
      <vt:lpstr>'Outcome &amp; Letters'!Print_Titles</vt:lpstr>
      <vt:lpstr>'Parent Contact Log'!Print_Titles</vt:lpstr>
      <vt:lpstr>Reference!Print_Titles</vt:lpstr>
      <vt:lpstr>'📋 Monday Briefing'!Print_Titles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Culley</cp:lastModifiedBy>
  <cp:revision>0</cp:revision>
  <dcterms:created xsi:type="dcterms:W3CDTF">2026-03-13T21:41:27Z</dcterms:created>
  <dcterms:modified xsi:type="dcterms:W3CDTF">2026-07-14T19:43:34Z</dcterms:modified>
  <dc:language>en-US</dc:language>
</cp:coreProperties>
</file>