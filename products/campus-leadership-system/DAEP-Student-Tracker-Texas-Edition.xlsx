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kcul\waypoint-intelligent-design-daep-master\products\campus-leadership-system\"/>
    </mc:Choice>
  </mc:AlternateContent>
  <xr:revisionPtr revIDLastSave="0" documentId="13_ncr:1_{9D04221E-0F6E-4653-A677-278F41743039}" xr6:coauthVersionLast="47" xr6:coauthVersionMax="47" xr10:uidLastSave="{00000000-0000-0000-0000-000000000000}"/>
  <bookViews>
    <workbookView xWindow="2940" yWindow="2940" windowWidth="16200" windowHeight="9982" xr2:uid="{00000000-000D-0000-FFFF-FFFF00000000}"/>
  </bookViews>
  <sheets>
    <sheet name="Cover" sheetId="1" r:id="rId1"/>
    <sheet name="Roster" sheetId="2" r:id="rId2"/>
    <sheet name="Incident Log" sheetId="3" r:id="rId3"/>
    <sheet name="DAEP Placements" sheetId="4" r:id="rId4"/>
    <sheet name="Compliance Checklist" sheetId="5" r:id="rId5"/>
    <sheet name="Dashboard" sheetId="6" r:id="rId6"/>
    <sheet name="📋 Status Board" sheetId="7" r:id="rId7"/>
    <sheet name="Reference" sheetId="8" r:id="rId8"/>
    <sheet name="↑ Upgrade to Waypoint" sheetId="9" r:id="rId9"/>
    <sheet name="List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6" i="7" l="1"/>
  <c r="B45" i="7"/>
  <c r="B42" i="7"/>
  <c r="A2" i="7"/>
  <c r="B56" i="6"/>
  <c r="C56" i="6" s="1"/>
  <c r="B55" i="6"/>
  <c r="C55" i="6" s="1"/>
  <c r="B54" i="6"/>
  <c r="C54" i="6" s="1"/>
  <c r="B53" i="6"/>
  <c r="C53" i="6" s="1"/>
  <c r="B52" i="6"/>
  <c r="C52" i="6" s="1"/>
  <c r="B51" i="6"/>
  <c r="C51" i="6" s="1"/>
  <c r="B50" i="6"/>
  <c r="C50" i="6" s="1"/>
  <c r="B49" i="6"/>
  <c r="C49" i="6" s="1"/>
  <c r="B48" i="6"/>
  <c r="C48" i="6" s="1"/>
  <c r="B47" i="6"/>
  <c r="C47" i="6" s="1"/>
  <c r="B46" i="6"/>
  <c r="C46" i="6" s="1"/>
  <c r="B45" i="6"/>
  <c r="C45" i="6" s="1"/>
  <c r="B44" i="6"/>
  <c r="C44" i="6" s="1"/>
  <c r="B43" i="6"/>
  <c r="C43" i="6" s="1"/>
  <c r="B40" i="6"/>
  <c r="B39" i="6"/>
  <c r="B38" i="6"/>
  <c r="B37" i="6"/>
  <c r="B36" i="6"/>
  <c r="B35" i="6"/>
  <c r="B34" i="6"/>
  <c r="B33" i="6"/>
  <c r="B32" i="6"/>
  <c r="B31" i="6"/>
  <c r="B30" i="6"/>
  <c r="B29" i="6"/>
  <c r="B26" i="6"/>
  <c r="B25" i="6"/>
  <c r="B24" i="6"/>
  <c r="B23" i="6"/>
  <c r="B22" i="6"/>
  <c r="B21" i="6"/>
  <c r="B12" i="6"/>
  <c r="B11" i="6"/>
  <c r="B10" i="6"/>
  <c r="B7" i="6"/>
  <c r="B6" i="6"/>
  <c r="B5" i="6"/>
  <c r="A2" i="6"/>
  <c r="K153" i="5"/>
  <c r="L153" i="5" s="1"/>
  <c r="S153" i="5" s="1"/>
  <c r="D153" i="5"/>
  <c r="C153" i="5"/>
  <c r="K152" i="5"/>
  <c r="L152" i="5" s="1"/>
  <c r="S152" i="5" s="1"/>
  <c r="D152" i="5"/>
  <c r="C152" i="5"/>
  <c r="K151" i="5"/>
  <c r="L151" i="5" s="1"/>
  <c r="S151" i="5" s="1"/>
  <c r="D151" i="5"/>
  <c r="C151" i="5"/>
  <c r="K150" i="5"/>
  <c r="L150" i="5" s="1"/>
  <c r="S150" i="5" s="1"/>
  <c r="D150" i="5"/>
  <c r="C150" i="5"/>
  <c r="K149" i="5"/>
  <c r="L149" i="5" s="1"/>
  <c r="S149" i="5" s="1"/>
  <c r="D149" i="5"/>
  <c r="C149" i="5"/>
  <c r="K148" i="5"/>
  <c r="L148" i="5" s="1"/>
  <c r="S148" i="5" s="1"/>
  <c r="D148" i="5"/>
  <c r="C148" i="5"/>
  <c r="K147" i="5"/>
  <c r="L147" i="5" s="1"/>
  <c r="S147" i="5" s="1"/>
  <c r="D147" i="5"/>
  <c r="C147" i="5"/>
  <c r="K146" i="5"/>
  <c r="L146" i="5" s="1"/>
  <c r="S146" i="5" s="1"/>
  <c r="D146" i="5"/>
  <c r="C146" i="5"/>
  <c r="K145" i="5"/>
  <c r="L145" i="5" s="1"/>
  <c r="S145" i="5" s="1"/>
  <c r="D145" i="5"/>
  <c r="C145" i="5"/>
  <c r="K144" i="5"/>
  <c r="L144" i="5" s="1"/>
  <c r="S144" i="5" s="1"/>
  <c r="D144" i="5"/>
  <c r="C144" i="5"/>
  <c r="K143" i="5"/>
  <c r="L143" i="5" s="1"/>
  <c r="S143" i="5" s="1"/>
  <c r="D143" i="5"/>
  <c r="C143" i="5"/>
  <c r="K142" i="5"/>
  <c r="L142" i="5" s="1"/>
  <c r="S142" i="5" s="1"/>
  <c r="D142" i="5"/>
  <c r="C142" i="5"/>
  <c r="K141" i="5"/>
  <c r="L141" i="5" s="1"/>
  <c r="S141" i="5" s="1"/>
  <c r="D141" i="5"/>
  <c r="C141" i="5"/>
  <c r="K140" i="5"/>
  <c r="L140" i="5" s="1"/>
  <c r="S140" i="5" s="1"/>
  <c r="D140" i="5"/>
  <c r="C140" i="5"/>
  <c r="K139" i="5"/>
  <c r="L139" i="5" s="1"/>
  <c r="S139" i="5" s="1"/>
  <c r="D139" i="5"/>
  <c r="C139" i="5"/>
  <c r="K138" i="5"/>
  <c r="L138" i="5" s="1"/>
  <c r="S138" i="5" s="1"/>
  <c r="D138" i="5"/>
  <c r="C138" i="5"/>
  <c r="K137" i="5"/>
  <c r="L137" i="5" s="1"/>
  <c r="S137" i="5" s="1"/>
  <c r="D137" i="5"/>
  <c r="C137" i="5"/>
  <c r="K136" i="5"/>
  <c r="L136" i="5" s="1"/>
  <c r="S136" i="5" s="1"/>
  <c r="D136" i="5"/>
  <c r="C136" i="5"/>
  <c r="K135" i="5"/>
  <c r="L135" i="5" s="1"/>
  <c r="S135" i="5" s="1"/>
  <c r="D135" i="5"/>
  <c r="C135" i="5"/>
  <c r="K134" i="5"/>
  <c r="L134" i="5" s="1"/>
  <c r="S134" i="5" s="1"/>
  <c r="D134" i="5"/>
  <c r="C134" i="5"/>
  <c r="K133" i="5"/>
  <c r="L133" i="5" s="1"/>
  <c r="S133" i="5" s="1"/>
  <c r="D133" i="5"/>
  <c r="C133" i="5"/>
  <c r="K132" i="5"/>
  <c r="L132" i="5" s="1"/>
  <c r="S132" i="5" s="1"/>
  <c r="D132" i="5"/>
  <c r="C132" i="5"/>
  <c r="K131" i="5"/>
  <c r="L131" i="5" s="1"/>
  <c r="S131" i="5" s="1"/>
  <c r="D131" i="5"/>
  <c r="C131" i="5"/>
  <c r="K130" i="5"/>
  <c r="L130" i="5" s="1"/>
  <c r="S130" i="5" s="1"/>
  <c r="D130" i="5"/>
  <c r="C130" i="5"/>
  <c r="K129" i="5"/>
  <c r="L129" i="5" s="1"/>
  <c r="S129" i="5" s="1"/>
  <c r="D129" i="5"/>
  <c r="C129" i="5"/>
  <c r="K128" i="5"/>
  <c r="L128" i="5" s="1"/>
  <c r="S128" i="5" s="1"/>
  <c r="D128" i="5"/>
  <c r="C128" i="5"/>
  <c r="K127" i="5"/>
  <c r="L127" i="5" s="1"/>
  <c r="S127" i="5" s="1"/>
  <c r="D127" i="5"/>
  <c r="C127" i="5"/>
  <c r="K126" i="5"/>
  <c r="L126" i="5" s="1"/>
  <c r="S126" i="5" s="1"/>
  <c r="D126" i="5"/>
  <c r="C126" i="5"/>
  <c r="K125" i="5"/>
  <c r="L125" i="5" s="1"/>
  <c r="S125" i="5" s="1"/>
  <c r="D125" i="5"/>
  <c r="C125" i="5"/>
  <c r="K124" i="5"/>
  <c r="L124" i="5" s="1"/>
  <c r="S124" i="5" s="1"/>
  <c r="D124" i="5"/>
  <c r="C124" i="5"/>
  <c r="K123" i="5"/>
  <c r="L123" i="5" s="1"/>
  <c r="S123" i="5" s="1"/>
  <c r="D123" i="5"/>
  <c r="C123" i="5"/>
  <c r="K122" i="5"/>
  <c r="L122" i="5" s="1"/>
  <c r="S122" i="5" s="1"/>
  <c r="D122" i="5"/>
  <c r="C122" i="5"/>
  <c r="K121" i="5"/>
  <c r="L121" i="5" s="1"/>
  <c r="S121" i="5" s="1"/>
  <c r="D121" i="5"/>
  <c r="C121" i="5"/>
  <c r="K120" i="5"/>
  <c r="L120" i="5" s="1"/>
  <c r="S120" i="5" s="1"/>
  <c r="D120" i="5"/>
  <c r="C120" i="5"/>
  <c r="K119" i="5"/>
  <c r="L119" i="5" s="1"/>
  <c r="S119" i="5" s="1"/>
  <c r="D119" i="5"/>
  <c r="C119" i="5"/>
  <c r="K118" i="5"/>
  <c r="L118" i="5" s="1"/>
  <c r="S118" i="5" s="1"/>
  <c r="D118" i="5"/>
  <c r="C118" i="5"/>
  <c r="K117" i="5"/>
  <c r="L117" i="5" s="1"/>
  <c r="S117" i="5" s="1"/>
  <c r="D117" i="5"/>
  <c r="C117" i="5"/>
  <c r="K116" i="5"/>
  <c r="L116" i="5" s="1"/>
  <c r="S116" i="5" s="1"/>
  <c r="D116" i="5"/>
  <c r="C116" i="5"/>
  <c r="K115" i="5"/>
  <c r="L115" i="5" s="1"/>
  <c r="S115" i="5" s="1"/>
  <c r="D115" i="5"/>
  <c r="C115" i="5"/>
  <c r="K114" i="5"/>
  <c r="L114" i="5" s="1"/>
  <c r="S114" i="5" s="1"/>
  <c r="D114" i="5"/>
  <c r="C114" i="5"/>
  <c r="K113" i="5"/>
  <c r="L113" i="5" s="1"/>
  <c r="S113" i="5" s="1"/>
  <c r="D113" i="5"/>
  <c r="C113" i="5"/>
  <c r="K112" i="5"/>
  <c r="L112" i="5" s="1"/>
  <c r="S112" i="5" s="1"/>
  <c r="D112" i="5"/>
  <c r="C112" i="5"/>
  <c r="K111" i="5"/>
  <c r="L111" i="5" s="1"/>
  <c r="S111" i="5" s="1"/>
  <c r="D111" i="5"/>
  <c r="C111" i="5"/>
  <c r="K110" i="5"/>
  <c r="L110" i="5" s="1"/>
  <c r="S110" i="5" s="1"/>
  <c r="D110" i="5"/>
  <c r="C110" i="5"/>
  <c r="K109" i="5"/>
  <c r="L109" i="5" s="1"/>
  <c r="S109" i="5" s="1"/>
  <c r="D109" i="5"/>
  <c r="C109" i="5"/>
  <c r="K108" i="5"/>
  <c r="L108" i="5" s="1"/>
  <c r="S108" i="5" s="1"/>
  <c r="D108" i="5"/>
  <c r="C108" i="5"/>
  <c r="K107" i="5"/>
  <c r="L107" i="5" s="1"/>
  <c r="S107" i="5" s="1"/>
  <c r="D107" i="5"/>
  <c r="C107" i="5"/>
  <c r="K106" i="5"/>
  <c r="L106" i="5" s="1"/>
  <c r="S106" i="5" s="1"/>
  <c r="D106" i="5"/>
  <c r="C106" i="5"/>
  <c r="K105" i="5"/>
  <c r="L105" i="5" s="1"/>
  <c r="S105" i="5" s="1"/>
  <c r="D105" i="5"/>
  <c r="C105" i="5"/>
  <c r="K104" i="5"/>
  <c r="L104" i="5" s="1"/>
  <c r="S104" i="5" s="1"/>
  <c r="D104" i="5"/>
  <c r="C104" i="5"/>
  <c r="K103" i="5"/>
  <c r="L103" i="5" s="1"/>
  <c r="S103" i="5" s="1"/>
  <c r="D103" i="5"/>
  <c r="C103" i="5"/>
  <c r="K102" i="5"/>
  <c r="L102" i="5" s="1"/>
  <c r="S102" i="5" s="1"/>
  <c r="D102" i="5"/>
  <c r="C102" i="5"/>
  <c r="K101" i="5"/>
  <c r="L101" i="5" s="1"/>
  <c r="S101" i="5" s="1"/>
  <c r="D101" i="5"/>
  <c r="C101" i="5"/>
  <c r="K100" i="5"/>
  <c r="L100" i="5" s="1"/>
  <c r="S100" i="5" s="1"/>
  <c r="D100" i="5"/>
  <c r="C100" i="5"/>
  <c r="K99" i="5"/>
  <c r="L99" i="5" s="1"/>
  <c r="S99" i="5" s="1"/>
  <c r="D99" i="5"/>
  <c r="C99" i="5"/>
  <c r="K98" i="5"/>
  <c r="L98" i="5" s="1"/>
  <c r="S98" i="5" s="1"/>
  <c r="D98" i="5"/>
  <c r="C98" i="5"/>
  <c r="K97" i="5"/>
  <c r="L97" i="5" s="1"/>
  <c r="S97" i="5" s="1"/>
  <c r="D97" i="5"/>
  <c r="C97" i="5"/>
  <c r="K96" i="5"/>
  <c r="L96" i="5" s="1"/>
  <c r="S96" i="5" s="1"/>
  <c r="D96" i="5"/>
  <c r="C96" i="5"/>
  <c r="K95" i="5"/>
  <c r="L95" i="5" s="1"/>
  <c r="S95" i="5" s="1"/>
  <c r="D95" i="5"/>
  <c r="C95" i="5"/>
  <c r="K94" i="5"/>
  <c r="L94" i="5" s="1"/>
  <c r="S94" i="5" s="1"/>
  <c r="D94" i="5"/>
  <c r="C94" i="5"/>
  <c r="K93" i="5"/>
  <c r="L93" i="5" s="1"/>
  <c r="S93" i="5" s="1"/>
  <c r="D93" i="5"/>
  <c r="C93" i="5"/>
  <c r="K92" i="5"/>
  <c r="L92" i="5" s="1"/>
  <c r="S92" i="5" s="1"/>
  <c r="D92" i="5"/>
  <c r="C92" i="5"/>
  <c r="K91" i="5"/>
  <c r="L91" i="5" s="1"/>
  <c r="S91" i="5" s="1"/>
  <c r="D91" i="5"/>
  <c r="C91" i="5"/>
  <c r="K90" i="5"/>
  <c r="L90" i="5" s="1"/>
  <c r="S90" i="5" s="1"/>
  <c r="D90" i="5"/>
  <c r="C90" i="5"/>
  <c r="K89" i="5"/>
  <c r="L89" i="5" s="1"/>
  <c r="S89" i="5" s="1"/>
  <c r="D89" i="5"/>
  <c r="C89" i="5"/>
  <c r="K88" i="5"/>
  <c r="L88" i="5" s="1"/>
  <c r="S88" i="5" s="1"/>
  <c r="D88" i="5"/>
  <c r="C88" i="5"/>
  <c r="K87" i="5"/>
  <c r="L87" i="5" s="1"/>
  <c r="S87" i="5" s="1"/>
  <c r="D87" i="5"/>
  <c r="C87" i="5"/>
  <c r="K86" i="5"/>
  <c r="L86" i="5" s="1"/>
  <c r="S86" i="5" s="1"/>
  <c r="D86" i="5"/>
  <c r="C86" i="5"/>
  <c r="K85" i="5"/>
  <c r="L85" i="5" s="1"/>
  <c r="S85" i="5" s="1"/>
  <c r="D85" i="5"/>
  <c r="C85" i="5"/>
  <c r="K84" i="5"/>
  <c r="L84" i="5" s="1"/>
  <c r="S84" i="5" s="1"/>
  <c r="D84" i="5"/>
  <c r="C84" i="5"/>
  <c r="K83" i="5"/>
  <c r="L83" i="5" s="1"/>
  <c r="S83" i="5" s="1"/>
  <c r="D83" i="5"/>
  <c r="C83" i="5"/>
  <c r="K82" i="5"/>
  <c r="L82" i="5" s="1"/>
  <c r="S82" i="5" s="1"/>
  <c r="D82" i="5"/>
  <c r="C82" i="5"/>
  <c r="K81" i="5"/>
  <c r="L81" i="5" s="1"/>
  <c r="S81" i="5" s="1"/>
  <c r="D81" i="5"/>
  <c r="C81" i="5"/>
  <c r="K80" i="5"/>
  <c r="L80" i="5" s="1"/>
  <c r="S80" i="5" s="1"/>
  <c r="D80" i="5"/>
  <c r="C80" i="5"/>
  <c r="K79" i="5"/>
  <c r="L79" i="5" s="1"/>
  <c r="S79" i="5" s="1"/>
  <c r="D79" i="5"/>
  <c r="C79" i="5"/>
  <c r="K78" i="5"/>
  <c r="L78" i="5" s="1"/>
  <c r="S78" i="5" s="1"/>
  <c r="D78" i="5"/>
  <c r="C78" i="5"/>
  <c r="K77" i="5"/>
  <c r="L77" i="5" s="1"/>
  <c r="S77" i="5" s="1"/>
  <c r="D77" i="5"/>
  <c r="C77" i="5"/>
  <c r="K76" i="5"/>
  <c r="L76" i="5" s="1"/>
  <c r="S76" i="5" s="1"/>
  <c r="D76" i="5"/>
  <c r="C76" i="5"/>
  <c r="K75" i="5"/>
  <c r="L75" i="5" s="1"/>
  <c r="S75" i="5" s="1"/>
  <c r="D75" i="5"/>
  <c r="C75" i="5"/>
  <c r="K74" i="5"/>
  <c r="L74" i="5" s="1"/>
  <c r="S74" i="5" s="1"/>
  <c r="D74" i="5"/>
  <c r="C74" i="5"/>
  <c r="K73" i="5"/>
  <c r="L73" i="5" s="1"/>
  <c r="S73" i="5" s="1"/>
  <c r="D73" i="5"/>
  <c r="C73" i="5"/>
  <c r="K72" i="5"/>
  <c r="L72" i="5" s="1"/>
  <c r="S72" i="5" s="1"/>
  <c r="D72" i="5"/>
  <c r="C72" i="5"/>
  <c r="K71" i="5"/>
  <c r="L71" i="5" s="1"/>
  <c r="S71" i="5" s="1"/>
  <c r="D71" i="5"/>
  <c r="C71" i="5"/>
  <c r="K70" i="5"/>
  <c r="L70" i="5" s="1"/>
  <c r="S70" i="5" s="1"/>
  <c r="D70" i="5"/>
  <c r="C70" i="5"/>
  <c r="K69" i="5"/>
  <c r="L69" i="5" s="1"/>
  <c r="S69" i="5" s="1"/>
  <c r="D69" i="5"/>
  <c r="C69" i="5"/>
  <c r="K68" i="5"/>
  <c r="L68" i="5" s="1"/>
  <c r="S68" i="5" s="1"/>
  <c r="D68" i="5"/>
  <c r="C68" i="5"/>
  <c r="K67" i="5"/>
  <c r="L67" i="5" s="1"/>
  <c r="S67" i="5" s="1"/>
  <c r="D67" i="5"/>
  <c r="C67" i="5"/>
  <c r="K66" i="5"/>
  <c r="L66" i="5" s="1"/>
  <c r="S66" i="5" s="1"/>
  <c r="D66" i="5"/>
  <c r="C66" i="5"/>
  <c r="K65" i="5"/>
  <c r="L65" i="5" s="1"/>
  <c r="S65" i="5" s="1"/>
  <c r="D65" i="5"/>
  <c r="C65" i="5"/>
  <c r="K64" i="5"/>
  <c r="L64" i="5" s="1"/>
  <c r="S64" i="5" s="1"/>
  <c r="D64" i="5"/>
  <c r="C64" i="5"/>
  <c r="K63" i="5"/>
  <c r="L63" i="5" s="1"/>
  <c r="S63" i="5" s="1"/>
  <c r="D63" i="5"/>
  <c r="C63" i="5"/>
  <c r="K62" i="5"/>
  <c r="L62" i="5" s="1"/>
  <c r="S62" i="5" s="1"/>
  <c r="D62" i="5"/>
  <c r="C62" i="5"/>
  <c r="K61" i="5"/>
  <c r="L61" i="5" s="1"/>
  <c r="S61" i="5" s="1"/>
  <c r="D61" i="5"/>
  <c r="C61" i="5"/>
  <c r="K60" i="5"/>
  <c r="L60" i="5" s="1"/>
  <c r="S60" i="5" s="1"/>
  <c r="D60" i="5"/>
  <c r="C60" i="5"/>
  <c r="K59" i="5"/>
  <c r="L59" i="5" s="1"/>
  <c r="S59" i="5" s="1"/>
  <c r="D59" i="5"/>
  <c r="C59" i="5"/>
  <c r="K58" i="5"/>
  <c r="L58" i="5" s="1"/>
  <c r="S58" i="5" s="1"/>
  <c r="D58" i="5"/>
  <c r="C58" i="5"/>
  <c r="K57" i="5"/>
  <c r="L57" i="5" s="1"/>
  <c r="S57" i="5" s="1"/>
  <c r="D57" i="5"/>
  <c r="C57" i="5"/>
  <c r="K56" i="5"/>
  <c r="L56" i="5" s="1"/>
  <c r="S56" i="5" s="1"/>
  <c r="D56" i="5"/>
  <c r="C56" i="5"/>
  <c r="K55" i="5"/>
  <c r="L55" i="5" s="1"/>
  <c r="S55" i="5" s="1"/>
  <c r="D55" i="5"/>
  <c r="C55" i="5"/>
  <c r="K54" i="5"/>
  <c r="L54" i="5" s="1"/>
  <c r="S54" i="5" s="1"/>
  <c r="D54" i="5"/>
  <c r="C54" i="5"/>
  <c r="K53" i="5"/>
  <c r="L53" i="5" s="1"/>
  <c r="S53" i="5" s="1"/>
  <c r="D53" i="5"/>
  <c r="C53" i="5"/>
  <c r="K52" i="5"/>
  <c r="L52" i="5" s="1"/>
  <c r="S52" i="5" s="1"/>
  <c r="D52" i="5"/>
  <c r="C52" i="5"/>
  <c r="K51" i="5"/>
  <c r="L51" i="5" s="1"/>
  <c r="S51" i="5" s="1"/>
  <c r="D51" i="5"/>
  <c r="C51" i="5"/>
  <c r="K50" i="5"/>
  <c r="L50" i="5" s="1"/>
  <c r="S50" i="5" s="1"/>
  <c r="D50" i="5"/>
  <c r="C50" i="5"/>
  <c r="K49" i="5"/>
  <c r="L49" i="5" s="1"/>
  <c r="S49" i="5" s="1"/>
  <c r="D49" i="5"/>
  <c r="C49" i="5"/>
  <c r="K48" i="5"/>
  <c r="L48" i="5" s="1"/>
  <c r="S48" i="5" s="1"/>
  <c r="D48" i="5"/>
  <c r="C48" i="5"/>
  <c r="K47" i="5"/>
  <c r="L47" i="5" s="1"/>
  <c r="S47" i="5" s="1"/>
  <c r="D47" i="5"/>
  <c r="C47" i="5"/>
  <c r="K46" i="5"/>
  <c r="L46" i="5" s="1"/>
  <c r="S46" i="5" s="1"/>
  <c r="D46" i="5"/>
  <c r="C46" i="5"/>
  <c r="K45" i="5"/>
  <c r="L45" i="5" s="1"/>
  <c r="S45" i="5" s="1"/>
  <c r="D45" i="5"/>
  <c r="C45" i="5"/>
  <c r="K44" i="5"/>
  <c r="L44" i="5" s="1"/>
  <c r="S44" i="5" s="1"/>
  <c r="D44" i="5"/>
  <c r="C44" i="5"/>
  <c r="K43" i="5"/>
  <c r="L43" i="5" s="1"/>
  <c r="S43" i="5" s="1"/>
  <c r="D43" i="5"/>
  <c r="C43" i="5"/>
  <c r="K42" i="5"/>
  <c r="L42" i="5" s="1"/>
  <c r="S42" i="5" s="1"/>
  <c r="D42" i="5"/>
  <c r="C42" i="5"/>
  <c r="K41" i="5"/>
  <c r="L41" i="5" s="1"/>
  <c r="S41" i="5" s="1"/>
  <c r="D41" i="5"/>
  <c r="C41" i="5"/>
  <c r="K40" i="5"/>
  <c r="L40" i="5" s="1"/>
  <c r="S40" i="5" s="1"/>
  <c r="D40" i="5"/>
  <c r="C40" i="5"/>
  <c r="K39" i="5"/>
  <c r="L39" i="5" s="1"/>
  <c r="S39" i="5" s="1"/>
  <c r="D39" i="5"/>
  <c r="C39" i="5"/>
  <c r="K38" i="5"/>
  <c r="L38" i="5" s="1"/>
  <c r="S38" i="5" s="1"/>
  <c r="D38" i="5"/>
  <c r="C38" i="5"/>
  <c r="K37" i="5"/>
  <c r="L37" i="5" s="1"/>
  <c r="S37" i="5" s="1"/>
  <c r="D37" i="5"/>
  <c r="C37" i="5"/>
  <c r="K36" i="5"/>
  <c r="L36" i="5" s="1"/>
  <c r="S36" i="5" s="1"/>
  <c r="D36" i="5"/>
  <c r="C36" i="5"/>
  <c r="K35" i="5"/>
  <c r="L35" i="5" s="1"/>
  <c r="S35" i="5" s="1"/>
  <c r="D35" i="5"/>
  <c r="C35" i="5"/>
  <c r="K34" i="5"/>
  <c r="L34" i="5" s="1"/>
  <c r="S34" i="5" s="1"/>
  <c r="D34" i="5"/>
  <c r="C34" i="5"/>
  <c r="K33" i="5"/>
  <c r="L33" i="5" s="1"/>
  <c r="S33" i="5" s="1"/>
  <c r="D33" i="5"/>
  <c r="C33" i="5"/>
  <c r="K32" i="5"/>
  <c r="L32" i="5" s="1"/>
  <c r="S32" i="5" s="1"/>
  <c r="D32" i="5"/>
  <c r="C32" i="5"/>
  <c r="K31" i="5"/>
  <c r="L31" i="5" s="1"/>
  <c r="S31" i="5" s="1"/>
  <c r="D31" i="5"/>
  <c r="C31" i="5"/>
  <c r="K30" i="5"/>
  <c r="L30" i="5" s="1"/>
  <c r="S30" i="5" s="1"/>
  <c r="D30" i="5"/>
  <c r="C30" i="5"/>
  <c r="K29" i="5"/>
  <c r="L29" i="5" s="1"/>
  <c r="S29" i="5" s="1"/>
  <c r="D29" i="5"/>
  <c r="C29" i="5"/>
  <c r="K28" i="5"/>
  <c r="L28" i="5" s="1"/>
  <c r="S28" i="5" s="1"/>
  <c r="D28" i="5"/>
  <c r="C28" i="5"/>
  <c r="K27" i="5"/>
  <c r="L27" i="5" s="1"/>
  <c r="S27" i="5" s="1"/>
  <c r="D27" i="5"/>
  <c r="C27" i="5"/>
  <c r="K26" i="5"/>
  <c r="L26" i="5" s="1"/>
  <c r="S26" i="5" s="1"/>
  <c r="D26" i="5"/>
  <c r="C26" i="5"/>
  <c r="K25" i="5"/>
  <c r="L25" i="5" s="1"/>
  <c r="S25" i="5" s="1"/>
  <c r="D25" i="5"/>
  <c r="C25" i="5"/>
  <c r="K24" i="5"/>
  <c r="L24" i="5" s="1"/>
  <c r="S24" i="5" s="1"/>
  <c r="D24" i="5"/>
  <c r="C24" i="5"/>
  <c r="K23" i="5"/>
  <c r="L23" i="5" s="1"/>
  <c r="S23" i="5" s="1"/>
  <c r="D23" i="5"/>
  <c r="C23" i="5"/>
  <c r="K22" i="5"/>
  <c r="L22" i="5" s="1"/>
  <c r="S22" i="5" s="1"/>
  <c r="D22" i="5"/>
  <c r="C22" i="5"/>
  <c r="K21" i="5"/>
  <c r="L21" i="5" s="1"/>
  <c r="S21" i="5" s="1"/>
  <c r="D21" i="5"/>
  <c r="C21" i="5"/>
  <c r="K20" i="5"/>
  <c r="L20" i="5" s="1"/>
  <c r="S20" i="5" s="1"/>
  <c r="D20" i="5"/>
  <c r="C20" i="5"/>
  <c r="K19" i="5"/>
  <c r="L19" i="5" s="1"/>
  <c r="S19" i="5" s="1"/>
  <c r="D19" i="5"/>
  <c r="C19" i="5"/>
  <c r="K18" i="5"/>
  <c r="L18" i="5" s="1"/>
  <c r="S18" i="5" s="1"/>
  <c r="D18" i="5"/>
  <c r="C18" i="5"/>
  <c r="K17" i="5"/>
  <c r="L17" i="5" s="1"/>
  <c r="S17" i="5" s="1"/>
  <c r="D17" i="5"/>
  <c r="C17" i="5"/>
  <c r="K16" i="5"/>
  <c r="L16" i="5" s="1"/>
  <c r="S16" i="5" s="1"/>
  <c r="D16" i="5"/>
  <c r="C16" i="5"/>
  <c r="K15" i="5"/>
  <c r="L15" i="5" s="1"/>
  <c r="S15" i="5" s="1"/>
  <c r="D15" i="5"/>
  <c r="C15" i="5"/>
  <c r="K14" i="5"/>
  <c r="L14" i="5" s="1"/>
  <c r="S14" i="5" s="1"/>
  <c r="D14" i="5"/>
  <c r="C14" i="5"/>
  <c r="K13" i="5"/>
  <c r="L13" i="5" s="1"/>
  <c r="S13" i="5" s="1"/>
  <c r="D13" i="5"/>
  <c r="C13" i="5"/>
  <c r="K12" i="5"/>
  <c r="L12" i="5" s="1"/>
  <c r="S12" i="5" s="1"/>
  <c r="D12" i="5"/>
  <c r="C12" i="5"/>
  <c r="K11" i="5"/>
  <c r="L11" i="5" s="1"/>
  <c r="S11" i="5" s="1"/>
  <c r="D11" i="5"/>
  <c r="C11" i="5"/>
  <c r="K10" i="5"/>
  <c r="L10" i="5" s="1"/>
  <c r="S10" i="5" s="1"/>
  <c r="D10" i="5"/>
  <c r="C10" i="5"/>
  <c r="K9" i="5"/>
  <c r="L9" i="5" s="1"/>
  <c r="S9" i="5" s="1"/>
  <c r="D9" i="5"/>
  <c r="C9" i="5"/>
  <c r="K8" i="5"/>
  <c r="L8" i="5" s="1"/>
  <c r="S8" i="5" s="1"/>
  <c r="D8" i="5"/>
  <c r="C8" i="5"/>
  <c r="K7" i="5"/>
  <c r="L7" i="5" s="1"/>
  <c r="S7" i="5" s="1"/>
  <c r="D7" i="5"/>
  <c r="C7" i="5"/>
  <c r="K6" i="5"/>
  <c r="L6" i="5" s="1"/>
  <c r="S6" i="5" s="1"/>
  <c r="D6" i="5"/>
  <c r="C6" i="5"/>
  <c r="K5" i="5"/>
  <c r="L5" i="5" s="1"/>
  <c r="S5" i="5" s="1"/>
  <c r="D5" i="5"/>
  <c r="C5" i="5"/>
  <c r="K4" i="5"/>
  <c r="L4" i="5" s="1"/>
  <c r="D4" i="5"/>
  <c r="C4" i="5"/>
  <c r="W102" i="4"/>
  <c r="T102" i="4"/>
  <c r="S102" i="4"/>
  <c r="R102" i="4"/>
  <c r="N102" i="4"/>
  <c r="M102" i="4"/>
  <c r="J102" i="4"/>
  <c r="I102" i="4"/>
  <c r="H102" i="4"/>
  <c r="D102" i="4"/>
  <c r="C102" i="4"/>
  <c r="W101" i="4"/>
  <c r="T101" i="4"/>
  <c r="S101" i="4"/>
  <c r="R101" i="4"/>
  <c r="N101" i="4"/>
  <c r="M101" i="4"/>
  <c r="J101" i="4"/>
  <c r="I101" i="4"/>
  <c r="H101" i="4"/>
  <c r="D101" i="4"/>
  <c r="C101" i="4"/>
  <c r="W100" i="4"/>
  <c r="T100" i="4"/>
  <c r="S100" i="4"/>
  <c r="R100" i="4"/>
  <c r="N100" i="4"/>
  <c r="M100" i="4"/>
  <c r="J100" i="4"/>
  <c r="I100" i="4"/>
  <c r="H100" i="4"/>
  <c r="D100" i="4"/>
  <c r="C100" i="4"/>
  <c r="W99" i="4"/>
  <c r="T99" i="4"/>
  <c r="S99" i="4"/>
  <c r="R99" i="4"/>
  <c r="N99" i="4"/>
  <c r="M99" i="4"/>
  <c r="J99" i="4"/>
  <c r="I99" i="4"/>
  <c r="H99" i="4"/>
  <c r="D99" i="4"/>
  <c r="C99" i="4"/>
  <c r="W98" i="4"/>
  <c r="T98" i="4"/>
  <c r="S98" i="4"/>
  <c r="R98" i="4"/>
  <c r="N98" i="4"/>
  <c r="M98" i="4"/>
  <c r="J98" i="4"/>
  <c r="I98" i="4"/>
  <c r="H98" i="4"/>
  <c r="D98" i="4"/>
  <c r="C98" i="4"/>
  <c r="W97" i="4"/>
  <c r="T97" i="4"/>
  <c r="S97" i="4"/>
  <c r="R97" i="4"/>
  <c r="N97" i="4"/>
  <c r="M97" i="4"/>
  <c r="J97" i="4"/>
  <c r="I97" i="4"/>
  <c r="H97" i="4"/>
  <c r="D97" i="4"/>
  <c r="C97" i="4"/>
  <c r="W96" i="4"/>
  <c r="T96" i="4"/>
  <c r="S96" i="4"/>
  <c r="R96" i="4"/>
  <c r="N96" i="4"/>
  <c r="M96" i="4"/>
  <c r="J96" i="4"/>
  <c r="I96" i="4"/>
  <c r="H96" i="4"/>
  <c r="D96" i="4"/>
  <c r="C96" i="4"/>
  <c r="W95" i="4"/>
  <c r="T95" i="4"/>
  <c r="S95" i="4"/>
  <c r="R95" i="4"/>
  <c r="N95" i="4"/>
  <c r="M95" i="4"/>
  <c r="J95" i="4"/>
  <c r="I95" i="4"/>
  <c r="H95" i="4"/>
  <c r="D95" i="4"/>
  <c r="C95" i="4"/>
  <c r="W94" i="4"/>
  <c r="T94" i="4"/>
  <c r="S94" i="4"/>
  <c r="R94" i="4"/>
  <c r="N94" i="4"/>
  <c r="M94" i="4"/>
  <c r="J94" i="4"/>
  <c r="I94" i="4"/>
  <c r="H94" i="4"/>
  <c r="D94" i="4"/>
  <c r="C94" i="4"/>
  <c r="W93" i="4"/>
  <c r="T93" i="4"/>
  <c r="S93" i="4"/>
  <c r="R93" i="4"/>
  <c r="N93" i="4"/>
  <c r="M93" i="4"/>
  <c r="J93" i="4"/>
  <c r="I93" i="4"/>
  <c r="H93" i="4"/>
  <c r="D93" i="4"/>
  <c r="C93" i="4"/>
  <c r="W92" i="4"/>
  <c r="T92" i="4"/>
  <c r="S92" i="4"/>
  <c r="R92" i="4"/>
  <c r="N92" i="4"/>
  <c r="M92" i="4"/>
  <c r="J92" i="4"/>
  <c r="I92" i="4"/>
  <c r="H92" i="4"/>
  <c r="D92" i="4"/>
  <c r="C92" i="4"/>
  <c r="W91" i="4"/>
  <c r="T91" i="4"/>
  <c r="S91" i="4"/>
  <c r="R91" i="4"/>
  <c r="N91" i="4"/>
  <c r="M91" i="4"/>
  <c r="J91" i="4"/>
  <c r="I91" i="4"/>
  <c r="H91" i="4"/>
  <c r="D91" i="4"/>
  <c r="C91" i="4"/>
  <c r="W90" i="4"/>
  <c r="T90" i="4"/>
  <c r="S90" i="4"/>
  <c r="R90" i="4"/>
  <c r="N90" i="4"/>
  <c r="M90" i="4"/>
  <c r="J90" i="4"/>
  <c r="I90" i="4"/>
  <c r="H90" i="4"/>
  <c r="D90" i="4"/>
  <c r="C90" i="4"/>
  <c r="W89" i="4"/>
  <c r="T89" i="4"/>
  <c r="S89" i="4"/>
  <c r="R89" i="4"/>
  <c r="N89" i="4"/>
  <c r="M89" i="4"/>
  <c r="J89" i="4"/>
  <c r="I89" i="4"/>
  <c r="H89" i="4"/>
  <c r="D89" i="4"/>
  <c r="C89" i="4"/>
  <c r="W88" i="4"/>
  <c r="T88" i="4"/>
  <c r="S88" i="4"/>
  <c r="R88" i="4"/>
  <c r="N88" i="4"/>
  <c r="M88" i="4"/>
  <c r="J88" i="4"/>
  <c r="I88" i="4"/>
  <c r="H88" i="4"/>
  <c r="D88" i="4"/>
  <c r="C88" i="4"/>
  <c r="W87" i="4"/>
  <c r="T87" i="4"/>
  <c r="S87" i="4"/>
  <c r="R87" i="4"/>
  <c r="N87" i="4"/>
  <c r="M87" i="4"/>
  <c r="J87" i="4"/>
  <c r="I87" i="4"/>
  <c r="H87" i="4"/>
  <c r="D87" i="4"/>
  <c r="C87" i="4"/>
  <c r="W86" i="4"/>
  <c r="T86" i="4"/>
  <c r="S86" i="4"/>
  <c r="R86" i="4"/>
  <c r="N86" i="4"/>
  <c r="M86" i="4"/>
  <c r="J86" i="4"/>
  <c r="I86" i="4"/>
  <c r="H86" i="4"/>
  <c r="D86" i="4"/>
  <c r="C86" i="4"/>
  <c r="W85" i="4"/>
  <c r="T85" i="4"/>
  <c r="S85" i="4"/>
  <c r="R85" i="4"/>
  <c r="N85" i="4"/>
  <c r="M85" i="4"/>
  <c r="J85" i="4"/>
  <c r="I85" i="4"/>
  <c r="H85" i="4"/>
  <c r="D85" i="4"/>
  <c r="C85" i="4"/>
  <c r="W84" i="4"/>
  <c r="T84" i="4"/>
  <c r="S84" i="4"/>
  <c r="R84" i="4"/>
  <c r="N84" i="4"/>
  <c r="M84" i="4"/>
  <c r="J84" i="4"/>
  <c r="I84" i="4"/>
  <c r="H84" i="4"/>
  <c r="D84" i="4"/>
  <c r="C84" i="4"/>
  <c r="W83" i="4"/>
  <c r="T83" i="4"/>
  <c r="S83" i="4"/>
  <c r="R83" i="4"/>
  <c r="N83" i="4"/>
  <c r="M83" i="4"/>
  <c r="J83" i="4"/>
  <c r="I83" i="4"/>
  <c r="H83" i="4"/>
  <c r="D83" i="4"/>
  <c r="C83" i="4"/>
  <c r="W82" i="4"/>
  <c r="T82" i="4"/>
  <c r="S82" i="4"/>
  <c r="R82" i="4"/>
  <c r="N82" i="4"/>
  <c r="M82" i="4"/>
  <c r="J82" i="4"/>
  <c r="I82" i="4"/>
  <c r="H82" i="4"/>
  <c r="D82" i="4"/>
  <c r="C82" i="4"/>
  <c r="W81" i="4"/>
  <c r="T81" i="4"/>
  <c r="S81" i="4"/>
  <c r="R81" i="4"/>
  <c r="N81" i="4"/>
  <c r="M81" i="4"/>
  <c r="J81" i="4"/>
  <c r="I81" i="4"/>
  <c r="H81" i="4"/>
  <c r="D81" i="4"/>
  <c r="C81" i="4"/>
  <c r="W80" i="4"/>
  <c r="T80" i="4"/>
  <c r="S80" i="4"/>
  <c r="R80" i="4"/>
  <c r="N80" i="4"/>
  <c r="M80" i="4"/>
  <c r="J80" i="4"/>
  <c r="I80" i="4"/>
  <c r="H80" i="4"/>
  <c r="D80" i="4"/>
  <c r="C80" i="4"/>
  <c r="W79" i="4"/>
  <c r="T79" i="4"/>
  <c r="S79" i="4"/>
  <c r="R79" i="4"/>
  <c r="N79" i="4"/>
  <c r="M79" i="4"/>
  <c r="J79" i="4"/>
  <c r="I79" i="4"/>
  <c r="H79" i="4"/>
  <c r="D79" i="4"/>
  <c r="C79" i="4"/>
  <c r="W78" i="4"/>
  <c r="T78" i="4"/>
  <c r="S78" i="4"/>
  <c r="R78" i="4"/>
  <c r="N78" i="4"/>
  <c r="M78" i="4"/>
  <c r="J78" i="4"/>
  <c r="I78" i="4"/>
  <c r="H78" i="4"/>
  <c r="D78" i="4"/>
  <c r="C78" i="4"/>
  <c r="W77" i="4"/>
  <c r="T77" i="4"/>
  <c r="S77" i="4"/>
  <c r="R77" i="4"/>
  <c r="N77" i="4"/>
  <c r="M77" i="4"/>
  <c r="J77" i="4"/>
  <c r="I77" i="4"/>
  <c r="H77" i="4"/>
  <c r="D77" i="4"/>
  <c r="C77" i="4"/>
  <c r="W76" i="4"/>
  <c r="T76" i="4"/>
  <c r="S76" i="4"/>
  <c r="R76" i="4"/>
  <c r="N76" i="4"/>
  <c r="M76" i="4"/>
  <c r="J76" i="4"/>
  <c r="I76" i="4"/>
  <c r="H76" i="4"/>
  <c r="D76" i="4"/>
  <c r="C76" i="4"/>
  <c r="W75" i="4"/>
  <c r="T75" i="4"/>
  <c r="S75" i="4"/>
  <c r="R75" i="4"/>
  <c r="N75" i="4"/>
  <c r="M75" i="4"/>
  <c r="J75" i="4"/>
  <c r="I75" i="4"/>
  <c r="H75" i="4"/>
  <c r="D75" i="4"/>
  <c r="C75" i="4"/>
  <c r="W74" i="4"/>
  <c r="T74" i="4"/>
  <c r="S74" i="4"/>
  <c r="R74" i="4"/>
  <c r="N74" i="4"/>
  <c r="M74" i="4"/>
  <c r="J74" i="4"/>
  <c r="I74" i="4"/>
  <c r="H74" i="4"/>
  <c r="D74" i="4"/>
  <c r="C74" i="4"/>
  <c r="W73" i="4"/>
  <c r="T73" i="4"/>
  <c r="S73" i="4"/>
  <c r="R73" i="4"/>
  <c r="N73" i="4"/>
  <c r="M73" i="4"/>
  <c r="J73" i="4"/>
  <c r="I73" i="4"/>
  <c r="H73" i="4"/>
  <c r="D73" i="4"/>
  <c r="C73" i="4"/>
  <c r="W72" i="4"/>
  <c r="T72" i="4"/>
  <c r="S72" i="4"/>
  <c r="R72" i="4"/>
  <c r="N72" i="4"/>
  <c r="M72" i="4"/>
  <c r="J72" i="4"/>
  <c r="I72" i="4"/>
  <c r="H72" i="4"/>
  <c r="D72" i="4"/>
  <c r="C72" i="4"/>
  <c r="W71" i="4"/>
  <c r="T71" i="4"/>
  <c r="S71" i="4"/>
  <c r="R71" i="4"/>
  <c r="N71" i="4"/>
  <c r="M71" i="4"/>
  <c r="J71" i="4"/>
  <c r="I71" i="4"/>
  <c r="H71" i="4"/>
  <c r="D71" i="4"/>
  <c r="C71" i="4"/>
  <c r="W70" i="4"/>
  <c r="T70" i="4"/>
  <c r="S70" i="4"/>
  <c r="R70" i="4"/>
  <c r="N70" i="4"/>
  <c r="M70" i="4"/>
  <c r="J70" i="4"/>
  <c r="I70" i="4"/>
  <c r="H70" i="4"/>
  <c r="D70" i="4"/>
  <c r="C70" i="4"/>
  <c r="W69" i="4"/>
  <c r="T69" i="4"/>
  <c r="S69" i="4"/>
  <c r="R69" i="4"/>
  <c r="N69" i="4"/>
  <c r="M69" i="4"/>
  <c r="J69" i="4"/>
  <c r="I69" i="4"/>
  <c r="H69" i="4"/>
  <c r="D69" i="4"/>
  <c r="C69" i="4"/>
  <c r="W68" i="4"/>
  <c r="T68" i="4"/>
  <c r="S68" i="4"/>
  <c r="R68" i="4"/>
  <c r="N68" i="4"/>
  <c r="M68" i="4"/>
  <c r="J68" i="4"/>
  <c r="I68" i="4"/>
  <c r="H68" i="4"/>
  <c r="D68" i="4"/>
  <c r="C68" i="4"/>
  <c r="W67" i="4"/>
  <c r="T67" i="4"/>
  <c r="S67" i="4"/>
  <c r="R67" i="4"/>
  <c r="N67" i="4"/>
  <c r="M67" i="4"/>
  <c r="J67" i="4"/>
  <c r="I67" i="4"/>
  <c r="H67" i="4"/>
  <c r="D67" i="4"/>
  <c r="C67" i="4"/>
  <c r="W66" i="4"/>
  <c r="T66" i="4"/>
  <c r="S66" i="4"/>
  <c r="R66" i="4"/>
  <c r="N66" i="4"/>
  <c r="M66" i="4"/>
  <c r="J66" i="4"/>
  <c r="I66" i="4"/>
  <c r="H66" i="4"/>
  <c r="D66" i="4"/>
  <c r="C66" i="4"/>
  <c r="W65" i="4"/>
  <c r="T65" i="4"/>
  <c r="S65" i="4"/>
  <c r="R65" i="4"/>
  <c r="N65" i="4"/>
  <c r="M65" i="4"/>
  <c r="J65" i="4"/>
  <c r="I65" i="4"/>
  <c r="H65" i="4"/>
  <c r="D65" i="4"/>
  <c r="C65" i="4"/>
  <c r="W64" i="4"/>
  <c r="T64" i="4"/>
  <c r="S64" i="4"/>
  <c r="R64" i="4"/>
  <c r="N64" i="4"/>
  <c r="M64" i="4"/>
  <c r="J64" i="4"/>
  <c r="I64" i="4"/>
  <c r="H64" i="4"/>
  <c r="D64" i="4"/>
  <c r="C64" i="4"/>
  <c r="W63" i="4"/>
  <c r="T63" i="4"/>
  <c r="S63" i="4"/>
  <c r="R63" i="4"/>
  <c r="N63" i="4"/>
  <c r="M63" i="4"/>
  <c r="J63" i="4"/>
  <c r="I63" i="4"/>
  <c r="H63" i="4"/>
  <c r="D63" i="4"/>
  <c r="C63" i="4"/>
  <c r="W62" i="4"/>
  <c r="T62" i="4"/>
  <c r="S62" i="4"/>
  <c r="R62" i="4"/>
  <c r="N62" i="4"/>
  <c r="M62" i="4"/>
  <c r="J62" i="4"/>
  <c r="I62" i="4"/>
  <c r="H62" i="4"/>
  <c r="D62" i="4"/>
  <c r="C62" i="4"/>
  <c r="W61" i="4"/>
  <c r="T61" i="4"/>
  <c r="S61" i="4"/>
  <c r="R61" i="4"/>
  <c r="N61" i="4"/>
  <c r="M61" i="4"/>
  <c r="J61" i="4"/>
  <c r="I61" i="4"/>
  <c r="H61" i="4"/>
  <c r="D61" i="4"/>
  <c r="C61" i="4"/>
  <c r="W60" i="4"/>
  <c r="T60" i="4"/>
  <c r="S60" i="4"/>
  <c r="R60" i="4"/>
  <c r="N60" i="4"/>
  <c r="M60" i="4"/>
  <c r="J60" i="4"/>
  <c r="I60" i="4"/>
  <c r="H60" i="4"/>
  <c r="D60" i="4"/>
  <c r="C60" i="4"/>
  <c r="W59" i="4"/>
  <c r="T59" i="4"/>
  <c r="S59" i="4"/>
  <c r="R59" i="4"/>
  <c r="N59" i="4"/>
  <c r="M59" i="4"/>
  <c r="J59" i="4"/>
  <c r="I59" i="4"/>
  <c r="H59" i="4"/>
  <c r="D59" i="4"/>
  <c r="C59" i="4"/>
  <c r="W58" i="4"/>
  <c r="T58" i="4"/>
  <c r="S58" i="4"/>
  <c r="R58" i="4"/>
  <c r="N58" i="4"/>
  <c r="M58" i="4"/>
  <c r="J58" i="4"/>
  <c r="I58" i="4"/>
  <c r="H58" i="4"/>
  <c r="D58" i="4"/>
  <c r="C58" i="4"/>
  <c r="W57" i="4"/>
  <c r="T57" i="4"/>
  <c r="S57" i="4"/>
  <c r="R57" i="4"/>
  <c r="N57" i="4"/>
  <c r="M57" i="4"/>
  <c r="J57" i="4"/>
  <c r="I57" i="4"/>
  <c r="H57" i="4"/>
  <c r="D57" i="4"/>
  <c r="C57" i="4"/>
  <c r="W56" i="4"/>
  <c r="T56" i="4"/>
  <c r="S56" i="4"/>
  <c r="R56" i="4"/>
  <c r="N56" i="4"/>
  <c r="M56" i="4"/>
  <c r="J56" i="4"/>
  <c r="I56" i="4"/>
  <c r="H56" i="4"/>
  <c r="D56" i="4"/>
  <c r="C56" i="4"/>
  <c r="W55" i="4"/>
  <c r="T55" i="4"/>
  <c r="S55" i="4"/>
  <c r="R55" i="4"/>
  <c r="N55" i="4"/>
  <c r="M55" i="4"/>
  <c r="J55" i="4"/>
  <c r="I55" i="4"/>
  <c r="H55" i="4"/>
  <c r="D55" i="4"/>
  <c r="C55" i="4"/>
  <c r="W54" i="4"/>
  <c r="T54" i="4"/>
  <c r="S54" i="4"/>
  <c r="R54" i="4"/>
  <c r="N54" i="4"/>
  <c r="M54" i="4"/>
  <c r="J54" i="4"/>
  <c r="I54" i="4"/>
  <c r="H54" i="4"/>
  <c r="D54" i="4"/>
  <c r="C54" i="4"/>
  <c r="W53" i="4"/>
  <c r="T53" i="4"/>
  <c r="S53" i="4"/>
  <c r="R53" i="4"/>
  <c r="N53" i="4"/>
  <c r="M53" i="4"/>
  <c r="J53" i="4"/>
  <c r="I53" i="4"/>
  <c r="H53" i="4"/>
  <c r="D53" i="4"/>
  <c r="C53" i="4"/>
  <c r="W52" i="4"/>
  <c r="T52" i="4"/>
  <c r="S52" i="4"/>
  <c r="R52" i="4"/>
  <c r="N52" i="4"/>
  <c r="M52" i="4"/>
  <c r="J52" i="4"/>
  <c r="I52" i="4"/>
  <c r="H52" i="4"/>
  <c r="D52" i="4"/>
  <c r="C52" i="4"/>
  <c r="W51" i="4"/>
  <c r="T51" i="4"/>
  <c r="S51" i="4"/>
  <c r="R51" i="4"/>
  <c r="N51" i="4"/>
  <c r="M51" i="4"/>
  <c r="J51" i="4"/>
  <c r="I51" i="4"/>
  <c r="H51" i="4"/>
  <c r="D51" i="4"/>
  <c r="C51" i="4"/>
  <c r="W50" i="4"/>
  <c r="T50" i="4"/>
  <c r="S50" i="4"/>
  <c r="R50" i="4"/>
  <c r="N50" i="4"/>
  <c r="M50" i="4"/>
  <c r="J50" i="4"/>
  <c r="I50" i="4"/>
  <c r="H50" i="4"/>
  <c r="D50" i="4"/>
  <c r="C50" i="4"/>
  <c r="W49" i="4"/>
  <c r="T49" i="4"/>
  <c r="S49" i="4"/>
  <c r="R49" i="4"/>
  <c r="N49" i="4"/>
  <c r="M49" i="4"/>
  <c r="J49" i="4"/>
  <c r="I49" i="4"/>
  <c r="H49" i="4"/>
  <c r="D49" i="4"/>
  <c r="C49" i="4"/>
  <c r="W48" i="4"/>
  <c r="T48" i="4"/>
  <c r="S48" i="4"/>
  <c r="R48" i="4"/>
  <c r="N48" i="4"/>
  <c r="M48" i="4"/>
  <c r="J48" i="4"/>
  <c r="I48" i="4"/>
  <c r="H48" i="4"/>
  <c r="D48" i="4"/>
  <c r="C48" i="4"/>
  <c r="W47" i="4"/>
  <c r="T47" i="4"/>
  <c r="S47" i="4"/>
  <c r="R47" i="4"/>
  <c r="N47" i="4"/>
  <c r="M47" i="4"/>
  <c r="J47" i="4"/>
  <c r="I47" i="4"/>
  <c r="H47" i="4"/>
  <c r="D47" i="4"/>
  <c r="C47" i="4"/>
  <c r="W46" i="4"/>
  <c r="T46" i="4"/>
  <c r="S46" i="4"/>
  <c r="R46" i="4"/>
  <c r="N46" i="4"/>
  <c r="M46" i="4"/>
  <c r="J46" i="4"/>
  <c r="I46" i="4"/>
  <c r="H46" i="4"/>
  <c r="D46" i="4"/>
  <c r="C46" i="4"/>
  <c r="W45" i="4"/>
  <c r="T45" i="4"/>
  <c r="S45" i="4"/>
  <c r="R45" i="4"/>
  <c r="N45" i="4"/>
  <c r="M45" i="4"/>
  <c r="J45" i="4"/>
  <c r="I45" i="4"/>
  <c r="H45" i="4"/>
  <c r="D45" i="4"/>
  <c r="C45" i="4"/>
  <c r="W44" i="4"/>
  <c r="T44" i="4"/>
  <c r="S44" i="4"/>
  <c r="R44" i="4"/>
  <c r="N44" i="4"/>
  <c r="M44" i="4"/>
  <c r="J44" i="4"/>
  <c r="I44" i="4"/>
  <c r="H44" i="4"/>
  <c r="D44" i="4"/>
  <c r="C44" i="4"/>
  <c r="W43" i="4"/>
  <c r="T43" i="4"/>
  <c r="S43" i="4"/>
  <c r="R43" i="4"/>
  <c r="N43" i="4"/>
  <c r="M43" i="4"/>
  <c r="J43" i="4"/>
  <c r="I43" i="4"/>
  <c r="H43" i="4"/>
  <c r="D43" i="4"/>
  <c r="C43" i="4"/>
  <c r="W42" i="4"/>
  <c r="T42" i="4"/>
  <c r="S42" i="4"/>
  <c r="R42" i="4"/>
  <c r="N42" i="4"/>
  <c r="M42" i="4"/>
  <c r="J42" i="4"/>
  <c r="I42" i="4"/>
  <c r="H42" i="4"/>
  <c r="D42" i="4"/>
  <c r="C42" i="4"/>
  <c r="W41" i="4"/>
  <c r="T41" i="4"/>
  <c r="S41" i="4"/>
  <c r="R41" i="4"/>
  <c r="N41" i="4"/>
  <c r="M41" i="4"/>
  <c r="J41" i="4"/>
  <c r="I41" i="4"/>
  <c r="H41" i="4"/>
  <c r="D41" i="4"/>
  <c r="C41" i="4"/>
  <c r="W40" i="4"/>
  <c r="T40" i="4"/>
  <c r="S40" i="4"/>
  <c r="R40" i="4"/>
  <c r="N40" i="4"/>
  <c r="M40" i="4"/>
  <c r="J40" i="4"/>
  <c r="I40" i="4"/>
  <c r="H40" i="4"/>
  <c r="D40" i="4"/>
  <c r="C40" i="4"/>
  <c r="W39" i="4"/>
  <c r="T39" i="4"/>
  <c r="S39" i="4"/>
  <c r="R39" i="4"/>
  <c r="N39" i="4"/>
  <c r="M39" i="4"/>
  <c r="J39" i="4"/>
  <c r="I39" i="4"/>
  <c r="H39" i="4"/>
  <c r="D39" i="4"/>
  <c r="C39" i="4"/>
  <c r="W38" i="4"/>
  <c r="T38" i="4"/>
  <c r="S38" i="4"/>
  <c r="R38" i="4"/>
  <c r="N38" i="4"/>
  <c r="M38" i="4"/>
  <c r="J38" i="4"/>
  <c r="I38" i="4"/>
  <c r="H38" i="4"/>
  <c r="D38" i="4"/>
  <c r="C38" i="4"/>
  <c r="W37" i="4"/>
  <c r="T37" i="4"/>
  <c r="S37" i="4"/>
  <c r="R37" i="4"/>
  <c r="N37" i="4"/>
  <c r="M37" i="4"/>
  <c r="J37" i="4"/>
  <c r="I37" i="4"/>
  <c r="H37" i="4"/>
  <c r="D37" i="4"/>
  <c r="C37" i="4"/>
  <c r="W36" i="4"/>
  <c r="T36" i="4"/>
  <c r="S36" i="4"/>
  <c r="R36" i="4"/>
  <c r="N36" i="4"/>
  <c r="M36" i="4"/>
  <c r="J36" i="4"/>
  <c r="I36" i="4"/>
  <c r="H36" i="4"/>
  <c r="D36" i="4"/>
  <c r="C36" i="4"/>
  <c r="W35" i="4"/>
  <c r="T35" i="4"/>
  <c r="S35" i="4"/>
  <c r="R35" i="4"/>
  <c r="N35" i="4"/>
  <c r="M35" i="4"/>
  <c r="J35" i="4"/>
  <c r="I35" i="4"/>
  <c r="H35" i="4"/>
  <c r="D35" i="4"/>
  <c r="C35" i="4"/>
  <c r="W34" i="4"/>
  <c r="T34" i="4"/>
  <c r="S34" i="4"/>
  <c r="R34" i="4"/>
  <c r="N34" i="4"/>
  <c r="M34" i="4"/>
  <c r="J34" i="4"/>
  <c r="I34" i="4"/>
  <c r="H34" i="4"/>
  <c r="D34" i="4"/>
  <c r="C34" i="4"/>
  <c r="W33" i="4"/>
  <c r="T33" i="4"/>
  <c r="S33" i="4"/>
  <c r="R33" i="4"/>
  <c r="N33" i="4"/>
  <c r="M33" i="4"/>
  <c r="J33" i="4"/>
  <c r="I33" i="4"/>
  <c r="H33" i="4"/>
  <c r="D33" i="4"/>
  <c r="C33" i="4"/>
  <c r="W32" i="4"/>
  <c r="T32" i="4"/>
  <c r="S32" i="4"/>
  <c r="R32" i="4"/>
  <c r="N32" i="4"/>
  <c r="M32" i="4"/>
  <c r="J32" i="4"/>
  <c r="I32" i="4"/>
  <c r="H32" i="4"/>
  <c r="D32" i="4"/>
  <c r="C32" i="4"/>
  <c r="W31" i="4"/>
  <c r="T31" i="4"/>
  <c r="S31" i="4"/>
  <c r="R31" i="4"/>
  <c r="N31" i="4"/>
  <c r="M31" i="4"/>
  <c r="J31" i="4"/>
  <c r="I31" i="4"/>
  <c r="H31" i="4"/>
  <c r="D31" i="4"/>
  <c r="C31" i="4"/>
  <c r="W30" i="4"/>
  <c r="T30" i="4"/>
  <c r="S30" i="4"/>
  <c r="R30" i="4"/>
  <c r="N30" i="4"/>
  <c r="M30" i="4"/>
  <c r="J30" i="4"/>
  <c r="I30" i="4"/>
  <c r="H30" i="4"/>
  <c r="D30" i="4"/>
  <c r="C30" i="4"/>
  <c r="W29" i="4"/>
  <c r="T29" i="4"/>
  <c r="S29" i="4"/>
  <c r="R29" i="4"/>
  <c r="N29" i="4"/>
  <c r="M29" i="4"/>
  <c r="J29" i="4"/>
  <c r="I29" i="4"/>
  <c r="H29" i="4"/>
  <c r="D29" i="4"/>
  <c r="C29" i="4"/>
  <c r="W28" i="4"/>
  <c r="T28" i="4"/>
  <c r="S28" i="4"/>
  <c r="R28" i="4"/>
  <c r="N28" i="4"/>
  <c r="M28" i="4"/>
  <c r="J28" i="4"/>
  <c r="I28" i="4"/>
  <c r="H28" i="4"/>
  <c r="D28" i="4"/>
  <c r="C28" i="4"/>
  <c r="W27" i="4"/>
  <c r="T27" i="4"/>
  <c r="S27" i="4"/>
  <c r="R27" i="4"/>
  <c r="N27" i="4"/>
  <c r="M27" i="4"/>
  <c r="J27" i="4"/>
  <c r="I27" i="4"/>
  <c r="H27" i="4"/>
  <c r="D27" i="4"/>
  <c r="C27" i="4"/>
  <c r="W26" i="4"/>
  <c r="T26" i="4"/>
  <c r="S26" i="4"/>
  <c r="R26" i="4"/>
  <c r="N26" i="4"/>
  <c r="M26" i="4"/>
  <c r="J26" i="4"/>
  <c r="I26" i="4"/>
  <c r="H26" i="4"/>
  <c r="D26" i="4"/>
  <c r="C26" i="4"/>
  <c r="W25" i="4"/>
  <c r="T25" i="4"/>
  <c r="S25" i="4"/>
  <c r="R25" i="4"/>
  <c r="N25" i="4"/>
  <c r="M25" i="4"/>
  <c r="J25" i="4"/>
  <c r="I25" i="4"/>
  <c r="H25" i="4"/>
  <c r="D25" i="4"/>
  <c r="C25" i="4"/>
  <c r="W24" i="4"/>
  <c r="T24" i="4"/>
  <c r="S24" i="4"/>
  <c r="R24" i="4"/>
  <c r="N24" i="4"/>
  <c r="M24" i="4"/>
  <c r="J24" i="4"/>
  <c r="I24" i="4"/>
  <c r="H24" i="4"/>
  <c r="D24" i="4"/>
  <c r="C24" i="4"/>
  <c r="W23" i="4"/>
  <c r="T23" i="4"/>
  <c r="S23" i="4"/>
  <c r="R23" i="4"/>
  <c r="N23" i="4"/>
  <c r="M23" i="4"/>
  <c r="J23" i="4"/>
  <c r="I23" i="4"/>
  <c r="H23" i="4"/>
  <c r="D23" i="4"/>
  <c r="C23" i="4"/>
  <c r="W22" i="4"/>
  <c r="T22" i="4"/>
  <c r="S22" i="4"/>
  <c r="R22" i="4"/>
  <c r="N22" i="4"/>
  <c r="M22" i="4"/>
  <c r="J22" i="4"/>
  <c r="I22" i="4"/>
  <c r="H22" i="4"/>
  <c r="D22" i="4"/>
  <c r="C22" i="4"/>
  <c r="W21" i="4"/>
  <c r="T21" i="4"/>
  <c r="S21" i="4"/>
  <c r="R21" i="4"/>
  <c r="N21" i="4"/>
  <c r="M21" i="4"/>
  <c r="J21" i="4"/>
  <c r="I21" i="4"/>
  <c r="H21" i="4"/>
  <c r="D21" i="4"/>
  <c r="C21" i="4"/>
  <c r="W20" i="4"/>
  <c r="T20" i="4"/>
  <c r="S20" i="4"/>
  <c r="R20" i="4"/>
  <c r="N20" i="4"/>
  <c r="M20" i="4"/>
  <c r="J20" i="4"/>
  <c r="I20" i="4"/>
  <c r="H20" i="4"/>
  <c r="D20" i="4"/>
  <c r="C20" i="4"/>
  <c r="W19" i="4"/>
  <c r="T19" i="4"/>
  <c r="S19" i="4"/>
  <c r="R19" i="4"/>
  <c r="N19" i="4"/>
  <c r="M19" i="4"/>
  <c r="J19" i="4"/>
  <c r="I19" i="4"/>
  <c r="H19" i="4"/>
  <c r="D19" i="4"/>
  <c r="C19" i="4"/>
  <c r="W18" i="4"/>
  <c r="T18" i="4"/>
  <c r="S18" i="4"/>
  <c r="R18" i="4"/>
  <c r="N18" i="4"/>
  <c r="M18" i="4"/>
  <c r="J18" i="4"/>
  <c r="I18" i="4"/>
  <c r="H18" i="4"/>
  <c r="D18" i="4"/>
  <c r="C18" i="4"/>
  <c r="W17" i="4"/>
  <c r="T17" i="4"/>
  <c r="S17" i="4"/>
  <c r="R17" i="4"/>
  <c r="N17" i="4"/>
  <c r="M17" i="4"/>
  <c r="J17" i="4"/>
  <c r="I17" i="4"/>
  <c r="H17" i="4"/>
  <c r="D17" i="4"/>
  <c r="C17" i="4"/>
  <c r="W16" i="4"/>
  <c r="T16" i="4"/>
  <c r="S16" i="4"/>
  <c r="R16" i="4"/>
  <c r="N16" i="4"/>
  <c r="M16" i="4"/>
  <c r="J16" i="4"/>
  <c r="I16" i="4"/>
  <c r="H16" i="4"/>
  <c r="D16" i="4"/>
  <c r="C16" i="4"/>
  <c r="W15" i="4"/>
  <c r="T15" i="4"/>
  <c r="S15" i="4"/>
  <c r="R15" i="4"/>
  <c r="N15" i="4"/>
  <c r="M15" i="4"/>
  <c r="J15" i="4"/>
  <c r="I15" i="4"/>
  <c r="H15" i="4"/>
  <c r="D15" i="4"/>
  <c r="C15" i="4"/>
  <c r="W14" i="4"/>
  <c r="T14" i="4"/>
  <c r="S14" i="4"/>
  <c r="R14" i="4"/>
  <c r="N14" i="4"/>
  <c r="M14" i="4"/>
  <c r="J14" i="4"/>
  <c r="I14" i="4"/>
  <c r="H14" i="4"/>
  <c r="D14" i="4"/>
  <c r="C14" i="4"/>
  <c r="W13" i="4"/>
  <c r="T13" i="4"/>
  <c r="S13" i="4"/>
  <c r="R13" i="4"/>
  <c r="N13" i="4"/>
  <c r="M13" i="4"/>
  <c r="J13" i="4"/>
  <c r="I13" i="4"/>
  <c r="H13" i="4"/>
  <c r="D13" i="4"/>
  <c r="C13" i="4"/>
  <c r="W12" i="4"/>
  <c r="T12" i="4"/>
  <c r="S12" i="4"/>
  <c r="R12" i="4"/>
  <c r="N12" i="4"/>
  <c r="M12" i="4"/>
  <c r="J12" i="4"/>
  <c r="I12" i="4"/>
  <c r="H12" i="4"/>
  <c r="D12" i="4"/>
  <c r="C12" i="4"/>
  <c r="W11" i="4"/>
  <c r="T11" i="4"/>
  <c r="S11" i="4"/>
  <c r="R11" i="4"/>
  <c r="N11" i="4"/>
  <c r="M11" i="4"/>
  <c r="J11" i="4"/>
  <c r="I11" i="4"/>
  <c r="H11" i="4"/>
  <c r="D11" i="4"/>
  <c r="C11" i="4"/>
  <c r="W10" i="4"/>
  <c r="T10" i="4"/>
  <c r="S10" i="4"/>
  <c r="R10" i="4"/>
  <c r="N10" i="4"/>
  <c r="M10" i="4"/>
  <c r="J10" i="4"/>
  <c r="I10" i="4"/>
  <c r="H10" i="4"/>
  <c r="D10" i="4"/>
  <c r="C10" i="4"/>
  <c r="W9" i="4"/>
  <c r="T9" i="4"/>
  <c r="S9" i="4"/>
  <c r="R9" i="4"/>
  <c r="N9" i="4"/>
  <c r="M9" i="4"/>
  <c r="J9" i="4"/>
  <c r="I9" i="4"/>
  <c r="H9" i="4"/>
  <c r="D9" i="4"/>
  <c r="C9" i="4"/>
  <c r="W8" i="4"/>
  <c r="T8" i="4"/>
  <c r="S8" i="4"/>
  <c r="R8" i="4"/>
  <c r="N8" i="4"/>
  <c r="M8" i="4"/>
  <c r="J8" i="4"/>
  <c r="I8" i="4"/>
  <c r="H8" i="4"/>
  <c r="D8" i="4"/>
  <c r="C8" i="4"/>
  <c r="W7" i="4"/>
  <c r="T7" i="4"/>
  <c r="S7" i="4"/>
  <c r="R7" i="4"/>
  <c r="N7" i="4"/>
  <c r="M7" i="4"/>
  <c r="J7" i="4"/>
  <c r="I7" i="4"/>
  <c r="H7" i="4"/>
  <c r="D7" i="4"/>
  <c r="C7" i="4"/>
  <c r="W6" i="4"/>
  <c r="S6" i="4"/>
  <c r="R6" i="4"/>
  <c r="T6" i="4" s="1"/>
  <c r="M6" i="4"/>
  <c r="N6" i="4" s="1"/>
  <c r="I6" i="4"/>
  <c r="J6" i="4" s="1"/>
  <c r="H6" i="4"/>
  <c r="D6" i="4"/>
  <c r="C6" i="4"/>
  <c r="W5" i="4"/>
  <c r="S5" i="4"/>
  <c r="R5" i="4"/>
  <c r="T5" i="4" s="1"/>
  <c r="M5" i="4"/>
  <c r="N5" i="4" s="1"/>
  <c r="I5" i="4"/>
  <c r="J5" i="4" s="1"/>
  <c r="H5" i="4"/>
  <c r="D5" i="4"/>
  <c r="C5" i="4"/>
  <c r="W4" i="4"/>
  <c r="S4" i="4"/>
  <c r="R4" i="4"/>
  <c r="T4" i="4" s="1"/>
  <c r="M4" i="4"/>
  <c r="N4" i="4" s="1"/>
  <c r="I4" i="4"/>
  <c r="J4" i="4" s="1"/>
  <c r="H4" i="4"/>
  <c r="D4" i="4"/>
  <c r="C4" i="4"/>
  <c r="W3" i="4"/>
  <c r="S3" i="4"/>
  <c r="R3" i="4"/>
  <c r="T3" i="4" s="1"/>
  <c r="M3" i="4"/>
  <c r="N3" i="4" s="1"/>
  <c r="I3" i="4"/>
  <c r="J3" i="4" s="1"/>
  <c r="H3" i="4"/>
  <c r="D3" i="4"/>
  <c r="C3" i="4"/>
  <c r="G202" i="3"/>
  <c r="F202" i="3"/>
  <c r="E202" i="3"/>
  <c r="G201" i="3"/>
  <c r="F201" i="3"/>
  <c r="E201" i="3"/>
  <c r="G200" i="3"/>
  <c r="F200" i="3"/>
  <c r="E200" i="3"/>
  <c r="G199" i="3"/>
  <c r="F199" i="3"/>
  <c r="E199" i="3"/>
  <c r="G198" i="3"/>
  <c r="F198" i="3"/>
  <c r="E198" i="3"/>
  <c r="G197" i="3"/>
  <c r="F197" i="3"/>
  <c r="E197" i="3"/>
  <c r="G196" i="3"/>
  <c r="F196" i="3"/>
  <c r="E196" i="3"/>
  <c r="G195" i="3"/>
  <c r="F195" i="3"/>
  <c r="E195" i="3"/>
  <c r="G194" i="3"/>
  <c r="F194" i="3"/>
  <c r="E194" i="3"/>
  <c r="G193" i="3"/>
  <c r="F193" i="3"/>
  <c r="E193" i="3"/>
  <c r="G192" i="3"/>
  <c r="F192" i="3"/>
  <c r="E192" i="3"/>
  <c r="G191" i="3"/>
  <c r="F191" i="3"/>
  <c r="E191" i="3"/>
  <c r="G190" i="3"/>
  <c r="F190" i="3"/>
  <c r="E190" i="3"/>
  <c r="G189" i="3"/>
  <c r="F189" i="3"/>
  <c r="E189" i="3"/>
  <c r="G188" i="3"/>
  <c r="F188" i="3"/>
  <c r="E188" i="3"/>
  <c r="G187" i="3"/>
  <c r="F187" i="3"/>
  <c r="E187" i="3"/>
  <c r="G186" i="3"/>
  <c r="F186" i="3"/>
  <c r="E186" i="3"/>
  <c r="G185" i="3"/>
  <c r="F185" i="3"/>
  <c r="E185" i="3"/>
  <c r="G184" i="3"/>
  <c r="F184" i="3"/>
  <c r="E184" i="3"/>
  <c r="G183" i="3"/>
  <c r="F183" i="3"/>
  <c r="E183" i="3"/>
  <c r="G182" i="3"/>
  <c r="F182" i="3"/>
  <c r="E182" i="3"/>
  <c r="G181" i="3"/>
  <c r="F181" i="3"/>
  <c r="E181" i="3"/>
  <c r="G180" i="3"/>
  <c r="F180" i="3"/>
  <c r="E180" i="3"/>
  <c r="G179" i="3"/>
  <c r="F179" i="3"/>
  <c r="E179" i="3"/>
  <c r="G178" i="3"/>
  <c r="F178" i="3"/>
  <c r="E178" i="3"/>
  <c r="G177" i="3"/>
  <c r="F177" i="3"/>
  <c r="E177" i="3"/>
  <c r="G176" i="3"/>
  <c r="F176" i="3"/>
  <c r="E176" i="3"/>
  <c r="G175" i="3"/>
  <c r="F175" i="3"/>
  <c r="E175" i="3"/>
  <c r="G174" i="3"/>
  <c r="F174" i="3"/>
  <c r="E174" i="3"/>
  <c r="G173" i="3"/>
  <c r="F173" i="3"/>
  <c r="E173" i="3"/>
  <c r="G172" i="3"/>
  <c r="F172" i="3"/>
  <c r="E172" i="3"/>
  <c r="G171" i="3"/>
  <c r="F171" i="3"/>
  <c r="E171" i="3"/>
  <c r="G170" i="3"/>
  <c r="F170" i="3"/>
  <c r="E170" i="3"/>
  <c r="G169" i="3"/>
  <c r="F169" i="3"/>
  <c r="E169" i="3"/>
  <c r="G168" i="3"/>
  <c r="F168" i="3"/>
  <c r="E168" i="3"/>
  <c r="G167" i="3"/>
  <c r="F167" i="3"/>
  <c r="E167" i="3"/>
  <c r="G166" i="3"/>
  <c r="F166" i="3"/>
  <c r="E166" i="3"/>
  <c r="G165" i="3"/>
  <c r="F165" i="3"/>
  <c r="E165" i="3"/>
  <c r="G164" i="3"/>
  <c r="F164" i="3"/>
  <c r="E164" i="3"/>
  <c r="G163" i="3"/>
  <c r="F163" i="3"/>
  <c r="E163" i="3"/>
  <c r="G162" i="3"/>
  <c r="F162" i="3"/>
  <c r="E162" i="3"/>
  <c r="G161" i="3"/>
  <c r="F161" i="3"/>
  <c r="E161" i="3"/>
  <c r="G160" i="3"/>
  <c r="F160" i="3"/>
  <c r="E160" i="3"/>
  <c r="G159" i="3"/>
  <c r="F159" i="3"/>
  <c r="E159" i="3"/>
  <c r="G158" i="3"/>
  <c r="F158" i="3"/>
  <c r="E158" i="3"/>
  <c r="G157" i="3"/>
  <c r="F157" i="3"/>
  <c r="E157" i="3"/>
  <c r="G156" i="3"/>
  <c r="F156" i="3"/>
  <c r="E156" i="3"/>
  <c r="G155" i="3"/>
  <c r="F155" i="3"/>
  <c r="E155" i="3"/>
  <c r="G154" i="3"/>
  <c r="F154" i="3"/>
  <c r="E154" i="3"/>
  <c r="G153" i="3"/>
  <c r="F153" i="3"/>
  <c r="E153" i="3"/>
  <c r="G152" i="3"/>
  <c r="F152" i="3"/>
  <c r="E152" i="3"/>
  <c r="G151" i="3"/>
  <c r="F151" i="3"/>
  <c r="E151" i="3"/>
  <c r="G150" i="3"/>
  <c r="F150" i="3"/>
  <c r="E150" i="3"/>
  <c r="G149" i="3"/>
  <c r="F149" i="3"/>
  <c r="E149" i="3"/>
  <c r="G148" i="3"/>
  <c r="F148" i="3"/>
  <c r="E148" i="3"/>
  <c r="G147" i="3"/>
  <c r="F147" i="3"/>
  <c r="E147" i="3"/>
  <c r="G146" i="3"/>
  <c r="F146" i="3"/>
  <c r="E146" i="3"/>
  <c r="G145" i="3"/>
  <c r="F145" i="3"/>
  <c r="E145" i="3"/>
  <c r="G144" i="3"/>
  <c r="F144" i="3"/>
  <c r="E144" i="3"/>
  <c r="G143" i="3"/>
  <c r="F143" i="3"/>
  <c r="E143" i="3"/>
  <c r="G142" i="3"/>
  <c r="F142" i="3"/>
  <c r="E142" i="3"/>
  <c r="G141" i="3"/>
  <c r="F141" i="3"/>
  <c r="E141" i="3"/>
  <c r="G140" i="3"/>
  <c r="F140" i="3"/>
  <c r="E140" i="3"/>
  <c r="G139" i="3"/>
  <c r="F139" i="3"/>
  <c r="E139" i="3"/>
  <c r="G138" i="3"/>
  <c r="F138" i="3"/>
  <c r="E138" i="3"/>
  <c r="G137" i="3"/>
  <c r="F137" i="3"/>
  <c r="E137" i="3"/>
  <c r="G136" i="3"/>
  <c r="F136" i="3"/>
  <c r="E136" i="3"/>
  <c r="G135" i="3"/>
  <c r="F135" i="3"/>
  <c r="E135" i="3"/>
  <c r="G134" i="3"/>
  <c r="F134" i="3"/>
  <c r="E134" i="3"/>
  <c r="G133" i="3"/>
  <c r="F133" i="3"/>
  <c r="E133" i="3"/>
  <c r="G132" i="3"/>
  <c r="F132" i="3"/>
  <c r="E132" i="3"/>
  <c r="G131" i="3"/>
  <c r="F131" i="3"/>
  <c r="E131" i="3"/>
  <c r="G130" i="3"/>
  <c r="F130" i="3"/>
  <c r="E130" i="3"/>
  <c r="G129" i="3"/>
  <c r="F129" i="3"/>
  <c r="E129" i="3"/>
  <c r="G128" i="3"/>
  <c r="F128" i="3"/>
  <c r="E128" i="3"/>
  <c r="G127" i="3"/>
  <c r="F127" i="3"/>
  <c r="E127" i="3"/>
  <c r="G126" i="3"/>
  <c r="F126" i="3"/>
  <c r="E126" i="3"/>
  <c r="G125" i="3"/>
  <c r="F125" i="3"/>
  <c r="E125" i="3"/>
  <c r="G124" i="3"/>
  <c r="F124" i="3"/>
  <c r="E124" i="3"/>
  <c r="G123" i="3"/>
  <c r="F123" i="3"/>
  <c r="E123" i="3"/>
  <c r="G122" i="3"/>
  <c r="F122" i="3"/>
  <c r="E122" i="3"/>
  <c r="G121" i="3"/>
  <c r="F121" i="3"/>
  <c r="E121" i="3"/>
  <c r="G120" i="3"/>
  <c r="F120" i="3"/>
  <c r="E120" i="3"/>
  <c r="G119" i="3"/>
  <c r="F119" i="3"/>
  <c r="E119" i="3"/>
  <c r="G118" i="3"/>
  <c r="F118" i="3"/>
  <c r="E118" i="3"/>
  <c r="G117" i="3"/>
  <c r="F117" i="3"/>
  <c r="E117" i="3"/>
  <c r="G116" i="3"/>
  <c r="F116" i="3"/>
  <c r="E116" i="3"/>
  <c r="G115" i="3"/>
  <c r="F115" i="3"/>
  <c r="E115" i="3"/>
  <c r="G114" i="3"/>
  <c r="F114" i="3"/>
  <c r="E114" i="3"/>
  <c r="G113" i="3"/>
  <c r="F113" i="3"/>
  <c r="E113" i="3"/>
  <c r="G112" i="3"/>
  <c r="F112" i="3"/>
  <c r="E112" i="3"/>
  <c r="G111" i="3"/>
  <c r="F111" i="3"/>
  <c r="E111" i="3"/>
  <c r="G110" i="3"/>
  <c r="F110" i="3"/>
  <c r="E110" i="3"/>
  <c r="G109" i="3"/>
  <c r="F109" i="3"/>
  <c r="E109" i="3"/>
  <c r="G108" i="3"/>
  <c r="F108" i="3"/>
  <c r="E108" i="3"/>
  <c r="G107" i="3"/>
  <c r="F107" i="3"/>
  <c r="E107" i="3"/>
  <c r="G106" i="3"/>
  <c r="F106" i="3"/>
  <c r="E106" i="3"/>
  <c r="G105" i="3"/>
  <c r="F105" i="3"/>
  <c r="E105" i="3"/>
  <c r="G104" i="3"/>
  <c r="F104" i="3"/>
  <c r="E104" i="3"/>
  <c r="G103" i="3"/>
  <c r="F103" i="3"/>
  <c r="E103" i="3"/>
  <c r="G102" i="3"/>
  <c r="F102" i="3"/>
  <c r="E102" i="3"/>
  <c r="G101" i="3"/>
  <c r="F101" i="3"/>
  <c r="E101" i="3"/>
  <c r="G100" i="3"/>
  <c r="F100" i="3"/>
  <c r="E100" i="3"/>
  <c r="G99" i="3"/>
  <c r="F99" i="3"/>
  <c r="E99" i="3"/>
  <c r="G98" i="3"/>
  <c r="F98" i="3"/>
  <c r="E98" i="3"/>
  <c r="G97" i="3"/>
  <c r="F97" i="3"/>
  <c r="E97" i="3"/>
  <c r="G96" i="3"/>
  <c r="F96" i="3"/>
  <c r="E96" i="3"/>
  <c r="G95" i="3"/>
  <c r="F95" i="3"/>
  <c r="E95" i="3"/>
  <c r="G94" i="3"/>
  <c r="F94" i="3"/>
  <c r="E94" i="3"/>
  <c r="G93" i="3"/>
  <c r="F93" i="3"/>
  <c r="E93" i="3"/>
  <c r="G92" i="3"/>
  <c r="F92" i="3"/>
  <c r="E92" i="3"/>
  <c r="G91" i="3"/>
  <c r="F91" i="3"/>
  <c r="E91" i="3"/>
  <c r="G90" i="3"/>
  <c r="F90" i="3"/>
  <c r="E90" i="3"/>
  <c r="G89" i="3"/>
  <c r="F89" i="3"/>
  <c r="E89" i="3"/>
  <c r="G88" i="3"/>
  <c r="F88" i="3"/>
  <c r="E88" i="3"/>
  <c r="G87" i="3"/>
  <c r="F87" i="3"/>
  <c r="E87" i="3"/>
  <c r="G86" i="3"/>
  <c r="F86" i="3"/>
  <c r="E86" i="3"/>
  <c r="G85" i="3"/>
  <c r="F85" i="3"/>
  <c r="E85" i="3"/>
  <c r="G84" i="3"/>
  <c r="F84" i="3"/>
  <c r="E84" i="3"/>
  <c r="G83" i="3"/>
  <c r="F83" i="3"/>
  <c r="E83" i="3"/>
  <c r="G82" i="3"/>
  <c r="F82" i="3"/>
  <c r="E82" i="3"/>
  <c r="G81" i="3"/>
  <c r="F81" i="3"/>
  <c r="E81" i="3"/>
  <c r="G80" i="3"/>
  <c r="F80" i="3"/>
  <c r="E80" i="3"/>
  <c r="G79" i="3"/>
  <c r="F79" i="3"/>
  <c r="E79" i="3"/>
  <c r="G78" i="3"/>
  <c r="F78" i="3"/>
  <c r="E78" i="3"/>
  <c r="G77" i="3"/>
  <c r="F77" i="3"/>
  <c r="E77" i="3"/>
  <c r="G76" i="3"/>
  <c r="F76" i="3"/>
  <c r="E76" i="3"/>
  <c r="G75" i="3"/>
  <c r="F75" i="3"/>
  <c r="E75" i="3"/>
  <c r="G74" i="3"/>
  <c r="F74" i="3"/>
  <c r="E74" i="3"/>
  <c r="G73" i="3"/>
  <c r="F73" i="3"/>
  <c r="E73" i="3"/>
  <c r="G72" i="3"/>
  <c r="F72" i="3"/>
  <c r="E72" i="3"/>
  <c r="G71" i="3"/>
  <c r="F71" i="3"/>
  <c r="E71" i="3"/>
  <c r="G70" i="3"/>
  <c r="F70" i="3"/>
  <c r="E70" i="3"/>
  <c r="G69" i="3"/>
  <c r="F69" i="3"/>
  <c r="E69" i="3"/>
  <c r="G68" i="3"/>
  <c r="F68" i="3"/>
  <c r="E68" i="3"/>
  <c r="G67" i="3"/>
  <c r="F67" i="3"/>
  <c r="E67" i="3"/>
  <c r="G66" i="3"/>
  <c r="F66" i="3"/>
  <c r="E66" i="3"/>
  <c r="G65" i="3"/>
  <c r="F65" i="3"/>
  <c r="E65" i="3"/>
  <c r="G64" i="3"/>
  <c r="F64" i="3"/>
  <c r="E64" i="3"/>
  <c r="G63" i="3"/>
  <c r="F63" i="3"/>
  <c r="E63" i="3"/>
  <c r="G62" i="3"/>
  <c r="F62" i="3"/>
  <c r="E62" i="3"/>
  <c r="G61" i="3"/>
  <c r="F61" i="3"/>
  <c r="E61" i="3"/>
  <c r="G60" i="3"/>
  <c r="F60" i="3"/>
  <c r="E60" i="3"/>
  <c r="G59" i="3"/>
  <c r="F59" i="3"/>
  <c r="E59" i="3"/>
  <c r="G58" i="3"/>
  <c r="F58" i="3"/>
  <c r="E58" i="3"/>
  <c r="G57" i="3"/>
  <c r="F57" i="3"/>
  <c r="E57" i="3"/>
  <c r="G56" i="3"/>
  <c r="F56" i="3"/>
  <c r="E56" i="3"/>
  <c r="G55" i="3"/>
  <c r="F55" i="3"/>
  <c r="E55" i="3"/>
  <c r="G54" i="3"/>
  <c r="F54" i="3"/>
  <c r="E54" i="3"/>
  <c r="G53" i="3"/>
  <c r="F53" i="3"/>
  <c r="E53" i="3"/>
  <c r="G52" i="3"/>
  <c r="F52" i="3"/>
  <c r="E52" i="3"/>
  <c r="G51" i="3"/>
  <c r="F51" i="3"/>
  <c r="E51" i="3"/>
  <c r="G50" i="3"/>
  <c r="F50" i="3"/>
  <c r="E50" i="3"/>
  <c r="G49" i="3"/>
  <c r="F49" i="3"/>
  <c r="E49" i="3"/>
  <c r="G48" i="3"/>
  <c r="F48" i="3"/>
  <c r="E48" i="3"/>
  <c r="G47" i="3"/>
  <c r="F47" i="3"/>
  <c r="E47" i="3"/>
  <c r="G46" i="3"/>
  <c r="F46" i="3"/>
  <c r="E46" i="3"/>
  <c r="G45" i="3"/>
  <c r="F45" i="3"/>
  <c r="E45" i="3"/>
  <c r="G44" i="3"/>
  <c r="F44" i="3"/>
  <c r="E44" i="3"/>
  <c r="G43" i="3"/>
  <c r="F43" i="3"/>
  <c r="E43" i="3"/>
  <c r="G42" i="3"/>
  <c r="F42" i="3"/>
  <c r="E42" i="3"/>
  <c r="G41" i="3"/>
  <c r="F41" i="3"/>
  <c r="E41" i="3"/>
  <c r="G40" i="3"/>
  <c r="F40" i="3"/>
  <c r="E40" i="3"/>
  <c r="G39" i="3"/>
  <c r="F39" i="3"/>
  <c r="E39" i="3"/>
  <c r="G38" i="3"/>
  <c r="F38" i="3"/>
  <c r="E38" i="3"/>
  <c r="G37" i="3"/>
  <c r="F37" i="3"/>
  <c r="E37" i="3"/>
  <c r="G36" i="3"/>
  <c r="F36" i="3"/>
  <c r="E36" i="3"/>
  <c r="G35" i="3"/>
  <c r="F35" i="3"/>
  <c r="E35" i="3"/>
  <c r="G34" i="3"/>
  <c r="F34" i="3"/>
  <c r="E34" i="3"/>
  <c r="G33" i="3"/>
  <c r="F33" i="3"/>
  <c r="E33" i="3"/>
  <c r="G32" i="3"/>
  <c r="F32" i="3"/>
  <c r="E32" i="3"/>
  <c r="G31" i="3"/>
  <c r="F31" i="3"/>
  <c r="E31" i="3"/>
  <c r="G30" i="3"/>
  <c r="F30" i="3"/>
  <c r="E30" i="3"/>
  <c r="G29" i="3"/>
  <c r="F29" i="3"/>
  <c r="E29" i="3"/>
  <c r="G28" i="3"/>
  <c r="F28" i="3"/>
  <c r="E28" i="3"/>
  <c r="G27" i="3"/>
  <c r="F27" i="3"/>
  <c r="E27" i="3"/>
  <c r="G26" i="3"/>
  <c r="F26" i="3"/>
  <c r="E26" i="3"/>
  <c r="G25" i="3"/>
  <c r="F25" i="3"/>
  <c r="E25" i="3"/>
  <c r="G24" i="3"/>
  <c r="F24" i="3"/>
  <c r="E24" i="3"/>
  <c r="G23" i="3"/>
  <c r="F23" i="3"/>
  <c r="E23" i="3"/>
  <c r="G22" i="3"/>
  <c r="F22" i="3"/>
  <c r="E22" i="3"/>
  <c r="G21" i="3"/>
  <c r="F21" i="3"/>
  <c r="E21" i="3"/>
  <c r="G20" i="3"/>
  <c r="F20" i="3"/>
  <c r="E20" i="3"/>
  <c r="G19" i="3"/>
  <c r="F19" i="3"/>
  <c r="E19" i="3"/>
  <c r="G18" i="3"/>
  <c r="F18" i="3"/>
  <c r="E18" i="3"/>
  <c r="G17" i="3"/>
  <c r="F17" i="3"/>
  <c r="E17" i="3"/>
  <c r="G16" i="3"/>
  <c r="F16" i="3"/>
  <c r="E16" i="3"/>
  <c r="G15" i="3"/>
  <c r="F15" i="3"/>
  <c r="E15" i="3"/>
  <c r="G14" i="3"/>
  <c r="F14" i="3"/>
  <c r="E14" i="3"/>
  <c r="G13" i="3"/>
  <c r="F13" i="3"/>
  <c r="E13" i="3"/>
  <c r="G12" i="3"/>
  <c r="F12" i="3"/>
  <c r="E12" i="3"/>
  <c r="G11" i="3"/>
  <c r="F11" i="3"/>
  <c r="E11" i="3"/>
  <c r="G10" i="3"/>
  <c r="F10" i="3"/>
  <c r="E10" i="3"/>
  <c r="G9" i="3"/>
  <c r="F9" i="3"/>
  <c r="E9" i="3"/>
  <c r="G8" i="3"/>
  <c r="F8" i="3"/>
  <c r="E8" i="3"/>
  <c r="G7" i="3"/>
  <c r="F7" i="3"/>
  <c r="E7" i="3"/>
  <c r="G6" i="3"/>
  <c r="F6" i="3"/>
  <c r="E6" i="3"/>
  <c r="G5" i="3"/>
  <c r="F5" i="3"/>
  <c r="E5" i="3"/>
  <c r="G4" i="3"/>
  <c r="F4" i="3"/>
  <c r="E4" i="3"/>
  <c r="G3" i="3"/>
  <c r="F3" i="3"/>
  <c r="E3" i="3"/>
  <c r="R102" i="2"/>
  <c r="P102" i="2"/>
  <c r="N102" i="2"/>
  <c r="R101" i="2"/>
  <c r="P101" i="2"/>
  <c r="N101" i="2"/>
  <c r="R100" i="2"/>
  <c r="P100" i="2"/>
  <c r="N100" i="2"/>
  <c r="R99" i="2"/>
  <c r="P99" i="2"/>
  <c r="N99" i="2"/>
  <c r="R98" i="2"/>
  <c r="P98" i="2"/>
  <c r="N98" i="2"/>
  <c r="R97" i="2"/>
  <c r="P97" i="2"/>
  <c r="N97" i="2"/>
  <c r="R96" i="2"/>
  <c r="P96" i="2"/>
  <c r="N96" i="2"/>
  <c r="R95" i="2"/>
  <c r="P95" i="2"/>
  <c r="N95" i="2"/>
  <c r="R94" i="2"/>
  <c r="P94" i="2"/>
  <c r="N94" i="2"/>
  <c r="R93" i="2"/>
  <c r="P93" i="2"/>
  <c r="N93" i="2"/>
  <c r="R92" i="2"/>
  <c r="P92" i="2"/>
  <c r="N92" i="2"/>
  <c r="R91" i="2"/>
  <c r="P91" i="2"/>
  <c r="N91" i="2"/>
  <c r="R90" i="2"/>
  <c r="P90" i="2"/>
  <c r="N90" i="2"/>
  <c r="R89" i="2"/>
  <c r="P89" i="2"/>
  <c r="N89" i="2"/>
  <c r="R88" i="2"/>
  <c r="P88" i="2"/>
  <c r="N88" i="2"/>
  <c r="R87" i="2"/>
  <c r="P87" i="2"/>
  <c r="N87" i="2"/>
  <c r="R86" i="2"/>
  <c r="P86" i="2"/>
  <c r="N86" i="2"/>
  <c r="R85" i="2"/>
  <c r="P85" i="2"/>
  <c r="N85" i="2"/>
  <c r="R84" i="2"/>
  <c r="P84" i="2"/>
  <c r="N84" i="2"/>
  <c r="R83" i="2"/>
  <c r="P83" i="2"/>
  <c r="N83" i="2"/>
  <c r="R82" i="2"/>
  <c r="P82" i="2"/>
  <c r="N82" i="2"/>
  <c r="R81" i="2"/>
  <c r="P81" i="2"/>
  <c r="N81" i="2"/>
  <c r="R80" i="2"/>
  <c r="P80" i="2"/>
  <c r="N80" i="2"/>
  <c r="R79" i="2"/>
  <c r="P79" i="2"/>
  <c r="N79" i="2"/>
  <c r="R78" i="2"/>
  <c r="P78" i="2"/>
  <c r="N78" i="2"/>
  <c r="R77" i="2"/>
  <c r="P77" i="2"/>
  <c r="N77" i="2"/>
  <c r="R76" i="2"/>
  <c r="P76" i="2"/>
  <c r="N76" i="2"/>
  <c r="R75" i="2"/>
  <c r="P75" i="2"/>
  <c r="N75" i="2"/>
  <c r="R74" i="2"/>
  <c r="P74" i="2"/>
  <c r="N74" i="2"/>
  <c r="R73" i="2"/>
  <c r="P73" i="2"/>
  <c r="N73" i="2"/>
  <c r="R72" i="2"/>
  <c r="P72" i="2"/>
  <c r="N72" i="2"/>
  <c r="R71" i="2"/>
  <c r="P71" i="2"/>
  <c r="N71" i="2"/>
  <c r="R70" i="2"/>
  <c r="P70" i="2"/>
  <c r="N70" i="2"/>
  <c r="R69" i="2"/>
  <c r="P69" i="2"/>
  <c r="N69" i="2"/>
  <c r="R68" i="2"/>
  <c r="P68" i="2"/>
  <c r="N68" i="2"/>
  <c r="R67" i="2"/>
  <c r="P67" i="2"/>
  <c r="N67" i="2"/>
  <c r="R66" i="2"/>
  <c r="P66" i="2"/>
  <c r="N66" i="2"/>
  <c r="R65" i="2"/>
  <c r="P65" i="2"/>
  <c r="N65" i="2"/>
  <c r="R64" i="2"/>
  <c r="P64" i="2"/>
  <c r="N64" i="2"/>
  <c r="R63" i="2"/>
  <c r="P63" i="2"/>
  <c r="N63" i="2"/>
  <c r="R62" i="2"/>
  <c r="P62" i="2"/>
  <c r="N62" i="2"/>
  <c r="R61" i="2"/>
  <c r="P61" i="2"/>
  <c r="N61" i="2"/>
  <c r="R60" i="2"/>
  <c r="P60" i="2"/>
  <c r="N60" i="2"/>
  <c r="R59" i="2"/>
  <c r="P59" i="2"/>
  <c r="N59" i="2"/>
  <c r="R58" i="2"/>
  <c r="P58" i="2"/>
  <c r="N58" i="2"/>
  <c r="R57" i="2"/>
  <c r="P57" i="2"/>
  <c r="N57" i="2"/>
  <c r="R56" i="2"/>
  <c r="P56" i="2"/>
  <c r="N56" i="2"/>
  <c r="R55" i="2"/>
  <c r="P55" i="2"/>
  <c r="N55" i="2"/>
  <c r="R54" i="2"/>
  <c r="P54" i="2"/>
  <c r="N54" i="2"/>
  <c r="R53" i="2"/>
  <c r="P53" i="2"/>
  <c r="N53" i="2"/>
  <c r="R52" i="2"/>
  <c r="P52" i="2"/>
  <c r="N52" i="2"/>
  <c r="R51" i="2"/>
  <c r="P51" i="2"/>
  <c r="N51" i="2"/>
  <c r="R50" i="2"/>
  <c r="P50" i="2"/>
  <c r="N50" i="2"/>
  <c r="R49" i="2"/>
  <c r="P49" i="2"/>
  <c r="N49" i="2"/>
  <c r="R48" i="2"/>
  <c r="P48" i="2"/>
  <c r="N48" i="2"/>
  <c r="R47" i="2"/>
  <c r="P47" i="2"/>
  <c r="N47" i="2"/>
  <c r="R46" i="2"/>
  <c r="P46" i="2"/>
  <c r="N46" i="2"/>
  <c r="R45" i="2"/>
  <c r="P45" i="2"/>
  <c r="N45" i="2"/>
  <c r="R44" i="2"/>
  <c r="P44" i="2"/>
  <c r="N44" i="2"/>
  <c r="R43" i="2"/>
  <c r="P43" i="2"/>
  <c r="N43" i="2"/>
  <c r="R42" i="2"/>
  <c r="P42" i="2"/>
  <c r="N42" i="2"/>
  <c r="R41" i="2"/>
  <c r="P41" i="2"/>
  <c r="N41" i="2"/>
  <c r="R40" i="2"/>
  <c r="P40" i="2"/>
  <c r="N40" i="2"/>
  <c r="R39" i="2"/>
  <c r="P39" i="2"/>
  <c r="N39" i="2"/>
  <c r="R38" i="2"/>
  <c r="P38" i="2"/>
  <c r="N38" i="2"/>
  <c r="R37" i="2"/>
  <c r="P37" i="2"/>
  <c r="N37" i="2"/>
  <c r="R36" i="2"/>
  <c r="P36" i="2"/>
  <c r="N36" i="2"/>
  <c r="R35" i="2"/>
  <c r="P35" i="2"/>
  <c r="N35" i="2"/>
  <c r="R34" i="2"/>
  <c r="P34" i="2"/>
  <c r="N34" i="2"/>
  <c r="R33" i="2"/>
  <c r="P33" i="2"/>
  <c r="N33" i="2"/>
  <c r="R32" i="2"/>
  <c r="P32" i="2"/>
  <c r="N32" i="2"/>
  <c r="R31" i="2"/>
  <c r="P31" i="2"/>
  <c r="N31" i="2"/>
  <c r="R30" i="2"/>
  <c r="P30" i="2"/>
  <c r="N30" i="2"/>
  <c r="R29" i="2"/>
  <c r="P29" i="2"/>
  <c r="N29" i="2"/>
  <c r="R28" i="2"/>
  <c r="P28" i="2"/>
  <c r="N28" i="2"/>
  <c r="R27" i="2"/>
  <c r="P27" i="2"/>
  <c r="N27" i="2"/>
  <c r="R26" i="2"/>
  <c r="P26" i="2"/>
  <c r="N26" i="2"/>
  <c r="R25" i="2"/>
  <c r="P25" i="2"/>
  <c r="N25" i="2"/>
  <c r="R24" i="2"/>
  <c r="P24" i="2"/>
  <c r="N24" i="2"/>
  <c r="R23" i="2"/>
  <c r="P23" i="2"/>
  <c r="N23" i="2"/>
  <c r="R22" i="2"/>
  <c r="P22" i="2"/>
  <c r="N22" i="2"/>
  <c r="R21" i="2"/>
  <c r="P21" i="2"/>
  <c r="N21" i="2"/>
  <c r="R20" i="2"/>
  <c r="P20" i="2"/>
  <c r="N20" i="2"/>
  <c r="R19" i="2"/>
  <c r="P19" i="2"/>
  <c r="N19" i="2"/>
  <c r="R18" i="2"/>
  <c r="P18" i="2"/>
  <c r="N18" i="2"/>
  <c r="R17" i="2"/>
  <c r="P17" i="2"/>
  <c r="N17" i="2"/>
  <c r="R16" i="2"/>
  <c r="P16" i="2"/>
  <c r="N16" i="2"/>
  <c r="R15" i="2"/>
  <c r="P15" i="2"/>
  <c r="N15" i="2"/>
  <c r="R14" i="2"/>
  <c r="P14" i="2"/>
  <c r="N14" i="2"/>
  <c r="R13" i="2"/>
  <c r="P13" i="2"/>
  <c r="N13" i="2"/>
  <c r="R12" i="2"/>
  <c r="P12" i="2"/>
  <c r="N12" i="2"/>
  <c r="R11" i="2"/>
  <c r="P11" i="2"/>
  <c r="N11" i="2"/>
  <c r="R10" i="2"/>
  <c r="P10" i="2"/>
  <c r="N10" i="2"/>
  <c r="R9" i="2"/>
  <c r="P9" i="2"/>
  <c r="N9" i="2"/>
  <c r="R8" i="2"/>
  <c r="P8" i="2"/>
  <c r="N8" i="2"/>
  <c r="R7" i="2"/>
  <c r="N7" i="2"/>
  <c r="P7" i="2" s="1"/>
  <c r="R6" i="2"/>
  <c r="N6" i="2"/>
  <c r="P6" i="2" s="1"/>
  <c r="R5" i="2"/>
  <c r="N5" i="2"/>
  <c r="P5" i="2" s="1"/>
  <c r="R4" i="2"/>
  <c r="N4" i="2"/>
  <c r="P4" i="2" s="1"/>
  <c r="R3" i="2"/>
  <c r="N3" i="2"/>
  <c r="P3" i="2" s="1"/>
  <c r="A9" i="7" l="1"/>
  <c r="A8" i="7"/>
  <c r="A7" i="7"/>
  <c r="S4" i="5"/>
  <c r="B47" i="7"/>
  <c r="A13" i="7"/>
  <c r="A17" i="7"/>
  <c r="A18" i="7"/>
  <c r="A19" i="7"/>
  <c r="A20" i="7"/>
  <c r="A24" i="7"/>
  <c r="A12" i="7"/>
  <c r="A23" i="7"/>
  <c r="A15" i="7"/>
  <c r="A25" i="7"/>
  <c r="A14" i="7"/>
  <c r="A11" i="7"/>
  <c r="A10" i="7"/>
  <c r="A22" i="7"/>
  <c r="A21" i="7"/>
  <c r="A26" i="7"/>
  <c r="A16" i="7"/>
  <c r="B8" i="6"/>
  <c r="B9" i="6"/>
  <c r="B43" i="7"/>
  <c r="B44" i="7"/>
  <c r="B9" i="7" l="1"/>
  <c r="H9" i="7"/>
  <c r="D9" i="7"/>
  <c r="E9" i="7"/>
  <c r="F9" i="7"/>
  <c r="G9" i="7"/>
  <c r="C9" i="7"/>
  <c r="G8" i="7"/>
  <c r="E8" i="7"/>
  <c r="D8" i="7"/>
  <c r="C8" i="7"/>
  <c r="H8" i="7"/>
  <c r="F8" i="7"/>
  <c r="B8" i="7"/>
  <c r="F7" i="7"/>
  <c r="G7" i="7"/>
  <c r="D7" i="7"/>
  <c r="B7" i="7"/>
  <c r="H7" i="7"/>
  <c r="E7" i="7"/>
  <c r="C7" i="7"/>
  <c r="A30" i="7"/>
  <c r="A31" i="7"/>
  <c r="A32" i="7"/>
  <c r="A33" i="7"/>
  <c r="A34" i="7"/>
  <c r="A35" i="7"/>
  <c r="A36" i="7"/>
  <c r="A37" i="7"/>
  <c r="A38" i="7"/>
  <c r="A39" i="7"/>
  <c r="C13" i="7"/>
  <c r="D13" i="7"/>
  <c r="F13" i="7"/>
  <c r="B13" i="7"/>
  <c r="E13" i="7"/>
  <c r="G13" i="7"/>
  <c r="H13" i="7"/>
  <c r="B17" i="7"/>
  <c r="C17" i="7"/>
  <c r="D17" i="7"/>
  <c r="E17" i="7"/>
  <c r="F17" i="7"/>
  <c r="G17" i="7"/>
  <c r="H17" i="7"/>
  <c r="B18" i="7"/>
  <c r="C18" i="7"/>
  <c r="D18" i="7"/>
  <c r="E18" i="7"/>
  <c r="F18" i="7"/>
  <c r="G18" i="7"/>
  <c r="H18" i="7"/>
  <c r="B19" i="7"/>
  <c r="C19" i="7"/>
  <c r="D19" i="7"/>
  <c r="E19" i="7"/>
  <c r="F19" i="7"/>
  <c r="G19" i="7"/>
  <c r="H19" i="7"/>
  <c r="B20" i="7"/>
  <c r="C20" i="7"/>
  <c r="D20" i="7"/>
  <c r="E20" i="7"/>
  <c r="F20" i="7"/>
  <c r="G20" i="7"/>
  <c r="H20" i="7"/>
  <c r="D24" i="7"/>
  <c r="F24" i="7"/>
  <c r="B24" i="7"/>
  <c r="E24" i="7"/>
  <c r="H24" i="7"/>
  <c r="C24" i="7"/>
  <c r="G24" i="7"/>
  <c r="C12" i="7"/>
  <c r="D12" i="7"/>
  <c r="F12" i="7"/>
  <c r="G12" i="7"/>
  <c r="H12" i="7"/>
  <c r="B12" i="7"/>
  <c r="E12" i="7"/>
  <c r="B23" i="7"/>
  <c r="C23" i="7"/>
  <c r="D23" i="7"/>
  <c r="E23" i="7"/>
  <c r="F23" i="7"/>
  <c r="G23" i="7"/>
  <c r="H23" i="7"/>
  <c r="C15" i="7"/>
  <c r="G15" i="7"/>
  <c r="B15" i="7"/>
  <c r="F15" i="7"/>
  <c r="D15" i="7"/>
  <c r="E15" i="7"/>
  <c r="H15" i="7"/>
  <c r="C25" i="7"/>
  <c r="H25" i="7"/>
  <c r="E25" i="7"/>
  <c r="F25" i="7"/>
  <c r="B25" i="7"/>
  <c r="D25" i="7"/>
  <c r="G25" i="7"/>
  <c r="C14" i="7"/>
  <c r="G14" i="7"/>
  <c r="E14" i="7"/>
  <c r="B14" i="7"/>
  <c r="D14" i="7"/>
  <c r="F14" i="7"/>
  <c r="H14" i="7"/>
  <c r="C11" i="7"/>
  <c r="E11" i="7"/>
  <c r="F11" i="7"/>
  <c r="G11" i="7"/>
  <c r="H11" i="7"/>
  <c r="B11" i="7"/>
  <c r="D11" i="7"/>
  <c r="B10" i="7"/>
  <c r="C10" i="7"/>
  <c r="D10" i="7"/>
  <c r="E10" i="7"/>
  <c r="F10" i="7"/>
  <c r="G10" i="7"/>
  <c r="H10" i="7"/>
  <c r="C22" i="7"/>
  <c r="D22" i="7"/>
  <c r="F22" i="7"/>
  <c r="G22" i="7"/>
  <c r="B22" i="7"/>
  <c r="E22" i="7"/>
  <c r="H22" i="7"/>
  <c r="B21" i="7"/>
  <c r="C21" i="7"/>
  <c r="D21" i="7"/>
  <c r="E21" i="7"/>
  <c r="F21" i="7"/>
  <c r="G21" i="7"/>
  <c r="H21" i="7"/>
  <c r="B26" i="7"/>
  <c r="C26" i="7"/>
  <c r="D26" i="7"/>
  <c r="E26" i="7"/>
  <c r="F26" i="7"/>
  <c r="G26" i="7"/>
  <c r="H26" i="7"/>
  <c r="D16" i="7"/>
  <c r="B16" i="7"/>
  <c r="E16" i="7"/>
  <c r="F16" i="7"/>
  <c r="G16" i="7"/>
  <c r="H16" i="7"/>
  <c r="C16" i="7"/>
  <c r="B30" i="7" l="1"/>
  <c r="C30" i="7"/>
  <c r="D30" i="7"/>
  <c r="E30" i="7"/>
  <c r="F30" i="7"/>
  <c r="B31" i="7"/>
  <c r="C31" i="7"/>
  <c r="D31" i="7"/>
  <c r="E31" i="7"/>
  <c r="F31" i="7"/>
  <c r="B32" i="7"/>
  <c r="C32" i="7"/>
  <c r="D32" i="7"/>
  <c r="E32" i="7"/>
  <c r="F32" i="7"/>
  <c r="B33" i="7"/>
  <c r="C33" i="7"/>
  <c r="D33" i="7"/>
  <c r="E33" i="7"/>
  <c r="F33" i="7"/>
  <c r="B34" i="7"/>
  <c r="C34" i="7"/>
  <c r="D34" i="7"/>
  <c r="E34" i="7"/>
  <c r="F34" i="7"/>
  <c r="B35" i="7"/>
  <c r="C35" i="7"/>
  <c r="D35" i="7"/>
  <c r="E35" i="7"/>
  <c r="F35" i="7"/>
  <c r="B36" i="7"/>
  <c r="C36" i="7"/>
  <c r="D36" i="7"/>
  <c r="E36" i="7"/>
  <c r="F36" i="7"/>
  <c r="B37" i="7"/>
  <c r="C37" i="7"/>
  <c r="D37" i="7"/>
  <c r="E37" i="7"/>
  <c r="F37" i="7"/>
  <c r="B38" i="7"/>
  <c r="C38" i="7"/>
  <c r="D38" i="7"/>
  <c r="E38" i="7"/>
  <c r="F38" i="7"/>
  <c r="B39" i="7"/>
  <c r="C39" i="7"/>
  <c r="D39" i="7"/>
  <c r="E39" i="7"/>
  <c r="F39" i="7"/>
</calcChain>
</file>

<file path=xl/sharedStrings.xml><?xml version="1.0" encoding="utf-8"?>
<sst xmlns="http://schemas.openxmlformats.org/spreadsheetml/2006/main" count="755" uniqueCount="545">
  <si>
    <t>DAEP Student Tracker — Texas Edition</t>
  </si>
  <si>
    <t>Clear Path Education Group, LLC</t>
  </si>
  <si>
    <t>Built for Texas campus administrators and DAEP coordinators.</t>
  </si>
  <si>
    <t>Track students, placements, compliance deadlines, and discipline incidents — all in one place. No training required.</t>
  </si>
  <si>
    <t>─── FILL IN YOUR DISTRICT INFORMATION ───────────────────────</t>
  </si>
  <si>
    <t>District Name:</t>
  </si>
  <si>
    <t>Campus Name:</t>
  </si>
  <si>
    <t>School Year:</t>
  </si>
  <si>
    <t>2025-26</t>
  </si>
  <si>
    <t>DAEP Coordinator:</t>
  </si>
  <si>
    <t>Date Updated:</t>
  </si>
  <si>
    <t>─── HOW TO USE THIS TRACKER ──────────────────────────────────</t>
  </si>
  <si>
    <t>1.  ROSTER tab — Add every DAEP-assigned student first. This tab feeds all other tabs.</t>
  </si>
  <si>
    <t>2.  INCIDENT LOG tab — Log each discipline incident. Reference the Student ID from the Roster.</t>
  </si>
  <si>
    <t>3.  DAEP PLACEMENTS tab — Record the formal placement. Auto-countdown begins immediately.</t>
  </si>
  <si>
    <t>4.  COMPLIANCE CHECKLIST tab — Track required SPED/504 actions and deadlines.</t>
  </si>
  <si>
    <t>5.  DASHBOARD tab — Auto-updates from all other tabs. No data entry needed here.</t>
  </si>
  <si>
    <t>6.  REFERENCE tab — Texas Education Code citations, glossary, and compliance timelines.</t>
  </si>
  <si>
    <t>7.  Color guide: Yellow = approaching deadline. Red = overdue. Green = complete.</t>
  </si>
  <si>
    <t>8.  Gray cells = auto-calculated. Do NOT type in them — they contain formulas.</t>
  </si>
  <si>
    <t>9.  This file works in Google Sheets AND Microsoft Excel.</t>
  </si>
  <si>
    <t>10. For 50+ students or multi-campus tracking: see the UPGRADE TO WAYPOINT tab.</t>
  </si>
  <si>
    <t>11. Questions? Email: support@clearpathedgroup.com</t>
  </si>
  <si>
    <t>─── TEXAS COMPLIANCE REMINDER ───────────────────────────────</t>
  </si>
  <si>
    <t>SPED: Manifestation determination required within 10 SCHOOL DAYS of any DAEP placement decision. (TEC §37.004 / 34 CFR §300.530)</t>
  </si>
  <si>
    <t>504: A Section 504 meeting must occur before or concurrent with any DAEP placement. (34 CFR §104.36)</t>
  </si>
  <si>
    <t>These deadlines are tracked in the COMPLIANCE CHECKLIST tab. This template is for organizational use only — not legal advice.</t>
  </si>
  <si>
    <t>DAEP Student Tracker — Texas Edition  |  © 2025 Clear Path Education Group, LLC  |  clearpathedgroup.com</t>
  </si>
  <si>
    <t>Verify all TEC citations with your district legal counsel before relying on them for placement decisions.</t>
  </si>
  <si>
    <t>ROSTER — Active DAEP Students</t>
  </si>
  <si>
    <t>Student ID</t>
  </si>
  <si>
    <t>Last Name</t>
  </si>
  <si>
    <t>First Name</t>
  </si>
  <si>
    <t>Grade Level</t>
  </si>
  <si>
    <t>Campus of Origin</t>
  </si>
  <si>
    <t>DAEP Campus</t>
  </si>
  <si>
    <t>Enrollment Date</t>
  </si>
  <si>
    <t>Exit Date</t>
  </si>
  <si>
    <t>Status</t>
  </si>
  <si>
    <t>SPED Eligible?</t>
  </si>
  <si>
    <t>504 Eligible?</t>
  </si>
  <si>
    <t>Primary Disability (SPED)</t>
  </si>
  <si>
    <t>IEP Annual Review Due</t>
  </si>
  <si>
    <t>Days in DAEP ⚙</t>
  </si>
  <si>
    <t>Placement Length (days)</t>
  </si>
  <si>
    <t>Days Remaining ⚙</t>
  </si>
  <si>
    <t>Notes / Flags</t>
  </si>
  <si>
    <t>Incident Count ⚙</t>
  </si>
  <si>
    <t>STU-001</t>
  </si>
  <si>
    <t>Ramirez</t>
  </si>
  <si>
    <t>Carlos</t>
  </si>
  <si>
    <t>8th Grade</t>
  </si>
  <si>
    <t>Jefferson Middle</t>
  </si>
  <si>
    <t>Crossroads DAEP Center</t>
  </si>
  <si>
    <t>Active</t>
  </si>
  <si>
    <t>Yes</t>
  </si>
  <si>
    <t>No</t>
  </si>
  <si>
    <t>Emotional Disturbance</t>
  </si>
  <si>
    <t>MDR held 1/16 — not a manifestation</t>
  </si>
  <si>
    <t>STU-002</t>
  </si>
  <si>
    <t>Johnson</t>
  </si>
  <si>
    <t>Destiny</t>
  </si>
  <si>
    <t>10th Grade</t>
  </si>
  <si>
    <t>Lincoln High</t>
  </si>
  <si>
    <t>STU-003</t>
  </si>
  <si>
    <t>Williams</t>
  </si>
  <si>
    <t>Marcus</t>
  </si>
  <si>
    <t>7th Grade</t>
  </si>
  <si>
    <t>Exited</t>
  </si>
  <si>
    <t>Specific Learning Disability</t>
  </si>
  <si>
    <t>Completed placement</t>
  </si>
  <si>
    <t>STU-004</t>
  </si>
  <si>
    <t>Nguyen</t>
  </si>
  <si>
    <t>Amy</t>
  </si>
  <si>
    <t>9th Grade</t>
  </si>
  <si>
    <t>504 plan — ADHD</t>
  </si>
  <si>
    <t>STU-005</t>
  </si>
  <si>
    <t>Brooks</t>
  </si>
  <si>
    <t>Jamal</t>
  </si>
  <si>
    <t>11th Grade</t>
  </si>
  <si>
    <t>INCIDENT LOG — One Row Per Incident</t>
  </si>
  <si>
    <t>Incident ID</t>
  </si>
  <si>
    <t>Incident Date</t>
  </si>
  <si>
    <t>Reporting Campus</t>
  </si>
  <si>
    <t>Last Name ⚙</t>
  </si>
  <si>
    <t>First Name ⚙</t>
  </si>
  <si>
    <t>Grade ⚙</t>
  </si>
  <si>
    <t>Offense Category</t>
  </si>
  <si>
    <t>TEC Reference</t>
  </si>
  <si>
    <t>Offense Description</t>
  </si>
  <si>
    <t>Mandatory Removal?</t>
  </si>
  <si>
    <t>Weapon Involved?</t>
  </si>
  <si>
    <t>Drug/Alcohol Involved?</t>
  </si>
  <si>
    <t>Reported By (Role)</t>
  </si>
  <si>
    <t>Administrator Reviewing</t>
  </si>
  <si>
    <t>Parent/Guardian Notified?</t>
  </si>
  <si>
    <t>Notification Date</t>
  </si>
  <si>
    <t>Referred to DAEP?</t>
  </si>
  <si>
    <t>Notes</t>
  </si>
  <si>
    <t>INC-001</t>
  </si>
  <si>
    <t>Fighting</t>
  </si>
  <si>
    <t>TEC §37.006 — Mandatory DAEP Removal</t>
  </si>
  <si>
    <t>Fight in cafeteria resulting in injury</t>
  </si>
  <si>
    <t>Teacher</t>
  </si>
  <si>
    <t>Vice Principal</t>
  </si>
  <si>
    <t>Parent notified same day by phone. Student suspended pending placement.</t>
  </si>
  <si>
    <t>INC-002</t>
  </si>
  <si>
    <t>Drugs/Alcohol</t>
  </si>
  <si>
    <t>Possession of vape pen containing THC</t>
  </si>
  <si>
    <t>Principal</t>
  </si>
  <si>
    <t>INC-003</t>
  </si>
  <si>
    <t>Altercation in gym locker room</t>
  </si>
  <si>
    <t>Coach</t>
  </si>
  <si>
    <t>MDR completed prior to placement.</t>
  </si>
  <si>
    <t>INC-004</t>
  </si>
  <si>
    <t>Alcohol possession at school event</t>
  </si>
  <si>
    <t>Administrator</t>
  </si>
  <si>
    <t>INC-005</t>
  </si>
  <si>
    <t>Harassment/Bullying</t>
  </si>
  <si>
    <t>Repeated harassment after prior intervention</t>
  </si>
  <si>
    <t>Counselor</t>
  </si>
  <si>
    <t>DAEP PLACEMENTS — One Row Per Formal Placement  |  ⚠ Days shown are CALENDAR days. Texas law counts SCHOOL days. Adjust authorized days to account for weekends/holidays.</t>
  </si>
  <si>
    <t>Placement ID</t>
  </si>
  <si>
    <t>Placement Start Date</t>
  </si>
  <si>
    <t>Authorized Days</t>
  </si>
  <si>
    <t>End Date (approx) ⚙</t>
  </si>
  <si>
    <t>Days Elapsed ⚙</t>
  </si>
  <si>
    <t>Extended?</t>
  </si>
  <si>
    <t>Extension Days Added</t>
  </si>
  <si>
    <t>Adjusted Total Days ⚙</t>
  </si>
  <si>
    <t>Adjusted End Date ⚙</t>
  </si>
  <si>
    <t>Actual Exit Date</t>
  </si>
  <si>
    <t>Exit Reason</t>
  </si>
  <si>
    <t>Return Campus</t>
  </si>
  <si>
    <t>SPED? ⚙</t>
  </si>
  <si>
    <t>504? ⚙</t>
  </si>
  <si>
    <t>Manifestation Det. Required? ⚙</t>
  </si>
  <si>
    <t>Compliance Status</t>
  </si>
  <si>
    <t>⚙ Board Index (do not edit)</t>
  </si>
  <si>
    <t>PLC-001</t>
  </si>
  <si>
    <t>Compliant</t>
  </si>
  <si>
    <t>MDR held 1/16 — not a manifestation.</t>
  </si>
  <si>
    <t>PLC-002</t>
  </si>
  <si>
    <t>PLC-003</t>
  </si>
  <si>
    <t>Completed Placement</t>
  </si>
  <si>
    <t>PLC-004</t>
  </si>
  <si>
    <t>COMPLIANCE CHECKLIST — SPED &amp; 504 Required Actions During DAEP Placement</t>
  </si>
  <si>
    <t>⚠ LEGAL NOTICE: Deadline dates shown are CALENDAR-day approximations. Texas law counts SCHOOL days for MDR and related timelines. Always verify with your district's SPED director and legal counsel. This tracker does not constitute legal advice.</t>
  </si>
  <si>
    <t>Checklist ID</t>
  </si>
  <si>
    <t>SPED or 504</t>
  </si>
  <si>
    <t>Compliance Action Required</t>
  </si>
  <si>
    <t>TEC / Legal Reference</t>
  </si>
  <si>
    <t>Deadline (school days)</t>
  </si>
  <si>
    <t>Deadline Date ⚙</t>
  </si>
  <si>
    <t>Days Until Deadline ⚙</t>
  </si>
  <si>
    <t>Completion Date</t>
  </si>
  <si>
    <t>Completed By</t>
  </si>
  <si>
    <t>Meeting Held?</t>
  </si>
  <si>
    <t>Meeting Date</t>
  </si>
  <si>
    <t>Notes / Documentation Location</t>
  </si>
  <si>
    <t>CC-001</t>
  </si>
  <si>
    <t>Manifestation Determination Review (MDR)</t>
  </si>
  <si>
    <t>34 CFR §300.530(e) / TEC §37.004</t>
  </si>
  <si>
    <t>Complete</t>
  </si>
  <si>
    <t>SPED Coordinator</t>
  </si>
  <si>
    <t>Not a manifestation — placement proceeds.</t>
  </si>
  <si>
    <t>CC-002</t>
  </si>
  <si>
    <t>Annual IEP Review (Due During Placement)</t>
  </si>
  <si>
    <t>IDEA — 34 CFR §300.324</t>
  </si>
  <si>
    <t>ARD Committee</t>
  </si>
  <si>
    <t>CC-003</t>
  </si>
  <si>
    <t>N/A</t>
  </si>
  <si>
    <t>504 Plan Review</t>
  </si>
  <si>
    <t>Section 504 — 34 CFR §104.35</t>
  </si>
  <si>
    <t>In Progress</t>
  </si>
  <si>
    <t>504 Coordinator</t>
  </si>
  <si>
    <t>Meeting scheduled.</t>
  </si>
  <si>
    <t>DASHBOARD — Auto-Summary (No Data Entry Needed Here)</t>
  </si>
  <si>
    <t>KEY METRICS — CURRENT SNAPSHOT</t>
  </si>
  <si>
    <t>Active Placements</t>
  </si>
  <si>
    <t>Active SPED Students</t>
  </si>
  <si>
    <t>Active 504 Students</t>
  </si>
  <si>
    <t>Placements Expiring ≤5 Days</t>
  </si>
  <si>
    <t>⚠ Overdue Placements</t>
  </si>
  <si>
    <t>Compliance Items Open</t>
  </si>
  <si>
    <t>Total Incidents (YTD)</t>
  </si>
  <si>
    <t>Extended Placements</t>
  </si>
  <si>
    <t>COMPLIANCE DEADLINES — NEXT 30 DAYS</t>
  </si>
  <si>
    <t>Student Last Name</t>
  </si>
  <si>
    <t>Student First Name</t>
  </si>
  <si>
    <t>Action Required</t>
  </si>
  <si>
    <t>Deadline Date</t>
  </si>
  <si>
    <t>Days Until Deadline</t>
  </si>
  <si>
    <t>[GOOGLE SHEETS] Paste this formula in cell A below to auto-populate:</t>
  </si>
  <si>
    <t>=IFERROR(FILTER('Compliance Checklist'!C4:R500,ISNUMBER('Compliance Checklist'!L4:L500),'Compliance Checklist'!L4:L500&lt;=30,'Compliance Checklist'!L4:L500&gt;=-5,'Compliance Checklist'!M4:M500&lt;&gt;"Complete",'Compliance Checklist'!M4:M500&lt;&gt;"N/A"),"No items due in next 30 days")</t>
  </si>
  <si>
    <t>For Excel: Open the Compliance Checklist tab → Sort by column L (Days Until Deadline) ascending → manually review top rows.</t>
  </si>
  <si>
    <t>ROSTER STATUS BREAKDOWN</t>
  </si>
  <si>
    <t>Extended</t>
  </si>
  <si>
    <t>Pending Placement</t>
  </si>
  <si>
    <t>Returned Early</t>
  </si>
  <si>
    <t>TOTAL (all statuses)</t>
  </si>
  <si>
    <t>INCIDENTS BY OFFENSE CATEGORY (YTD)</t>
  </si>
  <si>
    <t>Weapons</t>
  </si>
  <si>
    <t>Truancy</t>
  </si>
  <si>
    <t>Defiance/Insubordination</t>
  </si>
  <si>
    <t>Theft</t>
  </si>
  <si>
    <t>Vandalism</t>
  </si>
  <si>
    <t>Sexual Offense</t>
  </si>
  <si>
    <t>Gang-Related Activity</t>
  </si>
  <si>
    <t>Other</t>
  </si>
  <si>
    <t>TOTAL</t>
  </si>
  <si>
    <t>ACTIVE STUDENTS BY GRADE</t>
  </si>
  <si>
    <t>Pre-K</t>
  </si>
  <si>
    <t>Kindergarten</t>
  </si>
  <si>
    <t>1st Grade</t>
  </si>
  <si>
    <t>2nd Grade</t>
  </si>
  <si>
    <t>3rd Grade</t>
  </si>
  <si>
    <t>4th Grade</t>
  </si>
  <si>
    <t>5th Grade</t>
  </si>
  <si>
    <t>6th Grade</t>
  </si>
  <si>
    <t>12th Grade</t>
  </si>
  <si>
    <t>All data is automatically calculated from the Roster, Incident Log, DAEP Placements, and Compliance Checklist tabs.</t>
  </si>
  <si>
    <t>© 2025 Clear Path Education Group, LLC  |  clearpathedgroup.com  |  For multi-campus and automated tracking, see the UPGRADE TO WAYPOINT tab.</t>
  </si>
  <si>
    <t>📋 WEEKLY DAEP STATUS BOARD</t>
  </si>
  <si>
    <t>Print this tab for your Monday morning principal briefing. All data auto-updates from your other tabs.</t>
  </si>
  <si>
    <t>🔴 ACTIVE DAEP PLACEMENTS</t>
  </si>
  <si>
    <t>Student Name</t>
  </si>
  <si>
    <t>Grade</t>
  </si>
  <si>
    <t>Placement Days</t>
  </si>
  <si>
    <t>Start Date</t>
  </si>
  <si>
    <t>Planned End</t>
  </si>
  <si>
    <t>Days Remaining</t>
  </si>
  <si>
    <t>SPED?</t>
  </si>
  <si>
    <t>⚠ COMPLIANCE ITEMS DUE WITHIN 10 DAYS</t>
  </si>
  <si>
    <t>📊 SNAPSHOT COUNTS</t>
  </si>
  <si>
    <t>Expiring ≤ 5 Days</t>
  </si>
  <si>
    <t>Overdue Placements</t>
  </si>
  <si>
    <t>SPED Students Active</t>
  </si>
  <si>
    <t>Open Compliance Items</t>
  </si>
  <si>
    <t>Urgent Compliance (≤3d)</t>
  </si>
  <si>
    <t>─── Generated by DAEP Student Tracker — Texas Edition | Clear Path Education Group, LLC | clearpathedgroup.com ───</t>
  </si>
  <si>
    <t>REFERENCE — Texas DAEP Legal Framework &amp; Definitions</t>
  </si>
  <si>
    <t>Clear Path Education Group, LLC  |  For organizational use only — not legal advice</t>
  </si>
  <si>
    <t>TEXAS EDUCATION CODE CHAPTER 37 — DAEP FRAMEWORK</t>
  </si>
  <si>
    <t>TEC Section</t>
  </si>
  <si>
    <t>Title</t>
  </si>
  <si>
    <t>Summary</t>
  </si>
  <si>
    <t>§37.001</t>
  </si>
  <si>
    <t>Student Code of Conduct</t>
  </si>
  <si>
    <t>Districts must adopt a SCOC specifying conditions for DAEP and expulsion.</t>
  </si>
  <si>
    <t>§37.002</t>
  </si>
  <si>
    <t>Removal by Teacher</t>
  </si>
  <si>
    <t>Teachers may remove a student for documented conduct that violates the SCOC.</t>
  </si>
  <si>
    <t>§37.004</t>
  </si>
  <si>
    <t>Placement of Students with Disabilities</t>
  </si>
  <si>
    <t>SPED-specific rules; manifestation determination requirement applies.</t>
  </si>
  <si>
    <t>§37.005</t>
  </si>
  <si>
    <t>Suspension</t>
  </si>
  <si>
    <t>Short-term removal (max 3 days in-school or out-of-school suspension).</t>
  </si>
  <si>
    <t>§37.006</t>
  </si>
  <si>
    <t>Removal to DAEP — Mandatory</t>
  </si>
  <si>
    <t>Lists conduct requiring mandatory DAEP placement.</t>
  </si>
  <si>
    <t>§37.007</t>
  </si>
  <si>
    <t>Expulsion from School — Mandatory</t>
  </si>
  <si>
    <t>Lists conduct requiring mandatory expulsion consideration.</t>
  </si>
  <si>
    <t>§37.008</t>
  </si>
  <si>
    <t>DAEP Standards</t>
  </si>
  <si>
    <t>Required academic and behavioral components of a DAEP program.</t>
  </si>
  <si>
    <t>§37.009</t>
  </si>
  <si>
    <t>Conference / Due Process</t>
  </si>
  <si>
    <t>Required conference before DAEP placement; parent notification required.</t>
  </si>
  <si>
    <t>§37.010</t>
  </si>
  <si>
    <t>JJAEP</t>
  </si>
  <si>
    <t>Juvenile Justice Alternative Education Program standards and referral process.</t>
  </si>
  <si>
    <t>§37.011</t>
  </si>
  <si>
    <t>Juvenile Justice Programs</t>
  </si>
  <si>
    <t>Coordination between school district and juvenile justice agencies.</t>
  </si>
  <si>
    <t>§37.013</t>
  </si>
  <si>
    <t>Parental Notification</t>
  </si>
  <si>
    <t>Required notifications to parents/guardians during the disciplinary process.</t>
  </si>
  <si>
    <t>§37.0151</t>
  </si>
  <si>
    <t>Registered Sex Offenders</t>
  </si>
  <si>
    <t>Placement and notification rules for RSO students enrolled in district.</t>
  </si>
  <si>
    <t>§37.020</t>
  </si>
  <si>
    <t>PEIMS Reporting</t>
  </si>
  <si>
    <t>Data reporting requirements for disciplinary actions to the state.</t>
  </si>
  <si>
    <t>MANDATORY vs. DISCRETIONARY DAEP REMOVAL</t>
  </si>
  <si>
    <t>MANDATORY DAEP (TEC §37.006) — Administrator has NO discretion; placement is required</t>
  </si>
  <si>
    <t>• Conduct punishable as a felony (on or off campus, school-related)</t>
  </si>
  <si>
    <t>• Assault causing bodily injury to a school employee</t>
  </si>
  <si>
    <t>• Controlled substance — delivery, sale, or possession (type-dependent)</t>
  </si>
  <si>
    <t>• Terroristic threat against a school official or student</t>
  </si>
  <si>
    <t>• Use or exhibition of a firearm (off campus, school-related)</t>
  </si>
  <si>
    <t>• Title 5 Penal Code felony committed off campus</t>
  </si>
  <si>
    <t>• Conduct on school property involving a registered sex offender</t>
  </si>
  <si>
    <t>DISCRETIONARY DAEP (TEC §37.006(a)) — Administrator MAY place; not required</t>
  </si>
  <si>
    <t>• Persistent misbehavior or repeated disruption</t>
  </si>
  <si>
    <t>• Bullying that encourages student to transfer out of district</t>
  </si>
  <si>
    <t>• Criminal mischief (Class B or higher)</t>
  </si>
  <si>
    <t>• Fighting without bodily injury</t>
  </si>
  <si>
    <t>• Insubordination (after progressive discipline)</t>
  </si>
  <si>
    <t>• Conduct occurring on a school bus</t>
  </si>
  <si>
    <t>• Any conduct designated by the district's Student Code of Conduct</t>
  </si>
  <si>
    <t>SPED &amp; 504 COMPLIANCE REQUIREMENTS DURING DAEP PLACEMENT</t>
  </si>
  <si>
    <t>Requirement</t>
  </si>
  <si>
    <t>Trigger</t>
  </si>
  <si>
    <t>Deadline</t>
  </si>
  <si>
    <t>Legal Authority</t>
  </si>
  <si>
    <t>Any DAEP placement of a SPED student</t>
  </si>
  <si>
    <t>Within 10 SCHOOL DAYS of placement decision</t>
  </si>
  <si>
    <t>34 CFR §300.530; TEC §37.004</t>
  </si>
  <si>
    <t>FBA — Functional Behavioral Assessment</t>
  </si>
  <si>
    <t>Conduct determined to be manifestation; or no current FBA on file</t>
  </si>
  <si>
    <t>Must be initiated; completed during/after placement</t>
  </si>
  <si>
    <t>34 CFR §300.530(d)(1)(ii)</t>
  </si>
  <si>
    <t>BIP — Behavior Intervention Plan</t>
  </si>
  <si>
    <t>Following FBA completion; conduct is manifestation of disability</t>
  </si>
  <si>
    <t>Developed based on FBA; before return to regular campus</t>
  </si>
  <si>
    <t>IEP Services Continuation</t>
  </si>
  <si>
    <t>All active IEP students placed in DAEP</t>
  </si>
  <si>
    <t>Services must continue during entire placement</t>
  </si>
  <si>
    <t>34 CFR §300.530(d)(1)(i)</t>
  </si>
  <si>
    <t>Section 504 Meeting</t>
  </si>
  <si>
    <t>Any 504-eligible student facing DAEP placement</t>
  </si>
  <si>
    <t>Before or concurrent with placement</t>
  </si>
  <si>
    <t>34 CFR §104.36</t>
  </si>
  <si>
    <t>Prior Written Notice (SPED)</t>
  </si>
  <si>
    <t>Before changing placement of any SPED student</t>
  </si>
  <si>
    <t>Before implementation of placement</t>
  </si>
  <si>
    <t>34 CFR §300.503</t>
  </si>
  <si>
    <t>All DAEP placements</t>
  </si>
  <si>
    <t>As soon as practicable; before or day of placement</t>
  </si>
  <si>
    <t>TEC §37.009; §37.013</t>
  </si>
  <si>
    <t>Return-to-Campus ARD</t>
  </si>
  <si>
    <t>SPED student returning from DAEP</t>
  </si>
  <si>
    <t>Before student returns to home campus</t>
  </si>
  <si>
    <t>TEC §37.004 + local ARD policy</t>
  </si>
  <si>
    <t>Annual IEP Review (if due during placement)</t>
  </si>
  <si>
    <t>IEP anniversary falls within placement window</t>
  </si>
  <si>
    <t>By IEP anniversary date</t>
  </si>
  <si>
    <t>34 CFR §300.324</t>
  </si>
  <si>
    <t>GLOSSARY OF KEY TERMS</t>
  </si>
  <si>
    <t>Term</t>
  </si>
  <si>
    <t>Definition</t>
  </si>
  <si>
    <t>ARD</t>
  </si>
  <si>
    <t>Admission, Review, and Dismissal Committee — the IEP team under Texas law.</t>
  </si>
  <si>
    <t>BIP</t>
  </si>
  <si>
    <t>Behavior Intervention Plan — a written plan, based on FBA results, to address specific behaviors.</t>
  </si>
  <si>
    <t>DAEP</t>
  </si>
  <si>
    <t>Disciplinary Alternative Education Program — a separately organized campus or program for disciplinary placements.</t>
  </si>
  <si>
    <t>FBA</t>
  </si>
  <si>
    <t>Functional Behavioral Assessment — an evaluation to determine the function/cause of a student's behavior.</t>
  </si>
  <si>
    <t>IEP</t>
  </si>
  <si>
    <t>Individualized Education Program — the legal document governing services for a SPED student.</t>
  </si>
  <si>
    <t>Juvenile Justice Alternative Education Program — placement for students with juvenile justice system involvement.</t>
  </si>
  <si>
    <t>LEA</t>
  </si>
  <si>
    <t>Local Education Agency — the school district.</t>
  </si>
  <si>
    <t>LRE</t>
  </si>
  <si>
    <t>Least Restrictive Environment — IDEA requirement to educate students as close to general ed as appropriate.</t>
  </si>
  <si>
    <t>MDR</t>
  </si>
  <si>
    <t>Manifestation Determination Review — a meeting to determine if a student's misbehavior is caused by their disability.</t>
  </si>
  <si>
    <t>PEIMS</t>
  </si>
  <si>
    <t>Public Education Information Management System — the Texas statewide student data reporting system.</t>
  </si>
  <si>
    <t>PWN</t>
  </si>
  <si>
    <t>Prior Written Notice — required SPED notification before any change in placement or services.</t>
  </si>
  <si>
    <t>SCOC</t>
  </si>
  <si>
    <t>Student Code of Conduct — district policy document required under TEC §37.001.</t>
  </si>
  <si>
    <t>SPED</t>
  </si>
  <si>
    <t>Special Education — services under IDEA for students with eligible disabilities.</t>
  </si>
  <si>
    <t>TEC</t>
  </si>
  <si>
    <t>Texas Education Code — state statutes governing public K-12 education.</t>
  </si>
  <si>
    <t>CBC</t>
  </si>
  <si>
    <t>Campus Behavior Coordinator — designated role under TEC responsible for managing behavioral interventions.</t>
  </si>
  <si>
    <t>TEXAS SPED ELIGIBILITY CODES (TEA)</t>
  </si>
  <si>
    <t>Code</t>
  </si>
  <si>
    <t>Disability Category</t>
  </si>
  <si>
    <t>AU</t>
  </si>
  <si>
    <t>Autism</t>
  </si>
  <si>
    <t>DB</t>
  </si>
  <si>
    <t>Deaf-Blindness</t>
  </si>
  <si>
    <t>ED</t>
  </si>
  <si>
    <t>HI</t>
  </si>
  <si>
    <t>Hearing Impairment</t>
  </si>
  <si>
    <t>ID</t>
  </si>
  <si>
    <t>Intellectual Disability</t>
  </si>
  <si>
    <t>LD</t>
  </si>
  <si>
    <t>Learning Disability</t>
  </si>
  <si>
    <t>MD</t>
  </si>
  <si>
    <t>Multiple Disabilities</t>
  </si>
  <si>
    <t>NCI</t>
  </si>
  <si>
    <t>Noncategorical Early Childhood</t>
  </si>
  <si>
    <t>OHI</t>
  </si>
  <si>
    <t>Other Health Impairment</t>
  </si>
  <si>
    <t>OI</t>
  </si>
  <si>
    <t>Orthopedic Impairment</t>
  </si>
  <si>
    <t>SI</t>
  </si>
  <si>
    <t>Speech Impairment</t>
  </si>
  <si>
    <t>TBI</t>
  </si>
  <si>
    <t>Traumatic Brain Injury</t>
  </si>
  <si>
    <t>VI</t>
  </si>
  <si>
    <t>Visual Impairment</t>
  </si>
  <si>
    <t>ROLES IN THE DAEP PLACEMENT PROCESS</t>
  </si>
  <si>
    <t>Role</t>
  </si>
  <si>
    <t>Responsibility</t>
  </si>
  <si>
    <t>Campus Principal</t>
  </si>
  <si>
    <t>Final placement authority for most discretionary removals; signs placement orders.</t>
  </si>
  <si>
    <t>Assistant Principal (AP)</t>
  </si>
  <si>
    <t>Conducts due-process conferences; coordinates logistics; documents parent notification.</t>
  </si>
  <si>
    <t>DAEP Coordinator</t>
  </si>
  <si>
    <t>Manages DAEP enrollment, scheduling, academic services, and exit planning.</t>
  </si>
  <si>
    <t>Supports student during placement; coordinates transition and return-to-campus planning.</t>
  </si>
  <si>
    <t>Ensures SPED compliance; convenes ARD/MDR; monitors IEP services throughout placement.</t>
  </si>
  <si>
    <t>Ensures 504 compliance; convenes Section 504 meeting concurrent with placement.</t>
  </si>
  <si>
    <t>Campus Behavior Coordinator (CBC)</t>
  </si>
  <si>
    <t>Designated under TEC; responsible for documenting and managing behavioral interventions.</t>
  </si>
  <si>
    <t>Student Support Specialist (SSS)</t>
  </si>
  <si>
    <t>Additional behavioral support; may conduct or assist with FBA development.</t>
  </si>
  <si>
    <t>Director of Student Affairs</t>
  </si>
  <si>
    <t>District-level oversight; reviews extended or contested placements.</t>
  </si>
  <si>
    <t>Parent/Guardian</t>
  </si>
  <si>
    <t>Receives all required notices; may request meetings; rights preserved throughout the process.</t>
  </si>
  <si>
    <t>© 2025 Clear Path Education Group, LLC  |  clearpathedgroup.com  |  This reference is for organizational use only — not legal advice.</t>
  </si>
  <si>
    <t>↑ UPGRADE TO WAYPOINT — Full DAEP Management Platform</t>
  </si>
  <si>
    <t>You've outgrown the spreadsheet. That's a good thing.</t>
  </si>
  <si>
    <t>Waypoint does everything this tracker does — automatically, securely, and in compliance with Texas law.</t>
  </si>
  <si>
    <t>No formulas. No manual updates. No missed deadlines.</t>
  </si>
  <si>
    <t>WHAT WAYPOINT DOES THAT THIS TRACKER CANNOT</t>
  </si>
  <si>
    <t>Feature</t>
  </si>
  <si>
    <t>This Tracker</t>
  </si>
  <si>
    <t>Waypoint</t>
  </si>
  <si>
    <t>Student DAEP roster</t>
  </si>
  <si>
    <t>Manual entry per campus</t>
  </si>
  <si>
    <t>Automatic from student import or Laserfiche sync</t>
  </si>
  <si>
    <t>Placement countdown</t>
  </si>
  <si>
    <t>Calendar-day approximation</t>
  </si>
  <si>
    <t>School-day accurate with holiday calendar built in</t>
  </si>
  <si>
    <t>SPED compliance alerts</t>
  </si>
  <si>
    <t>Color-coded rows (manual)</t>
  </si>
  <si>
    <t>Automated alerts pushed to responsible staff</t>
  </si>
  <si>
    <t>Parent notification tracking</t>
  </si>
  <si>
    <t>Checkbox / notes field</t>
  </si>
  <si>
    <t>Logged with timestamp, method, and staff name</t>
  </si>
  <si>
    <t>PEIMS reporting</t>
  </si>
  <si>
    <t>Manual export / none</t>
  </si>
  <si>
    <t>One-click PEIMS-ready export</t>
  </si>
  <si>
    <t>Laserfiche integration</t>
  </si>
  <si>
    <t>Not available</t>
  </si>
  <si>
    <t>Direct sync — incidents import automatically, no re-entry</t>
  </si>
  <si>
    <t>Multi-campus visibility</t>
  </si>
  <si>
    <t>One file per campus</t>
  </si>
  <si>
    <t>District-wide dashboard across all campuses, real-time</t>
  </si>
  <si>
    <t>Role-based access control</t>
  </si>
  <si>
    <t>File sharing (no restrictions)</t>
  </si>
  <si>
    <t>Individual logins with role-based permissions</t>
  </si>
  <si>
    <t>Manifestation determination workflow</t>
  </si>
  <si>
    <t>Checklist row</t>
  </si>
  <si>
    <t>Guided MDR workflow with ARD scheduling and blocking</t>
  </si>
  <si>
    <t>FBA/BIP documentation</t>
  </si>
  <si>
    <t>Notes field only</t>
  </si>
  <si>
    <t>Structured FBA/BIP builder with document storage</t>
  </si>
  <si>
    <t>Audit trail</t>
  </si>
  <si>
    <t>None</t>
  </si>
  <si>
    <t>Every change logged with timestamp and user name</t>
  </si>
  <si>
    <t>Data security</t>
  </si>
  <si>
    <t>Google Drive sharing settings</t>
  </si>
  <si>
    <t>FERPA-compliant, encrypted, Supabase-backed</t>
  </si>
  <si>
    <t>JJAEP transfer tracking</t>
  </si>
  <si>
    <t>Full JJAEP placement and coordination workflow</t>
  </si>
  <si>
    <t>Incident trends and reports</t>
  </si>
  <si>
    <t>Manual counting</t>
  </si>
  <si>
    <t>Automated analytics, charts, and PDF exports</t>
  </si>
  <si>
    <t>Approval chain workflow</t>
  </si>
  <si>
    <t>Multi-step approval chain (CBC → Counselor → Admin)</t>
  </si>
  <si>
    <t>Onboarding and support</t>
  </si>
  <si>
    <t>This file only</t>
  </si>
  <si>
    <t>Dedicated onboarding and live district support</t>
  </si>
  <si>
    <t>─── WHAT DISTRICTS SAY ─────────────────────────────────────────────────────────────</t>
  </si>
  <si>
    <t>"Districts using Waypoint report spending 70% less time on DAEP paperwork and zero missed compliance deadlines in their first semester."</t>
  </si>
  <si>
    <t>— Based on pilot district feedback, 2025</t>
  </si>
  <si>
    <t>─── WAYPOINT PRICING ───────────────────────────────────────────────────────────────</t>
  </si>
  <si>
    <t>Starting at $4,500/year per campus</t>
  </si>
  <si>
    <t>Includes: Unlimited students, all compliance features, Laserfiche integration, PEIMS export, onboarding support</t>
  </si>
  <si>
    <t>District-wide pricing available.  No per-seat fees.  No hidden costs.</t>
  </si>
  <si>
    <t>─── READY TO SEE IT IN ACTION? ─────────────────────────────────────────────────────</t>
  </si>
  <si>
    <t>→ Book a free 30-min demo:  calendly.com/clearpatheg/waypoint-demo</t>
  </si>
  <si>
    <t>→ Learn more:               clearpathedgroup.com/waypoint</t>
  </si>
  <si>
    <t>→ Email us:                 support@clearpathedgroup.com</t>
  </si>
  <si>
    <t>─── NOT READY YET? ─────────────────────────────────────────────────────────────────</t>
  </si>
  <si>
    <t>Download our free "Texas DAEP Compliance Checklist" (PDF):  clearpathedgroup.com/resources</t>
  </si>
  <si>
    <t>Join our email list for Texas DAEP compliance updates:       clearpathedgroup.com/newsletter</t>
  </si>
  <si>
    <t>Waypoint is a product of Clear Path Education Group, LLC  |  FERPA-compliant  |  Texas-built, Texas-focused</t>
  </si>
  <si>
    <t>© 2025 Clear Path Education Group, LLC  |  clearpathedgroup.com  |  support@clearpathedgroup.com</t>
  </si>
  <si>
    <t>Grade Levels</t>
  </si>
  <si>
    <t>Offense Categories</t>
  </si>
  <si>
    <t>TEC References</t>
  </si>
  <si>
    <t>SPED Disability Codes</t>
  </si>
  <si>
    <t>Staff Roles</t>
  </si>
  <si>
    <t>Roster Status</t>
  </si>
  <si>
    <t>Placement Exit Reasons</t>
  </si>
  <si>
    <t>Compliance Actions</t>
  </si>
  <si>
    <t>Yes/No</t>
  </si>
  <si>
    <t>Yes/No/N/A</t>
  </si>
  <si>
    <t>Yes/No/Attempted</t>
  </si>
  <si>
    <t>Not Started</t>
  </si>
  <si>
    <t>TEC §37.007 — Mandatory Expulsion</t>
  </si>
  <si>
    <t>TEC §37.008 — DAEP Placement Standards</t>
  </si>
  <si>
    <t>Assistant Principal</t>
  </si>
  <si>
    <t>Early Return — Admin Decision</t>
  </si>
  <si>
    <t>BIP — Behavior Intervention Plan (New)</t>
  </si>
  <si>
    <t>Attempted</t>
  </si>
  <si>
    <t>TEC §37.0081 — Student Charged with Felony</t>
  </si>
  <si>
    <t>Early Return — Parent Request</t>
  </si>
  <si>
    <t>BIP — Behavior Intervention Plan (Review/Update)</t>
  </si>
  <si>
    <t>Waived — ARD Decision</t>
  </si>
  <si>
    <t>TEC §37.0082 — Extracurricular/Activity Removal</t>
  </si>
  <si>
    <t>Early Return — Juvenile Justice</t>
  </si>
  <si>
    <t>ARD Committee Meeting</t>
  </si>
  <si>
    <t>TEC §37.009 — Conference / Due Process</t>
  </si>
  <si>
    <t>Transferred Out</t>
  </si>
  <si>
    <t>IEP Amendment</t>
  </si>
  <si>
    <t>TEC §37.010 — JJAEP Placement</t>
  </si>
  <si>
    <t>Campus Behavior Coordinator</t>
  </si>
  <si>
    <t>Withdrew from District</t>
  </si>
  <si>
    <t>TEC §37.011 — Juvenile Justice Programs</t>
  </si>
  <si>
    <t>Student Support Specialist</t>
  </si>
  <si>
    <t>Parental Notice — SPED (Prior Written Notice)</t>
  </si>
  <si>
    <t>TEC §37.013 — Parental Notification</t>
  </si>
  <si>
    <t>Parental Notice — 504</t>
  </si>
  <si>
    <t>TEC §37.0151 — Registered Sex Offenders</t>
  </si>
  <si>
    <t>LEA Representative Notification</t>
  </si>
  <si>
    <t>TEC §37.020 — PEIMS Reporting</t>
  </si>
  <si>
    <t>SRO</t>
  </si>
  <si>
    <t>Special Education Services — Continuation Plan</t>
  </si>
  <si>
    <t>Other / See Notes</t>
  </si>
  <si>
    <t>Educational Services Plan (JJAEP)</t>
  </si>
  <si>
    <t>Reevaluation (3-Year) Due During Placement</t>
  </si>
  <si>
    <t>Other — See Notes</t>
  </si>
  <si>
    <t>HOW TO APPLY DROPDOWNS IN GOOGLE SHEETS:</t>
  </si>
  <si>
    <t>1. Select the target column in the data tab (e.g., column D "Grade Level" in Roster)</t>
  </si>
  <si>
    <t>2. Click Data → Data Validation → Add rule → Dropdown (from a range)</t>
  </si>
  <si>
    <t>3. Enter the range from this tab (e.g., Lists!A2:A15 for Grade Levels)</t>
  </si>
  <si>
    <t>4. Check "Show dropdown in cell" → Done</t>
  </si>
  <si>
    <t>HOW TO APPLY DROPDOWNS IN EXCEL:</t>
  </si>
  <si>
    <t>1. Select the target column, click Data → Data Validation → Allow: List</t>
  </si>
  <si>
    <t>2. In Source, enter the range from this tab (e.g., =Lists!$A$2:$A$15)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</si>
</sst>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/>
    <xf numFmtId="164" fontId="0" fillId="0" borderId="0" xfId="0" applyNumberFormat="1"/>
    <xf numFmtId="1" fontId="0" fillId="0" borderId="0" xfId="0" applyNumberFormat="1"/>
    <xf numFmtId="0" fontId="0" fillId="0" borderId="0" xfId="0"/>
  </cellXfs>
  <cellStyles count="1">
    <cellStyle name="Normal" xfId="0" builtinId="0"/>
  </cellStyles>
  <dxfs count="6">
    <dxf>
      <font>
        <b/>
      </font>
      <fill>
        <patternFill patternType="solid">
          <bgColor rgb="FFFFC000"/>
        </patternFill>
      </fill>
    </dxf>
    <dxf>
      <font>
        <b/>
        <color rgb="FFFFFFFF"/>
      </font>
      <fill>
        <patternFill patternType="solid">
          <bgColor rgb="FFFF0000"/>
        </patternFill>
      </fill>
    </dxf>
    <dxf>
      <font>
        <b/>
      </font>
      <fill>
        <patternFill patternType="solid">
          <bgColor rgb="FFFFC000"/>
        </patternFill>
      </fill>
    </dxf>
    <dxf>
      <font>
        <b/>
        <color rgb="FFFFFFFF"/>
      </font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ont>
        <b/>
      </font>
      <fill>
        <patternFill patternType="solid">
          <bgColor rgb="FFFF6B6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zoomScaleNormal="100" workbookViewId="0">
      <selection sqref="A1:H1"/>
    </sheetView>
  </sheetViews>
  <sheetFormatPr defaultRowHeight="15" customHeight="1" x14ac:dyDescent="0.45"/>
  <cols>
    <col min="1" max="1" width="43.33203125" customWidth="1"/>
    <col min="2" max="2" width="3.33203125" customWidth="1"/>
    <col min="3" max="5" width="36.6640625" customWidth="1"/>
    <col min="6" max="8" width="3.33203125" customWidth="1"/>
  </cols>
  <sheetData>
    <row r="1" spans="1:8" x14ac:dyDescent="0.45">
      <c r="A1" s="4" t="s">
        <v>0</v>
      </c>
      <c r="B1" s="4"/>
      <c r="C1" s="4"/>
      <c r="D1" s="4"/>
      <c r="E1" s="4"/>
      <c r="F1" s="4"/>
      <c r="G1" s="4"/>
      <c r="H1" s="4"/>
    </row>
    <row r="2" spans="1:8" x14ac:dyDescent="0.45">
      <c r="A2" s="4" t="s">
        <v>1</v>
      </c>
      <c r="B2" s="4"/>
      <c r="C2" s="4"/>
      <c r="D2" s="4"/>
      <c r="E2" s="4"/>
      <c r="F2" s="4"/>
      <c r="G2" s="4"/>
      <c r="H2" s="4"/>
    </row>
    <row r="3" spans="1:8" x14ac:dyDescent="0.45">
      <c r="A3" s="4" t="s">
        <v>2</v>
      </c>
      <c r="B3" s="4"/>
      <c r="C3" s="4"/>
      <c r="D3" s="4"/>
      <c r="E3" s="4"/>
      <c r="F3" s="4"/>
      <c r="G3" s="4"/>
      <c r="H3" s="4"/>
    </row>
    <row r="4" spans="1:8" x14ac:dyDescent="0.45">
      <c r="A4" s="4" t="s">
        <v>3</v>
      </c>
      <c r="B4" s="4"/>
      <c r="C4" s="4"/>
      <c r="D4" s="4"/>
      <c r="E4" s="4"/>
      <c r="F4" s="4"/>
      <c r="G4" s="4"/>
      <c r="H4" s="4"/>
    </row>
    <row r="6" spans="1:8" x14ac:dyDescent="0.45">
      <c r="A6" s="4" t="s">
        <v>4</v>
      </c>
      <c r="B6" s="4"/>
      <c r="C6" s="4"/>
      <c r="D6" s="4"/>
      <c r="E6" s="4"/>
      <c r="F6" s="4"/>
      <c r="G6" s="4"/>
      <c r="H6" s="4"/>
    </row>
    <row r="7" spans="1:8" x14ac:dyDescent="0.45">
      <c r="A7" t="s">
        <v>5</v>
      </c>
    </row>
    <row r="8" spans="1:8" x14ac:dyDescent="0.45">
      <c r="A8" t="s">
        <v>6</v>
      </c>
    </row>
    <row r="9" spans="1:8" x14ac:dyDescent="0.45">
      <c r="A9" t="s">
        <v>7</v>
      </c>
      <c r="C9" t="s">
        <v>8</v>
      </c>
    </row>
    <row r="10" spans="1:8" x14ac:dyDescent="0.45">
      <c r="A10" t="s">
        <v>9</v>
      </c>
    </row>
    <row r="11" spans="1:8" x14ac:dyDescent="0.45">
      <c r="A11" t="s">
        <v>10</v>
      </c>
    </row>
    <row r="13" spans="1:8" x14ac:dyDescent="0.45">
      <c r="A13" s="4" t="s">
        <v>11</v>
      </c>
      <c r="B13" s="4"/>
      <c r="C13" s="4"/>
      <c r="D13" s="4"/>
      <c r="E13" s="4"/>
      <c r="F13" s="4"/>
      <c r="G13" s="4"/>
      <c r="H13" s="4"/>
    </row>
    <row r="14" spans="1:8" x14ac:dyDescent="0.45">
      <c r="A14" t="s">
        <v>12</v>
      </c>
    </row>
    <row r="15" spans="1:8" x14ac:dyDescent="0.45">
      <c r="A15" t="s">
        <v>13</v>
      </c>
    </row>
    <row r="16" spans="1:8" x14ac:dyDescent="0.45">
      <c r="A16" t="s">
        <v>14</v>
      </c>
    </row>
    <row r="17" spans="1:8" x14ac:dyDescent="0.45">
      <c r="A17" t="s">
        <v>15</v>
      </c>
    </row>
    <row r="18" spans="1:8" x14ac:dyDescent="0.45">
      <c r="A18" t="s">
        <v>16</v>
      </c>
    </row>
    <row r="19" spans="1:8" x14ac:dyDescent="0.45">
      <c r="A19" t="s">
        <v>17</v>
      </c>
    </row>
    <row r="20" spans="1:8" x14ac:dyDescent="0.45">
      <c r="A20" t="s">
        <v>18</v>
      </c>
    </row>
    <row r="21" spans="1:8" x14ac:dyDescent="0.45">
      <c r="A21" t="s">
        <v>19</v>
      </c>
    </row>
    <row r="22" spans="1:8" x14ac:dyDescent="0.45">
      <c r="A22" t="s">
        <v>20</v>
      </c>
    </row>
    <row r="23" spans="1:8" x14ac:dyDescent="0.45">
      <c r="A23" t="s">
        <v>21</v>
      </c>
    </row>
    <row r="24" spans="1:8" x14ac:dyDescent="0.45">
      <c r="A24" t="s">
        <v>22</v>
      </c>
    </row>
    <row r="26" spans="1:8" x14ac:dyDescent="0.45">
      <c r="A26" s="4" t="s">
        <v>23</v>
      </c>
      <c r="B26" s="4"/>
      <c r="C26" s="4"/>
      <c r="D26" s="4"/>
      <c r="E26" s="4"/>
      <c r="F26" s="4"/>
      <c r="G26" s="4"/>
      <c r="H26" s="4"/>
    </row>
    <row r="27" spans="1:8" x14ac:dyDescent="0.45">
      <c r="A27" s="4" t="s">
        <v>24</v>
      </c>
      <c r="B27" s="4"/>
      <c r="C27" s="4"/>
      <c r="D27" s="4"/>
      <c r="E27" s="4"/>
      <c r="F27" s="4"/>
      <c r="G27" s="4"/>
      <c r="H27" s="4"/>
    </row>
    <row r="28" spans="1:8" x14ac:dyDescent="0.45">
      <c r="A28" s="4" t="s">
        <v>25</v>
      </c>
      <c r="B28" s="4"/>
      <c r="C28" s="4"/>
      <c r="D28" s="4"/>
      <c r="E28" s="4"/>
      <c r="F28" s="4"/>
      <c r="G28" s="4"/>
      <c r="H28" s="4"/>
    </row>
    <row r="29" spans="1:8" x14ac:dyDescent="0.45">
      <c r="A29" t="s">
        <v>26</v>
      </c>
    </row>
    <row r="31" spans="1:8" x14ac:dyDescent="0.45">
      <c r="A31" s="4" t="s">
        <v>27</v>
      </c>
      <c r="B31" s="4"/>
      <c r="C31" s="4"/>
      <c r="D31" s="4"/>
      <c r="E31" s="4"/>
      <c r="F31" s="4"/>
      <c r="G31" s="4"/>
      <c r="H31" s="4"/>
    </row>
    <row r="32" spans="1:8" x14ac:dyDescent="0.45">
      <c r="A32" s="4" t="s">
        <v>28</v>
      </c>
      <c r="B32" s="4"/>
      <c r="C32" s="4"/>
      <c r="D32" s="4"/>
      <c r="E32" s="4"/>
      <c r="F32" s="4"/>
      <c r="G32" s="4"/>
      <c r="H32" s="4"/>
    </row>
  </sheetData>
  <mergeCells count="11">
    <mergeCell ref="A1:H1"/>
    <mergeCell ref="A32:H32"/>
    <mergeCell ref="A27:H27"/>
    <mergeCell ref="A31:H31"/>
    <mergeCell ref="A6:H6"/>
    <mergeCell ref="A4:H4"/>
    <mergeCell ref="A26:H26"/>
    <mergeCell ref="A3:H3"/>
    <mergeCell ref="A2:H2"/>
    <mergeCell ref="A28:H28"/>
    <mergeCell ref="A13:H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2"/>
  <sheetViews>
    <sheetView zoomScaleNormal="100" workbookViewId="0"/>
  </sheetViews>
  <sheetFormatPr defaultRowHeight="15" customHeight="1" x14ac:dyDescent="0.45"/>
  <cols>
    <col min="1" max="1" width="15" customWidth="1"/>
    <col min="2" max="3" width="18.33203125" customWidth="1"/>
    <col min="4" max="4" width="15" customWidth="1"/>
    <col min="5" max="6" width="21.6640625" customWidth="1"/>
    <col min="7" max="8" width="18.33203125" customWidth="1"/>
    <col min="9" max="9" width="16.6640625" customWidth="1"/>
    <col min="10" max="10" width="15" customWidth="1"/>
    <col min="11" max="11" width="13.33203125" customWidth="1"/>
    <col min="12" max="12" width="28.33203125" customWidth="1"/>
    <col min="13" max="13" width="21.6640625" customWidth="1"/>
    <col min="14" max="14" width="16.6640625" customWidth="1"/>
    <col min="15" max="15" width="20" customWidth="1"/>
    <col min="16" max="16" width="16.6640625" customWidth="1"/>
    <col min="17" max="17" width="33.33203125" customWidth="1"/>
    <col min="18" max="18" width="15" customWidth="1"/>
  </cols>
  <sheetData>
    <row r="1" spans="1:18" ht="14.25" customHeight="1" x14ac:dyDescent="0.45">
      <c r="A1" s="4" t="s">
        <v>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14.25" customHeight="1" x14ac:dyDescent="0.4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</row>
    <row r="3" spans="1:18" ht="15" customHeight="1" x14ac:dyDescent="0.5">
      <c r="A3" t="s">
        <v>48</v>
      </c>
      <c r="B3" t="s">
        <v>49</v>
      </c>
      <c r="C3" t="s">
        <v>50</v>
      </c>
      <c r="D3" t="s">
        <v>51</v>
      </c>
      <c r="E3" t="s">
        <v>52</v>
      </c>
      <c r="F3" t="s">
        <v>53</v>
      </c>
      <c r="G3" s="1">
        <v>46042</v>
      </c>
      <c r="H3" s="2"/>
      <c r="I3" t="s">
        <v>54</v>
      </c>
      <c r="J3" t="s">
        <v>55</v>
      </c>
      <c r="K3" t="s">
        <v>56</v>
      </c>
      <c r="L3" t="s">
        <v>57</v>
      </c>
      <c r="M3" s="2">
        <v>46127</v>
      </c>
      <c r="N3" s="3">
        <f t="shared" ref="N3:N34" ca="1" si="0">IF(A3="","",IF(H3="",TODAY()-G3,H3-G3))</f>
        <v>175</v>
      </c>
      <c r="O3" s="3">
        <v>45</v>
      </c>
      <c r="P3" s="1">
        <f t="shared" ref="P3:P34" ca="1" si="1">IF(A3="","",IF(O3="","",MAX(0,O3-N3)))</f>
        <v>0</v>
      </c>
      <c r="Q3" s="1" t="s">
        <v>58</v>
      </c>
      <c r="R3" s="3">
        <f>IF(A3="","",COUNTIF('Incident Log'!D:D,A3))</f>
        <v>1</v>
      </c>
    </row>
    <row r="4" spans="1:18" ht="15" customHeight="1" x14ac:dyDescent="0.5">
      <c r="A4" t="s">
        <v>59</v>
      </c>
      <c r="B4" t="s">
        <v>60</v>
      </c>
      <c r="C4" t="s">
        <v>61</v>
      </c>
      <c r="D4" t="s">
        <v>62</v>
      </c>
      <c r="E4" t="s">
        <v>63</v>
      </c>
      <c r="F4" t="s">
        <v>53</v>
      </c>
      <c r="G4" s="1">
        <v>46062</v>
      </c>
      <c r="H4" s="2"/>
      <c r="I4" t="s">
        <v>54</v>
      </c>
      <c r="J4" t="s">
        <v>56</v>
      </c>
      <c r="K4" t="s">
        <v>56</v>
      </c>
      <c r="M4" s="2"/>
      <c r="N4" s="3">
        <f t="shared" ca="1" si="0"/>
        <v>155</v>
      </c>
      <c r="O4" s="3">
        <v>60</v>
      </c>
      <c r="P4" s="1">
        <f t="shared" ca="1" si="1"/>
        <v>0</v>
      </c>
      <c r="Q4" s="1"/>
      <c r="R4" s="3">
        <f>IF(A4="","",COUNTIF('Incident Log'!D:D,A4))</f>
        <v>1</v>
      </c>
    </row>
    <row r="5" spans="1:18" ht="15" customHeight="1" x14ac:dyDescent="0.5">
      <c r="A5" t="s">
        <v>64</v>
      </c>
      <c r="B5" t="s">
        <v>65</v>
      </c>
      <c r="C5" t="s">
        <v>66</v>
      </c>
      <c r="D5" t="s">
        <v>67</v>
      </c>
      <c r="E5" t="s">
        <v>52</v>
      </c>
      <c r="F5" t="s">
        <v>53</v>
      </c>
      <c r="G5" s="1">
        <v>45978</v>
      </c>
      <c r="H5" s="2">
        <v>46038</v>
      </c>
      <c r="I5" t="s">
        <v>68</v>
      </c>
      <c r="J5" t="s">
        <v>55</v>
      </c>
      <c r="K5" t="s">
        <v>56</v>
      </c>
      <c r="L5" t="s">
        <v>69</v>
      </c>
      <c r="M5" s="2">
        <v>46076</v>
      </c>
      <c r="N5" s="3">
        <f t="shared" ca="1" si="0"/>
        <v>60</v>
      </c>
      <c r="O5" s="3">
        <v>30</v>
      </c>
      <c r="P5" s="1">
        <f t="shared" ca="1" si="1"/>
        <v>0</v>
      </c>
      <c r="Q5" s="1" t="s">
        <v>70</v>
      </c>
      <c r="R5" s="3">
        <f>IF(A5="","",COUNTIF('Incident Log'!D:D,A5))</f>
        <v>1</v>
      </c>
    </row>
    <row r="6" spans="1:18" ht="15" customHeight="1" x14ac:dyDescent="0.5">
      <c r="A6" t="s">
        <v>71</v>
      </c>
      <c r="B6" t="s">
        <v>72</v>
      </c>
      <c r="C6" t="s">
        <v>73</v>
      </c>
      <c r="D6" t="s">
        <v>74</v>
      </c>
      <c r="E6" t="s">
        <v>63</v>
      </c>
      <c r="F6" t="s">
        <v>53</v>
      </c>
      <c r="G6" s="1">
        <v>46083</v>
      </c>
      <c r="H6" s="2"/>
      <c r="I6" t="s">
        <v>54</v>
      </c>
      <c r="J6" t="s">
        <v>56</v>
      </c>
      <c r="K6" t="s">
        <v>55</v>
      </c>
      <c r="M6" s="2"/>
      <c r="N6" s="3">
        <f t="shared" ca="1" si="0"/>
        <v>134</v>
      </c>
      <c r="O6" s="3">
        <v>30</v>
      </c>
      <c r="P6" s="1">
        <f t="shared" ca="1" si="1"/>
        <v>0</v>
      </c>
      <c r="Q6" s="1" t="s">
        <v>75</v>
      </c>
      <c r="R6" s="3">
        <f>IF(A6="","",COUNTIF('Incident Log'!D:D,A6))</f>
        <v>1</v>
      </c>
    </row>
    <row r="7" spans="1:18" ht="15" customHeight="1" x14ac:dyDescent="0.5">
      <c r="A7" t="s">
        <v>76</v>
      </c>
      <c r="B7" t="s">
        <v>77</v>
      </c>
      <c r="C7" t="s">
        <v>78</v>
      </c>
      <c r="D7" t="s">
        <v>79</v>
      </c>
      <c r="E7" t="s">
        <v>63</v>
      </c>
      <c r="F7" t="s">
        <v>53</v>
      </c>
      <c r="G7" s="1">
        <v>46104</v>
      </c>
      <c r="H7" s="2"/>
      <c r="I7" t="s">
        <v>54</v>
      </c>
      <c r="J7" t="s">
        <v>56</v>
      </c>
      <c r="K7" t="s">
        <v>56</v>
      </c>
      <c r="M7" s="2"/>
      <c r="N7" s="3">
        <f t="shared" ca="1" si="0"/>
        <v>113</v>
      </c>
      <c r="O7" s="3">
        <v>45</v>
      </c>
      <c r="P7" s="1">
        <f t="shared" ca="1" si="1"/>
        <v>0</v>
      </c>
      <c r="Q7" s="1"/>
      <c r="R7" s="3">
        <f>IF(A7="","",COUNTIF('Incident Log'!D:D,A7))</f>
        <v>1</v>
      </c>
    </row>
    <row r="8" spans="1:18" ht="14.25" customHeight="1" x14ac:dyDescent="0.45">
      <c r="G8" s="2"/>
      <c r="H8" s="2"/>
      <c r="M8" s="2"/>
      <c r="N8" s="3" t="str">
        <f t="shared" ca="1" si="0"/>
        <v/>
      </c>
      <c r="O8" s="3"/>
      <c r="P8" s="3" t="str">
        <f t="shared" si="1"/>
        <v/>
      </c>
      <c r="R8" s="3" t="str">
        <f>IF(A8="","",COUNTIF('Incident Log'!D:D,A8))</f>
        <v/>
      </c>
    </row>
    <row r="9" spans="1:18" ht="14.25" customHeight="1" x14ac:dyDescent="0.45">
      <c r="G9" s="2"/>
      <c r="H9" s="2"/>
      <c r="M9" s="2"/>
      <c r="N9" s="3" t="str">
        <f t="shared" ca="1" si="0"/>
        <v/>
      </c>
      <c r="O9" s="3"/>
      <c r="P9" s="3" t="str">
        <f t="shared" si="1"/>
        <v/>
      </c>
      <c r="R9" s="3" t="str">
        <f>IF(A9="","",COUNTIF('Incident Log'!D:D,A9))</f>
        <v/>
      </c>
    </row>
    <row r="10" spans="1:18" ht="14.25" customHeight="1" x14ac:dyDescent="0.45">
      <c r="G10" s="2"/>
      <c r="H10" s="2"/>
      <c r="M10" s="2"/>
      <c r="N10" s="3" t="str">
        <f t="shared" ca="1" si="0"/>
        <v/>
      </c>
      <c r="O10" s="3"/>
      <c r="P10" s="3" t="str">
        <f t="shared" si="1"/>
        <v/>
      </c>
      <c r="R10" s="3" t="str">
        <f>IF(A10="","",COUNTIF('Incident Log'!D:D,A10))</f>
        <v/>
      </c>
    </row>
    <row r="11" spans="1:18" ht="14.25" customHeight="1" x14ac:dyDescent="0.45">
      <c r="G11" s="2"/>
      <c r="H11" s="2"/>
      <c r="M11" s="2"/>
      <c r="N11" s="3" t="str">
        <f t="shared" ca="1" si="0"/>
        <v/>
      </c>
      <c r="O11" s="3"/>
      <c r="P11" s="3" t="str">
        <f t="shared" si="1"/>
        <v/>
      </c>
      <c r="R11" s="3" t="str">
        <f>IF(A11="","",COUNTIF('Incident Log'!D:D,A11))</f>
        <v/>
      </c>
    </row>
    <row r="12" spans="1:18" ht="14.25" customHeight="1" x14ac:dyDescent="0.45">
      <c r="G12" s="2"/>
      <c r="H12" s="2"/>
      <c r="M12" s="2"/>
      <c r="N12" s="3" t="str">
        <f t="shared" ca="1" si="0"/>
        <v/>
      </c>
      <c r="O12" s="3"/>
      <c r="P12" s="3" t="str">
        <f t="shared" si="1"/>
        <v/>
      </c>
      <c r="R12" s="3" t="str">
        <f>IF(A12="","",COUNTIF('Incident Log'!D:D,A12))</f>
        <v/>
      </c>
    </row>
    <row r="13" spans="1:18" ht="14.25" customHeight="1" x14ac:dyDescent="0.45">
      <c r="G13" s="2"/>
      <c r="H13" s="2"/>
      <c r="M13" s="2"/>
      <c r="N13" s="3" t="str">
        <f t="shared" ca="1" si="0"/>
        <v/>
      </c>
      <c r="O13" s="3"/>
      <c r="P13" s="3" t="str">
        <f t="shared" si="1"/>
        <v/>
      </c>
      <c r="R13" s="3" t="str">
        <f>IF(A13="","",COUNTIF('Incident Log'!D:D,A13))</f>
        <v/>
      </c>
    </row>
    <row r="14" spans="1:18" ht="14.25" customHeight="1" x14ac:dyDescent="0.45">
      <c r="G14" s="2"/>
      <c r="H14" s="2"/>
      <c r="M14" s="2"/>
      <c r="N14" s="3" t="str">
        <f t="shared" ca="1" si="0"/>
        <v/>
      </c>
      <c r="O14" s="3"/>
      <c r="P14" s="3" t="str">
        <f t="shared" si="1"/>
        <v/>
      </c>
      <c r="R14" s="3" t="str">
        <f>IF(A14="","",COUNTIF('Incident Log'!D:D,A14))</f>
        <v/>
      </c>
    </row>
    <row r="15" spans="1:18" ht="14.25" customHeight="1" x14ac:dyDescent="0.45">
      <c r="G15" s="2"/>
      <c r="H15" s="2"/>
      <c r="M15" s="2"/>
      <c r="N15" s="3" t="str">
        <f t="shared" ca="1" si="0"/>
        <v/>
      </c>
      <c r="O15" s="3"/>
      <c r="P15" s="3" t="str">
        <f t="shared" si="1"/>
        <v/>
      </c>
      <c r="R15" s="3" t="str">
        <f>IF(A15="","",COUNTIF('Incident Log'!D:D,A15))</f>
        <v/>
      </c>
    </row>
    <row r="16" spans="1:18" ht="14.25" customHeight="1" x14ac:dyDescent="0.45">
      <c r="G16" s="2"/>
      <c r="H16" s="2"/>
      <c r="M16" s="2"/>
      <c r="N16" s="3" t="str">
        <f t="shared" ca="1" si="0"/>
        <v/>
      </c>
      <c r="O16" s="3"/>
      <c r="P16" s="3" t="str">
        <f t="shared" si="1"/>
        <v/>
      </c>
      <c r="R16" s="3" t="str">
        <f>IF(A16="","",COUNTIF('Incident Log'!D:D,A16))</f>
        <v/>
      </c>
    </row>
    <row r="17" spans="7:18" ht="14.25" customHeight="1" x14ac:dyDescent="0.45">
      <c r="G17" s="2"/>
      <c r="H17" s="2"/>
      <c r="M17" s="2"/>
      <c r="N17" s="3" t="str">
        <f t="shared" ca="1" si="0"/>
        <v/>
      </c>
      <c r="O17" s="3"/>
      <c r="P17" s="3" t="str">
        <f t="shared" si="1"/>
        <v/>
      </c>
      <c r="R17" s="3" t="str">
        <f>IF(A17="","",COUNTIF('Incident Log'!D:D,A17))</f>
        <v/>
      </c>
    </row>
    <row r="18" spans="7:18" ht="14.25" customHeight="1" x14ac:dyDescent="0.45">
      <c r="G18" s="2"/>
      <c r="H18" s="2"/>
      <c r="M18" s="2"/>
      <c r="N18" s="3" t="str">
        <f t="shared" ca="1" si="0"/>
        <v/>
      </c>
      <c r="O18" s="3"/>
      <c r="P18" s="3" t="str">
        <f t="shared" si="1"/>
        <v/>
      </c>
      <c r="R18" s="3" t="str">
        <f>IF(A18="","",COUNTIF('Incident Log'!D:D,A18))</f>
        <v/>
      </c>
    </row>
    <row r="19" spans="7:18" ht="14.25" customHeight="1" x14ac:dyDescent="0.45">
      <c r="G19" s="2"/>
      <c r="H19" s="2"/>
      <c r="M19" s="2"/>
      <c r="N19" s="3" t="str">
        <f t="shared" ca="1" si="0"/>
        <v/>
      </c>
      <c r="O19" s="3"/>
      <c r="P19" s="3" t="str">
        <f t="shared" si="1"/>
        <v/>
      </c>
      <c r="R19" s="3" t="str">
        <f>IF(A19="","",COUNTIF('Incident Log'!D:D,A19))</f>
        <v/>
      </c>
    </row>
    <row r="20" spans="7:18" ht="14.25" customHeight="1" x14ac:dyDescent="0.45">
      <c r="G20" s="2"/>
      <c r="H20" s="2"/>
      <c r="M20" s="2"/>
      <c r="N20" s="3" t="str">
        <f t="shared" ca="1" si="0"/>
        <v/>
      </c>
      <c r="O20" s="3"/>
      <c r="P20" s="3" t="str">
        <f t="shared" si="1"/>
        <v/>
      </c>
      <c r="R20" s="3" t="str">
        <f>IF(A20="","",COUNTIF('Incident Log'!D:D,A20))</f>
        <v/>
      </c>
    </row>
    <row r="21" spans="7:18" ht="14.25" customHeight="1" x14ac:dyDescent="0.45">
      <c r="G21" s="2"/>
      <c r="H21" s="2"/>
      <c r="M21" s="2"/>
      <c r="N21" s="3" t="str">
        <f t="shared" ca="1" si="0"/>
        <v/>
      </c>
      <c r="O21" s="3"/>
      <c r="P21" s="3" t="str">
        <f t="shared" si="1"/>
        <v/>
      </c>
      <c r="R21" s="3" t="str">
        <f>IF(A21="","",COUNTIF('Incident Log'!D:D,A21))</f>
        <v/>
      </c>
    </row>
    <row r="22" spans="7:18" ht="14.25" customHeight="1" x14ac:dyDescent="0.45">
      <c r="G22" s="2"/>
      <c r="H22" s="2"/>
      <c r="M22" s="2"/>
      <c r="N22" s="3" t="str">
        <f t="shared" ca="1" si="0"/>
        <v/>
      </c>
      <c r="O22" s="3"/>
      <c r="P22" s="3" t="str">
        <f t="shared" si="1"/>
        <v/>
      </c>
      <c r="R22" s="3" t="str">
        <f>IF(A22="","",COUNTIF('Incident Log'!D:D,A22))</f>
        <v/>
      </c>
    </row>
    <row r="23" spans="7:18" ht="14.25" customHeight="1" x14ac:dyDescent="0.45">
      <c r="G23" s="2"/>
      <c r="H23" s="2"/>
      <c r="M23" s="2"/>
      <c r="N23" s="3" t="str">
        <f t="shared" ca="1" si="0"/>
        <v/>
      </c>
      <c r="O23" s="3"/>
      <c r="P23" s="3" t="str">
        <f t="shared" si="1"/>
        <v/>
      </c>
      <c r="R23" s="3" t="str">
        <f>IF(A23="","",COUNTIF('Incident Log'!D:D,A23))</f>
        <v/>
      </c>
    </row>
    <row r="24" spans="7:18" ht="14.25" customHeight="1" x14ac:dyDescent="0.45">
      <c r="G24" s="2"/>
      <c r="H24" s="2"/>
      <c r="M24" s="2"/>
      <c r="N24" s="3" t="str">
        <f t="shared" ca="1" si="0"/>
        <v/>
      </c>
      <c r="O24" s="3"/>
      <c r="P24" s="3" t="str">
        <f t="shared" si="1"/>
        <v/>
      </c>
      <c r="R24" s="3" t="str">
        <f>IF(A24="","",COUNTIF('Incident Log'!D:D,A24))</f>
        <v/>
      </c>
    </row>
    <row r="25" spans="7:18" ht="14.25" customHeight="1" x14ac:dyDescent="0.45">
      <c r="G25" s="2"/>
      <c r="H25" s="2"/>
      <c r="M25" s="2"/>
      <c r="N25" s="3" t="str">
        <f t="shared" ca="1" si="0"/>
        <v/>
      </c>
      <c r="O25" s="3"/>
      <c r="P25" s="3" t="str">
        <f t="shared" si="1"/>
        <v/>
      </c>
      <c r="R25" s="3" t="str">
        <f>IF(A25="","",COUNTIF('Incident Log'!D:D,A25))</f>
        <v/>
      </c>
    </row>
    <row r="26" spans="7:18" ht="14.25" customHeight="1" x14ac:dyDescent="0.45">
      <c r="G26" s="2"/>
      <c r="H26" s="2"/>
      <c r="M26" s="2"/>
      <c r="N26" s="3" t="str">
        <f t="shared" ca="1" si="0"/>
        <v/>
      </c>
      <c r="O26" s="3"/>
      <c r="P26" s="3" t="str">
        <f t="shared" si="1"/>
        <v/>
      </c>
      <c r="R26" s="3" t="str">
        <f>IF(A26="","",COUNTIF('Incident Log'!D:D,A26))</f>
        <v/>
      </c>
    </row>
    <row r="27" spans="7:18" ht="14.25" customHeight="1" x14ac:dyDescent="0.45">
      <c r="G27" s="2"/>
      <c r="H27" s="2"/>
      <c r="M27" s="2"/>
      <c r="N27" s="3" t="str">
        <f t="shared" ca="1" si="0"/>
        <v/>
      </c>
      <c r="O27" s="3"/>
      <c r="P27" s="3" t="str">
        <f t="shared" si="1"/>
        <v/>
      </c>
      <c r="R27" s="3" t="str">
        <f>IF(A27="","",COUNTIF('Incident Log'!D:D,A27))</f>
        <v/>
      </c>
    </row>
    <row r="28" spans="7:18" ht="14.25" customHeight="1" x14ac:dyDescent="0.45">
      <c r="G28" s="2"/>
      <c r="H28" s="2"/>
      <c r="M28" s="2"/>
      <c r="N28" s="3" t="str">
        <f t="shared" ca="1" si="0"/>
        <v/>
      </c>
      <c r="O28" s="3"/>
      <c r="P28" s="3" t="str">
        <f t="shared" si="1"/>
        <v/>
      </c>
      <c r="R28" s="3" t="str">
        <f>IF(A28="","",COUNTIF('Incident Log'!D:D,A28))</f>
        <v/>
      </c>
    </row>
    <row r="29" spans="7:18" ht="14.25" customHeight="1" x14ac:dyDescent="0.45">
      <c r="G29" s="2"/>
      <c r="H29" s="2"/>
      <c r="M29" s="2"/>
      <c r="N29" s="3" t="str">
        <f t="shared" ca="1" si="0"/>
        <v/>
      </c>
      <c r="O29" s="3"/>
      <c r="P29" s="3" t="str">
        <f t="shared" si="1"/>
        <v/>
      </c>
      <c r="R29" s="3" t="str">
        <f>IF(A29="","",COUNTIF('Incident Log'!D:D,A29))</f>
        <v/>
      </c>
    </row>
    <row r="30" spans="7:18" ht="14.25" customHeight="1" x14ac:dyDescent="0.45">
      <c r="G30" s="2"/>
      <c r="H30" s="2"/>
      <c r="M30" s="2"/>
      <c r="N30" s="3" t="str">
        <f t="shared" ca="1" si="0"/>
        <v/>
      </c>
      <c r="O30" s="3"/>
      <c r="P30" s="3" t="str">
        <f t="shared" si="1"/>
        <v/>
      </c>
      <c r="R30" s="3" t="str">
        <f>IF(A30="","",COUNTIF('Incident Log'!D:D,A30))</f>
        <v/>
      </c>
    </row>
    <row r="31" spans="7:18" ht="14.25" customHeight="1" x14ac:dyDescent="0.45">
      <c r="G31" s="2"/>
      <c r="H31" s="2"/>
      <c r="M31" s="2"/>
      <c r="N31" s="3" t="str">
        <f t="shared" ca="1" si="0"/>
        <v/>
      </c>
      <c r="O31" s="3"/>
      <c r="P31" s="3" t="str">
        <f t="shared" si="1"/>
        <v/>
      </c>
      <c r="R31" s="3" t="str">
        <f>IF(A31="","",COUNTIF('Incident Log'!D:D,A31))</f>
        <v/>
      </c>
    </row>
    <row r="32" spans="7:18" ht="14.25" customHeight="1" x14ac:dyDescent="0.45">
      <c r="G32" s="2"/>
      <c r="H32" s="2"/>
      <c r="M32" s="2"/>
      <c r="N32" s="3" t="str">
        <f t="shared" ca="1" si="0"/>
        <v/>
      </c>
      <c r="O32" s="3"/>
      <c r="P32" s="3" t="str">
        <f t="shared" si="1"/>
        <v/>
      </c>
      <c r="R32" s="3" t="str">
        <f>IF(A32="","",COUNTIF('Incident Log'!D:D,A32))</f>
        <v/>
      </c>
    </row>
    <row r="33" spans="7:18" ht="14.25" customHeight="1" x14ac:dyDescent="0.45">
      <c r="G33" s="2"/>
      <c r="H33" s="2"/>
      <c r="M33" s="2"/>
      <c r="N33" s="3" t="str">
        <f t="shared" ca="1" si="0"/>
        <v/>
      </c>
      <c r="O33" s="3"/>
      <c r="P33" s="3" t="str">
        <f t="shared" si="1"/>
        <v/>
      </c>
      <c r="R33" s="3" t="str">
        <f>IF(A33="","",COUNTIF('Incident Log'!D:D,A33))</f>
        <v/>
      </c>
    </row>
    <row r="34" spans="7:18" ht="14.25" customHeight="1" x14ac:dyDescent="0.45">
      <c r="G34" s="2"/>
      <c r="H34" s="2"/>
      <c r="M34" s="2"/>
      <c r="N34" s="3" t="str">
        <f t="shared" ca="1" si="0"/>
        <v/>
      </c>
      <c r="O34" s="3"/>
      <c r="P34" s="3" t="str">
        <f t="shared" si="1"/>
        <v/>
      </c>
      <c r="R34" s="3" t="str">
        <f>IF(A34="","",COUNTIF('Incident Log'!D:D,A34))</f>
        <v/>
      </c>
    </row>
    <row r="35" spans="7:18" ht="14.25" customHeight="1" x14ac:dyDescent="0.45">
      <c r="G35" s="2"/>
      <c r="H35" s="2"/>
      <c r="M35" s="2"/>
      <c r="N35" s="3" t="str">
        <f t="shared" ref="N35:N66" ca="1" si="2">IF(A35="","",IF(H35="",TODAY()-G35,H35-G35))</f>
        <v/>
      </c>
      <c r="O35" s="3"/>
      <c r="P35" s="3" t="str">
        <f t="shared" ref="P35:P66" si="3">IF(A35="","",IF(O35="","",MAX(0,O35-N35)))</f>
        <v/>
      </c>
      <c r="R35" s="3" t="str">
        <f>IF(A35="","",COUNTIF('Incident Log'!D:D,A35))</f>
        <v/>
      </c>
    </row>
    <row r="36" spans="7:18" ht="14.25" customHeight="1" x14ac:dyDescent="0.45">
      <c r="G36" s="2"/>
      <c r="H36" s="2"/>
      <c r="M36" s="2"/>
      <c r="N36" s="3" t="str">
        <f t="shared" ca="1" si="2"/>
        <v/>
      </c>
      <c r="O36" s="3"/>
      <c r="P36" s="3" t="str">
        <f t="shared" si="3"/>
        <v/>
      </c>
      <c r="R36" s="3" t="str">
        <f>IF(A36="","",COUNTIF('Incident Log'!D:D,A36))</f>
        <v/>
      </c>
    </row>
    <row r="37" spans="7:18" ht="14.25" customHeight="1" x14ac:dyDescent="0.45">
      <c r="G37" s="2"/>
      <c r="H37" s="2"/>
      <c r="M37" s="2"/>
      <c r="N37" s="3" t="str">
        <f t="shared" ca="1" si="2"/>
        <v/>
      </c>
      <c r="O37" s="3"/>
      <c r="P37" s="3" t="str">
        <f t="shared" si="3"/>
        <v/>
      </c>
      <c r="R37" s="3" t="str">
        <f>IF(A37="","",COUNTIF('Incident Log'!D:D,A37))</f>
        <v/>
      </c>
    </row>
    <row r="38" spans="7:18" ht="14.25" customHeight="1" x14ac:dyDescent="0.45">
      <c r="G38" s="2"/>
      <c r="H38" s="2"/>
      <c r="M38" s="2"/>
      <c r="N38" s="3" t="str">
        <f t="shared" ca="1" si="2"/>
        <v/>
      </c>
      <c r="O38" s="3"/>
      <c r="P38" s="3" t="str">
        <f t="shared" si="3"/>
        <v/>
      </c>
      <c r="R38" s="3" t="str">
        <f>IF(A38="","",COUNTIF('Incident Log'!D:D,A38))</f>
        <v/>
      </c>
    </row>
    <row r="39" spans="7:18" ht="14.25" customHeight="1" x14ac:dyDescent="0.45">
      <c r="G39" s="2"/>
      <c r="H39" s="2"/>
      <c r="M39" s="2"/>
      <c r="N39" s="3" t="str">
        <f t="shared" ca="1" si="2"/>
        <v/>
      </c>
      <c r="O39" s="3"/>
      <c r="P39" s="3" t="str">
        <f t="shared" si="3"/>
        <v/>
      </c>
      <c r="R39" s="3" t="str">
        <f>IF(A39="","",COUNTIF('Incident Log'!D:D,A39))</f>
        <v/>
      </c>
    </row>
    <row r="40" spans="7:18" ht="14.25" customHeight="1" x14ac:dyDescent="0.45">
      <c r="G40" s="2"/>
      <c r="H40" s="2"/>
      <c r="M40" s="2"/>
      <c r="N40" s="3" t="str">
        <f t="shared" ca="1" si="2"/>
        <v/>
      </c>
      <c r="O40" s="3"/>
      <c r="P40" s="3" t="str">
        <f t="shared" si="3"/>
        <v/>
      </c>
      <c r="R40" s="3" t="str">
        <f>IF(A40="","",COUNTIF('Incident Log'!D:D,A40))</f>
        <v/>
      </c>
    </row>
    <row r="41" spans="7:18" ht="14.25" customHeight="1" x14ac:dyDescent="0.45">
      <c r="G41" s="2"/>
      <c r="H41" s="2"/>
      <c r="M41" s="2"/>
      <c r="N41" s="3" t="str">
        <f t="shared" ca="1" si="2"/>
        <v/>
      </c>
      <c r="O41" s="3"/>
      <c r="P41" s="3" t="str">
        <f t="shared" si="3"/>
        <v/>
      </c>
      <c r="R41" s="3" t="str">
        <f>IF(A41="","",COUNTIF('Incident Log'!D:D,A41))</f>
        <v/>
      </c>
    </row>
    <row r="42" spans="7:18" ht="14.25" customHeight="1" x14ac:dyDescent="0.45">
      <c r="G42" s="2"/>
      <c r="H42" s="2"/>
      <c r="M42" s="2"/>
      <c r="N42" s="3" t="str">
        <f t="shared" ca="1" si="2"/>
        <v/>
      </c>
      <c r="O42" s="3"/>
      <c r="P42" s="3" t="str">
        <f t="shared" si="3"/>
        <v/>
      </c>
      <c r="R42" s="3" t="str">
        <f>IF(A42="","",COUNTIF('Incident Log'!D:D,A42))</f>
        <v/>
      </c>
    </row>
    <row r="43" spans="7:18" ht="14.25" customHeight="1" x14ac:dyDescent="0.45">
      <c r="G43" s="2"/>
      <c r="H43" s="2"/>
      <c r="M43" s="2"/>
      <c r="N43" s="3" t="str">
        <f t="shared" ca="1" si="2"/>
        <v/>
      </c>
      <c r="O43" s="3"/>
      <c r="P43" s="3" t="str">
        <f t="shared" si="3"/>
        <v/>
      </c>
      <c r="R43" s="3" t="str">
        <f>IF(A43="","",COUNTIF('Incident Log'!D:D,A43))</f>
        <v/>
      </c>
    </row>
    <row r="44" spans="7:18" ht="14.25" customHeight="1" x14ac:dyDescent="0.45">
      <c r="G44" s="2"/>
      <c r="H44" s="2"/>
      <c r="M44" s="2"/>
      <c r="N44" s="3" t="str">
        <f t="shared" ca="1" si="2"/>
        <v/>
      </c>
      <c r="O44" s="3"/>
      <c r="P44" s="3" t="str">
        <f t="shared" si="3"/>
        <v/>
      </c>
      <c r="R44" s="3" t="str">
        <f>IF(A44="","",COUNTIF('Incident Log'!D:D,A44))</f>
        <v/>
      </c>
    </row>
    <row r="45" spans="7:18" ht="14.25" customHeight="1" x14ac:dyDescent="0.45">
      <c r="G45" s="2"/>
      <c r="H45" s="2"/>
      <c r="M45" s="2"/>
      <c r="N45" s="3" t="str">
        <f t="shared" ca="1" si="2"/>
        <v/>
      </c>
      <c r="O45" s="3"/>
      <c r="P45" s="3" t="str">
        <f t="shared" si="3"/>
        <v/>
      </c>
      <c r="R45" s="3" t="str">
        <f>IF(A45="","",COUNTIF('Incident Log'!D:D,A45))</f>
        <v/>
      </c>
    </row>
    <row r="46" spans="7:18" ht="14.25" customHeight="1" x14ac:dyDescent="0.45">
      <c r="G46" s="2"/>
      <c r="H46" s="2"/>
      <c r="M46" s="2"/>
      <c r="N46" s="3" t="str">
        <f t="shared" ca="1" si="2"/>
        <v/>
      </c>
      <c r="O46" s="3"/>
      <c r="P46" s="3" t="str">
        <f t="shared" si="3"/>
        <v/>
      </c>
      <c r="R46" s="3" t="str">
        <f>IF(A46="","",COUNTIF('Incident Log'!D:D,A46))</f>
        <v/>
      </c>
    </row>
    <row r="47" spans="7:18" ht="14.25" customHeight="1" x14ac:dyDescent="0.45">
      <c r="G47" s="2"/>
      <c r="H47" s="2"/>
      <c r="M47" s="2"/>
      <c r="N47" s="3" t="str">
        <f t="shared" ca="1" si="2"/>
        <v/>
      </c>
      <c r="O47" s="3"/>
      <c r="P47" s="3" t="str">
        <f t="shared" si="3"/>
        <v/>
      </c>
      <c r="R47" s="3" t="str">
        <f>IF(A47="","",COUNTIF('Incident Log'!D:D,A47))</f>
        <v/>
      </c>
    </row>
    <row r="48" spans="7:18" ht="14.25" customHeight="1" x14ac:dyDescent="0.45">
      <c r="G48" s="2"/>
      <c r="H48" s="2"/>
      <c r="M48" s="2"/>
      <c r="N48" s="3" t="str">
        <f t="shared" ca="1" si="2"/>
        <v/>
      </c>
      <c r="O48" s="3"/>
      <c r="P48" s="3" t="str">
        <f t="shared" si="3"/>
        <v/>
      </c>
      <c r="R48" s="3" t="str">
        <f>IF(A48="","",COUNTIF('Incident Log'!D:D,A48))</f>
        <v/>
      </c>
    </row>
    <row r="49" spans="7:18" ht="14.25" customHeight="1" x14ac:dyDescent="0.45">
      <c r="G49" s="2"/>
      <c r="H49" s="2"/>
      <c r="M49" s="2"/>
      <c r="N49" s="3" t="str">
        <f t="shared" ca="1" si="2"/>
        <v/>
      </c>
      <c r="O49" s="3"/>
      <c r="P49" s="3" t="str">
        <f t="shared" si="3"/>
        <v/>
      </c>
      <c r="R49" s="3" t="str">
        <f>IF(A49="","",COUNTIF('Incident Log'!D:D,A49))</f>
        <v/>
      </c>
    </row>
    <row r="50" spans="7:18" ht="14.25" customHeight="1" x14ac:dyDescent="0.45">
      <c r="G50" s="2"/>
      <c r="H50" s="2"/>
      <c r="M50" s="2"/>
      <c r="N50" s="3" t="str">
        <f t="shared" ca="1" si="2"/>
        <v/>
      </c>
      <c r="O50" s="3"/>
      <c r="P50" s="3" t="str">
        <f t="shared" si="3"/>
        <v/>
      </c>
      <c r="R50" s="3" t="str">
        <f>IF(A50="","",COUNTIF('Incident Log'!D:D,A50))</f>
        <v/>
      </c>
    </row>
    <row r="51" spans="7:18" ht="14.25" customHeight="1" x14ac:dyDescent="0.45">
      <c r="G51" s="2"/>
      <c r="H51" s="2"/>
      <c r="M51" s="2"/>
      <c r="N51" s="3" t="str">
        <f t="shared" ca="1" si="2"/>
        <v/>
      </c>
      <c r="O51" s="3"/>
      <c r="P51" s="3" t="str">
        <f t="shared" si="3"/>
        <v/>
      </c>
      <c r="R51" s="3" t="str">
        <f>IF(A51="","",COUNTIF('Incident Log'!D:D,A51))</f>
        <v/>
      </c>
    </row>
    <row r="52" spans="7:18" ht="14.25" customHeight="1" x14ac:dyDescent="0.45">
      <c r="G52" s="2"/>
      <c r="H52" s="2"/>
      <c r="M52" s="2"/>
      <c r="N52" s="3" t="str">
        <f t="shared" ca="1" si="2"/>
        <v/>
      </c>
      <c r="O52" s="3"/>
      <c r="P52" s="3" t="str">
        <f t="shared" si="3"/>
        <v/>
      </c>
      <c r="R52" s="3" t="str">
        <f>IF(A52="","",COUNTIF('Incident Log'!D:D,A52))</f>
        <v/>
      </c>
    </row>
    <row r="53" spans="7:18" ht="14.25" customHeight="1" x14ac:dyDescent="0.45">
      <c r="G53" s="2"/>
      <c r="H53" s="2"/>
      <c r="M53" s="2"/>
      <c r="N53" s="3" t="str">
        <f t="shared" ca="1" si="2"/>
        <v/>
      </c>
      <c r="O53" s="3"/>
      <c r="P53" s="3" t="str">
        <f t="shared" si="3"/>
        <v/>
      </c>
      <c r="R53" s="3" t="str">
        <f>IF(A53="","",COUNTIF('Incident Log'!D:D,A53))</f>
        <v/>
      </c>
    </row>
    <row r="54" spans="7:18" ht="14.25" customHeight="1" x14ac:dyDescent="0.45">
      <c r="G54" s="2"/>
      <c r="H54" s="2"/>
      <c r="M54" s="2"/>
      <c r="N54" s="3" t="str">
        <f t="shared" ca="1" si="2"/>
        <v/>
      </c>
      <c r="O54" s="3"/>
      <c r="P54" s="3" t="str">
        <f t="shared" si="3"/>
        <v/>
      </c>
      <c r="R54" s="3" t="str">
        <f>IF(A54="","",COUNTIF('Incident Log'!D:D,A54))</f>
        <v/>
      </c>
    </row>
    <row r="55" spans="7:18" ht="14.25" customHeight="1" x14ac:dyDescent="0.45">
      <c r="G55" s="2"/>
      <c r="H55" s="2"/>
      <c r="M55" s="2"/>
      <c r="N55" s="3" t="str">
        <f t="shared" ca="1" si="2"/>
        <v/>
      </c>
      <c r="O55" s="3"/>
      <c r="P55" s="3" t="str">
        <f t="shared" si="3"/>
        <v/>
      </c>
      <c r="R55" s="3" t="str">
        <f>IF(A55="","",COUNTIF('Incident Log'!D:D,A55))</f>
        <v/>
      </c>
    </row>
    <row r="56" spans="7:18" ht="14.25" customHeight="1" x14ac:dyDescent="0.45">
      <c r="G56" s="2"/>
      <c r="H56" s="2"/>
      <c r="M56" s="2"/>
      <c r="N56" s="3" t="str">
        <f t="shared" ca="1" si="2"/>
        <v/>
      </c>
      <c r="O56" s="3"/>
      <c r="P56" s="3" t="str">
        <f t="shared" si="3"/>
        <v/>
      </c>
      <c r="R56" s="3" t="str">
        <f>IF(A56="","",COUNTIF('Incident Log'!D:D,A56))</f>
        <v/>
      </c>
    </row>
    <row r="57" spans="7:18" ht="14.25" customHeight="1" x14ac:dyDescent="0.45">
      <c r="G57" s="2"/>
      <c r="H57" s="2"/>
      <c r="M57" s="2"/>
      <c r="N57" s="3" t="str">
        <f t="shared" ca="1" si="2"/>
        <v/>
      </c>
      <c r="O57" s="3"/>
      <c r="P57" s="3" t="str">
        <f t="shared" si="3"/>
        <v/>
      </c>
      <c r="R57" s="3" t="str">
        <f>IF(A57="","",COUNTIF('Incident Log'!D:D,A57))</f>
        <v/>
      </c>
    </row>
    <row r="58" spans="7:18" ht="14.25" customHeight="1" x14ac:dyDescent="0.45">
      <c r="G58" s="2"/>
      <c r="H58" s="2"/>
      <c r="M58" s="2"/>
      <c r="N58" s="3" t="str">
        <f t="shared" ca="1" si="2"/>
        <v/>
      </c>
      <c r="O58" s="3"/>
      <c r="P58" s="3" t="str">
        <f t="shared" si="3"/>
        <v/>
      </c>
      <c r="R58" s="3" t="str">
        <f>IF(A58="","",COUNTIF('Incident Log'!D:D,A58))</f>
        <v/>
      </c>
    </row>
    <row r="59" spans="7:18" ht="14.25" customHeight="1" x14ac:dyDescent="0.45">
      <c r="G59" s="2"/>
      <c r="H59" s="2"/>
      <c r="M59" s="2"/>
      <c r="N59" s="3" t="str">
        <f t="shared" ca="1" si="2"/>
        <v/>
      </c>
      <c r="O59" s="3"/>
      <c r="P59" s="3" t="str">
        <f t="shared" si="3"/>
        <v/>
      </c>
      <c r="R59" s="3" t="str">
        <f>IF(A59="","",COUNTIF('Incident Log'!D:D,A59))</f>
        <v/>
      </c>
    </row>
    <row r="60" spans="7:18" ht="14.25" customHeight="1" x14ac:dyDescent="0.45">
      <c r="G60" s="2"/>
      <c r="H60" s="2"/>
      <c r="M60" s="2"/>
      <c r="N60" s="3" t="str">
        <f t="shared" ca="1" si="2"/>
        <v/>
      </c>
      <c r="O60" s="3"/>
      <c r="P60" s="3" t="str">
        <f t="shared" si="3"/>
        <v/>
      </c>
      <c r="R60" s="3" t="str">
        <f>IF(A60="","",COUNTIF('Incident Log'!D:D,A60))</f>
        <v/>
      </c>
    </row>
    <row r="61" spans="7:18" ht="14.25" customHeight="1" x14ac:dyDescent="0.45">
      <c r="G61" s="2"/>
      <c r="H61" s="2"/>
      <c r="M61" s="2"/>
      <c r="N61" s="3" t="str">
        <f t="shared" ca="1" si="2"/>
        <v/>
      </c>
      <c r="O61" s="3"/>
      <c r="P61" s="3" t="str">
        <f t="shared" si="3"/>
        <v/>
      </c>
      <c r="R61" s="3" t="str">
        <f>IF(A61="","",COUNTIF('Incident Log'!D:D,A61))</f>
        <v/>
      </c>
    </row>
    <row r="62" spans="7:18" ht="14.25" customHeight="1" x14ac:dyDescent="0.45">
      <c r="G62" s="2"/>
      <c r="H62" s="2"/>
      <c r="M62" s="2"/>
      <c r="N62" s="3" t="str">
        <f t="shared" ca="1" si="2"/>
        <v/>
      </c>
      <c r="O62" s="3"/>
      <c r="P62" s="3" t="str">
        <f t="shared" si="3"/>
        <v/>
      </c>
      <c r="R62" s="3" t="str">
        <f>IF(A62="","",COUNTIF('Incident Log'!D:D,A62))</f>
        <v/>
      </c>
    </row>
    <row r="63" spans="7:18" ht="14.25" customHeight="1" x14ac:dyDescent="0.45">
      <c r="G63" s="2"/>
      <c r="H63" s="2"/>
      <c r="M63" s="2"/>
      <c r="N63" s="3" t="str">
        <f t="shared" ca="1" si="2"/>
        <v/>
      </c>
      <c r="O63" s="3"/>
      <c r="P63" s="3" t="str">
        <f t="shared" si="3"/>
        <v/>
      </c>
      <c r="R63" s="3" t="str">
        <f>IF(A63="","",COUNTIF('Incident Log'!D:D,A63))</f>
        <v/>
      </c>
    </row>
    <row r="64" spans="7:18" ht="14.25" customHeight="1" x14ac:dyDescent="0.45">
      <c r="G64" s="2"/>
      <c r="H64" s="2"/>
      <c r="M64" s="2"/>
      <c r="N64" s="3" t="str">
        <f t="shared" ca="1" si="2"/>
        <v/>
      </c>
      <c r="O64" s="3"/>
      <c r="P64" s="3" t="str">
        <f t="shared" si="3"/>
        <v/>
      </c>
      <c r="R64" s="3" t="str">
        <f>IF(A64="","",COUNTIF('Incident Log'!D:D,A64))</f>
        <v/>
      </c>
    </row>
    <row r="65" spans="7:18" ht="14.25" customHeight="1" x14ac:dyDescent="0.45">
      <c r="G65" s="2"/>
      <c r="H65" s="2"/>
      <c r="M65" s="2"/>
      <c r="N65" s="3" t="str">
        <f t="shared" ca="1" si="2"/>
        <v/>
      </c>
      <c r="O65" s="3"/>
      <c r="P65" s="3" t="str">
        <f t="shared" si="3"/>
        <v/>
      </c>
      <c r="R65" s="3" t="str">
        <f>IF(A65="","",COUNTIF('Incident Log'!D:D,A65))</f>
        <v/>
      </c>
    </row>
    <row r="66" spans="7:18" ht="14.25" customHeight="1" x14ac:dyDescent="0.45">
      <c r="G66" s="2"/>
      <c r="H66" s="2"/>
      <c r="M66" s="2"/>
      <c r="N66" s="3" t="str">
        <f t="shared" ca="1" si="2"/>
        <v/>
      </c>
      <c r="O66" s="3"/>
      <c r="P66" s="3" t="str">
        <f t="shared" si="3"/>
        <v/>
      </c>
      <c r="R66" s="3" t="str">
        <f>IF(A66="","",COUNTIF('Incident Log'!D:D,A66))</f>
        <v/>
      </c>
    </row>
    <row r="67" spans="7:18" ht="14.25" customHeight="1" x14ac:dyDescent="0.45">
      <c r="G67" s="2"/>
      <c r="H67" s="2"/>
      <c r="M67" s="2"/>
      <c r="N67" s="3" t="str">
        <f t="shared" ref="N67:N102" ca="1" si="4">IF(A67="","",IF(H67="",TODAY()-G67,H67-G67))</f>
        <v/>
      </c>
      <c r="O67" s="3"/>
      <c r="P67" s="3" t="str">
        <f t="shared" ref="P67:P98" si="5">IF(A67="","",IF(O67="","",MAX(0,O67-N67)))</f>
        <v/>
      </c>
      <c r="R67" s="3" t="str">
        <f>IF(A67="","",COUNTIF('Incident Log'!D:D,A67))</f>
        <v/>
      </c>
    </row>
    <row r="68" spans="7:18" ht="14.25" customHeight="1" x14ac:dyDescent="0.45">
      <c r="G68" s="2"/>
      <c r="H68" s="2"/>
      <c r="M68" s="2"/>
      <c r="N68" s="3" t="str">
        <f t="shared" ca="1" si="4"/>
        <v/>
      </c>
      <c r="O68" s="3"/>
      <c r="P68" s="3" t="str">
        <f t="shared" si="5"/>
        <v/>
      </c>
      <c r="R68" s="3" t="str">
        <f>IF(A68="","",COUNTIF('Incident Log'!D:D,A68))</f>
        <v/>
      </c>
    </row>
    <row r="69" spans="7:18" ht="14.25" customHeight="1" x14ac:dyDescent="0.45">
      <c r="G69" s="2"/>
      <c r="H69" s="2"/>
      <c r="M69" s="2"/>
      <c r="N69" s="3" t="str">
        <f t="shared" ca="1" si="4"/>
        <v/>
      </c>
      <c r="O69" s="3"/>
      <c r="P69" s="3" t="str">
        <f t="shared" si="5"/>
        <v/>
      </c>
      <c r="R69" s="3" t="str">
        <f>IF(A69="","",COUNTIF('Incident Log'!D:D,A69))</f>
        <v/>
      </c>
    </row>
    <row r="70" spans="7:18" ht="14.25" customHeight="1" x14ac:dyDescent="0.45">
      <c r="G70" s="2"/>
      <c r="H70" s="2"/>
      <c r="M70" s="2"/>
      <c r="N70" s="3" t="str">
        <f t="shared" ca="1" si="4"/>
        <v/>
      </c>
      <c r="O70" s="3"/>
      <c r="P70" s="3" t="str">
        <f t="shared" si="5"/>
        <v/>
      </c>
      <c r="R70" s="3" t="str">
        <f>IF(A70="","",COUNTIF('Incident Log'!D:D,A70))</f>
        <v/>
      </c>
    </row>
    <row r="71" spans="7:18" ht="14.25" customHeight="1" x14ac:dyDescent="0.45">
      <c r="G71" s="2"/>
      <c r="H71" s="2"/>
      <c r="M71" s="2"/>
      <c r="N71" s="3" t="str">
        <f t="shared" ca="1" si="4"/>
        <v/>
      </c>
      <c r="O71" s="3"/>
      <c r="P71" s="3" t="str">
        <f t="shared" si="5"/>
        <v/>
      </c>
      <c r="R71" s="3" t="str">
        <f>IF(A71="","",COUNTIF('Incident Log'!D:D,A71))</f>
        <v/>
      </c>
    </row>
    <row r="72" spans="7:18" ht="14.25" customHeight="1" x14ac:dyDescent="0.45">
      <c r="G72" s="2"/>
      <c r="H72" s="2"/>
      <c r="M72" s="2"/>
      <c r="N72" s="3" t="str">
        <f t="shared" ca="1" si="4"/>
        <v/>
      </c>
      <c r="O72" s="3"/>
      <c r="P72" s="3" t="str">
        <f t="shared" si="5"/>
        <v/>
      </c>
      <c r="R72" s="3" t="str">
        <f>IF(A72="","",COUNTIF('Incident Log'!D:D,A72))</f>
        <v/>
      </c>
    </row>
    <row r="73" spans="7:18" ht="14.25" customHeight="1" x14ac:dyDescent="0.45">
      <c r="G73" s="2"/>
      <c r="H73" s="2"/>
      <c r="M73" s="2"/>
      <c r="N73" s="3" t="str">
        <f t="shared" ca="1" si="4"/>
        <v/>
      </c>
      <c r="O73" s="3"/>
      <c r="P73" s="3" t="str">
        <f t="shared" si="5"/>
        <v/>
      </c>
      <c r="R73" s="3" t="str">
        <f>IF(A73="","",COUNTIF('Incident Log'!D:D,A73))</f>
        <v/>
      </c>
    </row>
    <row r="74" spans="7:18" ht="14.25" customHeight="1" x14ac:dyDescent="0.45">
      <c r="G74" s="2"/>
      <c r="H74" s="2"/>
      <c r="M74" s="2"/>
      <c r="N74" s="3" t="str">
        <f t="shared" ca="1" si="4"/>
        <v/>
      </c>
      <c r="O74" s="3"/>
      <c r="P74" s="3" t="str">
        <f t="shared" si="5"/>
        <v/>
      </c>
      <c r="R74" s="3" t="str">
        <f>IF(A74="","",COUNTIF('Incident Log'!D:D,A74))</f>
        <v/>
      </c>
    </row>
    <row r="75" spans="7:18" ht="14.25" customHeight="1" x14ac:dyDescent="0.45">
      <c r="G75" s="2"/>
      <c r="H75" s="2"/>
      <c r="M75" s="2"/>
      <c r="N75" s="3" t="str">
        <f t="shared" ca="1" si="4"/>
        <v/>
      </c>
      <c r="O75" s="3"/>
      <c r="P75" s="3" t="str">
        <f t="shared" si="5"/>
        <v/>
      </c>
      <c r="R75" s="3" t="str">
        <f>IF(A75="","",COUNTIF('Incident Log'!D:D,A75))</f>
        <v/>
      </c>
    </row>
    <row r="76" spans="7:18" ht="14.25" customHeight="1" x14ac:dyDescent="0.45">
      <c r="G76" s="2"/>
      <c r="H76" s="2"/>
      <c r="M76" s="2"/>
      <c r="N76" s="3" t="str">
        <f t="shared" ca="1" si="4"/>
        <v/>
      </c>
      <c r="O76" s="3"/>
      <c r="P76" s="3" t="str">
        <f t="shared" si="5"/>
        <v/>
      </c>
      <c r="R76" s="3" t="str">
        <f>IF(A76="","",COUNTIF('Incident Log'!D:D,A76))</f>
        <v/>
      </c>
    </row>
    <row r="77" spans="7:18" ht="14.25" customHeight="1" x14ac:dyDescent="0.45">
      <c r="G77" s="2"/>
      <c r="H77" s="2"/>
      <c r="M77" s="2"/>
      <c r="N77" s="3" t="str">
        <f t="shared" ca="1" si="4"/>
        <v/>
      </c>
      <c r="O77" s="3"/>
      <c r="P77" s="3" t="str">
        <f t="shared" si="5"/>
        <v/>
      </c>
      <c r="R77" s="3" t="str">
        <f>IF(A77="","",COUNTIF('Incident Log'!D:D,A77))</f>
        <v/>
      </c>
    </row>
    <row r="78" spans="7:18" ht="14.25" customHeight="1" x14ac:dyDescent="0.45">
      <c r="G78" s="2"/>
      <c r="H78" s="2"/>
      <c r="M78" s="2"/>
      <c r="N78" s="3" t="str">
        <f t="shared" ca="1" si="4"/>
        <v/>
      </c>
      <c r="O78" s="3"/>
      <c r="P78" s="3" t="str">
        <f t="shared" si="5"/>
        <v/>
      </c>
      <c r="R78" s="3" t="str">
        <f>IF(A78="","",COUNTIF('Incident Log'!D:D,A78))</f>
        <v/>
      </c>
    </row>
    <row r="79" spans="7:18" ht="14.25" customHeight="1" x14ac:dyDescent="0.45">
      <c r="G79" s="2"/>
      <c r="H79" s="2"/>
      <c r="M79" s="2"/>
      <c r="N79" s="3" t="str">
        <f t="shared" ca="1" si="4"/>
        <v/>
      </c>
      <c r="O79" s="3"/>
      <c r="P79" s="3" t="str">
        <f t="shared" si="5"/>
        <v/>
      </c>
      <c r="R79" s="3" t="str">
        <f>IF(A79="","",COUNTIF('Incident Log'!D:D,A79))</f>
        <v/>
      </c>
    </row>
    <row r="80" spans="7:18" ht="14.25" customHeight="1" x14ac:dyDescent="0.45">
      <c r="G80" s="2"/>
      <c r="H80" s="2"/>
      <c r="M80" s="2"/>
      <c r="N80" s="3" t="str">
        <f t="shared" ca="1" si="4"/>
        <v/>
      </c>
      <c r="O80" s="3"/>
      <c r="P80" s="3" t="str">
        <f t="shared" si="5"/>
        <v/>
      </c>
      <c r="R80" s="3" t="str">
        <f>IF(A80="","",COUNTIF('Incident Log'!D:D,A80))</f>
        <v/>
      </c>
    </row>
    <row r="81" spans="7:18" ht="14.25" customHeight="1" x14ac:dyDescent="0.45">
      <c r="G81" s="2"/>
      <c r="H81" s="2"/>
      <c r="M81" s="2"/>
      <c r="N81" s="3" t="str">
        <f t="shared" ca="1" si="4"/>
        <v/>
      </c>
      <c r="O81" s="3"/>
      <c r="P81" s="3" t="str">
        <f t="shared" si="5"/>
        <v/>
      </c>
      <c r="R81" s="3" t="str">
        <f>IF(A81="","",COUNTIF('Incident Log'!D:D,A81))</f>
        <v/>
      </c>
    </row>
    <row r="82" spans="7:18" ht="14.25" customHeight="1" x14ac:dyDescent="0.45">
      <c r="G82" s="2"/>
      <c r="H82" s="2"/>
      <c r="M82" s="2"/>
      <c r="N82" s="3" t="str">
        <f t="shared" ca="1" si="4"/>
        <v/>
      </c>
      <c r="O82" s="3"/>
      <c r="P82" s="3" t="str">
        <f t="shared" si="5"/>
        <v/>
      </c>
      <c r="R82" s="3" t="str">
        <f>IF(A82="","",COUNTIF('Incident Log'!D:D,A82))</f>
        <v/>
      </c>
    </row>
    <row r="83" spans="7:18" ht="14.25" customHeight="1" x14ac:dyDescent="0.45">
      <c r="G83" s="2"/>
      <c r="H83" s="2"/>
      <c r="M83" s="2"/>
      <c r="N83" s="3" t="str">
        <f t="shared" ca="1" si="4"/>
        <v/>
      </c>
      <c r="O83" s="3"/>
      <c r="P83" s="3" t="str">
        <f t="shared" si="5"/>
        <v/>
      </c>
      <c r="R83" s="3" t="str">
        <f>IF(A83="","",COUNTIF('Incident Log'!D:D,A83))</f>
        <v/>
      </c>
    </row>
    <row r="84" spans="7:18" ht="14.25" customHeight="1" x14ac:dyDescent="0.45">
      <c r="G84" s="2"/>
      <c r="H84" s="2"/>
      <c r="M84" s="2"/>
      <c r="N84" s="3" t="str">
        <f t="shared" ca="1" si="4"/>
        <v/>
      </c>
      <c r="O84" s="3"/>
      <c r="P84" s="3" t="str">
        <f t="shared" si="5"/>
        <v/>
      </c>
      <c r="R84" s="3" t="str">
        <f>IF(A84="","",COUNTIF('Incident Log'!D:D,A84))</f>
        <v/>
      </c>
    </row>
    <row r="85" spans="7:18" ht="14.25" customHeight="1" x14ac:dyDescent="0.45">
      <c r="G85" s="2"/>
      <c r="H85" s="2"/>
      <c r="M85" s="2"/>
      <c r="N85" s="3" t="str">
        <f t="shared" ca="1" si="4"/>
        <v/>
      </c>
      <c r="O85" s="3"/>
      <c r="P85" s="3" t="str">
        <f t="shared" si="5"/>
        <v/>
      </c>
      <c r="R85" s="3" t="str">
        <f>IF(A85="","",COUNTIF('Incident Log'!D:D,A85))</f>
        <v/>
      </c>
    </row>
    <row r="86" spans="7:18" ht="14.25" customHeight="1" x14ac:dyDescent="0.45">
      <c r="G86" s="2"/>
      <c r="H86" s="2"/>
      <c r="M86" s="2"/>
      <c r="N86" s="3" t="str">
        <f t="shared" ca="1" si="4"/>
        <v/>
      </c>
      <c r="O86" s="3"/>
      <c r="P86" s="3" t="str">
        <f t="shared" si="5"/>
        <v/>
      </c>
      <c r="R86" s="3" t="str">
        <f>IF(A86="","",COUNTIF('Incident Log'!D:D,A86))</f>
        <v/>
      </c>
    </row>
    <row r="87" spans="7:18" ht="14.25" customHeight="1" x14ac:dyDescent="0.45">
      <c r="G87" s="2"/>
      <c r="H87" s="2"/>
      <c r="M87" s="2"/>
      <c r="N87" s="3" t="str">
        <f t="shared" ca="1" si="4"/>
        <v/>
      </c>
      <c r="O87" s="3"/>
      <c r="P87" s="3" t="str">
        <f t="shared" si="5"/>
        <v/>
      </c>
      <c r="R87" s="3" t="str">
        <f>IF(A87="","",COUNTIF('Incident Log'!D:D,A87))</f>
        <v/>
      </c>
    </row>
    <row r="88" spans="7:18" ht="14.25" customHeight="1" x14ac:dyDescent="0.45">
      <c r="G88" s="2"/>
      <c r="H88" s="2"/>
      <c r="M88" s="2"/>
      <c r="N88" s="3" t="str">
        <f t="shared" ca="1" si="4"/>
        <v/>
      </c>
      <c r="O88" s="3"/>
      <c r="P88" s="3" t="str">
        <f t="shared" si="5"/>
        <v/>
      </c>
      <c r="R88" s="3" t="str">
        <f>IF(A88="","",COUNTIF('Incident Log'!D:D,A88))</f>
        <v/>
      </c>
    </row>
    <row r="89" spans="7:18" ht="14.25" customHeight="1" x14ac:dyDescent="0.45">
      <c r="G89" s="2"/>
      <c r="H89" s="2"/>
      <c r="M89" s="2"/>
      <c r="N89" s="3" t="str">
        <f t="shared" ca="1" si="4"/>
        <v/>
      </c>
      <c r="O89" s="3"/>
      <c r="P89" s="3" t="str">
        <f t="shared" si="5"/>
        <v/>
      </c>
      <c r="R89" s="3" t="str">
        <f>IF(A89="","",COUNTIF('Incident Log'!D:D,A89))</f>
        <v/>
      </c>
    </row>
    <row r="90" spans="7:18" ht="14.25" customHeight="1" x14ac:dyDescent="0.45">
      <c r="G90" s="2"/>
      <c r="H90" s="2"/>
      <c r="M90" s="2"/>
      <c r="N90" s="3" t="str">
        <f t="shared" ca="1" si="4"/>
        <v/>
      </c>
      <c r="O90" s="3"/>
      <c r="P90" s="3" t="str">
        <f t="shared" si="5"/>
        <v/>
      </c>
      <c r="R90" s="3" t="str">
        <f>IF(A90="","",COUNTIF('Incident Log'!D:D,A90))</f>
        <v/>
      </c>
    </row>
    <row r="91" spans="7:18" ht="14.25" customHeight="1" x14ac:dyDescent="0.45">
      <c r="G91" s="2"/>
      <c r="H91" s="2"/>
      <c r="M91" s="2"/>
      <c r="N91" s="3" t="str">
        <f t="shared" ca="1" si="4"/>
        <v/>
      </c>
      <c r="O91" s="3"/>
      <c r="P91" s="3" t="str">
        <f t="shared" si="5"/>
        <v/>
      </c>
      <c r="R91" s="3" t="str">
        <f>IF(A91="","",COUNTIF('Incident Log'!D:D,A91))</f>
        <v/>
      </c>
    </row>
    <row r="92" spans="7:18" ht="14.25" customHeight="1" x14ac:dyDescent="0.45">
      <c r="G92" s="2"/>
      <c r="H92" s="2"/>
      <c r="M92" s="2"/>
      <c r="N92" s="3" t="str">
        <f t="shared" ca="1" si="4"/>
        <v/>
      </c>
      <c r="O92" s="3"/>
      <c r="P92" s="3" t="str">
        <f t="shared" si="5"/>
        <v/>
      </c>
      <c r="R92" s="3" t="str">
        <f>IF(A92="","",COUNTIF('Incident Log'!D:D,A92))</f>
        <v/>
      </c>
    </row>
    <row r="93" spans="7:18" ht="14.25" customHeight="1" x14ac:dyDescent="0.45">
      <c r="G93" s="2"/>
      <c r="H93" s="2"/>
      <c r="M93" s="2"/>
      <c r="N93" s="3" t="str">
        <f t="shared" ca="1" si="4"/>
        <v/>
      </c>
      <c r="O93" s="3"/>
      <c r="P93" s="3" t="str">
        <f t="shared" si="5"/>
        <v/>
      </c>
      <c r="R93" s="3" t="str">
        <f>IF(A93="","",COUNTIF('Incident Log'!D:D,A93))</f>
        <v/>
      </c>
    </row>
    <row r="94" spans="7:18" ht="14.25" customHeight="1" x14ac:dyDescent="0.45">
      <c r="G94" s="2"/>
      <c r="H94" s="2"/>
      <c r="M94" s="2"/>
      <c r="N94" s="3" t="str">
        <f t="shared" ca="1" si="4"/>
        <v/>
      </c>
      <c r="O94" s="3"/>
      <c r="P94" s="3" t="str">
        <f t="shared" si="5"/>
        <v/>
      </c>
      <c r="R94" s="3" t="str">
        <f>IF(A94="","",COUNTIF('Incident Log'!D:D,A94))</f>
        <v/>
      </c>
    </row>
    <row r="95" spans="7:18" ht="14.25" customHeight="1" x14ac:dyDescent="0.45">
      <c r="G95" s="2"/>
      <c r="H95" s="2"/>
      <c r="M95" s="2"/>
      <c r="N95" s="3" t="str">
        <f t="shared" ca="1" si="4"/>
        <v/>
      </c>
      <c r="O95" s="3"/>
      <c r="P95" s="3" t="str">
        <f t="shared" si="5"/>
        <v/>
      </c>
      <c r="R95" s="3" t="str">
        <f>IF(A95="","",COUNTIF('Incident Log'!D:D,A95))</f>
        <v/>
      </c>
    </row>
    <row r="96" spans="7:18" ht="14.25" customHeight="1" x14ac:dyDescent="0.45">
      <c r="G96" s="2"/>
      <c r="H96" s="2"/>
      <c r="M96" s="2"/>
      <c r="N96" s="3" t="str">
        <f t="shared" ca="1" si="4"/>
        <v/>
      </c>
      <c r="O96" s="3"/>
      <c r="P96" s="3" t="str">
        <f t="shared" si="5"/>
        <v/>
      </c>
      <c r="R96" s="3" t="str">
        <f>IF(A96="","",COUNTIF('Incident Log'!D:D,A96))</f>
        <v/>
      </c>
    </row>
    <row r="97" spans="7:18" ht="14.25" customHeight="1" x14ac:dyDescent="0.45">
      <c r="G97" s="2"/>
      <c r="H97" s="2"/>
      <c r="M97" s="2"/>
      <c r="N97" s="3" t="str">
        <f t="shared" ca="1" si="4"/>
        <v/>
      </c>
      <c r="O97" s="3"/>
      <c r="P97" s="3" t="str">
        <f t="shared" si="5"/>
        <v/>
      </c>
      <c r="R97" s="3" t="str">
        <f>IF(A97="","",COUNTIF('Incident Log'!D:D,A97))</f>
        <v/>
      </c>
    </row>
    <row r="98" spans="7:18" ht="14.25" customHeight="1" x14ac:dyDescent="0.45">
      <c r="G98" s="2"/>
      <c r="H98" s="2"/>
      <c r="M98" s="2"/>
      <c r="N98" s="3" t="str">
        <f t="shared" ca="1" si="4"/>
        <v/>
      </c>
      <c r="O98" s="3"/>
      <c r="P98" s="3" t="str">
        <f t="shared" si="5"/>
        <v/>
      </c>
      <c r="R98" s="3" t="str">
        <f>IF(A98="","",COUNTIF('Incident Log'!D:D,A98))</f>
        <v/>
      </c>
    </row>
    <row r="99" spans="7:18" ht="14.25" customHeight="1" x14ac:dyDescent="0.45">
      <c r="G99" s="2"/>
      <c r="H99" s="2"/>
      <c r="M99" s="2"/>
      <c r="N99" s="3" t="str">
        <f t="shared" ca="1" si="4"/>
        <v/>
      </c>
      <c r="O99" s="3"/>
      <c r="P99" s="3" t="str">
        <f t="shared" ref="P99:P130" si="6">IF(A99="","",IF(O99="","",MAX(0,O99-N99)))</f>
        <v/>
      </c>
      <c r="R99" s="3" t="str">
        <f>IF(A99="","",COUNTIF('Incident Log'!D:D,A99))</f>
        <v/>
      </c>
    </row>
    <row r="100" spans="7:18" ht="14.25" customHeight="1" x14ac:dyDescent="0.45">
      <c r="G100" s="2"/>
      <c r="H100" s="2"/>
      <c r="M100" s="2"/>
      <c r="N100" s="3" t="str">
        <f t="shared" ca="1" si="4"/>
        <v/>
      </c>
      <c r="O100" s="3"/>
      <c r="P100" s="3" t="str">
        <f t="shared" si="6"/>
        <v/>
      </c>
      <c r="R100" s="3" t="str">
        <f>IF(A100="","",COUNTIF('Incident Log'!D:D,A100))</f>
        <v/>
      </c>
    </row>
    <row r="101" spans="7:18" ht="14.25" customHeight="1" x14ac:dyDescent="0.45">
      <c r="G101" s="2"/>
      <c r="H101" s="2"/>
      <c r="M101" s="2"/>
      <c r="N101" s="3" t="str">
        <f t="shared" ca="1" si="4"/>
        <v/>
      </c>
      <c r="O101" s="3"/>
      <c r="P101" s="3" t="str">
        <f t="shared" si="6"/>
        <v/>
      </c>
      <c r="R101" s="3" t="str">
        <f>IF(A101="","",COUNTIF('Incident Log'!D:D,A101))</f>
        <v/>
      </c>
    </row>
    <row r="102" spans="7:18" ht="14.25" customHeight="1" x14ac:dyDescent="0.45">
      <c r="G102" s="2"/>
      <c r="H102" s="2"/>
      <c r="M102" s="2"/>
      <c r="N102" s="3" t="str">
        <f t="shared" ca="1" si="4"/>
        <v/>
      </c>
      <c r="O102" s="3"/>
      <c r="P102" s="3" t="str">
        <f t="shared" si="6"/>
        <v/>
      </c>
      <c r="R102" s="3" t="str">
        <f>IF(A102="","",COUNTIF('Incident Log'!D:D,A102))</f>
        <v/>
      </c>
    </row>
  </sheetData>
  <mergeCells count="1">
    <mergeCell ref="A1:R1"/>
  </mergeCells>
  <conditionalFormatting sqref="P3:P102">
    <cfRule type="cellIs" dxfId="5" priority="5" operator="lessThanOrEqual">
      <formula>5</formula>
    </cfRule>
    <cfRule type="cellIs" dxfId="4" priority="6" operator="lessThanOrEqual">
      <formula>15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100-000000000000}">
          <x14:formula1>
            <xm:f>Lists!$A$2:$A$15</xm:f>
          </x14:formula1>
          <xm:sqref>D3:D102</xm:sqref>
        </x14:dataValidation>
        <x14:dataValidation type="list" allowBlank="1" xr:uid="{00000000-0002-0000-0100-000001000000}">
          <x14:formula1>
            <xm:f>Lists!$F$2:$F$6</xm:f>
          </x14:formula1>
          <xm:sqref>I3:I102</xm:sqref>
        </x14:dataValidation>
        <x14:dataValidation type="list" allowBlank="1" xr:uid="{00000000-0002-0000-0100-000002000000}">
          <x14:formula1>
            <xm:f>Lists!$J$2:$J$3</xm:f>
          </x14:formula1>
          <xm:sqref>J3:K102</xm:sqref>
        </x14:dataValidation>
        <x14:dataValidation type="list" allowBlank="1" xr:uid="{00000000-0002-0000-0100-000003000000}">
          <x14:formula1>
            <xm:f>Lists!$D$2:$D$15</xm:f>
          </x14:formula1>
          <xm:sqref>L3:L102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02"/>
  <sheetViews>
    <sheetView zoomScaleNormal="100" workbookViewId="0"/>
  </sheetViews>
  <sheetFormatPr defaultRowHeight="15" customHeight="1" x14ac:dyDescent="0.45"/>
  <cols>
    <col min="1" max="1" width="13.33203125" customWidth="1"/>
    <col min="2" max="2" width="16.6640625" customWidth="1"/>
    <col min="3" max="3" width="21.6640625" customWidth="1"/>
    <col min="4" max="4" width="15" customWidth="1"/>
    <col min="5" max="6" width="18.33203125" customWidth="1"/>
    <col min="7" max="7" width="13.33203125" customWidth="1"/>
    <col min="8" max="8" width="21.6640625" customWidth="1"/>
    <col min="9" max="9" width="33.33203125" customWidth="1"/>
    <col min="10" max="10" width="36.6640625" customWidth="1"/>
    <col min="11" max="11" width="18.33203125" customWidth="1"/>
    <col min="12" max="12" width="15" customWidth="1"/>
    <col min="13" max="13" width="18.33203125" customWidth="1"/>
    <col min="14" max="14" width="21.6640625" customWidth="1"/>
    <col min="15" max="15" width="25" customWidth="1"/>
    <col min="16" max="16" width="20" customWidth="1"/>
    <col min="17" max="17" width="18.33203125" customWidth="1"/>
    <col min="18" max="18" width="16.6640625" customWidth="1"/>
    <col min="19" max="19" width="33.33203125" customWidth="1"/>
  </cols>
  <sheetData>
    <row r="1" spans="1:19" ht="14.25" customHeight="1" x14ac:dyDescent="0.45">
      <c r="A1" s="4" t="s">
        <v>80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 ht="14.25" customHeight="1" x14ac:dyDescent="0.45">
      <c r="A2" t="s">
        <v>81</v>
      </c>
      <c r="B2" t="s">
        <v>82</v>
      </c>
      <c r="C2" t="s">
        <v>83</v>
      </c>
      <c r="D2" t="s">
        <v>30</v>
      </c>
      <c r="E2" t="s">
        <v>84</v>
      </c>
      <c r="F2" t="s">
        <v>85</v>
      </c>
      <c r="G2" t="s">
        <v>86</v>
      </c>
      <c r="H2" t="s">
        <v>87</v>
      </c>
      <c r="I2" t="s">
        <v>88</v>
      </c>
      <c r="J2" t="s">
        <v>89</v>
      </c>
      <c r="K2" t="s">
        <v>90</v>
      </c>
      <c r="L2" t="s">
        <v>91</v>
      </c>
      <c r="M2" t="s">
        <v>92</v>
      </c>
      <c r="N2" t="s">
        <v>93</v>
      </c>
      <c r="O2" t="s">
        <v>94</v>
      </c>
      <c r="P2" t="s">
        <v>95</v>
      </c>
      <c r="Q2" t="s">
        <v>96</v>
      </c>
      <c r="R2" t="s">
        <v>97</v>
      </c>
      <c r="S2" t="s">
        <v>98</v>
      </c>
    </row>
    <row r="3" spans="1:19" ht="15" customHeight="1" x14ac:dyDescent="0.5">
      <c r="A3" t="s">
        <v>99</v>
      </c>
      <c r="B3" s="2">
        <v>46038</v>
      </c>
      <c r="C3" s="1" t="s">
        <v>52</v>
      </c>
      <c r="D3" t="s">
        <v>48</v>
      </c>
      <c r="E3" t="str">
        <f>IF(D3="","",VLOOKUP(D3,Roster!$A:$C,2,FALSE))</f>
        <v>Ramirez</v>
      </c>
      <c r="F3" t="str">
        <f>IF(D3="","",VLOOKUP(D3,Roster!$A:$C,3,FALSE))</f>
        <v>Carlos</v>
      </c>
      <c r="G3" t="str">
        <f>IF(D3="","",VLOOKUP(D3,Roster!$A:$D,4,FALSE))</f>
        <v>8th Grade</v>
      </c>
      <c r="H3" t="s">
        <v>100</v>
      </c>
      <c r="I3" t="s">
        <v>101</v>
      </c>
      <c r="J3" t="s">
        <v>102</v>
      </c>
      <c r="K3" s="1" t="s">
        <v>55</v>
      </c>
      <c r="L3" t="s">
        <v>56</v>
      </c>
      <c r="M3" t="s">
        <v>56</v>
      </c>
      <c r="N3" t="s">
        <v>103</v>
      </c>
      <c r="O3" t="s">
        <v>104</v>
      </c>
      <c r="P3" t="s">
        <v>55</v>
      </c>
      <c r="Q3" s="2">
        <v>46038</v>
      </c>
      <c r="R3" t="s">
        <v>55</v>
      </c>
      <c r="S3" t="s">
        <v>105</v>
      </c>
    </row>
    <row r="4" spans="1:19" ht="15" customHeight="1" x14ac:dyDescent="0.5">
      <c r="A4" t="s">
        <v>106</v>
      </c>
      <c r="B4" s="2">
        <v>46057</v>
      </c>
      <c r="C4" s="1" t="s">
        <v>63</v>
      </c>
      <c r="D4" t="s">
        <v>59</v>
      </c>
      <c r="E4" t="str">
        <f>IF(D4="","",VLOOKUP(D4,Roster!$A:$C,2,FALSE))</f>
        <v>Johnson</v>
      </c>
      <c r="F4" t="str">
        <f>IF(D4="","",VLOOKUP(D4,Roster!$A:$C,3,FALSE))</f>
        <v>Destiny</v>
      </c>
      <c r="G4" t="str">
        <f>IF(D4="","",VLOOKUP(D4,Roster!$A:$D,4,FALSE))</f>
        <v>10th Grade</v>
      </c>
      <c r="H4" t="s">
        <v>107</v>
      </c>
      <c r="I4" t="s">
        <v>101</v>
      </c>
      <c r="J4" t="s">
        <v>108</v>
      </c>
      <c r="K4" s="1" t="s">
        <v>55</v>
      </c>
      <c r="L4" t="s">
        <v>56</v>
      </c>
      <c r="M4" t="s">
        <v>55</v>
      </c>
      <c r="N4" t="s">
        <v>103</v>
      </c>
      <c r="O4" t="s">
        <v>109</v>
      </c>
      <c r="P4" t="s">
        <v>55</v>
      </c>
      <c r="Q4" s="2">
        <v>46057</v>
      </c>
      <c r="R4" t="s">
        <v>55</v>
      </c>
    </row>
    <row r="5" spans="1:19" ht="15" customHeight="1" x14ac:dyDescent="0.5">
      <c r="A5" t="s">
        <v>110</v>
      </c>
      <c r="B5" s="2">
        <v>45973</v>
      </c>
      <c r="C5" s="1" t="s">
        <v>52</v>
      </c>
      <c r="D5" t="s">
        <v>64</v>
      </c>
      <c r="E5" t="str">
        <f>IF(D5="","",VLOOKUP(D5,Roster!$A:$C,2,FALSE))</f>
        <v>Williams</v>
      </c>
      <c r="F5" t="str">
        <f>IF(D5="","",VLOOKUP(D5,Roster!$A:$C,3,FALSE))</f>
        <v>Marcus</v>
      </c>
      <c r="G5" t="str">
        <f>IF(D5="","",VLOOKUP(D5,Roster!$A:$D,4,FALSE))</f>
        <v>7th Grade</v>
      </c>
      <c r="H5" t="s">
        <v>100</v>
      </c>
      <c r="I5" t="s">
        <v>101</v>
      </c>
      <c r="J5" t="s">
        <v>111</v>
      </c>
      <c r="K5" s="1" t="s">
        <v>55</v>
      </c>
      <c r="L5" t="s">
        <v>56</v>
      </c>
      <c r="M5" t="s">
        <v>56</v>
      </c>
      <c r="N5" t="s">
        <v>112</v>
      </c>
      <c r="O5" t="s">
        <v>104</v>
      </c>
      <c r="P5" t="s">
        <v>55</v>
      </c>
      <c r="Q5" s="2">
        <v>45974</v>
      </c>
      <c r="R5" t="s">
        <v>55</v>
      </c>
      <c r="S5" t="s">
        <v>113</v>
      </c>
    </row>
    <row r="6" spans="1:19" ht="15" customHeight="1" x14ac:dyDescent="0.5">
      <c r="A6" t="s">
        <v>114</v>
      </c>
      <c r="B6" s="2">
        <v>46080</v>
      </c>
      <c r="C6" s="1" t="s">
        <v>63</v>
      </c>
      <c r="D6" t="s">
        <v>71</v>
      </c>
      <c r="E6" t="str">
        <f>IF(D6="","",VLOOKUP(D6,Roster!$A:$C,2,FALSE))</f>
        <v>Nguyen</v>
      </c>
      <c r="F6" t="str">
        <f>IF(D6="","",VLOOKUP(D6,Roster!$A:$C,3,FALSE))</f>
        <v>Amy</v>
      </c>
      <c r="G6" t="str">
        <f>IF(D6="","",VLOOKUP(D6,Roster!$A:$D,4,FALSE))</f>
        <v>9th Grade</v>
      </c>
      <c r="H6" t="s">
        <v>107</v>
      </c>
      <c r="I6" t="s">
        <v>101</v>
      </c>
      <c r="J6" t="s">
        <v>115</v>
      </c>
      <c r="K6" s="1" t="s">
        <v>55</v>
      </c>
      <c r="L6" t="s">
        <v>56</v>
      </c>
      <c r="M6" t="s">
        <v>55</v>
      </c>
      <c r="N6" t="s">
        <v>116</v>
      </c>
      <c r="O6" t="s">
        <v>109</v>
      </c>
      <c r="P6" t="s">
        <v>55</v>
      </c>
      <c r="Q6" s="2">
        <v>46080</v>
      </c>
      <c r="R6" t="s">
        <v>55</v>
      </c>
    </row>
    <row r="7" spans="1:19" ht="15" customHeight="1" x14ac:dyDescent="0.5">
      <c r="A7" t="s">
        <v>117</v>
      </c>
      <c r="B7" s="2">
        <v>46100</v>
      </c>
      <c r="C7" s="1" t="s">
        <v>63</v>
      </c>
      <c r="D7" t="s">
        <v>76</v>
      </c>
      <c r="E7" t="str">
        <f>IF(D7="","",VLOOKUP(D7,Roster!$A:$C,2,FALSE))</f>
        <v>Brooks</v>
      </c>
      <c r="F7" t="str">
        <f>IF(D7="","",VLOOKUP(D7,Roster!$A:$C,3,FALSE))</f>
        <v>Jamal</v>
      </c>
      <c r="G7" t="str">
        <f>IF(D7="","",VLOOKUP(D7,Roster!$A:$D,4,FALSE))</f>
        <v>11th Grade</v>
      </c>
      <c r="H7" t="s">
        <v>118</v>
      </c>
      <c r="I7" t="s">
        <v>101</v>
      </c>
      <c r="J7" t="s">
        <v>119</v>
      </c>
      <c r="K7" s="1" t="s">
        <v>56</v>
      </c>
      <c r="L7" t="s">
        <v>56</v>
      </c>
      <c r="M7" t="s">
        <v>56</v>
      </c>
      <c r="N7" t="s">
        <v>120</v>
      </c>
      <c r="O7" t="s">
        <v>104</v>
      </c>
      <c r="P7" t="s">
        <v>55</v>
      </c>
      <c r="Q7" s="2">
        <v>46101</v>
      </c>
      <c r="R7" t="s">
        <v>55</v>
      </c>
    </row>
    <row r="8" spans="1:19" ht="14.25" customHeight="1" x14ac:dyDescent="0.45">
      <c r="B8" s="2"/>
      <c r="E8" t="str">
        <f>IF(D8="","",VLOOKUP(D8,Roster!$A:$C,2,FALSE))</f>
        <v/>
      </c>
      <c r="F8" t="str">
        <f>IF(D8="","",VLOOKUP(D8,Roster!$A:$C,3,FALSE))</f>
        <v/>
      </c>
      <c r="G8" t="str">
        <f>IF(D8="","",VLOOKUP(D8,Roster!$A:$D,4,FALSE))</f>
        <v/>
      </c>
      <c r="Q8" s="2"/>
    </row>
    <row r="9" spans="1:19" ht="14.25" customHeight="1" x14ac:dyDescent="0.45">
      <c r="B9" s="2"/>
      <c r="E9" t="str">
        <f>IF(D9="","",VLOOKUP(D9,Roster!$A:$C,2,FALSE))</f>
        <v/>
      </c>
      <c r="F9" t="str">
        <f>IF(D9="","",VLOOKUP(D9,Roster!$A:$C,3,FALSE))</f>
        <v/>
      </c>
      <c r="G9" t="str">
        <f>IF(D9="","",VLOOKUP(D9,Roster!$A:$D,4,FALSE))</f>
        <v/>
      </c>
      <c r="Q9" s="2"/>
    </row>
    <row r="10" spans="1:19" ht="14.25" customHeight="1" x14ac:dyDescent="0.45">
      <c r="B10" s="2"/>
      <c r="E10" t="str">
        <f>IF(D10="","",VLOOKUP(D10,Roster!$A:$C,2,FALSE))</f>
        <v/>
      </c>
      <c r="F10" t="str">
        <f>IF(D10="","",VLOOKUP(D10,Roster!$A:$C,3,FALSE))</f>
        <v/>
      </c>
      <c r="G10" t="str">
        <f>IF(D10="","",VLOOKUP(D10,Roster!$A:$D,4,FALSE))</f>
        <v/>
      </c>
      <c r="Q10" s="2"/>
    </row>
    <row r="11" spans="1:19" ht="14.25" customHeight="1" x14ac:dyDescent="0.45">
      <c r="B11" s="2"/>
      <c r="E11" t="str">
        <f>IF(D11="","",VLOOKUP(D11,Roster!$A:$C,2,FALSE))</f>
        <v/>
      </c>
      <c r="F11" t="str">
        <f>IF(D11="","",VLOOKUP(D11,Roster!$A:$C,3,FALSE))</f>
        <v/>
      </c>
      <c r="G11" t="str">
        <f>IF(D11="","",VLOOKUP(D11,Roster!$A:$D,4,FALSE))</f>
        <v/>
      </c>
      <c r="Q11" s="2"/>
    </row>
    <row r="12" spans="1:19" ht="14.25" customHeight="1" x14ac:dyDescent="0.45">
      <c r="B12" s="2"/>
      <c r="E12" t="str">
        <f>IF(D12="","",VLOOKUP(D12,Roster!$A:$C,2,FALSE))</f>
        <v/>
      </c>
      <c r="F12" t="str">
        <f>IF(D12="","",VLOOKUP(D12,Roster!$A:$C,3,FALSE))</f>
        <v/>
      </c>
      <c r="G12" t="str">
        <f>IF(D12="","",VLOOKUP(D12,Roster!$A:$D,4,FALSE))</f>
        <v/>
      </c>
      <c r="Q12" s="2"/>
    </row>
    <row r="13" spans="1:19" ht="14.25" customHeight="1" x14ac:dyDescent="0.45">
      <c r="B13" s="2"/>
      <c r="E13" t="str">
        <f>IF(D13="","",VLOOKUP(D13,Roster!$A:$C,2,FALSE))</f>
        <v/>
      </c>
      <c r="F13" t="str">
        <f>IF(D13="","",VLOOKUP(D13,Roster!$A:$C,3,FALSE))</f>
        <v/>
      </c>
      <c r="G13" t="str">
        <f>IF(D13="","",VLOOKUP(D13,Roster!$A:$D,4,FALSE))</f>
        <v/>
      </c>
      <c r="Q13" s="2"/>
    </row>
    <row r="14" spans="1:19" ht="14.25" customHeight="1" x14ac:dyDescent="0.45">
      <c r="B14" s="2"/>
      <c r="E14" t="str">
        <f>IF(D14="","",VLOOKUP(D14,Roster!$A:$C,2,FALSE))</f>
        <v/>
      </c>
      <c r="F14" t="str">
        <f>IF(D14="","",VLOOKUP(D14,Roster!$A:$C,3,FALSE))</f>
        <v/>
      </c>
      <c r="G14" t="str">
        <f>IF(D14="","",VLOOKUP(D14,Roster!$A:$D,4,FALSE))</f>
        <v/>
      </c>
      <c r="Q14" s="2"/>
    </row>
    <row r="15" spans="1:19" ht="14.25" customHeight="1" x14ac:dyDescent="0.45">
      <c r="B15" s="2"/>
      <c r="E15" t="str">
        <f>IF(D15="","",VLOOKUP(D15,Roster!$A:$C,2,FALSE))</f>
        <v/>
      </c>
      <c r="F15" t="str">
        <f>IF(D15="","",VLOOKUP(D15,Roster!$A:$C,3,FALSE))</f>
        <v/>
      </c>
      <c r="G15" t="str">
        <f>IF(D15="","",VLOOKUP(D15,Roster!$A:$D,4,FALSE))</f>
        <v/>
      </c>
      <c r="Q15" s="2"/>
    </row>
    <row r="16" spans="1:19" ht="14.25" customHeight="1" x14ac:dyDescent="0.45">
      <c r="B16" s="2"/>
      <c r="E16" t="str">
        <f>IF(D16="","",VLOOKUP(D16,Roster!$A:$C,2,FALSE))</f>
        <v/>
      </c>
      <c r="F16" t="str">
        <f>IF(D16="","",VLOOKUP(D16,Roster!$A:$C,3,FALSE))</f>
        <v/>
      </c>
      <c r="G16" t="str">
        <f>IF(D16="","",VLOOKUP(D16,Roster!$A:$D,4,FALSE))</f>
        <v/>
      </c>
      <c r="Q16" s="2"/>
    </row>
    <row r="17" spans="2:17" ht="14.25" customHeight="1" x14ac:dyDescent="0.45">
      <c r="B17" s="2"/>
      <c r="E17" t="str">
        <f>IF(D17="","",VLOOKUP(D17,Roster!$A:$C,2,FALSE))</f>
        <v/>
      </c>
      <c r="F17" t="str">
        <f>IF(D17="","",VLOOKUP(D17,Roster!$A:$C,3,FALSE))</f>
        <v/>
      </c>
      <c r="G17" t="str">
        <f>IF(D17="","",VLOOKUP(D17,Roster!$A:$D,4,FALSE))</f>
        <v/>
      </c>
      <c r="Q17" s="2"/>
    </row>
    <row r="18" spans="2:17" ht="14.25" customHeight="1" x14ac:dyDescent="0.45">
      <c r="B18" s="2"/>
      <c r="E18" t="str">
        <f>IF(D18="","",VLOOKUP(D18,Roster!$A:$C,2,FALSE))</f>
        <v/>
      </c>
      <c r="F18" t="str">
        <f>IF(D18="","",VLOOKUP(D18,Roster!$A:$C,3,FALSE))</f>
        <v/>
      </c>
      <c r="G18" t="str">
        <f>IF(D18="","",VLOOKUP(D18,Roster!$A:$D,4,FALSE))</f>
        <v/>
      </c>
      <c r="Q18" s="2"/>
    </row>
    <row r="19" spans="2:17" ht="14.25" customHeight="1" x14ac:dyDescent="0.45">
      <c r="B19" s="2"/>
      <c r="E19" t="str">
        <f>IF(D19="","",VLOOKUP(D19,Roster!$A:$C,2,FALSE))</f>
        <v/>
      </c>
      <c r="F19" t="str">
        <f>IF(D19="","",VLOOKUP(D19,Roster!$A:$C,3,FALSE))</f>
        <v/>
      </c>
      <c r="G19" t="str">
        <f>IF(D19="","",VLOOKUP(D19,Roster!$A:$D,4,FALSE))</f>
        <v/>
      </c>
      <c r="Q19" s="2"/>
    </row>
    <row r="20" spans="2:17" ht="14.25" customHeight="1" x14ac:dyDescent="0.45">
      <c r="B20" s="2"/>
      <c r="E20" t="str">
        <f>IF(D20="","",VLOOKUP(D20,Roster!$A:$C,2,FALSE))</f>
        <v/>
      </c>
      <c r="F20" t="str">
        <f>IF(D20="","",VLOOKUP(D20,Roster!$A:$C,3,FALSE))</f>
        <v/>
      </c>
      <c r="G20" t="str">
        <f>IF(D20="","",VLOOKUP(D20,Roster!$A:$D,4,FALSE))</f>
        <v/>
      </c>
      <c r="Q20" s="2"/>
    </row>
    <row r="21" spans="2:17" ht="14.25" customHeight="1" x14ac:dyDescent="0.45">
      <c r="B21" s="2"/>
      <c r="E21" t="str">
        <f>IF(D21="","",VLOOKUP(D21,Roster!$A:$C,2,FALSE))</f>
        <v/>
      </c>
      <c r="F21" t="str">
        <f>IF(D21="","",VLOOKUP(D21,Roster!$A:$C,3,FALSE))</f>
        <v/>
      </c>
      <c r="G21" t="str">
        <f>IF(D21="","",VLOOKUP(D21,Roster!$A:$D,4,FALSE))</f>
        <v/>
      </c>
      <c r="Q21" s="2"/>
    </row>
    <row r="22" spans="2:17" ht="14.25" customHeight="1" x14ac:dyDescent="0.45">
      <c r="B22" s="2"/>
      <c r="E22" t="str">
        <f>IF(D22="","",VLOOKUP(D22,Roster!$A:$C,2,FALSE))</f>
        <v/>
      </c>
      <c r="F22" t="str">
        <f>IF(D22="","",VLOOKUP(D22,Roster!$A:$C,3,FALSE))</f>
        <v/>
      </c>
      <c r="G22" t="str">
        <f>IF(D22="","",VLOOKUP(D22,Roster!$A:$D,4,FALSE))</f>
        <v/>
      </c>
      <c r="Q22" s="2"/>
    </row>
    <row r="23" spans="2:17" ht="14.25" customHeight="1" x14ac:dyDescent="0.45">
      <c r="B23" s="2"/>
      <c r="E23" t="str">
        <f>IF(D23="","",VLOOKUP(D23,Roster!$A:$C,2,FALSE))</f>
        <v/>
      </c>
      <c r="F23" t="str">
        <f>IF(D23="","",VLOOKUP(D23,Roster!$A:$C,3,FALSE))</f>
        <v/>
      </c>
      <c r="G23" t="str">
        <f>IF(D23="","",VLOOKUP(D23,Roster!$A:$D,4,FALSE))</f>
        <v/>
      </c>
      <c r="Q23" s="2"/>
    </row>
    <row r="24" spans="2:17" ht="14.25" customHeight="1" x14ac:dyDescent="0.45">
      <c r="B24" s="2"/>
      <c r="E24" t="str">
        <f>IF(D24="","",VLOOKUP(D24,Roster!$A:$C,2,FALSE))</f>
        <v/>
      </c>
      <c r="F24" t="str">
        <f>IF(D24="","",VLOOKUP(D24,Roster!$A:$C,3,FALSE))</f>
        <v/>
      </c>
      <c r="G24" t="str">
        <f>IF(D24="","",VLOOKUP(D24,Roster!$A:$D,4,FALSE))</f>
        <v/>
      </c>
      <c r="Q24" s="2"/>
    </row>
    <row r="25" spans="2:17" ht="14.25" customHeight="1" x14ac:dyDescent="0.45">
      <c r="B25" s="2"/>
      <c r="E25" t="str">
        <f>IF(D25="","",VLOOKUP(D25,Roster!$A:$C,2,FALSE))</f>
        <v/>
      </c>
      <c r="F25" t="str">
        <f>IF(D25="","",VLOOKUP(D25,Roster!$A:$C,3,FALSE))</f>
        <v/>
      </c>
      <c r="G25" t="str">
        <f>IF(D25="","",VLOOKUP(D25,Roster!$A:$D,4,FALSE))</f>
        <v/>
      </c>
      <c r="Q25" s="2"/>
    </row>
    <row r="26" spans="2:17" ht="14.25" customHeight="1" x14ac:dyDescent="0.45">
      <c r="B26" s="2"/>
      <c r="E26" t="str">
        <f>IF(D26="","",VLOOKUP(D26,Roster!$A:$C,2,FALSE))</f>
        <v/>
      </c>
      <c r="F26" t="str">
        <f>IF(D26="","",VLOOKUP(D26,Roster!$A:$C,3,FALSE))</f>
        <v/>
      </c>
      <c r="G26" t="str">
        <f>IF(D26="","",VLOOKUP(D26,Roster!$A:$D,4,FALSE))</f>
        <v/>
      </c>
      <c r="Q26" s="2"/>
    </row>
    <row r="27" spans="2:17" ht="14.25" customHeight="1" x14ac:dyDescent="0.45">
      <c r="B27" s="2"/>
      <c r="E27" t="str">
        <f>IF(D27="","",VLOOKUP(D27,Roster!$A:$C,2,FALSE))</f>
        <v/>
      </c>
      <c r="F27" t="str">
        <f>IF(D27="","",VLOOKUP(D27,Roster!$A:$C,3,FALSE))</f>
        <v/>
      </c>
      <c r="G27" t="str">
        <f>IF(D27="","",VLOOKUP(D27,Roster!$A:$D,4,FALSE))</f>
        <v/>
      </c>
      <c r="Q27" s="2"/>
    </row>
    <row r="28" spans="2:17" ht="14.25" customHeight="1" x14ac:dyDescent="0.45">
      <c r="B28" s="2"/>
      <c r="E28" t="str">
        <f>IF(D28="","",VLOOKUP(D28,Roster!$A:$C,2,FALSE))</f>
        <v/>
      </c>
      <c r="F28" t="str">
        <f>IF(D28="","",VLOOKUP(D28,Roster!$A:$C,3,FALSE))</f>
        <v/>
      </c>
      <c r="G28" t="str">
        <f>IF(D28="","",VLOOKUP(D28,Roster!$A:$D,4,FALSE))</f>
        <v/>
      </c>
      <c r="Q28" s="2"/>
    </row>
    <row r="29" spans="2:17" ht="14.25" customHeight="1" x14ac:dyDescent="0.45">
      <c r="B29" s="2"/>
      <c r="E29" t="str">
        <f>IF(D29="","",VLOOKUP(D29,Roster!$A:$C,2,FALSE))</f>
        <v/>
      </c>
      <c r="F29" t="str">
        <f>IF(D29="","",VLOOKUP(D29,Roster!$A:$C,3,FALSE))</f>
        <v/>
      </c>
      <c r="G29" t="str">
        <f>IF(D29="","",VLOOKUP(D29,Roster!$A:$D,4,FALSE))</f>
        <v/>
      </c>
      <c r="Q29" s="2"/>
    </row>
    <row r="30" spans="2:17" ht="14.25" customHeight="1" x14ac:dyDescent="0.45">
      <c r="B30" s="2"/>
      <c r="E30" t="str">
        <f>IF(D30="","",VLOOKUP(D30,Roster!$A:$C,2,FALSE))</f>
        <v/>
      </c>
      <c r="F30" t="str">
        <f>IF(D30="","",VLOOKUP(D30,Roster!$A:$C,3,FALSE))</f>
        <v/>
      </c>
      <c r="G30" t="str">
        <f>IF(D30="","",VLOOKUP(D30,Roster!$A:$D,4,FALSE))</f>
        <v/>
      </c>
      <c r="Q30" s="2"/>
    </row>
    <row r="31" spans="2:17" ht="14.25" customHeight="1" x14ac:dyDescent="0.45">
      <c r="B31" s="2"/>
      <c r="E31" t="str">
        <f>IF(D31="","",VLOOKUP(D31,Roster!$A:$C,2,FALSE))</f>
        <v/>
      </c>
      <c r="F31" t="str">
        <f>IF(D31="","",VLOOKUP(D31,Roster!$A:$C,3,FALSE))</f>
        <v/>
      </c>
      <c r="G31" t="str">
        <f>IF(D31="","",VLOOKUP(D31,Roster!$A:$D,4,FALSE))</f>
        <v/>
      </c>
      <c r="Q31" s="2"/>
    </row>
    <row r="32" spans="2:17" ht="14.25" customHeight="1" x14ac:dyDescent="0.45">
      <c r="B32" s="2"/>
      <c r="E32" t="str">
        <f>IF(D32="","",VLOOKUP(D32,Roster!$A:$C,2,FALSE))</f>
        <v/>
      </c>
      <c r="F32" t="str">
        <f>IF(D32="","",VLOOKUP(D32,Roster!$A:$C,3,FALSE))</f>
        <v/>
      </c>
      <c r="G32" t="str">
        <f>IF(D32="","",VLOOKUP(D32,Roster!$A:$D,4,FALSE))</f>
        <v/>
      </c>
      <c r="Q32" s="2"/>
    </row>
    <row r="33" spans="2:17" ht="14.25" customHeight="1" x14ac:dyDescent="0.45">
      <c r="B33" s="2"/>
      <c r="E33" t="str">
        <f>IF(D33="","",VLOOKUP(D33,Roster!$A:$C,2,FALSE))</f>
        <v/>
      </c>
      <c r="F33" t="str">
        <f>IF(D33="","",VLOOKUP(D33,Roster!$A:$C,3,FALSE))</f>
        <v/>
      </c>
      <c r="G33" t="str">
        <f>IF(D33="","",VLOOKUP(D33,Roster!$A:$D,4,FALSE))</f>
        <v/>
      </c>
      <c r="Q33" s="2"/>
    </row>
    <row r="34" spans="2:17" ht="14.25" customHeight="1" x14ac:dyDescent="0.45">
      <c r="B34" s="2"/>
      <c r="E34" t="str">
        <f>IF(D34="","",VLOOKUP(D34,Roster!$A:$C,2,FALSE))</f>
        <v/>
      </c>
      <c r="F34" t="str">
        <f>IF(D34="","",VLOOKUP(D34,Roster!$A:$C,3,FALSE))</f>
        <v/>
      </c>
      <c r="G34" t="str">
        <f>IF(D34="","",VLOOKUP(D34,Roster!$A:$D,4,FALSE))</f>
        <v/>
      </c>
      <c r="Q34" s="2"/>
    </row>
    <row r="35" spans="2:17" ht="14.25" customHeight="1" x14ac:dyDescent="0.45">
      <c r="B35" s="2"/>
      <c r="E35" t="str">
        <f>IF(D35="","",VLOOKUP(D35,Roster!$A:$C,2,FALSE))</f>
        <v/>
      </c>
      <c r="F35" t="str">
        <f>IF(D35="","",VLOOKUP(D35,Roster!$A:$C,3,FALSE))</f>
        <v/>
      </c>
      <c r="G35" t="str">
        <f>IF(D35="","",VLOOKUP(D35,Roster!$A:$D,4,FALSE))</f>
        <v/>
      </c>
      <c r="Q35" s="2"/>
    </row>
    <row r="36" spans="2:17" ht="14.25" customHeight="1" x14ac:dyDescent="0.45">
      <c r="B36" s="2"/>
      <c r="E36" t="str">
        <f>IF(D36="","",VLOOKUP(D36,Roster!$A:$C,2,FALSE))</f>
        <v/>
      </c>
      <c r="F36" t="str">
        <f>IF(D36="","",VLOOKUP(D36,Roster!$A:$C,3,FALSE))</f>
        <v/>
      </c>
      <c r="G36" t="str">
        <f>IF(D36="","",VLOOKUP(D36,Roster!$A:$D,4,FALSE))</f>
        <v/>
      </c>
      <c r="Q36" s="2"/>
    </row>
    <row r="37" spans="2:17" ht="14.25" customHeight="1" x14ac:dyDescent="0.45">
      <c r="B37" s="2"/>
      <c r="E37" t="str">
        <f>IF(D37="","",VLOOKUP(D37,Roster!$A:$C,2,FALSE))</f>
        <v/>
      </c>
      <c r="F37" t="str">
        <f>IF(D37="","",VLOOKUP(D37,Roster!$A:$C,3,FALSE))</f>
        <v/>
      </c>
      <c r="G37" t="str">
        <f>IF(D37="","",VLOOKUP(D37,Roster!$A:$D,4,FALSE))</f>
        <v/>
      </c>
      <c r="Q37" s="2"/>
    </row>
    <row r="38" spans="2:17" ht="14.25" customHeight="1" x14ac:dyDescent="0.45">
      <c r="B38" s="2"/>
      <c r="E38" t="str">
        <f>IF(D38="","",VLOOKUP(D38,Roster!$A:$C,2,FALSE))</f>
        <v/>
      </c>
      <c r="F38" t="str">
        <f>IF(D38="","",VLOOKUP(D38,Roster!$A:$C,3,FALSE))</f>
        <v/>
      </c>
      <c r="G38" t="str">
        <f>IF(D38="","",VLOOKUP(D38,Roster!$A:$D,4,FALSE))</f>
        <v/>
      </c>
      <c r="Q38" s="2"/>
    </row>
    <row r="39" spans="2:17" ht="14.25" customHeight="1" x14ac:dyDescent="0.45">
      <c r="B39" s="2"/>
      <c r="E39" t="str">
        <f>IF(D39="","",VLOOKUP(D39,Roster!$A:$C,2,FALSE))</f>
        <v/>
      </c>
      <c r="F39" t="str">
        <f>IF(D39="","",VLOOKUP(D39,Roster!$A:$C,3,FALSE))</f>
        <v/>
      </c>
      <c r="G39" t="str">
        <f>IF(D39="","",VLOOKUP(D39,Roster!$A:$D,4,FALSE))</f>
        <v/>
      </c>
      <c r="Q39" s="2"/>
    </row>
    <row r="40" spans="2:17" ht="14.25" customHeight="1" x14ac:dyDescent="0.45">
      <c r="B40" s="2"/>
      <c r="E40" t="str">
        <f>IF(D40="","",VLOOKUP(D40,Roster!$A:$C,2,FALSE))</f>
        <v/>
      </c>
      <c r="F40" t="str">
        <f>IF(D40="","",VLOOKUP(D40,Roster!$A:$C,3,FALSE))</f>
        <v/>
      </c>
      <c r="G40" t="str">
        <f>IF(D40="","",VLOOKUP(D40,Roster!$A:$D,4,FALSE))</f>
        <v/>
      </c>
      <c r="Q40" s="2"/>
    </row>
    <row r="41" spans="2:17" ht="14.25" customHeight="1" x14ac:dyDescent="0.45">
      <c r="B41" s="2"/>
      <c r="E41" t="str">
        <f>IF(D41="","",VLOOKUP(D41,Roster!$A:$C,2,FALSE))</f>
        <v/>
      </c>
      <c r="F41" t="str">
        <f>IF(D41="","",VLOOKUP(D41,Roster!$A:$C,3,FALSE))</f>
        <v/>
      </c>
      <c r="G41" t="str">
        <f>IF(D41="","",VLOOKUP(D41,Roster!$A:$D,4,FALSE))</f>
        <v/>
      </c>
      <c r="Q41" s="2"/>
    </row>
    <row r="42" spans="2:17" ht="14.25" customHeight="1" x14ac:dyDescent="0.45">
      <c r="B42" s="2"/>
      <c r="E42" t="str">
        <f>IF(D42="","",VLOOKUP(D42,Roster!$A:$C,2,FALSE))</f>
        <v/>
      </c>
      <c r="F42" t="str">
        <f>IF(D42="","",VLOOKUP(D42,Roster!$A:$C,3,FALSE))</f>
        <v/>
      </c>
      <c r="G42" t="str">
        <f>IF(D42="","",VLOOKUP(D42,Roster!$A:$D,4,FALSE))</f>
        <v/>
      </c>
      <c r="Q42" s="2"/>
    </row>
    <row r="43" spans="2:17" ht="14.25" customHeight="1" x14ac:dyDescent="0.45">
      <c r="B43" s="2"/>
      <c r="E43" t="str">
        <f>IF(D43="","",VLOOKUP(D43,Roster!$A:$C,2,FALSE))</f>
        <v/>
      </c>
      <c r="F43" t="str">
        <f>IF(D43="","",VLOOKUP(D43,Roster!$A:$C,3,FALSE))</f>
        <v/>
      </c>
      <c r="G43" t="str">
        <f>IF(D43="","",VLOOKUP(D43,Roster!$A:$D,4,FALSE))</f>
        <v/>
      </c>
      <c r="Q43" s="2"/>
    </row>
    <row r="44" spans="2:17" ht="14.25" customHeight="1" x14ac:dyDescent="0.45">
      <c r="B44" s="2"/>
      <c r="E44" t="str">
        <f>IF(D44="","",VLOOKUP(D44,Roster!$A:$C,2,FALSE))</f>
        <v/>
      </c>
      <c r="F44" t="str">
        <f>IF(D44="","",VLOOKUP(D44,Roster!$A:$C,3,FALSE))</f>
        <v/>
      </c>
      <c r="G44" t="str">
        <f>IF(D44="","",VLOOKUP(D44,Roster!$A:$D,4,FALSE))</f>
        <v/>
      </c>
      <c r="Q44" s="2"/>
    </row>
    <row r="45" spans="2:17" ht="14.25" customHeight="1" x14ac:dyDescent="0.45">
      <c r="B45" s="2"/>
      <c r="E45" t="str">
        <f>IF(D45="","",VLOOKUP(D45,Roster!$A:$C,2,FALSE))</f>
        <v/>
      </c>
      <c r="F45" t="str">
        <f>IF(D45="","",VLOOKUP(D45,Roster!$A:$C,3,FALSE))</f>
        <v/>
      </c>
      <c r="G45" t="str">
        <f>IF(D45="","",VLOOKUP(D45,Roster!$A:$D,4,FALSE))</f>
        <v/>
      </c>
      <c r="Q45" s="2"/>
    </row>
    <row r="46" spans="2:17" ht="14.25" customHeight="1" x14ac:dyDescent="0.45">
      <c r="B46" s="2"/>
      <c r="E46" t="str">
        <f>IF(D46="","",VLOOKUP(D46,Roster!$A:$C,2,FALSE))</f>
        <v/>
      </c>
      <c r="F46" t="str">
        <f>IF(D46="","",VLOOKUP(D46,Roster!$A:$C,3,FALSE))</f>
        <v/>
      </c>
      <c r="G46" t="str">
        <f>IF(D46="","",VLOOKUP(D46,Roster!$A:$D,4,FALSE))</f>
        <v/>
      </c>
      <c r="Q46" s="2"/>
    </row>
    <row r="47" spans="2:17" ht="14.25" customHeight="1" x14ac:dyDescent="0.45">
      <c r="B47" s="2"/>
      <c r="E47" t="str">
        <f>IF(D47="","",VLOOKUP(D47,Roster!$A:$C,2,FALSE))</f>
        <v/>
      </c>
      <c r="F47" t="str">
        <f>IF(D47="","",VLOOKUP(D47,Roster!$A:$C,3,FALSE))</f>
        <v/>
      </c>
      <c r="G47" t="str">
        <f>IF(D47="","",VLOOKUP(D47,Roster!$A:$D,4,FALSE))</f>
        <v/>
      </c>
      <c r="Q47" s="2"/>
    </row>
    <row r="48" spans="2:17" ht="14.25" customHeight="1" x14ac:dyDescent="0.45">
      <c r="B48" s="2"/>
      <c r="E48" t="str">
        <f>IF(D48="","",VLOOKUP(D48,Roster!$A:$C,2,FALSE))</f>
        <v/>
      </c>
      <c r="F48" t="str">
        <f>IF(D48="","",VLOOKUP(D48,Roster!$A:$C,3,FALSE))</f>
        <v/>
      </c>
      <c r="G48" t="str">
        <f>IF(D48="","",VLOOKUP(D48,Roster!$A:$D,4,FALSE))</f>
        <v/>
      </c>
      <c r="Q48" s="2"/>
    </row>
    <row r="49" spans="2:17" ht="14.25" customHeight="1" x14ac:dyDescent="0.45">
      <c r="B49" s="2"/>
      <c r="E49" t="str">
        <f>IF(D49="","",VLOOKUP(D49,Roster!$A:$C,2,FALSE))</f>
        <v/>
      </c>
      <c r="F49" t="str">
        <f>IF(D49="","",VLOOKUP(D49,Roster!$A:$C,3,FALSE))</f>
        <v/>
      </c>
      <c r="G49" t="str">
        <f>IF(D49="","",VLOOKUP(D49,Roster!$A:$D,4,FALSE))</f>
        <v/>
      </c>
      <c r="Q49" s="2"/>
    </row>
    <row r="50" spans="2:17" ht="14.25" customHeight="1" x14ac:dyDescent="0.45">
      <c r="B50" s="2"/>
      <c r="E50" t="str">
        <f>IF(D50="","",VLOOKUP(D50,Roster!$A:$C,2,FALSE))</f>
        <v/>
      </c>
      <c r="F50" t="str">
        <f>IF(D50="","",VLOOKUP(D50,Roster!$A:$C,3,FALSE))</f>
        <v/>
      </c>
      <c r="G50" t="str">
        <f>IF(D50="","",VLOOKUP(D50,Roster!$A:$D,4,FALSE))</f>
        <v/>
      </c>
      <c r="Q50" s="2"/>
    </row>
    <row r="51" spans="2:17" ht="14.25" customHeight="1" x14ac:dyDescent="0.45">
      <c r="B51" s="2"/>
      <c r="E51" t="str">
        <f>IF(D51="","",VLOOKUP(D51,Roster!$A:$C,2,FALSE))</f>
        <v/>
      </c>
      <c r="F51" t="str">
        <f>IF(D51="","",VLOOKUP(D51,Roster!$A:$C,3,FALSE))</f>
        <v/>
      </c>
      <c r="G51" t="str">
        <f>IF(D51="","",VLOOKUP(D51,Roster!$A:$D,4,FALSE))</f>
        <v/>
      </c>
      <c r="Q51" s="2"/>
    </row>
    <row r="52" spans="2:17" ht="14.25" customHeight="1" x14ac:dyDescent="0.45">
      <c r="B52" s="2"/>
      <c r="E52" t="str">
        <f>IF(D52="","",VLOOKUP(D52,Roster!$A:$C,2,FALSE))</f>
        <v/>
      </c>
      <c r="F52" t="str">
        <f>IF(D52="","",VLOOKUP(D52,Roster!$A:$C,3,FALSE))</f>
        <v/>
      </c>
      <c r="G52" t="str">
        <f>IF(D52="","",VLOOKUP(D52,Roster!$A:$D,4,FALSE))</f>
        <v/>
      </c>
      <c r="Q52" s="2"/>
    </row>
    <row r="53" spans="2:17" ht="14.25" customHeight="1" x14ac:dyDescent="0.45">
      <c r="B53" s="2"/>
      <c r="E53" t="str">
        <f>IF(D53="","",VLOOKUP(D53,Roster!$A:$C,2,FALSE))</f>
        <v/>
      </c>
      <c r="F53" t="str">
        <f>IF(D53="","",VLOOKUP(D53,Roster!$A:$C,3,FALSE))</f>
        <v/>
      </c>
      <c r="G53" t="str">
        <f>IF(D53="","",VLOOKUP(D53,Roster!$A:$D,4,FALSE))</f>
        <v/>
      </c>
      <c r="Q53" s="2"/>
    </row>
    <row r="54" spans="2:17" ht="14.25" customHeight="1" x14ac:dyDescent="0.45">
      <c r="B54" s="2"/>
      <c r="E54" t="str">
        <f>IF(D54="","",VLOOKUP(D54,Roster!$A:$C,2,FALSE))</f>
        <v/>
      </c>
      <c r="F54" t="str">
        <f>IF(D54="","",VLOOKUP(D54,Roster!$A:$C,3,FALSE))</f>
        <v/>
      </c>
      <c r="G54" t="str">
        <f>IF(D54="","",VLOOKUP(D54,Roster!$A:$D,4,FALSE))</f>
        <v/>
      </c>
      <c r="Q54" s="2"/>
    </row>
    <row r="55" spans="2:17" ht="14.25" customHeight="1" x14ac:dyDescent="0.45">
      <c r="B55" s="2"/>
      <c r="E55" t="str">
        <f>IF(D55="","",VLOOKUP(D55,Roster!$A:$C,2,FALSE))</f>
        <v/>
      </c>
      <c r="F55" t="str">
        <f>IF(D55="","",VLOOKUP(D55,Roster!$A:$C,3,FALSE))</f>
        <v/>
      </c>
      <c r="G55" t="str">
        <f>IF(D55="","",VLOOKUP(D55,Roster!$A:$D,4,FALSE))</f>
        <v/>
      </c>
      <c r="Q55" s="2"/>
    </row>
    <row r="56" spans="2:17" ht="14.25" customHeight="1" x14ac:dyDescent="0.45">
      <c r="B56" s="2"/>
      <c r="E56" t="str">
        <f>IF(D56="","",VLOOKUP(D56,Roster!$A:$C,2,FALSE))</f>
        <v/>
      </c>
      <c r="F56" t="str">
        <f>IF(D56="","",VLOOKUP(D56,Roster!$A:$C,3,FALSE))</f>
        <v/>
      </c>
      <c r="G56" t="str">
        <f>IF(D56="","",VLOOKUP(D56,Roster!$A:$D,4,FALSE))</f>
        <v/>
      </c>
      <c r="Q56" s="2"/>
    </row>
    <row r="57" spans="2:17" ht="14.25" customHeight="1" x14ac:dyDescent="0.45">
      <c r="B57" s="2"/>
      <c r="E57" t="str">
        <f>IF(D57="","",VLOOKUP(D57,Roster!$A:$C,2,FALSE))</f>
        <v/>
      </c>
      <c r="F57" t="str">
        <f>IF(D57="","",VLOOKUP(D57,Roster!$A:$C,3,FALSE))</f>
        <v/>
      </c>
      <c r="G57" t="str">
        <f>IF(D57="","",VLOOKUP(D57,Roster!$A:$D,4,FALSE))</f>
        <v/>
      </c>
      <c r="Q57" s="2"/>
    </row>
    <row r="58" spans="2:17" ht="14.25" customHeight="1" x14ac:dyDescent="0.45">
      <c r="B58" s="2"/>
      <c r="E58" t="str">
        <f>IF(D58="","",VLOOKUP(D58,Roster!$A:$C,2,FALSE))</f>
        <v/>
      </c>
      <c r="F58" t="str">
        <f>IF(D58="","",VLOOKUP(D58,Roster!$A:$C,3,FALSE))</f>
        <v/>
      </c>
      <c r="G58" t="str">
        <f>IF(D58="","",VLOOKUP(D58,Roster!$A:$D,4,FALSE))</f>
        <v/>
      </c>
      <c r="Q58" s="2"/>
    </row>
    <row r="59" spans="2:17" ht="14.25" customHeight="1" x14ac:dyDescent="0.45">
      <c r="B59" s="2"/>
      <c r="E59" t="str">
        <f>IF(D59="","",VLOOKUP(D59,Roster!$A:$C,2,FALSE))</f>
        <v/>
      </c>
      <c r="F59" t="str">
        <f>IF(D59="","",VLOOKUP(D59,Roster!$A:$C,3,FALSE))</f>
        <v/>
      </c>
      <c r="G59" t="str">
        <f>IF(D59="","",VLOOKUP(D59,Roster!$A:$D,4,FALSE))</f>
        <v/>
      </c>
      <c r="Q59" s="2"/>
    </row>
    <row r="60" spans="2:17" ht="14.25" customHeight="1" x14ac:dyDescent="0.45">
      <c r="B60" s="2"/>
      <c r="E60" t="str">
        <f>IF(D60="","",VLOOKUP(D60,Roster!$A:$C,2,FALSE))</f>
        <v/>
      </c>
      <c r="F60" t="str">
        <f>IF(D60="","",VLOOKUP(D60,Roster!$A:$C,3,FALSE))</f>
        <v/>
      </c>
      <c r="G60" t="str">
        <f>IF(D60="","",VLOOKUP(D60,Roster!$A:$D,4,FALSE))</f>
        <v/>
      </c>
      <c r="Q60" s="2"/>
    </row>
    <row r="61" spans="2:17" ht="14.25" customHeight="1" x14ac:dyDescent="0.45">
      <c r="B61" s="2"/>
      <c r="E61" t="str">
        <f>IF(D61="","",VLOOKUP(D61,Roster!$A:$C,2,FALSE))</f>
        <v/>
      </c>
      <c r="F61" t="str">
        <f>IF(D61="","",VLOOKUP(D61,Roster!$A:$C,3,FALSE))</f>
        <v/>
      </c>
      <c r="G61" t="str">
        <f>IF(D61="","",VLOOKUP(D61,Roster!$A:$D,4,FALSE))</f>
        <v/>
      </c>
      <c r="Q61" s="2"/>
    </row>
    <row r="62" spans="2:17" ht="14.25" customHeight="1" x14ac:dyDescent="0.45">
      <c r="B62" s="2"/>
      <c r="E62" t="str">
        <f>IF(D62="","",VLOOKUP(D62,Roster!$A:$C,2,FALSE))</f>
        <v/>
      </c>
      <c r="F62" t="str">
        <f>IF(D62="","",VLOOKUP(D62,Roster!$A:$C,3,FALSE))</f>
        <v/>
      </c>
      <c r="G62" t="str">
        <f>IF(D62="","",VLOOKUP(D62,Roster!$A:$D,4,FALSE))</f>
        <v/>
      </c>
      <c r="Q62" s="2"/>
    </row>
    <row r="63" spans="2:17" ht="14.25" customHeight="1" x14ac:dyDescent="0.45">
      <c r="B63" s="2"/>
      <c r="E63" t="str">
        <f>IF(D63="","",VLOOKUP(D63,Roster!$A:$C,2,FALSE))</f>
        <v/>
      </c>
      <c r="F63" t="str">
        <f>IF(D63="","",VLOOKUP(D63,Roster!$A:$C,3,FALSE))</f>
        <v/>
      </c>
      <c r="G63" t="str">
        <f>IF(D63="","",VLOOKUP(D63,Roster!$A:$D,4,FALSE))</f>
        <v/>
      </c>
      <c r="Q63" s="2"/>
    </row>
    <row r="64" spans="2:17" ht="14.25" customHeight="1" x14ac:dyDescent="0.45">
      <c r="B64" s="2"/>
      <c r="E64" t="str">
        <f>IF(D64="","",VLOOKUP(D64,Roster!$A:$C,2,FALSE))</f>
        <v/>
      </c>
      <c r="F64" t="str">
        <f>IF(D64="","",VLOOKUP(D64,Roster!$A:$C,3,FALSE))</f>
        <v/>
      </c>
      <c r="G64" t="str">
        <f>IF(D64="","",VLOOKUP(D64,Roster!$A:$D,4,FALSE))</f>
        <v/>
      </c>
      <c r="Q64" s="2"/>
    </row>
    <row r="65" spans="2:17" ht="14.25" customHeight="1" x14ac:dyDescent="0.45">
      <c r="B65" s="2"/>
      <c r="E65" t="str">
        <f>IF(D65="","",VLOOKUP(D65,Roster!$A:$C,2,FALSE))</f>
        <v/>
      </c>
      <c r="F65" t="str">
        <f>IF(D65="","",VLOOKUP(D65,Roster!$A:$C,3,FALSE))</f>
        <v/>
      </c>
      <c r="G65" t="str">
        <f>IF(D65="","",VLOOKUP(D65,Roster!$A:$D,4,FALSE))</f>
        <v/>
      </c>
      <c r="Q65" s="2"/>
    </row>
    <row r="66" spans="2:17" ht="14.25" customHeight="1" x14ac:dyDescent="0.45">
      <c r="B66" s="2"/>
      <c r="E66" t="str">
        <f>IF(D66="","",VLOOKUP(D66,Roster!$A:$C,2,FALSE))</f>
        <v/>
      </c>
      <c r="F66" t="str">
        <f>IF(D66="","",VLOOKUP(D66,Roster!$A:$C,3,FALSE))</f>
        <v/>
      </c>
      <c r="G66" t="str">
        <f>IF(D66="","",VLOOKUP(D66,Roster!$A:$D,4,FALSE))</f>
        <v/>
      </c>
      <c r="Q66" s="2"/>
    </row>
    <row r="67" spans="2:17" ht="14.25" customHeight="1" x14ac:dyDescent="0.45">
      <c r="B67" s="2"/>
      <c r="E67" t="str">
        <f>IF(D67="","",VLOOKUP(D67,Roster!$A:$C,2,FALSE))</f>
        <v/>
      </c>
      <c r="F67" t="str">
        <f>IF(D67="","",VLOOKUP(D67,Roster!$A:$C,3,FALSE))</f>
        <v/>
      </c>
      <c r="G67" t="str">
        <f>IF(D67="","",VLOOKUP(D67,Roster!$A:$D,4,FALSE))</f>
        <v/>
      </c>
      <c r="Q67" s="2"/>
    </row>
    <row r="68" spans="2:17" ht="14.25" customHeight="1" x14ac:dyDescent="0.45">
      <c r="B68" s="2"/>
      <c r="E68" t="str">
        <f>IF(D68="","",VLOOKUP(D68,Roster!$A:$C,2,FALSE))</f>
        <v/>
      </c>
      <c r="F68" t="str">
        <f>IF(D68="","",VLOOKUP(D68,Roster!$A:$C,3,FALSE))</f>
        <v/>
      </c>
      <c r="G68" t="str">
        <f>IF(D68="","",VLOOKUP(D68,Roster!$A:$D,4,FALSE))</f>
        <v/>
      </c>
      <c r="Q68" s="2"/>
    </row>
    <row r="69" spans="2:17" ht="14.25" customHeight="1" x14ac:dyDescent="0.45">
      <c r="B69" s="2"/>
      <c r="E69" t="str">
        <f>IF(D69="","",VLOOKUP(D69,Roster!$A:$C,2,FALSE))</f>
        <v/>
      </c>
      <c r="F69" t="str">
        <f>IF(D69="","",VLOOKUP(D69,Roster!$A:$C,3,FALSE))</f>
        <v/>
      </c>
      <c r="G69" t="str">
        <f>IF(D69="","",VLOOKUP(D69,Roster!$A:$D,4,FALSE))</f>
        <v/>
      </c>
      <c r="Q69" s="2"/>
    </row>
    <row r="70" spans="2:17" ht="14.25" customHeight="1" x14ac:dyDescent="0.45">
      <c r="B70" s="2"/>
      <c r="E70" t="str">
        <f>IF(D70="","",VLOOKUP(D70,Roster!$A:$C,2,FALSE))</f>
        <v/>
      </c>
      <c r="F70" t="str">
        <f>IF(D70="","",VLOOKUP(D70,Roster!$A:$C,3,FALSE))</f>
        <v/>
      </c>
      <c r="G70" t="str">
        <f>IF(D70="","",VLOOKUP(D70,Roster!$A:$D,4,FALSE))</f>
        <v/>
      </c>
      <c r="Q70" s="2"/>
    </row>
    <row r="71" spans="2:17" ht="14.25" customHeight="1" x14ac:dyDescent="0.45">
      <c r="B71" s="2"/>
      <c r="E71" t="str">
        <f>IF(D71="","",VLOOKUP(D71,Roster!$A:$C,2,FALSE))</f>
        <v/>
      </c>
      <c r="F71" t="str">
        <f>IF(D71="","",VLOOKUP(D71,Roster!$A:$C,3,FALSE))</f>
        <v/>
      </c>
      <c r="G71" t="str">
        <f>IF(D71="","",VLOOKUP(D71,Roster!$A:$D,4,FALSE))</f>
        <v/>
      </c>
      <c r="Q71" s="2"/>
    </row>
    <row r="72" spans="2:17" ht="14.25" customHeight="1" x14ac:dyDescent="0.45">
      <c r="B72" s="2"/>
      <c r="E72" t="str">
        <f>IF(D72="","",VLOOKUP(D72,Roster!$A:$C,2,FALSE))</f>
        <v/>
      </c>
      <c r="F72" t="str">
        <f>IF(D72="","",VLOOKUP(D72,Roster!$A:$C,3,FALSE))</f>
        <v/>
      </c>
      <c r="G72" t="str">
        <f>IF(D72="","",VLOOKUP(D72,Roster!$A:$D,4,FALSE))</f>
        <v/>
      </c>
      <c r="Q72" s="2"/>
    </row>
    <row r="73" spans="2:17" ht="14.25" customHeight="1" x14ac:dyDescent="0.45">
      <c r="B73" s="2"/>
      <c r="E73" t="str">
        <f>IF(D73="","",VLOOKUP(D73,Roster!$A:$C,2,FALSE))</f>
        <v/>
      </c>
      <c r="F73" t="str">
        <f>IF(D73="","",VLOOKUP(D73,Roster!$A:$C,3,FALSE))</f>
        <v/>
      </c>
      <c r="G73" t="str">
        <f>IF(D73="","",VLOOKUP(D73,Roster!$A:$D,4,FALSE))</f>
        <v/>
      </c>
      <c r="Q73" s="2"/>
    </row>
    <row r="74" spans="2:17" ht="14.25" customHeight="1" x14ac:dyDescent="0.45">
      <c r="B74" s="2"/>
      <c r="E74" t="str">
        <f>IF(D74="","",VLOOKUP(D74,Roster!$A:$C,2,FALSE))</f>
        <v/>
      </c>
      <c r="F74" t="str">
        <f>IF(D74="","",VLOOKUP(D74,Roster!$A:$C,3,FALSE))</f>
        <v/>
      </c>
      <c r="G74" t="str">
        <f>IF(D74="","",VLOOKUP(D74,Roster!$A:$D,4,FALSE))</f>
        <v/>
      </c>
      <c r="Q74" s="2"/>
    </row>
    <row r="75" spans="2:17" ht="14.25" customHeight="1" x14ac:dyDescent="0.45">
      <c r="B75" s="2"/>
      <c r="E75" t="str">
        <f>IF(D75="","",VLOOKUP(D75,Roster!$A:$C,2,FALSE))</f>
        <v/>
      </c>
      <c r="F75" t="str">
        <f>IF(D75="","",VLOOKUP(D75,Roster!$A:$C,3,FALSE))</f>
        <v/>
      </c>
      <c r="G75" t="str">
        <f>IF(D75="","",VLOOKUP(D75,Roster!$A:$D,4,FALSE))</f>
        <v/>
      </c>
      <c r="Q75" s="2"/>
    </row>
    <row r="76" spans="2:17" ht="14.25" customHeight="1" x14ac:dyDescent="0.45">
      <c r="B76" s="2"/>
      <c r="E76" t="str">
        <f>IF(D76="","",VLOOKUP(D76,Roster!$A:$C,2,FALSE))</f>
        <v/>
      </c>
      <c r="F76" t="str">
        <f>IF(D76="","",VLOOKUP(D76,Roster!$A:$C,3,FALSE))</f>
        <v/>
      </c>
      <c r="G76" t="str">
        <f>IF(D76="","",VLOOKUP(D76,Roster!$A:$D,4,FALSE))</f>
        <v/>
      </c>
      <c r="Q76" s="2"/>
    </row>
    <row r="77" spans="2:17" ht="14.25" customHeight="1" x14ac:dyDescent="0.45">
      <c r="B77" s="2"/>
      <c r="E77" t="str">
        <f>IF(D77="","",VLOOKUP(D77,Roster!$A:$C,2,FALSE))</f>
        <v/>
      </c>
      <c r="F77" t="str">
        <f>IF(D77="","",VLOOKUP(D77,Roster!$A:$C,3,FALSE))</f>
        <v/>
      </c>
      <c r="G77" t="str">
        <f>IF(D77="","",VLOOKUP(D77,Roster!$A:$D,4,FALSE))</f>
        <v/>
      </c>
      <c r="Q77" s="2"/>
    </row>
    <row r="78" spans="2:17" ht="14.25" customHeight="1" x14ac:dyDescent="0.45">
      <c r="B78" s="2"/>
      <c r="E78" t="str">
        <f>IF(D78="","",VLOOKUP(D78,Roster!$A:$C,2,FALSE))</f>
        <v/>
      </c>
      <c r="F78" t="str">
        <f>IF(D78="","",VLOOKUP(D78,Roster!$A:$C,3,FALSE))</f>
        <v/>
      </c>
      <c r="G78" t="str">
        <f>IF(D78="","",VLOOKUP(D78,Roster!$A:$D,4,FALSE))</f>
        <v/>
      </c>
      <c r="Q78" s="2"/>
    </row>
    <row r="79" spans="2:17" ht="14.25" customHeight="1" x14ac:dyDescent="0.45">
      <c r="B79" s="2"/>
      <c r="E79" t="str">
        <f>IF(D79="","",VLOOKUP(D79,Roster!$A:$C,2,FALSE))</f>
        <v/>
      </c>
      <c r="F79" t="str">
        <f>IF(D79="","",VLOOKUP(D79,Roster!$A:$C,3,FALSE))</f>
        <v/>
      </c>
      <c r="G79" t="str">
        <f>IF(D79="","",VLOOKUP(D79,Roster!$A:$D,4,FALSE))</f>
        <v/>
      </c>
      <c r="Q79" s="2"/>
    </row>
    <row r="80" spans="2:17" ht="14.25" customHeight="1" x14ac:dyDescent="0.45">
      <c r="B80" s="2"/>
      <c r="E80" t="str">
        <f>IF(D80="","",VLOOKUP(D80,Roster!$A:$C,2,FALSE))</f>
        <v/>
      </c>
      <c r="F80" t="str">
        <f>IF(D80="","",VLOOKUP(D80,Roster!$A:$C,3,FALSE))</f>
        <v/>
      </c>
      <c r="G80" t="str">
        <f>IF(D80="","",VLOOKUP(D80,Roster!$A:$D,4,FALSE))</f>
        <v/>
      </c>
      <c r="Q80" s="2"/>
    </row>
    <row r="81" spans="2:17" ht="14.25" customHeight="1" x14ac:dyDescent="0.45">
      <c r="B81" s="2"/>
      <c r="E81" t="str">
        <f>IF(D81="","",VLOOKUP(D81,Roster!$A:$C,2,FALSE))</f>
        <v/>
      </c>
      <c r="F81" t="str">
        <f>IF(D81="","",VLOOKUP(D81,Roster!$A:$C,3,FALSE))</f>
        <v/>
      </c>
      <c r="G81" t="str">
        <f>IF(D81="","",VLOOKUP(D81,Roster!$A:$D,4,FALSE))</f>
        <v/>
      </c>
      <c r="Q81" s="2"/>
    </row>
    <row r="82" spans="2:17" ht="14.25" customHeight="1" x14ac:dyDescent="0.45">
      <c r="B82" s="2"/>
      <c r="E82" t="str">
        <f>IF(D82="","",VLOOKUP(D82,Roster!$A:$C,2,FALSE))</f>
        <v/>
      </c>
      <c r="F82" t="str">
        <f>IF(D82="","",VLOOKUP(D82,Roster!$A:$C,3,FALSE))</f>
        <v/>
      </c>
      <c r="G82" t="str">
        <f>IF(D82="","",VLOOKUP(D82,Roster!$A:$D,4,FALSE))</f>
        <v/>
      </c>
      <c r="Q82" s="2"/>
    </row>
    <row r="83" spans="2:17" ht="14.25" customHeight="1" x14ac:dyDescent="0.45">
      <c r="B83" s="2"/>
      <c r="E83" t="str">
        <f>IF(D83="","",VLOOKUP(D83,Roster!$A:$C,2,FALSE))</f>
        <v/>
      </c>
      <c r="F83" t="str">
        <f>IF(D83="","",VLOOKUP(D83,Roster!$A:$C,3,FALSE))</f>
        <v/>
      </c>
      <c r="G83" t="str">
        <f>IF(D83="","",VLOOKUP(D83,Roster!$A:$D,4,FALSE))</f>
        <v/>
      </c>
      <c r="Q83" s="2"/>
    </row>
    <row r="84" spans="2:17" ht="14.25" customHeight="1" x14ac:dyDescent="0.45">
      <c r="B84" s="2"/>
      <c r="E84" t="str">
        <f>IF(D84="","",VLOOKUP(D84,Roster!$A:$C,2,FALSE))</f>
        <v/>
      </c>
      <c r="F84" t="str">
        <f>IF(D84="","",VLOOKUP(D84,Roster!$A:$C,3,FALSE))</f>
        <v/>
      </c>
      <c r="G84" t="str">
        <f>IF(D84="","",VLOOKUP(D84,Roster!$A:$D,4,FALSE))</f>
        <v/>
      </c>
      <c r="Q84" s="2"/>
    </row>
    <row r="85" spans="2:17" ht="14.25" customHeight="1" x14ac:dyDescent="0.45">
      <c r="B85" s="2"/>
      <c r="E85" t="str">
        <f>IF(D85="","",VLOOKUP(D85,Roster!$A:$C,2,FALSE))</f>
        <v/>
      </c>
      <c r="F85" t="str">
        <f>IF(D85="","",VLOOKUP(D85,Roster!$A:$C,3,FALSE))</f>
        <v/>
      </c>
      <c r="G85" t="str">
        <f>IF(D85="","",VLOOKUP(D85,Roster!$A:$D,4,FALSE))</f>
        <v/>
      </c>
      <c r="Q85" s="2"/>
    </row>
    <row r="86" spans="2:17" ht="14.25" customHeight="1" x14ac:dyDescent="0.45">
      <c r="B86" s="2"/>
      <c r="E86" t="str">
        <f>IF(D86="","",VLOOKUP(D86,Roster!$A:$C,2,FALSE))</f>
        <v/>
      </c>
      <c r="F86" t="str">
        <f>IF(D86="","",VLOOKUP(D86,Roster!$A:$C,3,FALSE))</f>
        <v/>
      </c>
      <c r="G86" t="str">
        <f>IF(D86="","",VLOOKUP(D86,Roster!$A:$D,4,FALSE))</f>
        <v/>
      </c>
      <c r="Q86" s="2"/>
    </row>
    <row r="87" spans="2:17" ht="14.25" customHeight="1" x14ac:dyDescent="0.45">
      <c r="B87" s="2"/>
      <c r="E87" t="str">
        <f>IF(D87="","",VLOOKUP(D87,Roster!$A:$C,2,FALSE))</f>
        <v/>
      </c>
      <c r="F87" t="str">
        <f>IF(D87="","",VLOOKUP(D87,Roster!$A:$C,3,FALSE))</f>
        <v/>
      </c>
      <c r="G87" t="str">
        <f>IF(D87="","",VLOOKUP(D87,Roster!$A:$D,4,FALSE))</f>
        <v/>
      </c>
      <c r="Q87" s="2"/>
    </row>
    <row r="88" spans="2:17" ht="14.25" customHeight="1" x14ac:dyDescent="0.45">
      <c r="B88" s="2"/>
      <c r="E88" t="str">
        <f>IF(D88="","",VLOOKUP(D88,Roster!$A:$C,2,FALSE))</f>
        <v/>
      </c>
      <c r="F88" t="str">
        <f>IF(D88="","",VLOOKUP(D88,Roster!$A:$C,3,FALSE))</f>
        <v/>
      </c>
      <c r="G88" t="str">
        <f>IF(D88="","",VLOOKUP(D88,Roster!$A:$D,4,FALSE))</f>
        <v/>
      </c>
      <c r="Q88" s="2"/>
    </row>
    <row r="89" spans="2:17" ht="14.25" customHeight="1" x14ac:dyDescent="0.45">
      <c r="B89" s="2"/>
      <c r="E89" t="str">
        <f>IF(D89="","",VLOOKUP(D89,Roster!$A:$C,2,FALSE))</f>
        <v/>
      </c>
      <c r="F89" t="str">
        <f>IF(D89="","",VLOOKUP(D89,Roster!$A:$C,3,FALSE))</f>
        <v/>
      </c>
      <c r="G89" t="str">
        <f>IF(D89="","",VLOOKUP(D89,Roster!$A:$D,4,FALSE))</f>
        <v/>
      </c>
      <c r="Q89" s="2"/>
    </row>
    <row r="90" spans="2:17" ht="14.25" customHeight="1" x14ac:dyDescent="0.45">
      <c r="B90" s="2"/>
      <c r="E90" t="str">
        <f>IF(D90="","",VLOOKUP(D90,Roster!$A:$C,2,FALSE))</f>
        <v/>
      </c>
      <c r="F90" t="str">
        <f>IF(D90="","",VLOOKUP(D90,Roster!$A:$C,3,FALSE))</f>
        <v/>
      </c>
      <c r="G90" t="str">
        <f>IF(D90="","",VLOOKUP(D90,Roster!$A:$D,4,FALSE))</f>
        <v/>
      </c>
      <c r="Q90" s="2"/>
    </row>
    <row r="91" spans="2:17" ht="14.25" customHeight="1" x14ac:dyDescent="0.45">
      <c r="B91" s="2"/>
      <c r="E91" t="str">
        <f>IF(D91="","",VLOOKUP(D91,Roster!$A:$C,2,FALSE))</f>
        <v/>
      </c>
      <c r="F91" t="str">
        <f>IF(D91="","",VLOOKUP(D91,Roster!$A:$C,3,FALSE))</f>
        <v/>
      </c>
      <c r="G91" t="str">
        <f>IF(D91="","",VLOOKUP(D91,Roster!$A:$D,4,FALSE))</f>
        <v/>
      </c>
      <c r="Q91" s="2"/>
    </row>
    <row r="92" spans="2:17" ht="14.25" customHeight="1" x14ac:dyDescent="0.45">
      <c r="B92" s="2"/>
      <c r="E92" t="str">
        <f>IF(D92="","",VLOOKUP(D92,Roster!$A:$C,2,FALSE))</f>
        <v/>
      </c>
      <c r="F92" t="str">
        <f>IF(D92="","",VLOOKUP(D92,Roster!$A:$C,3,FALSE))</f>
        <v/>
      </c>
      <c r="G92" t="str">
        <f>IF(D92="","",VLOOKUP(D92,Roster!$A:$D,4,FALSE))</f>
        <v/>
      </c>
      <c r="Q92" s="2"/>
    </row>
    <row r="93" spans="2:17" ht="14.25" customHeight="1" x14ac:dyDescent="0.45">
      <c r="B93" s="2"/>
      <c r="E93" t="str">
        <f>IF(D93="","",VLOOKUP(D93,Roster!$A:$C,2,FALSE))</f>
        <v/>
      </c>
      <c r="F93" t="str">
        <f>IF(D93="","",VLOOKUP(D93,Roster!$A:$C,3,FALSE))</f>
        <v/>
      </c>
      <c r="G93" t="str">
        <f>IF(D93="","",VLOOKUP(D93,Roster!$A:$D,4,FALSE))</f>
        <v/>
      </c>
      <c r="Q93" s="2"/>
    </row>
    <row r="94" spans="2:17" ht="14.25" customHeight="1" x14ac:dyDescent="0.45">
      <c r="B94" s="2"/>
      <c r="E94" t="str">
        <f>IF(D94="","",VLOOKUP(D94,Roster!$A:$C,2,FALSE))</f>
        <v/>
      </c>
      <c r="F94" t="str">
        <f>IF(D94="","",VLOOKUP(D94,Roster!$A:$C,3,FALSE))</f>
        <v/>
      </c>
      <c r="G94" t="str">
        <f>IF(D94="","",VLOOKUP(D94,Roster!$A:$D,4,FALSE))</f>
        <v/>
      </c>
      <c r="Q94" s="2"/>
    </row>
    <row r="95" spans="2:17" ht="14.25" customHeight="1" x14ac:dyDescent="0.45">
      <c r="B95" s="2"/>
      <c r="E95" t="str">
        <f>IF(D95="","",VLOOKUP(D95,Roster!$A:$C,2,FALSE))</f>
        <v/>
      </c>
      <c r="F95" t="str">
        <f>IF(D95="","",VLOOKUP(D95,Roster!$A:$C,3,FALSE))</f>
        <v/>
      </c>
      <c r="G95" t="str">
        <f>IF(D95="","",VLOOKUP(D95,Roster!$A:$D,4,FALSE))</f>
        <v/>
      </c>
      <c r="Q95" s="2"/>
    </row>
    <row r="96" spans="2:17" ht="14.25" customHeight="1" x14ac:dyDescent="0.45">
      <c r="B96" s="2"/>
      <c r="E96" t="str">
        <f>IF(D96="","",VLOOKUP(D96,Roster!$A:$C,2,FALSE))</f>
        <v/>
      </c>
      <c r="F96" t="str">
        <f>IF(D96="","",VLOOKUP(D96,Roster!$A:$C,3,FALSE))</f>
        <v/>
      </c>
      <c r="G96" t="str">
        <f>IF(D96="","",VLOOKUP(D96,Roster!$A:$D,4,FALSE))</f>
        <v/>
      </c>
      <c r="Q96" s="2"/>
    </row>
    <row r="97" spans="2:17" ht="14.25" customHeight="1" x14ac:dyDescent="0.45">
      <c r="B97" s="2"/>
      <c r="E97" t="str">
        <f>IF(D97="","",VLOOKUP(D97,Roster!$A:$C,2,FALSE))</f>
        <v/>
      </c>
      <c r="F97" t="str">
        <f>IF(D97="","",VLOOKUP(D97,Roster!$A:$C,3,FALSE))</f>
        <v/>
      </c>
      <c r="G97" t="str">
        <f>IF(D97="","",VLOOKUP(D97,Roster!$A:$D,4,FALSE))</f>
        <v/>
      </c>
      <c r="Q97" s="2"/>
    </row>
    <row r="98" spans="2:17" ht="14.25" customHeight="1" x14ac:dyDescent="0.45">
      <c r="B98" s="2"/>
      <c r="E98" t="str">
        <f>IF(D98="","",VLOOKUP(D98,Roster!$A:$C,2,FALSE))</f>
        <v/>
      </c>
      <c r="F98" t="str">
        <f>IF(D98="","",VLOOKUP(D98,Roster!$A:$C,3,FALSE))</f>
        <v/>
      </c>
      <c r="G98" t="str">
        <f>IF(D98="","",VLOOKUP(D98,Roster!$A:$D,4,FALSE))</f>
        <v/>
      </c>
      <c r="Q98" s="2"/>
    </row>
    <row r="99" spans="2:17" ht="14.25" customHeight="1" x14ac:dyDescent="0.45">
      <c r="B99" s="2"/>
      <c r="E99" t="str">
        <f>IF(D99="","",VLOOKUP(D99,Roster!$A:$C,2,FALSE))</f>
        <v/>
      </c>
      <c r="F99" t="str">
        <f>IF(D99="","",VLOOKUP(D99,Roster!$A:$C,3,FALSE))</f>
        <v/>
      </c>
      <c r="G99" t="str">
        <f>IF(D99="","",VLOOKUP(D99,Roster!$A:$D,4,FALSE))</f>
        <v/>
      </c>
      <c r="Q99" s="2"/>
    </row>
    <row r="100" spans="2:17" ht="14.25" customHeight="1" x14ac:dyDescent="0.45">
      <c r="B100" s="2"/>
      <c r="E100" t="str">
        <f>IF(D100="","",VLOOKUP(D100,Roster!$A:$C,2,FALSE))</f>
        <v/>
      </c>
      <c r="F100" t="str">
        <f>IF(D100="","",VLOOKUP(D100,Roster!$A:$C,3,FALSE))</f>
        <v/>
      </c>
      <c r="G100" t="str">
        <f>IF(D100="","",VLOOKUP(D100,Roster!$A:$D,4,FALSE))</f>
        <v/>
      </c>
      <c r="Q100" s="2"/>
    </row>
    <row r="101" spans="2:17" ht="14.25" customHeight="1" x14ac:dyDescent="0.45">
      <c r="B101" s="2"/>
      <c r="E101" t="str">
        <f>IF(D101="","",VLOOKUP(D101,Roster!$A:$C,2,FALSE))</f>
        <v/>
      </c>
      <c r="F101" t="str">
        <f>IF(D101="","",VLOOKUP(D101,Roster!$A:$C,3,FALSE))</f>
        <v/>
      </c>
      <c r="G101" t="str">
        <f>IF(D101="","",VLOOKUP(D101,Roster!$A:$D,4,FALSE))</f>
        <v/>
      </c>
      <c r="Q101" s="2"/>
    </row>
    <row r="102" spans="2:17" ht="14.25" customHeight="1" x14ac:dyDescent="0.45">
      <c r="B102" s="2"/>
      <c r="E102" t="str">
        <f>IF(D102="","",VLOOKUP(D102,Roster!$A:$C,2,FALSE))</f>
        <v/>
      </c>
      <c r="F102" t="str">
        <f>IF(D102="","",VLOOKUP(D102,Roster!$A:$C,3,FALSE))</f>
        <v/>
      </c>
      <c r="G102" t="str">
        <f>IF(D102="","",VLOOKUP(D102,Roster!$A:$D,4,FALSE))</f>
        <v/>
      </c>
      <c r="Q102" s="2"/>
    </row>
    <row r="103" spans="2:17" ht="14.25" customHeight="1" x14ac:dyDescent="0.45">
      <c r="B103" s="2"/>
      <c r="E103" t="str">
        <f>IF(D103="","",VLOOKUP(D103,Roster!$A:$C,2,FALSE))</f>
        <v/>
      </c>
      <c r="F103" t="str">
        <f>IF(D103="","",VLOOKUP(D103,Roster!$A:$C,3,FALSE))</f>
        <v/>
      </c>
      <c r="G103" t="str">
        <f>IF(D103="","",VLOOKUP(D103,Roster!$A:$D,4,FALSE))</f>
        <v/>
      </c>
      <c r="Q103" s="2"/>
    </row>
    <row r="104" spans="2:17" ht="14.25" customHeight="1" x14ac:dyDescent="0.45">
      <c r="B104" s="2"/>
      <c r="E104" t="str">
        <f>IF(D104="","",VLOOKUP(D104,Roster!$A:$C,2,FALSE))</f>
        <v/>
      </c>
      <c r="F104" t="str">
        <f>IF(D104="","",VLOOKUP(D104,Roster!$A:$C,3,FALSE))</f>
        <v/>
      </c>
      <c r="G104" t="str">
        <f>IF(D104="","",VLOOKUP(D104,Roster!$A:$D,4,FALSE))</f>
        <v/>
      </c>
      <c r="Q104" s="2"/>
    </row>
    <row r="105" spans="2:17" ht="14.25" customHeight="1" x14ac:dyDescent="0.45">
      <c r="B105" s="2"/>
      <c r="E105" t="str">
        <f>IF(D105="","",VLOOKUP(D105,Roster!$A:$C,2,FALSE))</f>
        <v/>
      </c>
      <c r="F105" t="str">
        <f>IF(D105="","",VLOOKUP(D105,Roster!$A:$C,3,FALSE))</f>
        <v/>
      </c>
      <c r="G105" t="str">
        <f>IF(D105="","",VLOOKUP(D105,Roster!$A:$D,4,FALSE))</f>
        <v/>
      </c>
      <c r="Q105" s="2"/>
    </row>
    <row r="106" spans="2:17" ht="14.25" customHeight="1" x14ac:dyDescent="0.45">
      <c r="B106" s="2"/>
      <c r="E106" t="str">
        <f>IF(D106="","",VLOOKUP(D106,Roster!$A:$C,2,FALSE))</f>
        <v/>
      </c>
      <c r="F106" t="str">
        <f>IF(D106="","",VLOOKUP(D106,Roster!$A:$C,3,FALSE))</f>
        <v/>
      </c>
      <c r="G106" t="str">
        <f>IF(D106="","",VLOOKUP(D106,Roster!$A:$D,4,FALSE))</f>
        <v/>
      </c>
      <c r="Q106" s="2"/>
    </row>
    <row r="107" spans="2:17" ht="14.25" customHeight="1" x14ac:dyDescent="0.45">
      <c r="B107" s="2"/>
      <c r="E107" t="str">
        <f>IF(D107="","",VLOOKUP(D107,Roster!$A:$C,2,FALSE))</f>
        <v/>
      </c>
      <c r="F107" t="str">
        <f>IF(D107="","",VLOOKUP(D107,Roster!$A:$C,3,FALSE))</f>
        <v/>
      </c>
      <c r="G107" t="str">
        <f>IF(D107="","",VLOOKUP(D107,Roster!$A:$D,4,FALSE))</f>
        <v/>
      </c>
      <c r="Q107" s="2"/>
    </row>
    <row r="108" spans="2:17" ht="14.25" customHeight="1" x14ac:dyDescent="0.45">
      <c r="B108" s="2"/>
      <c r="E108" t="str">
        <f>IF(D108="","",VLOOKUP(D108,Roster!$A:$C,2,FALSE))</f>
        <v/>
      </c>
      <c r="F108" t="str">
        <f>IF(D108="","",VLOOKUP(D108,Roster!$A:$C,3,FALSE))</f>
        <v/>
      </c>
      <c r="G108" t="str">
        <f>IF(D108="","",VLOOKUP(D108,Roster!$A:$D,4,FALSE))</f>
        <v/>
      </c>
      <c r="Q108" s="2"/>
    </row>
    <row r="109" spans="2:17" ht="14.25" customHeight="1" x14ac:dyDescent="0.45">
      <c r="B109" s="2"/>
      <c r="E109" t="str">
        <f>IF(D109="","",VLOOKUP(D109,Roster!$A:$C,2,FALSE))</f>
        <v/>
      </c>
      <c r="F109" t="str">
        <f>IF(D109="","",VLOOKUP(D109,Roster!$A:$C,3,FALSE))</f>
        <v/>
      </c>
      <c r="G109" t="str">
        <f>IF(D109="","",VLOOKUP(D109,Roster!$A:$D,4,FALSE))</f>
        <v/>
      </c>
      <c r="Q109" s="2"/>
    </row>
    <row r="110" spans="2:17" ht="14.25" customHeight="1" x14ac:dyDescent="0.45">
      <c r="B110" s="2"/>
      <c r="E110" t="str">
        <f>IF(D110="","",VLOOKUP(D110,Roster!$A:$C,2,FALSE))</f>
        <v/>
      </c>
      <c r="F110" t="str">
        <f>IF(D110="","",VLOOKUP(D110,Roster!$A:$C,3,FALSE))</f>
        <v/>
      </c>
      <c r="G110" t="str">
        <f>IF(D110="","",VLOOKUP(D110,Roster!$A:$D,4,FALSE))</f>
        <v/>
      </c>
      <c r="Q110" s="2"/>
    </row>
    <row r="111" spans="2:17" ht="14.25" customHeight="1" x14ac:dyDescent="0.45">
      <c r="B111" s="2"/>
      <c r="E111" t="str">
        <f>IF(D111="","",VLOOKUP(D111,Roster!$A:$C,2,FALSE))</f>
        <v/>
      </c>
      <c r="F111" t="str">
        <f>IF(D111="","",VLOOKUP(D111,Roster!$A:$C,3,FALSE))</f>
        <v/>
      </c>
      <c r="G111" t="str">
        <f>IF(D111="","",VLOOKUP(D111,Roster!$A:$D,4,FALSE))</f>
        <v/>
      </c>
      <c r="Q111" s="2"/>
    </row>
    <row r="112" spans="2:17" ht="14.25" customHeight="1" x14ac:dyDescent="0.45">
      <c r="B112" s="2"/>
      <c r="E112" t="str">
        <f>IF(D112="","",VLOOKUP(D112,Roster!$A:$C,2,FALSE))</f>
        <v/>
      </c>
      <c r="F112" t="str">
        <f>IF(D112="","",VLOOKUP(D112,Roster!$A:$C,3,FALSE))</f>
        <v/>
      </c>
      <c r="G112" t="str">
        <f>IF(D112="","",VLOOKUP(D112,Roster!$A:$D,4,FALSE))</f>
        <v/>
      </c>
      <c r="Q112" s="2"/>
    </row>
    <row r="113" spans="2:17" ht="14.25" customHeight="1" x14ac:dyDescent="0.45">
      <c r="B113" s="2"/>
      <c r="E113" t="str">
        <f>IF(D113="","",VLOOKUP(D113,Roster!$A:$C,2,FALSE))</f>
        <v/>
      </c>
      <c r="F113" t="str">
        <f>IF(D113="","",VLOOKUP(D113,Roster!$A:$C,3,FALSE))</f>
        <v/>
      </c>
      <c r="G113" t="str">
        <f>IF(D113="","",VLOOKUP(D113,Roster!$A:$D,4,FALSE))</f>
        <v/>
      </c>
      <c r="Q113" s="2"/>
    </row>
    <row r="114" spans="2:17" ht="14.25" customHeight="1" x14ac:dyDescent="0.45">
      <c r="B114" s="2"/>
      <c r="E114" t="str">
        <f>IF(D114="","",VLOOKUP(D114,Roster!$A:$C,2,FALSE))</f>
        <v/>
      </c>
      <c r="F114" t="str">
        <f>IF(D114="","",VLOOKUP(D114,Roster!$A:$C,3,FALSE))</f>
        <v/>
      </c>
      <c r="G114" t="str">
        <f>IF(D114="","",VLOOKUP(D114,Roster!$A:$D,4,FALSE))</f>
        <v/>
      </c>
      <c r="Q114" s="2"/>
    </row>
    <row r="115" spans="2:17" ht="14.25" customHeight="1" x14ac:dyDescent="0.45">
      <c r="B115" s="2"/>
      <c r="E115" t="str">
        <f>IF(D115="","",VLOOKUP(D115,Roster!$A:$C,2,FALSE))</f>
        <v/>
      </c>
      <c r="F115" t="str">
        <f>IF(D115="","",VLOOKUP(D115,Roster!$A:$C,3,FALSE))</f>
        <v/>
      </c>
      <c r="G115" t="str">
        <f>IF(D115="","",VLOOKUP(D115,Roster!$A:$D,4,FALSE))</f>
        <v/>
      </c>
      <c r="Q115" s="2"/>
    </row>
    <row r="116" spans="2:17" ht="14.25" customHeight="1" x14ac:dyDescent="0.45">
      <c r="B116" s="2"/>
      <c r="E116" t="str">
        <f>IF(D116="","",VLOOKUP(D116,Roster!$A:$C,2,FALSE))</f>
        <v/>
      </c>
      <c r="F116" t="str">
        <f>IF(D116="","",VLOOKUP(D116,Roster!$A:$C,3,FALSE))</f>
        <v/>
      </c>
      <c r="G116" t="str">
        <f>IF(D116="","",VLOOKUP(D116,Roster!$A:$D,4,FALSE))</f>
        <v/>
      </c>
      <c r="Q116" s="2"/>
    </row>
    <row r="117" spans="2:17" ht="14.25" customHeight="1" x14ac:dyDescent="0.45">
      <c r="B117" s="2"/>
      <c r="E117" t="str">
        <f>IF(D117="","",VLOOKUP(D117,Roster!$A:$C,2,FALSE))</f>
        <v/>
      </c>
      <c r="F117" t="str">
        <f>IF(D117="","",VLOOKUP(D117,Roster!$A:$C,3,FALSE))</f>
        <v/>
      </c>
      <c r="G117" t="str">
        <f>IF(D117="","",VLOOKUP(D117,Roster!$A:$D,4,FALSE))</f>
        <v/>
      </c>
      <c r="Q117" s="2"/>
    </row>
    <row r="118" spans="2:17" ht="14.25" customHeight="1" x14ac:dyDescent="0.45">
      <c r="B118" s="2"/>
      <c r="E118" t="str">
        <f>IF(D118="","",VLOOKUP(D118,Roster!$A:$C,2,FALSE))</f>
        <v/>
      </c>
      <c r="F118" t="str">
        <f>IF(D118="","",VLOOKUP(D118,Roster!$A:$C,3,FALSE))</f>
        <v/>
      </c>
      <c r="G118" t="str">
        <f>IF(D118="","",VLOOKUP(D118,Roster!$A:$D,4,FALSE))</f>
        <v/>
      </c>
      <c r="Q118" s="2"/>
    </row>
    <row r="119" spans="2:17" ht="14.25" customHeight="1" x14ac:dyDescent="0.45">
      <c r="B119" s="2"/>
      <c r="E119" t="str">
        <f>IF(D119="","",VLOOKUP(D119,Roster!$A:$C,2,FALSE))</f>
        <v/>
      </c>
      <c r="F119" t="str">
        <f>IF(D119="","",VLOOKUP(D119,Roster!$A:$C,3,FALSE))</f>
        <v/>
      </c>
      <c r="G119" t="str">
        <f>IF(D119="","",VLOOKUP(D119,Roster!$A:$D,4,FALSE))</f>
        <v/>
      </c>
      <c r="Q119" s="2"/>
    </row>
    <row r="120" spans="2:17" ht="14.25" customHeight="1" x14ac:dyDescent="0.45">
      <c r="B120" s="2"/>
      <c r="E120" t="str">
        <f>IF(D120="","",VLOOKUP(D120,Roster!$A:$C,2,FALSE))</f>
        <v/>
      </c>
      <c r="F120" t="str">
        <f>IF(D120="","",VLOOKUP(D120,Roster!$A:$C,3,FALSE))</f>
        <v/>
      </c>
      <c r="G120" t="str">
        <f>IF(D120="","",VLOOKUP(D120,Roster!$A:$D,4,FALSE))</f>
        <v/>
      </c>
      <c r="Q120" s="2"/>
    </row>
    <row r="121" spans="2:17" ht="14.25" customHeight="1" x14ac:dyDescent="0.45">
      <c r="B121" s="2"/>
      <c r="E121" t="str">
        <f>IF(D121="","",VLOOKUP(D121,Roster!$A:$C,2,FALSE))</f>
        <v/>
      </c>
      <c r="F121" t="str">
        <f>IF(D121="","",VLOOKUP(D121,Roster!$A:$C,3,FALSE))</f>
        <v/>
      </c>
      <c r="G121" t="str">
        <f>IF(D121="","",VLOOKUP(D121,Roster!$A:$D,4,FALSE))</f>
        <v/>
      </c>
      <c r="Q121" s="2"/>
    </row>
    <row r="122" spans="2:17" ht="14.25" customHeight="1" x14ac:dyDescent="0.45">
      <c r="B122" s="2"/>
      <c r="E122" t="str">
        <f>IF(D122="","",VLOOKUP(D122,Roster!$A:$C,2,FALSE))</f>
        <v/>
      </c>
      <c r="F122" t="str">
        <f>IF(D122="","",VLOOKUP(D122,Roster!$A:$C,3,FALSE))</f>
        <v/>
      </c>
      <c r="G122" t="str">
        <f>IF(D122="","",VLOOKUP(D122,Roster!$A:$D,4,FALSE))</f>
        <v/>
      </c>
      <c r="Q122" s="2"/>
    </row>
    <row r="123" spans="2:17" ht="14.25" customHeight="1" x14ac:dyDescent="0.45">
      <c r="B123" s="2"/>
      <c r="E123" t="str">
        <f>IF(D123="","",VLOOKUP(D123,Roster!$A:$C,2,FALSE))</f>
        <v/>
      </c>
      <c r="F123" t="str">
        <f>IF(D123="","",VLOOKUP(D123,Roster!$A:$C,3,FALSE))</f>
        <v/>
      </c>
      <c r="G123" t="str">
        <f>IF(D123="","",VLOOKUP(D123,Roster!$A:$D,4,FALSE))</f>
        <v/>
      </c>
      <c r="Q123" s="2"/>
    </row>
    <row r="124" spans="2:17" ht="14.25" customHeight="1" x14ac:dyDescent="0.45">
      <c r="B124" s="2"/>
      <c r="E124" t="str">
        <f>IF(D124="","",VLOOKUP(D124,Roster!$A:$C,2,FALSE))</f>
        <v/>
      </c>
      <c r="F124" t="str">
        <f>IF(D124="","",VLOOKUP(D124,Roster!$A:$C,3,FALSE))</f>
        <v/>
      </c>
      <c r="G124" t="str">
        <f>IF(D124="","",VLOOKUP(D124,Roster!$A:$D,4,FALSE))</f>
        <v/>
      </c>
      <c r="Q124" s="2"/>
    </row>
    <row r="125" spans="2:17" ht="14.25" customHeight="1" x14ac:dyDescent="0.45">
      <c r="B125" s="2"/>
      <c r="E125" t="str">
        <f>IF(D125="","",VLOOKUP(D125,Roster!$A:$C,2,FALSE))</f>
        <v/>
      </c>
      <c r="F125" t="str">
        <f>IF(D125="","",VLOOKUP(D125,Roster!$A:$C,3,FALSE))</f>
        <v/>
      </c>
      <c r="G125" t="str">
        <f>IF(D125="","",VLOOKUP(D125,Roster!$A:$D,4,FALSE))</f>
        <v/>
      </c>
      <c r="Q125" s="2"/>
    </row>
    <row r="126" spans="2:17" ht="14.25" customHeight="1" x14ac:dyDescent="0.45">
      <c r="B126" s="2"/>
      <c r="E126" t="str">
        <f>IF(D126="","",VLOOKUP(D126,Roster!$A:$C,2,FALSE))</f>
        <v/>
      </c>
      <c r="F126" t="str">
        <f>IF(D126="","",VLOOKUP(D126,Roster!$A:$C,3,FALSE))</f>
        <v/>
      </c>
      <c r="G126" t="str">
        <f>IF(D126="","",VLOOKUP(D126,Roster!$A:$D,4,FALSE))</f>
        <v/>
      </c>
      <c r="Q126" s="2"/>
    </row>
    <row r="127" spans="2:17" ht="14.25" customHeight="1" x14ac:dyDescent="0.45">
      <c r="B127" s="2"/>
      <c r="E127" t="str">
        <f>IF(D127="","",VLOOKUP(D127,Roster!$A:$C,2,FALSE))</f>
        <v/>
      </c>
      <c r="F127" t="str">
        <f>IF(D127="","",VLOOKUP(D127,Roster!$A:$C,3,FALSE))</f>
        <v/>
      </c>
      <c r="G127" t="str">
        <f>IF(D127="","",VLOOKUP(D127,Roster!$A:$D,4,FALSE))</f>
        <v/>
      </c>
      <c r="Q127" s="2"/>
    </row>
    <row r="128" spans="2:17" ht="14.25" customHeight="1" x14ac:dyDescent="0.45">
      <c r="B128" s="2"/>
      <c r="E128" t="str">
        <f>IF(D128="","",VLOOKUP(D128,Roster!$A:$C,2,FALSE))</f>
        <v/>
      </c>
      <c r="F128" t="str">
        <f>IF(D128="","",VLOOKUP(D128,Roster!$A:$C,3,FALSE))</f>
        <v/>
      </c>
      <c r="G128" t="str">
        <f>IF(D128="","",VLOOKUP(D128,Roster!$A:$D,4,FALSE))</f>
        <v/>
      </c>
      <c r="Q128" s="2"/>
    </row>
    <row r="129" spans="2:17" ht="14.25" customHeight="1" x14ac:dyDescent="0.45">
      <c r="B129" s="2"/>
      <c r="E129" t="str">
        <f>IF(D129="","",VLOOKUP(D129,Roster!$A:$C,2,FALSE))</f>
        <v/>
      </c>
      <c r="F129" t="str">
        <f>IF(D129="","",VLOOKUP(D129,Roster!$A:$C,3,FALSE))</f>
        <v/>
      </c>
      <c r="G129" t="str">
        <f>IF(D129="","",VLOOKUP(D129,Roster!$A:$D,4,FALSE))</f>
        <v/>
      </c>
      <c r="Q129" s="2"/>
    </row>
    <row r="130" spans="2:17" ht="14.25" customHeight="1" x14ac:dyDescent="0.45">
      <c r="B130" s="2"/>
      <c r="E130" t="str">
        <f>IF(D130="","",VLOOKUP(D130,Roster!$A:$C,2,FALSE))</f>
        <v/>
      </c>
      <c r="F130" t="str">
        <f>IF(D130="","",VLOOKUP(D130,Roster!$A:$C,3,FALSE))</f>
        <v/>
      </c>
      <c r="G130" t="str">
        <f>IF(D130="","",VLOOKUP(D130,Roster!$A:$D,4,FALSE))</f>
        <v/>
      </c>
      <c r="Q130" s="2"/>
    </row>
    <row r="131" spans="2:17" ht="14.25" customHeight="1" x14ac:dyDescent="0.45">
      <c r="B131" s="2"/>
      <c r="E131" t="str">
        <f>IF(D131="","",VLOOKUP(D131,Roster!$A:$C,2,FALSE))</f>
        <v/>
      </c>
      <c r="F131" t="str">
        <f>IF(D131="","",VLOOKUP(D131,Roster!$A:$C,3,FALSE))</f>
        <v/>
      </c>
      <c r="G131" t="str">
        <f>IF(D131="","",VLOOKUP(D131,Roster!$A:$D,4,FALSE))</f>
        <v/>
      </c>
      <c r="Q131" s="2"/>
    </row>
    <row r="132" spans="2:17" ht="14.25" customHeight="1" x14ac:dyDescent="0.45">
      <c r="B132" s="2"/>
      <c r="E132" t="str">
        <f>IF(D132="","",VLOOKUP(D132,Roster!$A:$C,2,FALSE))</f>
        <v/>
      </c>
      <c r="F132" t="str">
        <f>IF(D132="","",VLOOKUP(D132,Roster!$A:$C,3,FALSE))</f>
        <v/>
      </c>
      <c r="G132" t="str">
        <f>IF(D132="","",VLOOKUP(D132,Roster!$A:$D,4,FALSE))</f>
        <v/>
      </c>
      <c r="Q132" s="2"/>
    </row>
    <row r="133" spans="2:17" ht="14.25" customHeight="1" x14ac:dyDescent="0.45">
      <c r="B133" s="2"/>
      <c r="E133" t="str">
        <f>IF(D133="","",VLOOKUP(D133,Roster!$A:$C,2,FALSE))</f>
        <v/>
      </c>
      <c r="F133" t="str">
        <f>IF(D133="","",VLOOKUP(D133,Roster!$A:$C,3,FALSE))</f>
        <v/>
      </c>
      <c r="G133" t="str">
        <f>IF(D133="","",VLOOKUP(D133,Roster!$A:$D,4,FALSE))</f>
        <v/>
      </c>
      <c r="Q133" s="2"/>
    </row>
    <row r="134" spans="2:17" ht="14.25" customHeight="1" x14ac:dyDescent="0.45">
      <c r="B134" s="2"/>
      <c r="E134" t="str">
        <f>IF(D134="","",VLOOKUP(D134,Roster!$A:$C,2,FALSE))</f>
        <v/>
      </c>
      <c r="F134" t="str">
        <f>IF(D134="","",VLOOKUP(D134,Roster!$A:$C,3,FALSE))</f>
        <v/>
      </c>
      <c r="G134" t="str">
        <f>IF(D134="","",VLOOKUP(D134,Roster!$A:$D,4,FALSE))</f>
        <v/>
      </c>
      <c r="Q134" s="2"/>
    </row>
    <row r="135" spans="2:17" ht="14.25" customHeight="1" x14ac:dyDescent="0.45">
      <c r="B135" s="2"/>
      <c r="E135" t="str">
        <f>IF(D135="","",VLOOKUP(D135,Roster!$A:$C,2,FALSE))</f>
        <v/>
      </c>
      <c r="F135" t="str">
        <f>IF(D135="","",VLOOKUP(D135,Roster!$A:$C,3,FALSE))</f>
        <v/>
      </c>
      <c r="G135" t="str">
        <f>IF(D135="","",VLOOKUP(D135,Roster!$A:$D,4,FALSE))</f>
        <v/>
      </c>
      <c r="Q135" s="2"/>
    </row>
    <row r="136" spans="2:17" ht="14.25" customHeight="1" x14ac:dyDescent="0.45">
      <c r="B136" s="2"/>
      <c r="E136" t="str">
        <f>IF(D136="","",VLOOKUP(D136,Roster!$A:$C,2,FALSE))</f>
        <v/>
      </c>
      <c r="F136" t="str">
        <f>IF(D136="","",VLOOKUP(D136,Roster!$A:$C,3,FALSE))</f>
        <v/>
      </c>
      <c r="G136" t="str">
        <f>IF(D136="","",VLOOKUP(D136,Roster!$A:$D,4,FALSE))</f>
        <v/>
      </c>
      <c r="Q136" s="2"/>
    </row>
    <row r="137" spans="2:17" ht="14.25" customHeight="1" x14ac:dyDescent="0.45">
      <c r="B137" s="2"/>
      <c r="E137" t="str">
        <f>IF(D137="","",VLOOKUP(D137,Roster!$A:$C,2,FALSE))</f>
        <v/>
      </c>
      <c r="F137" t="str">
        <f>IF(D137="","",VLOOKUP(D137,Roster!$A:$C,3,FALSE))</f>
        <v/>
      </c>
      <c r="G137" t="str">
        <f>IF(D137="","",VLOOKUP(D137,Roster!$A:$D,4,FALSE))</f>
        <v/>
      </c>
      <c r="Q137" s="2"/>
    </row>
    <row r="138" spans="2:17" ht="14.25" customHeight="1" x14ac:dyDescent="0.45">
      <c r="B138" s="2"/>
      <c r="E138" t="str">
        <f>IF(D138="","",VLOOKUP(D138,Roster!$A:$C,2,FALSE))</f>
        <v/>
      </c>
      <c r="F138" t="str">
        <f>IF(D138="","",VLOOKUP(D138,Roster!$A:$C,3,FALSE))</f>
        <v/>
      </c>
      <c r="G138" t="str">
        <f>IF(D138="","",VLOOKUP(D138,Roster!$A:$D,4,FALSE))</f>
        <v/>
      </c>
      <c r="Q138" s="2"/>
    </row>
    <row r="139" spans="2:17" ht="14.25" customHeight="1" x14ac:dyDescent="0.45">
      <c r="B139" s="2"/>
      <c r="E139" t="str">
        <f>IF(D139="","",VLOOKUP(D139,Roster!$A:$C,2,FALSE))</f>
        <v/>
      </c>
      <c r="F139" t="str">
        <f>IF(D139="","",VLOOKUP(D139,Roster!$A:$C,3,FALSE))</f>
        <v/>
      </c>
      <c r="G139" t="str">
        <f>IF(D139="","",VLOOKUP(D139,Roster!$A:$D,4,FALSE))</f>
        <v/>
      </c>
      <c r="Q139" s="2"/>
    </row>
    <row r="140" spans="2:17" ht="14.25" customHeight="1" x14ac:dyDescent="0.45">
      <c r="B140" s="2"/>
      <c r="E140" t="str">
        <f>IF(D140="","",VLOOKUP(D140,Roster!$A:$C,2,FALSE))</f>
        <v/>
      </c>
      <c r="F140" t="str">
        <f>IF(D140="","",VLOOKUP(D140,Roster!$A:$C,3,FALSE))</f>
        <v/>
      </c>
      <c r="G140" t="str">
        <f>IF(D140="","",VLOOKUP(D140,Roster!$A:$D,4,FALSE))</f>
        <v/>
      </c>
      <c r="Q140" s="2"/>
    </row>
    <row r="141" spans="2:17" ht="14.25" customHeight="1" x14ac:dyDescent="0.45">
      <c r="B141" s="2"/>
      <c r="E141" t="str">
        <f>IF(D141="","",VLOOKUP(D141,Roster!$A:$C,2,FALSE))</f>
        <v/>
      </c>
      <c r="F141" t="str">
        <f>IF(D141="","",VLOOKUP(D141,Roster!$A:$C,3,FALSE))</f>
        <v/>
      </c>
      <c r="G141" t="str">
        <f>IF(D141="","",VLOOKUP(D141,Roster!$A:$D,4,FALSE))</f>
        <v/>
      </c>
      <c r="Q141" s="2"/>
    </row>
    <row r="142" spans="2:17" ht="14.25" customHeight="1" x14ac:dyDescent="0.45">
      <c r="B142" s="2"/>
      <c r="E142" t="str">
        <f>IF(D142="","",VLOOKUP(D142,Roster!$A:$C,2,FALSE))</f>
        <v/>
      </c>
      <c r="F142" t="str">
        <f>IF(D142="","",VLOOKUP(D142,Roster!$A:$C,3,FALSE))</f>
        <v/>
      </c>
      <c r="G142" t="str">
        <f>IF(D142="","",VLOOKUP(D142,Roster!$A:$D,4,FALSE))</f>
        <v/>
      </c>
      <c r="Q142" s="2"/>
    </row>
    <row r="143" spans="2:17" ht="14.25" customHeight="1" x14ac:dyDescent="0.45">
      <c r="B143" s="2"/>
      <c r="E143" t="str">
        <f>IF(D143="","",VLOOKUP(D143,Roster!$A:$C,2,FALSE))</f>
        <v/>
      </c>
      <c r="F143" t="str">
        <f>IF(D143="","",VLOOKUP(D143,Roster!$A:$C,3,FALSE))</f>
        <v/>
      </c>
      <c r="G143" t="str">
        <f>IF(D143="","",VLOOKUP(D143,Roster!$A:$D,4,FALSE))</f>
        <v/>
      </c>
      <c r="Q143" s="2"/>
    </row>
    <row r="144" spans="2:17" ht="14.25" customHeight="1" x14ac:dyDescent="0.45">
      <c r="B144" s="2"/>
      <c r="E144" t="str">
        <f>IF(D144="","",VLOOKUP(D144,Roster!$A:$C,2,FALSE))</f>
        <v/>
      </c>
      <c r="F144" t="str">
        <f>IF(D144="","",VLOOKUP(D144,Roster!$A:$C,3,FALSE))</f>
        <v/>
      </c>
      <c r="G144" t="str">
        <f>IF(D144="","",VLOOKUP(D144,Roster!$A:$D,4,FALSE))</f>
        <v/>
      </c>
      <c r="Q144" s="2"/>
    </row>
    <row r="145" spans="2:17" ht="14.25" customHeight="1" x14ac:dyDescent="0.45">
      <c r="B145" s="2"/>
      <c r="E145" t="str">
        <f>IF(D145="","",VLOOKUP(D145,Roster!$A:$C,2,FALSE))</f>
        <v/>
      </c>
      <c r="F145" t="str">
        <f>IF(D145="","",VLOOKUP(D145,Roster!$A:$C,3,FALSE))</f>
        <v/>
      </c>
      <c r="G145" t="str">
        <f>IF(D145="","",VLOOKUP(D145,Roster!$A:$D,4,FALSE))</f>
        <v/>
      </c>
      <c r="Q145" s="2"/>
    </row>
    <row r="146" spans="2:17" ht="14.25" customHeight="1" x14ac:dyDescent="0.45">
      <c r="B146" s="2"/>
      <c r="E146" t="str">
        <f>IF(D146="","",VLOOKUP(D146,Roster!$A:$C,2,FALSE))</f>
        <v/>
      </c>
      <c r="F146" t="str">
        <f>IF(D146="","",VLOOKUP(D146,Roster!$A:$C,3,FALSE))</f>
        <v/>
      </c>
      <c r="G146" t="str">
        <f>IF(D146="","",VLOOKUP(D146,Roster!$A:$D,4,FALSE))</f>
        <v/>
      </c>
      <c r="Q146" s="2"/>
    </row>
    <row r="147" spans="2:17" ht="14.25" customHeight="1" x14ac:dyDescent="0.45">
      <c r="B147" s="2"/>
      <c r="E147" t="str">
        <f>IF(D147="","",VLOOKUP(D147,Roster!$A:$C,2,FALSE))</f>
        <v/>
      </c>
      <c r="F147" t="str">
        <f>IF(D147="","",VLOOKUP(D147,Roster!$A:$C,3,FALSE))</f>
        <v/>
      </c>
      <c r="G147" t="str">
        <f>IF(D147="","",VLOOKUP(D147,Roster!$A:$D,4,FALSE))</f>
        <v/>
      </c>
      <c r="Q147" s="2"/>
    </row>
    <row r="148" spans="2:17" ht="14.25" customHeight="1" x14ac:dyDescent="0.45">
      <c r="B148" s="2"/>
      <c r="E148" t="str">
        <f>IF(D148="","",VLOOKUP(D148,Roster!$A:$C,2,FALSE))</f>
        <v/>
      </c>
      <c r="F148" t="str">
        <f>IF(D148="","",VLOOKUP(D148,Roster!$A:$C,3,FALSE))</f>
        <v/>
      </c>
      <c r="G148" t="str">
        <f>IF(D148="","",VLOOKUP(D148,Roster!$A:$D,4,FALSE))</f>
        <v/>
      </c>
      <c r="Q148" s="2"/>
    </row>
    <row r="149" spans="2:17" ht="14.25" customHeight="1" x14ac:dyDescent="0.45">
      <c r="B149" s="2"/>
      <c r="E149" t="str">
        <f>IF(D149="","",VLOOKUP(D149,Roster!$A:$C,2,FALSE))</f>
        <v/>
      </c>
      <c r="F149" t="str">
        <f>IF(D149="","",VLOOKUP(D149,Roster!$A:$C,3,FALSE))</f>
        <v/>
      </c>
      <c r="G149" t="str">
        <f>IF(D149="","",VLOOKUP(D149,Roster!$A:$D,4,FALSE))</f>
        <v/>
      </c>
      <c r="Q149" s="2"/>
    </row>
    <row r="150" spans="2:17" ht="14.25" customHeight="1" x14ac:dyDescent="0.45">
      <c r="B150" s="2"/>
      <c r="E150" t="str">
        <f>IF(D150="","",VLOOKUP(D150,Roster!$A:$C,2,FALSE))</f>
        <v/>
      </c>
      <c r="F150" t="str">
        <f>IF(D150="","",VLOOKUP(D150,Roster!$A:$C,3,FALSE))</f>
        <v/>
      </c>
      <c r="G150" t="str">
        <f>IF(D150="","",VLOOKUP(D150,Roster!$A:$D,4,FALSE))</f>
        <v/>
      </c>
      <c r="Q150" s="2"/>
    </row>
    <row r="151" spans="2:17" ht="14.25" customHeight="1" x14ac:dyDescent="0.45">
      <c r="B151" s="2"/>
      <c r="E151" t="str">
        <f>IF(D151="","",VLOOKUP(D151,Roster!$A:$C,2,FALSE))</f>
        <v/>
      </c>
      <c r="F151" t="str">
        <f>IF(D151="","",VLOOKUP(D151,Roster!$A:$C,3,FALSE))</f>
        <v/>
      </c>
      <c r="G151" t="str">
        <f>IF(D151="","",VLOOKUP(D151,Roster!$A:$D,4,FALSE))</f>
        <v/>
      </c>
      <c r="Q151" s="2"/>
    </row>
    <row r="152" spans="2:17" ht="14.25" customHeight="1" x14ac:dyDescent="0.45">
      <c r="B152" s="2"/>
      <c r="E152" t="str">
        <f>IF(D152="","",VLOOKUP(D152,Roster!$A:$C,2,FALSE))</f>
        <v/>
      </c>
      <c r="F152" t="str">
        <f>IF(D152="","",VLOOKUP(D152,Roster!$A:$C,3,FALSE))</f>
        <v/>
      </c>
      <c r="G152" t="str">
        <f>IF(D152="","",VLOOKUP(D152,Roster!$A:$D,4,FALSE))</f>
        <v/>
      </c>
      <c r="Q152" s="2"/>
    </row>
    <row r="153" spans="2:17" ht="14.25" customHeight="1" x14ac:dyDescent="0.45">
      <c r="B153" s="2"/>
      <c r="E153" t="str">
        <f>IF(D153="","",VLOOKUP(D153,Roster!$A:$C,2,FALSE))</f>
        <v/>
      </c>
      <c r="F153" t="str">
        <f>IF(D153="","",VLOOKUP(D153,Roster!$A:$C,3,FALSE))</f>
        <v/>
      </c>
      <c r="G153" t="str">
        <f>IF(D153="","",VLOOKUP(D153,Roster!$A:$D,4,FALSE))</f>
        <v/>
      </c>
      <c r="Q153" s="2"/>
    </row>
    <row r="154" spans="2:17" ht="14.25" customHeight="1" x14ac:dyDescent="0.45">
      <c r="B154" s="2"/>
      <c r="E154" t="str">
        <f>IF(D154="","",VLOOKUP(D154,Roster!$A:$C,2,FALSE))</f>
        <v/>
      </c>
      <c r="F154" t="str">
        <f>IF(D154="","",VLOOKUP(D154,Roster!$A:$C,3,FALSE))</f>
        <v/>
      </c>
      <c r="G154" t="str">
        <f>IF(D154="","",VLOOKUP(D154,Roster!$A:$D,4,FALSE))</f>
        <v/>
      </c>
      <c r="Q154" s="2"/>
    </row>
    <row r="155" spans="2:17" ht="14.25" customHeight="1" x14ac:dyDescent="0.45">
      <c r="B155" s="2"/>
      <c r="E155" t="str">
        <f>IF(D155="","",VLOOKUP(D155,Roster!$A:$C,2,FALSE))</f>
        <v/>
      </c>
      <c r="F155" t="str">
        <f>IF(D155="","",VLOOKUP(D155,Roster!$A:$C,3,FALSE))</f>
        <v/>
      </c>
      <c r="G155" t="str">
        <f>IF(D155="","",VLOOKUP(D155,Roster!$A:$D,4,FALSE))</f>
        <v/>
      </c>
      <c r="Q155" s="2"/>
    </row>
    <row r="156" spans="2:17" ht="14.25" customHeight="1" x14ac:dyDescent="0.45">
      <c r="B156" s="2"/>
      <c r="E156" t="str">
        <f>IF(D156="","",VLOOKUP(D156,Roster!$A:$C,2,FALSE))</f>
        <v/>
      </c>
      <c r="F156" t="str">
        <f>IF(D156="","",VLOOKUP(D156,Roster!$A:$C,3,FALSE))</f>
        <v/>
      </c>
      <c r="G156" t="str">
        <f>IF(D156="","",VLOOKUP(D156,Roster!$A:$D,4,FALSE))</f>
        <v/>
      </c>
      <c r="Q156" s="2"/>
    </row>
    <row r="157" spans="2:17" ht="14.25" customHeight="1" x14ac:dyDescent="0.45">
      <c r="B157" s="2"/>
      <c r="E157" t="str">
        <f>IF(D157="","",VLOOKUP(D157,Roster!$A:$C,2,FALSE))</f>
        <v/>
      </c>
      <c r="F157" t="str">
        <f>IF(D157="","",VLOOKUP(D157,Roster!$A:$C,3,FALSE))</f>
        <v/>
      </c>
      <c r="G157" t="str">
        <f>IF(D157="","",VLOOKUP(D157,Roster!$A:$D,4,FALSE))</f>
        <v/>
      </c>
      <c r="Q157" s="2"/>
    </row>
    <row r="158" spans="2:17" ht="14.25" customHeight="1" x14ac:dyDescent="0.45">
      <c r="B158" s="2"/>
      <c r="E158" t="str">
        <f>IF(D158="","",VLOOKUP(D158,Roster!$A:$C,2,FALSE))</f>
        <v/>
      </c>
      <c r="F158" t="str">
        <f>IF(D158="","",VLOOKUP(D158,Roster!$A:$C,3,FALSE))</f>
        <v/>
      </c>
      <c r="G158" t="str">
        <f>IF(D158="","",VLOOKUP(D158,Roster!$A:$D,4,FALSE))</f>
        <v/>
      </c>
      <c r="Q158" s="2"/>
    </row>
    <row r="159" spans="2:17" ht="14.25" customHeight="1" x14ac:dyDescent="0.45">
      <c r="B159" s="2"/>
      <c r="E159" t="str">
        <f>IF(D159="","",VLOOKUP(D159,Roster!$A:$C,2,FALSE))</f>
        <v/>
      </c>
      <c r="F159" t="str">
        <f>IF(D159="","",VLOOKUP(D159,Roster!$A:$C,3,FALSE))</f>
        <v/>
      </c>
      <c r="G159" t="str">
        <f>IF(D159="","",VLOOKUP(D159,Roster!$A:$D,4,FALSE))</f>
        <v/>
      </c>
      <c r="Q159" s="2"/>
    </row>
    <row r="160" spans="2:17" ht="14.25" customHeight="1" x14ac:dyDescent="0.45">
      <c r="B160" s="2"/>
      <c r="E160" t="str">
        <f>IF(D160="","",VLOOKUP(D160,Roster!$A:$C,2,FALSE))</f>
        <v/>
      </c>
      <c r="F160" t="str">
        <f>IF(D160="","",VLOOKUP(D160,Roster!$A:$C,3,FALSE))</f>
        <v/>
      </c>
      <c r="G160" t="str">
        <f>IF(D160="","",VLOOKUP(D160,Roster!$A:$D,4,FALSE))</f>
        <v/>
      </c>
      <c r="Q160" s="2"/>
    </row>
    <row r="161" spans="2:17" ht="14.25" customHeight="1" x14ac:dyDescent="0.45">
      <c r="B161" s="2"/>
      <c r="E161" t="str">
        <f>IF(D161="","",VLOOKUP(D161,Roster!$A:$C,2,FALSE))</f>
        <v/>
      </c>
      <c r="F161" t="str">
        <f>IF(D161="","",VLOOKUP(D161,Roster!$A:$C,3,FALSE))</f>
        <v/>
      </c>
      <c r="G161" t="str">
        <f>IF(D161="","",VLOOKUP(D161,Roster!$A:$D,4,FALSE))</f>
        <v/>
      </c>
      <c r="Q161" s="2"/>
    </row>
    <row r="162" spans="2:17" ht="14.25" customHeight="1" x14ac:dyDescent="0.45">
      <c r="B162" s="2"/>
      <c r="E162" t="str">
        <f>IF(D162="","",VLOOKUP(D162,Roster!$A:$C,2,FALSE))</f>
        <v/>
      </c>
      <c r="F162" t="str">
        <f>IF(D162="","",VLOOKUP(D162,Roster!$A:$C,3,FALSE))</f>
        <v/>
      </c>
      <c r="G162" t="str">
        <f>IF(D162="","",VLOOKUP(D162,Roster!$A:$D,4,FALSE))</f>
        <v/>
      </c>
      <c r="Q162" s="2"/>
    </row>
    <row r="163" spans="2:17" ht="14.25" customHeight="1" x14ac:dyDescent="0.45">
      <c r="B163" s="2"/>
      <c r="E163" t="str">
        <f>IF(D163="","",VLOOKUP(D163,Roster!$A:$C,2,FALSE))</f>
        <v/>
      </c>
      <c r="F163" t="str">
        <f>IF(D163="","",VLOOKUP(D163,Roster!$A:$C,3,FALSE))</f>
        <v/>
      </c>
      <c r="G163" t="str">
        <f>IF(D163="","",VLOOKUP(D163,Roster!$A:$D,4,FALSE))</f>
        <v/>
      </c>
      <c r="Q163" s="2"/>
    </row>
    <row r="164" spans="2:17" ht="14.25" customHeight="1" x14ac:dyDescent="0.45">
      <c r="B164" s="2"/>
      <c r="E164" t="str">
        <f>IF(D164="","",VLOOKUP(D164,Roster!$A:$C,2,FALSE))</f>
        <v/>
      </c>
      <c r="F164" t="str">
        <f>IF(D164="","",VLOOKUP(D164,Roster!$A:$C,3,FALSE))</f>
        <v/>
      </c>
      <c r="G164" t="str">
        <f>IF(D164="","",VLOOKUP(D164,Roster!$A:$D,4,FALSE))</f>
        <v/>
      </c>
      <c r="Q164" s="2"/>
    </row>
    <row r="165" spans="2:17" ht="14.25" customHeight="1" x14ac:dyDescent="0.45">
      <c r="B165" s="2"/>
      <c r="E165" t="str">
        <f>IF(D165="","",VLOOKUP(D165,Roster!$A:$C,2,FALSE))</f>
        <v/>
      </c>
      <c r="F165" t="str">
        <f>IF(D165="","",VLOOKUP(D165,Roster!$A:$C,3,FALSE))</f>
        <v/>
      </c>
      <c r="G165" t="str">
        <f>IF(D165="","",VLOOKUP(D165,Roster!$A:$D,4,FALSE))</f>
        <v/>
      </c>
      <c r="Q165" s="2"/>
    </row>
    <row r="166" spans="2:17" ht="14.25" customHeight="1" x14ac:dyDescent="0.45">
      <c r="B166" s="2"/>
      <c r="E166" t="str">
        <f>IF(D166="","",VLOOKUP(D166,Roster!$A:$C,2,FALSE))</f>
        <v/>
      </c>
      <c r="F166" t="str">
        <f>IF(D166="","",VLOOKUP(D166,Roster!$A:$C,3,FALSE))</f>
        <v/>
      </c>
      <c r="G166" t="str">
        <f>IF(D166="","",VLOOKUP(D166,Roster!$A:$D,4,FALSE))</f>
        <v/>
      </c>
      <c r="Q166" s="2"/>
    </row>
    <row r="167" spans="2:17" ht="14.25" customHeight="1" x14ac:dyDescent="0.45">
      <c r="B167" s="2"/>
      <c r="E167" t="str">
        <f>IF(D167="","",VLOOKUP(D167,Roster!$A:$C,2,FALSE))</f>
        <v/>
      </c>
      <c r="F167" t="str">
        <f>IF(D167="","",VLOOKUP(D167,Roster!$A:$C,3,FALSE))</f>
        <v/>
      </c>
      <c r="G167" t="str">
        <f>IF(D167="","",VLOOKUP(D167,Roster!$A:$D,4,FALSE))</f>
        <v/>
      </c>
      <c r="Q167" s="2"/>
    </row>
    <row r="168" spans="2:17" ht="14.25" customHeight="1" x14ac:dyDescent="0.45">
      <c r="B168" s="2"/>
      <c r="E168" t="str">
        <f>IF(D168="","",VLOOKUP(D168,Roster!$A:$C,2,FALSE))</f>
        <v/>
      </c>
      <c r="F168" t="str">
        <f>IF(D168="","",VLOOKUP(D168,Roster!$A:$C,3,FALSE))</f>
        <v/>
      </c>
      <c r="G168" t="str">
        <f>IF(D168="","",VLOOKUP(D168,Roster!$A:$D,4,FALSE))</f>
        <v/>
      </c>
      <c r="Q168" s="2"/>
    </row>
    <row r="169" spans="2:17" ht="14.25" customHeight="1" x14ac:dyDescent="0.45">
      <c r="B169" s="2"/>
      <c r="E169" t="str">
        <f>IF(D169="","",VLOOKUP(D169,Roster!$A:$C,2,FALSE))</f>
        <v/>
      </c>
      <c r="F169" t="str">
        <f>IF(D169="","",VLOOKUP(D169,Roster!$A:$C,3,FALSE))</f>
        <v/>
      </c>
      <c r="G169" t="str">
        <f>IF(D169="","",VLOOKUP(D169,Roster!$A:$D,4,FALSE))</f>
        <v/>
      </c>
      <c r="Q169" s="2"/>
    </row>
    <row r="170" spans="2:17" ht="14.25" customHeight="1" x14ac:dyDescent="0.45">
      <c r="B170" s="2"/>
      <c r="E170" t="str">
        <f>IF(D170="","",VLOOKUP(D170,Roster!$A:$C,2,FALSE))</f>
        <v/>
      </c>
      <c r="F170" t="str">
        <f>IF(D170="","",VLOOKUP(D170,Roster!$A:$C,3,FALSE))</f>
        <v/>
      </c>
      <c r="G170" t="str">
        <f>IF(D170="","",VLOOKUP(D170,Roster!$A:$D,4,FALSE))</f>
        <v/>
      </c>
      <c r="Q170" s="2"/>
    </row>
    <row r="171" spans="2:17" ht="14.25" customHeight="1" x14ac:dyDescent="0.45">
      <c r="B171" s="2"/>
      <c r="E171" t="str">
        <f>IF(D171="","",VLOOKUP(D171,Roster!$A:$C,2,FALSE))</f>
        <v/>
      </c>
      <c r="F171" t="str">
        <f>IF(D171="","",VLOOKUP(D171,Roster!$A:$C,3,FALSE))</f>
        <v/>
      </c>
      <c r="G171" t="str">
        <f>IF(D171="","",VLOOKUP(D171,Roster!$A:$D,4,FALSE))</f>
        <v/>
      </c>
      <c r="Q171" s="2"/>
    </row>
    <row r="172" spans="2:17" ht="14.25" customHeight="1" x14ac:dyDescent="0.45">
      <c r="B172" s="2"/>
      <c r="E172" t="str">
        <f>IF(D172="","",VLOOKUP(D172,Roster!$A:$C,2,FALSE))</f>
        <v/>
      </c>
      <c r="F172" t="str">
        <f>IF(D172="","",VLOOKUP(D172,Roster!$A:$C,3,FALSE))</f>
        <v/>
      </c>
      <c r="G172" t="str">
        <f>IF(D172="","",VLOOKUP(D172,Roster!$A:$D,4,FALSE))</f>
        <v/>
      </c>
      <c r="Q172" s="2"/>
    </row>
    <row r="173" spans="2:17" ht="14.25" customHeight="1" x14ac:dyDescent="0.45">
      <c r="B173" s="2"/>
      <c r="E173" t="str">
        <f>IF(D173="","",VLOOKUP(D173,Roster!$A:$C,2,FALSE))</f>
        <v/>
      </c>
      <c r="F173" t="str">
        <f>IF(D173="","",VLOOKUP(D173,Roster!$A:$C,3,FALSE))</f>
        <v/>
      </c>
      <c r="G173" t="str">
        <f>IF(D173="","",VLOOKUP(D173,Roster!$A:$D,4,FALSE))</f>
        <v/>
      </c>
      <c r="Q173" s="2"/>
    </row>
    <row r="174" spans="2:17" ht="14.25" customHeight="1" x14ac:dyDescent="0.45">
      <c r="B174" s="2"/>
      <c r="E174" t="str">
        <f>IF(D174="","",VLOOKUP(D174,Roster!$A:$C,2,FALSE))</f>
        <v/>
      </c>
      <c r="F174" t="str">
        <f>IF(D174="","",VLOOKUP(D174,Roster!$A:$C,3,FALSE))</f>
        <v/>
      </c>
      <c r="G174" t="str">
        <f>IF(D174="","",VLOOKUP(D174,Roster!$A:$D,4,FALSE))</f>
        <v/>
      </c>
      <c r="Q174" s="2"/>
    </row>
    <row r="175" spans="2:17" ht="14.25" customHeight="1" x14ac:dyDescent="0.45">
      <c r="B175" s="2"/>
      <c r="E175" t="str">
        <f>IF(D175="","",VLOOKUP(D175,Roster!$A:$C,2,FALSE))</f>
        <v/>
      </c>
      <c r="F175" t="str">
        <f>IF(D175="","",VLOOKUP(D175,Roster!$A:$C,3,FALSE))</f>
        <v/>
      </c>
      <c r="G175" t="str">
        <f>IF(D175="","",VLOOKUP(D175,Roster!$A:$D,4,FALSE))</f>
        <v/>
      </c>
      <c r="Q175" s="2"/>
    </row>
    <row r="176" spans="2:17" ht="14.25" customHeight="1" x14ac:dyDescent="0.45">
      <c r="B176" s="2"/>
      <c r="E176" t="str">
        <f>IF(D176="","",VLOOKUP(D176,Roster!$A:$C,2,FALSE))</f>
        <v/>
      </c>
      <c r="F176" t="str">
        <f>IF(D176="","",VLOOKUP(D176,Roster!$A:$C,3,FALSE))</f>
        <v/>
      </c>
      <c r="G176" t="str">
        <f>IF(D176="","",VLOOKUP(D176,Roster!$A:$D,4,FALSE))</f>
        <v/>
      </c>
      <c r="Q176" s="2"/>
    </row>
    <row r="177" spans="2:17" ht="14.25" customHeight="1" x14ac:dyDescent="0.45">
      <c r="B177" s="2"/>
      <c r="E177" t="str">
        <f>IF(D177="","",VLOOKUP(D177,Roster!$A:$C,2,FALSE))</f>
        <v/>
      </c>
      <c r="F177" t="str">
        <f>IF(D177="","",VLOOKUP(D177,Roster!$A:$C,3,FALSE))</f>
        <v/>
      </c>
      <c r="G177" t="str">
        <f>IF(D177="","",VLOOKUP(D177,Roster!$A:$D,4,FALSE))</f>
        <v/>
      </c>
      <c r="Q177" s="2"/>
    </row>
    <row r="178" spans="2:17" ht="14.25" customHeight="1" x14ac:dyDescent="0.45">
      <c r="B178" s="2"/>
      <c r="E178" t="str">
        <f>IF(D178="","",VLOOKUP(D178,Roster!$A:$C,2,FALSE))</f>
        <v/>
      </c>
      <c r="F178" t="str">
        <f>IF(D178="","",VLOOKUP(D178,Roster!$A:$C,3,FALSE))</f>
        <v/>
      </c>
      <c r="G178" t="str">
        <f>IF(D178="","",VLOOKUP(D178,Roster!$A:$D,4,FALSE))</f>
        <v/>
      </c>
      <c r="Q178" s="2"/>
    </row>
    <row r="179" spans="2:17" ht="14.25" customHeight="1" x14ac:dyDescent="0.45">
      <c r="B179" s="2"/>
      <c r="E179" t="str">
        <f>IF(D179="","",VLOOKUP(D179,Roster!$A:$C,2,FALSE))</f>
        <v/>
      </c>
      <c r="F179" t="str">
        <f>IF(D179="","",VLOOKUP(D179,Roster!$A:$C,3,FALSE))</f>
        <v/>
      </c>
      <c r="G179" t="str">
        <f>IF(D179="","",VLOOKUP(D179,Roster!$A:$D,4,FALSE))</f>
        <v/>
      </c>
      <c r="Q179" s="2"/>
    </row>
    <row r="180" spans="2:17" ht="14.25" customHeight="1" x14ac:dyDescent="0.45">
      <c r="B180" s="2"/>
      <c r="E180" t="str">
        <f>IF(D180="","",VLOOKUP(D180,Roster!$A:$C,2,FALSE))</f>
        <v/>
      </c>
      <c r="F180" t="str">
        <f>IF(D180="","",VLOOKUP(D180,Roster!$A:$C,3,FALSE))</f>
        <v/>
      </c>
      <c r="G180" t="str">
        <f>IF(D180="","",VLOOKUP(D180,Roster!$A:$D,4,FALSE))</f>
        <v/>
      </c>
      <c r="Q180" s="2"/>
    </row>
    <row r="181" spans="2:17" ht="14.25" customHeight="1" x14ac:dyDescent="0.45">
      <c r="B181" s="2"/>
      <c r="E181" t="str">
        <f>IF(D181="","",VLOOKUP(D181,Roster!$A:$C,2,FALSE))</f>
        <v/>
      </c>
      <c r="F181" t="str">
        <f>IF(D181="","",VLOOKUP(D181,Roster!$A:$C,3,FALSE))</f>
        <v/>
      </c>
      <c r="G181" t="str">
        <f>IF(D181="","",VLOOKUP(D181,Roster!$A:$D,4,FALSE))</f>
        <v/>
      </c>
      <c r="Q181" s="2"/>
    </row>
    <row r="182" spans="2:17" ht="14.25" customHeight="1" x14ac:dyDescent="0.45">
      <c r="B182" s="2"/>
      <c r="E182" t="str">
        <f>IF(D182="","",VLOOKUP(D182,Roster!$A:$C,2,FALSE))</f>
        <v/>
      </c>
      <c r="F182" t="str">
        <f>IF(D182="","",VLOOKUP(D182,Roster!$A:$C,3,FALSE))</f>
        <v/>
      </c>
      <c r="G182" t="str">
        <f>IF(D182="","",VLOOKUP(D182,Roster!$A:$D,4,FALSE))</f>
        <v/>
      </c>
      <c r="Q182" s="2"/>
    </row>
    <row r="183" spans="2:17" ht="14.25" customHeight="1" x14ac:dyDescent="0.45">
      <c r="B183" s="2"/>
      <c r="E183" t="str">
        <f>IF(D183="","",VLOOKUP(D183,Roster!$A:$C,2,FALSE))</f>
        <v/>
      </c>
      <c r="F183" t="str">
        <f>IF(D183="","",VLOOKUP(D183,Roster!$A:$C,3,FALSE))</f>
        <v/>
      </c>
      <c r="G183" t="str">
        <f>IF(D183="","",VLOOKUP(D183,Roster!$A:$D,4,FALSE))</f>
        <v/>
      </c>
      <c r="Q183" s="2"/>
    </row>
    <row r="184" spans="2:17" ht="14.25" customHeight="1" x14ac:dyDescent="0.45">
      <c r="B184" s="2"/>
      <c r="E184" t="str">
        <f>IF(D184="","",VLOOKUP(D184,Roster!$A:$C,2,FALSE))</f>
        <v/>
      </c>
      <c r="F184" t="str">
        <f>IF(D184="","",VLOOKUP(D184,Roster!$A:$C,3,FALSE))</f>
        <v/>
      </c>
      <c r="G184" t="str">
        <f>IF(D184="","",VLOOKUP(D184,Roster!$A:$D,4,FALSE))</f>
        <v/>
      </c>
      <c r="Q184" s="2"/>
    </row>
    <row r="185" spans="2:17" ht="14.25" customHeight="1" x14ac:dyDescent="0.45">
      <c r="B185" s="2"/>
      <c r="E185" t="str">
        <f>IF(D185="","",VLOOKUP(D185,Roster!$A:$C,2,FALSE))</f>
        <v/>
      </c>
      <c r="F185" t="str">
        <f>IF(D185="","",VLOOKUP(D185,Roster!$A:$C,3,FALSE))</f>
        <v/>
      </c>
      <c r="G185" t="str">
        <f>IF(D185="","",VLOOKUP(D185,Roster!$A:$D,4,FALSE))</f>
        <v/>
      </c>
      <c r="Q185" s="2"/>
    </row>
    <row r="186" spans="2:17" ht="14.25" customHeight="1" x14ac:dyDescent="0.45">
      <c r="B186" s="2"/>
      <c r="E186" t="str">
        <f>IF(D186="","",VLOOKUP(D186,Roster!$A:$C,2,FALSE))</f>
        <v/>
      </c>
      <c r="F186" t="str">
        <f>IF(D186="","",VLOOKUP(D186,Roster!$A:$C,3,FALSE))</f>
        <v/>
      </c>
      <c r="G186" t="str">
        <f>IF(D186="","",VLOOKUP(D186,Roster!$A:$D,4,FALSE))</f>
        <v/>
      </c>
      <c r="Q186" s="2"/>
    </row>
    <row r="187" spans="2:17" ht="14.25" customHeight="1" x14ac:dyDescent="0.45">
      <c r="B187" s="2"/>
      <c r="E187" t="str">
        <f>IF(D187="","",VLOOKUP(D187,Roster!$A:$C,2,FALSE))</f>
        <v/>
      </c>
      <c r="F187" t="str">
        <f>IF(D187="","",VLOOKUP(D187,Roster!$A:$C,3,FALSE))</f>
        <v/>
      </c>
      <c r="G187" t="str">
        <f>IF(D187="","",VLOOKUP(D187,Roster!$A:$D,4,FALSE))</f>
        <v/>
      </c>
      <c r="Q187" s="2"/>
    </row>
    <row r="188" spans="2:17" ht="14.25" customHeight="1" x14ac:dyDescent="0.45">
      <c r="B188" s="2"/>
      <c r="E188" t="str">
        <f>IF(D188="","",VLOOKUP(D188,Roster!$A:$C,2,FALSE))</f>
        <v/>
      </c>
      <c r="F188" t="str">
        <f>IF(D188="","",VLOOKUP(D188,Roster!$A:$C,3,FALSE))</f>
        <v/>
      </c>
      <c r="G188" t="str">
        <f>IF(D188="","",VLOOKUP(D188,Roster!$A:$D,4,FALSE))</f>
        <v/>
      </c>
      <c r="Q188" s="2"/>
    </row>
    <row r="189" spans="2:17" ht="14.25" customHeight="1" x14ac:dyDescent="0.45">
      <c r="B189" s="2"/>
      <c r="E189" t="str">
        <f>IF(D189="","",VLOOKUP(D189,Roster!$A:$C,2,FALSE))</f>
        <v/>
      </c>
      <c r="F189" t="str">
        <f>IF(D189="","",VLOOKUP(D189,Roster!$A:$C,3,FALSE))</f>
        <v/>
      </c>
      <c r="G189" t="str">
        <f>IF(D189="","",VLOOKUP(D189,Roster!$A:$D,4,FALSE))</f>
        <v/>
      </c>
      <c r="Q189" s="2"/>
    </row>
    <row r="190" spans="2:17" ht="14.25" customHeight="1" x14ac:dyDescent="0.45">
      <c r="B190" s="2"/>
      <c r="E190" t="str">
        <f>IF(D190="","",VLOOKUP(D190,Roster!$A:$C,2,FALSE))</f>
        <v/>
      </c>
      <c r="F190" t="str">
        <f>IF(D190="","",VLOOKUP(D190,Roster!$A:$C,3,FALSE))</f>
        <v/>
      </c>
      <c r="G190" t="str">
        <f>IF(D190="","",VLOOKUP(D190,Roster!$A:$D,4,FALSE))</f>
        <v/>
      </c>
      <c r="Q190" s="2"/>
    </row>
    <row r="191" spans="2:17" ht="14.25" customHeight="1" x14ac:dyDescent="0.45">
      <c r="B191" s="2"/>
      <c r="E191" t="str">
        <f>IF(D191="","",VLOOKUP(D191,Roster!$A:$C,2,FALSE))</f>
        <v/>
      </c>
      <c r="F191" t="str">
        <f>IF(D191="","",VLOOKUP(D191,Roster!$A:$C,3,FALSE))</f>
        <v/>
      </c>
      <c r="G191" t="str">
        <f>IF(D191="","",VLOOKUP(D191,Roster!$A:$D,4,FALSE))</f>
        <v/>
      </c>
      <c r="Q191" s="2"/>
    </row>
    <row r="192" spans="2:17" ht="14.25" customHeight="1" x14ac:dyDescent="0.45">
      <c r="B192" s="2"/>
      <c r="E192" t="str">
        <f>IF(D192="","",VLOOKUP(D192,Roster!$A:$C,2,FALSE))</f>
        <v/>
      </c>
      <c r="F192" t="str">
        <f>IF(D192="","",VLOOKUP(D192,Roster!$A:$C,3,FALSE))</f>
        <v/>
      </c>
      <c r="G192" t="str">
        <f>IF(D192="","",VLOOKUP(D192,Roster!$A:$D,4,FALSE))</f>
        <v/>
      </c>
      <c r="Q192" s="2"/>
    </row>
    <row r="193" spans="2:17" ht="14.25" customHeight="1" x14ac:dyDescent="0.45">
      <c r="B193" s="2"/>
      <c r="E193" t="str">
        <f>IF(D193="","",VLOOKUP(D193,Roster!$A:$C,2,FALSE))</f>
        <v/>
      </c>
      <c r="F193" t="str">
        <f>IF(D193="","",VLOOKUP(D193,Roster!$A:$C,3,FALSE))</f>
        <v/>
      </c>
      <c r="G193" t="str">
        <f>IF(D193="","",VLOOKUP(D193,Roster!$A:$D,4,FALSE))</f>
        <v/>
      </c>
      <c r="Q193" s="2"/>
    </row>
    <row r="194" spans="2:17" ht="14.25" customHeight="1" x14ac:dyDescent="0.45">
      <c r="B194" s="2"/>
      <c r="E194" t="str">
        <f>IF(D194="","",VLOOKUP(D194,Roster!$A:$C,2,FALSE))</f>
        <v/>
      </c>
      <c r="F194" t="str">
        <f>IF(D194="","",VLOOKUP(D194,Roster!$A:$C,3,FALSE))</f>
        <v/>
      </c>
      <c r="G194" t="str">
        <f>IF(D194="","",VLOOKUP(D194,Roster!$A:$D,4,FALSE))</f>
        <v/>
      </c>
      <c r="Q194" s="2"/>
    </row>
    <row r="195" spans="2:17" ht="14.25" customHeight="1" x14ac:dyDescent="0.45">
      <c r="B195" s="2"/>
      <c r="E195" t="str">
        <f>IF(D195="","",VLOOKUP(D195,Roster!$A:$C,2,FALSE))</f>
        <v/>
      </c>
      <c r="F195" t="str">
        <f>IF(D195="","",VLOOKUP(D195,Roster!$A:$C,3,FALSE))</f>
        <v/>
      </c>
      <c r="G195" t="str">
        <f>IF(D195="","",VLOOKUP(D195,Roster!$A:$D,4,FALSE))</f>
        <v/>
      </c>
      <c r="Q195" s="2"/>
    </row>
    <row r="196" spans="2:17" ht="14.25" customHeight="1" x14ac:dyDescent="0.45">
      <c r="B196" s="2"/>
      <c r="E196" t="str">
        <f>IF(D196="","",VLOOKUP(D196,Roster!$A:$C,2,FALSE))</f>
        <v/>
      </c>
      <c r="F196" t="str">
        <f>IF(D196="","",VLOOKUP(D196,Roster!$A:$C,3,FALSE))</f>
        <v/>
      </c>
      <c r="G196" t="str">
        <f>IF(D196="","",VLOOKUP(D196,Roster!$A:$D,4,FALSE))</f>
        <v/>
      </c>
      <c r="Q196" s="2"/>
    </row>
    <row r="197" spans="2:17" ht="14.25" customHeight="1" x14ac:dyDescent="0.45">
      <c r="B197" s="2"/>
      <c r="E197" t="str">
        <f>IF(D197="","",VLOOKUP(D197,Roster!$A:$C,2,FALSE))</f>
        <v/>
      </c>
      <c r="F197" t="str">
        <f>IF(D197="","",VLOOKUP(D197,Roster!$A:$C,3,FALSE))</f>
        <v/>
      </c>
      <c r="G197" t="str">
        <f>IF(D197="","",VLOOKUP(D197,Roster!$A:$D,4,FALSE))</f>
        <v/>
      </c>
      <c r="Q197" s="2"/>
    </row>
    <row r="198" spans="2:17" ht="14.25" customHeight="1" x14ac:dyDescent="0.45">
      <c r="B198" s="2"/>
      <c r="E198" t="str">
        <f>IF(D198="","",VLOOKUP(D198,Roster!$A:$C,2,FALSE))</f>
        <v/>
      </c>
      <c r="F198" t="str">
        <f>IF(D198="","",VLOOKUP(D198,Roster!$A:$C,3,FALSE))</f>
        <v/>
      </c>
      <c r="G198" t="str">
        <f>IF(D198="","",VLOOKUP(D198,Roster!$A:$D,4,FALSE))</f>
        <v/>
      </c>
      <c r="Q198" s="2"/>
    </row>
    <row r="199" spans="2:17" ht="14.25" customHeight="1" x14ac:dyDescent="0.45">
      <c r="B199" s="2"/>
      <c r="E199" t="str">
        <f>IF(D199="","",VLOOKUP(D199,Roster!$A:$C,2,FALSE))</f>
        <v/>
      </c>
      <c r="F199" t="str">
        <f>IF(D199="","",VLOOKUP(D199,Roster!$A:$C,3,FALSE))</f>
        <v/>
      </c>
      <c r="G199" t="str">
        <f>IF(D199="","",VLOOKUP(D199,Roster!$A:$D,4,FALSE))</f>
        <v/>
      </c>
      <c r="Q199" s="2"/>
    </row>
    <row r="200" spans="2:17" ht="14.25" customHeight="1" x14ac:dyDescent="0.45">
      <c r="B200" s="2"/>
      <c r="E200" t="str">
        <f>IF(D200="","",VLOOKUP(D200,Roster!$A:$C,2,FALSE))</f>
        <v/>
      </c>
      <c r="F200" t="str">
        <f>IF(D200="","",VLOOKUP(D200,Roster!$A:$C,3,FALSE))</f>
        <v/>
      </c>
      <c r="G200" t="str">
        <f>IF(D200="","",VLOOKUP(D200,Roster!$A:$D,4,FALSE))</f>
        <v/>
      </c>
      <c r="Q200" s="2"/>
    </row>
    <row r="201" spans="2:17" ht="14.25" customHeight="1" x14ac:dyDescent="0.45">
      <c r="B201" s="2"/>
      <c r="E201" t="str">
        <f>IF(D201="","",VLOOKUP(D201,Roster!$A:$C,2,FALSE))</f>
        <v/>
      </c>
      <c r="F201" t="str">
        <f>IF(D201="","",VLOOKUP(D201,Roster!$A:$C,3,FALSE))</f>
        <v/>
      </c>
      <c r="G201" t="str">
        <f>IF(D201="","",VLOOKUP(D201,Roster!$A:$D,4,FALSE))</f>
        <v/>
      </c>
      <c r="Q201" s="2"/>
    </row>
    <row r="202" spans="2:17" ht="14.25" customHeight="1" x14ac:dyDescent="0.45">
      <c r="B202" s="2"/>
      <c r="E202" t="str">
        <f>IF(D202="","",VLOOKUP(D202,Roster!$A:$C,2,FALSE))</f>
        <v/>
      </c>
      <c r="F202" t="str">
        <f>IF(D202="","",VLOOKUP(D202,Roster!$A:$C,3,FALSE))</f>
        <v/>
      </c>
      <c r="G202" t="str">
        <f>IF(D202="","",VLOOKUP(D202,Roster!$A:$D,4,FALSE))</f>
        <v/>
      </c>
      <c r="Q202" s="2"/>
    </row>
  </sheetData>
  <mergeCells count="1">
    <mergeCell ref="A1:S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200-000000000000}">
          <x14:formula1>
            <xm:f>Lists!$B$2:$B$12</xm:f>
          </x14:formula1>
          <xm:sqref>H3:H202</xm:sqref>
        </x14:dataValidation>
        <x14:dataValidation type="list" allowBlank="1" xr:uid="{00000000-0002-0000-0200-000001000000}">
          <x14:formula1>
            <xm:f>Lists!$C$2:$C$13</xm:f>
          </x14:formula1>
          <xm:sqref>I3:I202</xm:sqref>
        </x14:dataValidation>
        <x14:dataValidation type="list" allowBlank="1" xr:uid="{00000000-0002-0000-0200-000002000000}">
          <x14:formula1>
            <xm:f>Lists!$J$2:$J$3</xm:f>
          </x14:formula1>
          <xm:sqref>K3:M202 R3:R202</xm:sqref>
        </x14:dataValidation>
        <x14:dataValidation type="list" allowBlank="1" xr:uid="{00000000-0002-0000-0200-000003000000}">
          <x14:formula1>
            <xm:f>Lists!$E$2:$E$12</xm:f>
          </x14:formula1>
          <xm:sqref>N3:N202</xm:sqref>
        </x14:dataValidation>
        <x14:dataValidation type="list" allowBlank="1" xr:uid="{00000000-0002-0000-0200-000004000000}">
          <x14:formula1>
            <xm:f>Lists!$L$2:$L$4</xm:f>
          </x14:formula1>
          <xm:sqref>P3:P202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02"/>
  <sheetViews>
    <sheetView zoomScaleNormal="100" workbookViewId="0"/>
  </sheetViews>
  <sheetFormatPr defaultRowHeight="15" customHeight="1" x14ac:dyDescent="0.45"/>
  <cols>
    <col min="1" max="2" width="15" customWidth="1"/>
    <col min="3" max="4" width="18.33203125" customWidth="1"/>
    <col min="5" max="5" width="15" customWidth="1"/>
    <col min="6" max="6" width="20" customWidth="1"/>
    <col min="7" max="7" width="16.6640625" customWidth="1"/>
    <col min="8" max="8" width="20" customWidth="1"/>
    <col min="9" max="9" width="16.6640625" customWidth="1"/>
    <col min="10" max="10" width="18.33203125" customWidth="1"/>
    <col min="11" max="11" width="13.33203125" customWidth="1"/>
    <col min="12" max="12" width="16.6640625" customWidth="1"/>
    <col min="13" max="14" width="20" customWidth="1"/>
    <col min="15" max="15" width="18.33203125" customWidth="1"/>
    <col min="16" max="16" width="26.6640625" customWidth="1"/>
    <col min="17" max="17" width="21.6640625" customWidth="1"/>
    <col min="18" max="19" width="13.33203125" customWidth="1"/>
    <col min="20" max="20" width="30" customWidth="1"/>
    <col min="21" max="21" width="21.6640625" customWidth="1"/>
    <col min="22" max="22" width="33.33203125" customWidth="1"/>
    <col min="23" max="23" width="13" hidden="1" customWidth="1"/>
  </cols>
  <sheetData>
    <row r="1" spans="1:23" ht="14.25" customHeight="1" x14ac:dyDescent="0.45">
      <c r="A1" s="4" t="s">
        <v>121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3" ht="14.25" customHeight="1" x14ac:dyDescent="0.45">
      <c r="A2" t="s">
        <v>122</v>
      </c>
      <c r="B2" t="s">
        <v>30</v>
      </c>
      <c r="C2" t="s">
        <v>84</v>
      </c>
      <c r="D2" t="s">
        <v>85</v>
      </c>
      <c r="E2" t="s">
        <v>81</v>
      </c>
      <c r="F2" t="s">
        <v>123</v>
      </c>
      <c r="G2" t="s">
        <v>124</v>
      </c>
      <c r="H2" t="s">
        <v>125</v>
      </c>
      <c r="I2" t="s">
        <v>126</v>
      </c>
      <c r="J2" t="s">
        <v>45</v>
      </c>
      <c r="K2" t="s">
        <v>127</v>
      </c>
      <c r="L2" t="s">
        <v>128</v>
      </c>
      <c r="M2" t="s">
        <v>129</v>
      </c>
      <c r="N2" t="s">
        <v>130</v>
      </c>
      <c r="O2" t="s">
        <v>131</v>
      </c>
      <c r="P2" t="s">
        <v>132</v>
      </c>
      <c r="Q2" t="s">
        <v>133</v>
      </c>
      <c r="R2" t="s">
        <v>134</v>
      </c>
      <c r="S2" t="s">
        <v>135</v>
      </c>
      <c r="T2" t="s">
        <v>136</v>
      </c>
      <c r="U2" t="s">
        <v>137</v>
      </c>
      <c r="V2" t="s">
        <v>98</v>
      </c>
      <c r="W2" t="s">
        <v>138</v>
      </c>
    </row>
    <row r="3" spans="1:23" ht="15" customHeight="1" x14ac:dyDescent="0.5">
      <c r="A3" t="s">
        <v>139</v>
      </c>
      <c r="B3" t="s">
        <v>48</v>
      </c>
      <c r="C3" t="str">
        <f>IF(B3="","",VLOOKUP(B3,Roster!$A:$C,2,FALSE))</f>
        <v>Ramirez</v>
      </c>
      <c r="D3" t="str">
        <f>IF(B3="","",VLOOKUP(B3,Roster!$A:$C,3,FALSE))</f>
        <v>Carlos</v>
      </c>
      <c r="E3" t="s">
        <v>99</v>
      </c>
      <c r="F3" s="1">
        <v>46042</v>
      </c>
      <c r="G3" s="3">
        <v>45</v>
      </c>
      <c r="H3" s="2">
        <f t="shared" ref="H3:H34" si="0">IF(F3="","",F3+G3)</f>
        <v>46087</v>
      </c>
      <c r="I3" s="1">
        <f t="shared" ref="I3:I34" ca="1" si="1">IF(F3="","",IF(O3&lt;&gt;"",O3-F3,TODAY()-F3))</f>
        <v>175</v>
      </c>
      <c r="J3" s="3">
        <f t="shared" ref="J3:J34" ca="1" si="2">IF(F3="","",MAX(0,IF(K3="Yes",M3,G3)-I3))</f>
        <v>0</v>
      </c>
      <c r="K3" t="s">
        <v>56</v>
      </c>
      <c r="L3" s="3"/>
      <c r="M3" s="3">
        <f t="shared" ref="M3:M34" si="3">IF(K3="Yes",G3+L3,G3)</f>
        <v>45</v>
      </c>
      <c r="N3" s="2">
        <f t="shared" ref="N3:N34" si="4">IF(F3="","",F3+M3)</f>
        <v>46087</v>
      </c>
      <c r="O3" s="2"/>
      <c r="Q3" t="s">
        <v>52</v>
      </c>
      <c r="R3" t="str">
        <f>IF(B3="","",VLOOKUP(B3,Roster!$A:$K,10,FALSE))</f>
        <v>Yes</v>
      </c>
      <c r="S3" t="str">
        <f>IF(B3="","",VLOOKUP(B3,Roster!$A:$K,11,FALSE))</f>
        <v>No</v>
      </c>
      <c r="T3" t="str">
        <f t="shared" ref="T3:T34" si="5">IF(B3="","",IF(OR(R3="Yes",S3="Yes"),"Yes — MDR Required","No"))</f>
        <v>Yes — MDR Required</v>
      </c>
      <c r="U3" t="s">
        <v>140</v>
      </c>
      <c r="V3" t="s">
        <v>141</v>
      </c>
      <c r="W3">
        <f>IF(OR(B3="",O3&lt;&gt;""),"",COUNTIFS(B$3:B3,"&lt;&gt;",O$3:O3,""))</f>
        <v>1</v>
      </c>
    </row>
    <row r="4" spans="1:23" ht="15" customHeight="1" x14ac:dyDescent="0.5">
      <c r="A4" t="s">
        <v>142</v>
      </c>
      <c r="B4" t="s">
        <v>59</v>
      </c>
      <c r="C4" t="str">
        <f>IF(B4="","",VLOOKUP(B4,Roster!$A:$C,2,FALSE))</f>
        <v>Johnson</v>
      </c>
      <c r="D4" t="str">
        <f>IF(B4="","",VLOOKUP(B4,Roster!$A:$C,3,FALSE))</f>
        <v>Destiny</v>
      </c>
      <c r="E4" t="s">
        <v>106</v>
      </c>
      <c r="F4" s="1">
        <v>46062</v>
      </c>
      <c r="G4" s="3">
        <v>60</v>
      </c>
      <c r="H4" s="2">
        <f t="shared" si="0"/>
        <v>46122</v>
      </c>
      <c r="I4" s="1">
        <f t="shared" ca="1" si="1"/>
        <v>155</v>
      </c>
      <c r="J4" s="3">
        <f t="shared" ca="1" si="2"/>
        <v>0</v>
      </c>
      <c r="K4" t="s">
        <v>56</v>
      </c>
      <c r="L4" s="3"/>
      <c r="M4" s="3">
        <f t="shared" si="3"/>
        <v>60</v>
      </c>
      <c r="N4" s="2">
        <f t="shared" si="4"/>
        <v>46122</v>
      </c>
      <c r="O4" s="2"/>
      <c r="Q4" t="s">
        <v>63</v>
      </c>
      <c r="R4" t="str">
        <f>IF(B4="","",VLOOKUP(B4,Roster!$A:$K,10,FALSE))</f>
        <v>No</v>
      </c>
      <c r="S4" t="str">
        <f>IF(B4="","",VLOOKUP(B4,Roster!$A:$K,11,FALSE))</f>
        <v>No</v>
      </c>
      <c r="T4" t="str">
        <f t="shared" si="5"/>
        <v>No</v>
      </c>
      <c r="U4" t="s">
        <v>140</v>
      </c>
      <c r="W4">
        <f>IF(OR(B4="",O4&lt;&gt;""),"",COUNTIFS(B$3:B4,"&lt;&gt;",O$3:O4,""))</f>
        <v>2</v>
      </c>
    </row>
    <row r="5" spans="1:23" ht="15" customHeight="1" x14ac:dyDescent="0.5">
      <c r="A5" t="s">
        <v>143</v>
      </c>
      <c r="B5" t="s">
        <v>64</v>
      </c>
      <c r="C5" t="str">
        <f>IF(B5="","",VLOOKUP(B5,Roster!$A:$C,2,FALSE))</f>
        <v>Williams</v>
      </c>
      <c r="D5" t="str">
        <f>IF(B5="","",VLOOKUP(B5,Roster!$A:$C,3,FALSE))</f>
        <v>Marcus</v>
      </c>
      <c r="E5" t="s">
        <v>110</v>
      </c>
      <c r="F5" s="1">
        <v>45978</v>
      </c>
      <c r="G5" s="3">
        <v>30</v>
      </c>
      <c r="H5" s="2">
        <f t="shared" si="0"/>
        <v>46008</v>
      </c>
      <c r="I5" s="1">
        <f t="shared" ca="1" si="1"/>
        <v>60</v>
      </c>
      <c r="J5" s="3">
        <f t="shared" ca="1" si="2"/>
        <v>0</v>
      </c>
      <c r="K5" t="s">
        <v>56</v>
      </c>
      <c r="L5" s="3"/>
      <c r="M5" s="3">
        <f t="shared" si="3"/>
        <v>30</v>
      </c>
      <c r="N5" s="2">
        <f t="shared" si="4"/>
        <v>46008</v>
      </c>
      <c r="O5" s="2">
        <v>46038</v>
      </c>
      <c r="P5" t="s">
        <v>144</v>
      </c>
      <c r="Q5" t="s">
        <v>52</v>
      </c>
      <c r="R5" t="str">
        <f>IF(B5="","",VLOOKUP(B5,Roster!$A:$K,10,FALSE))</f>
        <v>Yes</v>
      </c>
      <c r="S5" t="str">
        <f>IF(B5="","",VLOOKUP(B5,Roster!$A:$K,11,FALSE))</f>
        <v>No</v>
      </c>
      <c r="T5" t="str">
        <f t="shared" si="5"/>
        <v>Yes — MDR Required</v>
      </c>
      <c r="U5" t="s">
        <v>140</v>
      </c>
      <c r="W5" t="str">
        <f>IF(OR(B5="",O5&lt;&gt;""),"",COUNTIFS(B$3:B5,"&lt;&gt;",O$3:O5,""))</f>
        <v/>
      </c>
    </row>
    <row r="6" spans="1:23" ht="15" customHeight="1" x14ac:dyDescent="0.5">
      <c r="A6" t="s">
        <v>145</v>
      </c>
      <c r="B6" t="s">
        <v>71</v>
      </c>
      <c r="C6" t="str">
        <f>IF(B6="","",VLOOKUP(B6,Roster!$A:$C,2,FALSE))</f>
        <v>Nguyen</v>
      </c>
      <c r="D6" t="str">
        <f>IF(B6="","",VLOOKUP(B6,Roster!$A:$C,3,FALSE))</f>
        <v>Amy</v>
      </c>
      <c r="E6" t="s">
        <v>114</v>
      </c>
      <c r="F6" s="1">
        <v>46083</v>
      </c>
      <c r="G6" s="3">
        <v>30</v>
      </c>
      <c r="H6" s="2">
        <f t="shared" si="0"/>
        <v>46113</v>
      </c>
      <c r="I6" s="1">
        <f t="shared" ca="1" si="1"/>
        <v>134</v>
      </c>
      <c r="J6" s="3">
        <f t="shared" ca="1" si="2"/>
        <v>0</v>
      </c>
      <c r="K6" t="s">
        <v>56</v>
      </c>
      <c r="L6" s="3"/>
      <c r="M6" s="3">
        <f t="shared" si="3"/>
        <v>30</v>
      </c>
      <c r="N6" s="2">
        <f t="shared" si="4"/>
        <v>46113</v>
      </c>
      <c r="O6" s="2"/>
      <c r="Q6" t="s">
        <v>63</v>
      </c>
      <c r="R6" t="str">
        <f>IF(B6="","",VLOOKUP(B6,Roster!$A:$K,10,FALSE))</f>
        <v>No</v>
      </c>
      <c r="S6" t="str">
        <f>IF(B6="","",VLOOKUP(B6,Roster!$A:$K,11,FALSE))</f>
        <v>Yes</v>
      </c>
      <c r="T6" t="str">
        <f t="shared" si="5"/>
        <v>Yes — MDR Required</v>
      </c>
      <c r="U6" t="s">
        <v>140</v>
      </c>
      <c r="W6">
        <f>IF(OR(B6="",O6&lt;&gt;""),"",COUNTIFS(B$3:B6,"&lt;&gt;",O$3:O6,""))</f>
        <v>3</v>
      </c>
    </row>
    <row r="7" spans="1:23" ht="14.25" customHeight="1" x14ac:dyDescent="0.45">
      <c r="C7" t="str">
        <f>IF(B7="","",VLOOKUP(B7,Roster!$A:$C,2,FALSE))</f>
        <v/>
      </c>
      <c r="D7" t="str">
        <f>IF(B7="","",VLOOKUP(B7,Roster!$A:$C,3,FALSE))</f>
        <v/>
      </c>
      <c r="F7" s="2"/>
      <c r="G7" s="3"/>
      <c r="H7" s="2" t="str">
        <f t="shared" si="0"/>
        <v/>
      </c>
      <c r="I7" s="3" t="str">
        <f t="shared" ca="1" si="1"/>
        <v/>
      </c>
      <c r="J7" s="3" t="str">
        <f t="shared" si="2"/>
        <v/>
      </c>
      <c r="L7" s="3"/>
      <c r="M7" s="3">
        <f t="shared" si="3"/>
        <v>0</v>
      </c>
      <c r="N7" s="2" t="str">
        <f t="shared" si="4"/>
        <v/>
      </c>
      <c r="O7" s="2"/>
      <c r="R7" t="str">
        <f>IF(B7="","",VLOOKUP(B7,Roster!$A:$K,10,FALSE))</f>
        <v/>
      </c>
      <c r="S7" t="str">
        <f>IF(B7="","",VLOOKUP(B7,Roster!$A:$K,11,FALSE))</f>
        <v/>
      </c>
      <c r="T7" t="str">
        <f t="shared" si="5"/>
        <v/>
      </c>
      <c r="W7" t="str">
        <f>IF(OR(B7="",O7&lt;&gt;""),"",COUNTIFS(B$3:B7,"&lt;&gt;",O$3:O7,""))</f>
        <v/>
      </c>
    </row>
    <row r="8" spans="1:23" ht="14.25" customHeight="1" x14ac:dyDescent="0.45">
      <c r="C8" t="str">
        <f>IF(B8="","",VLOOKUP(B8,Roster!$A:$C,2,FALSE))</f>
        <v/>
      </c>
      <c r="D8" t="str">
        <f>IF(B8="","",VLOOKUP(B8,Roster!$A:$C,3,FALSE))</f>
        <v/>
      </c>
      <c r="F8" s="2"/>
      <c r="G8" s="3"/>
      <c r="H8" s="2" t="str">
        <f t="shared" si="0"/>
        <v/>
      </c>
      <c r="I8" s="3" t="str">
        <f t="shared" ca="1" si="1"/>
        <v/>
      </c>
      <c r="J8" s="3" t="str">
        <f t="shared" si="2"/>
        <v/>
      </c>
      <c r="L8" s="3"/>
      <c r="M8" s="3">
        <f t="shared" si="3"/>
        <v>0</v>
      </c>
      <c r="N8" s="2" t="str">
        <f t="shared" si="4"/>
        <v/>
      </c>
      <c r="O8" s="2"/>
      <c r="R8" t="str">
        <f>IF(B8="","",VLOOKUP(B8,Roster!$A:$K,10,FALSE))</f>
        <v/>
      </c>
      <c r="S8" t="str">
        <f>IF(B8="","",VLOOKUP(B8,Roster!$A:$K,11,FALSE))</f>
        <v/>
      </c>
      <c r="T8" t="str">
        <f t="shared" si="5"/>
        <v/>
      </c>
      <c r="W8" t="str">
        <f>IF(OR(B8="",O8&lt;&gt;""),"",COUNTIFS(B$3:B8,"&lt;&gt;",O$3:O8,""))</f>
        <v/>
      </c>
    </row>
    <row r="9" spans="1:23" ht="14.25" customHeight="1" x14ac:dyDescent="0.45">
      <c r="C9" t="str">
        <f>IF(B9="","",VLOOKUP(B9,Roster!$A:$C,2,FALSE))</f>
        <v/>
      </c>
      <c r="D9" t="str">
        <f>IF(B9="","",VLOOKUP(B9,Roster!$A:$C,3,FALSE))</f>
        <v/>
      </c>
      <c r="F9" s="2"/>
      <c r="G9" s="3"/>
      <c r="H9" s="2" t="str">
        <f t="shared" si="0"/>
        <v/>
      </c>
      <c r="I9" s="3" t="str">
        <f t="shared" ca="1" si="1"/>
        <v/>
      </c>
      <c r="J9" s="3" t="str">
        <f t="shared" si="2"/>
        <v/>
      </c>
      <c r="L9" s="3"/>
      <c r="M9" s="3">
        <f t="shared" si="3"/>
        <v>0</v>
      </c>
      <c r="N9" s="2" t="str">
        <f t="shared" si="4"/>
        <v/>
      </c>
      <c r="O9" s="2"/>
      <c r="R9" t="str">
        <f>IF(B9="","",VLOOKUP(B9,Roster!$A:$K,10,FALSE))</f>
        <v/>
      </c>
      <c r="S9" t="str">
        <f>IF(B9="","",VLOOKUP(B9,Roster!$A:$K,11,FALSE))</f>
        <v/>
      </c>
      <c r="T9" t="str">
        <f t="shared" si="5"/>
        <v/>
      </c>
      <c r="W9" t="str">
        <f>IF(OR(B9="",O9&lt;&gt;""),"",COUNTIFS(B$3:B9,"&lt;&gt;",O$3:O9,""))</f>
        <v/>
      </c>
    </row>
    <row r="10" spans="1:23" ht="14.25" customHeight="1" x14ac:dyDescent="0.45">
      <c r="C10" t="str">
        <f>IF(B10="","",VLOOKUP(B10,Roster!$A:$C,2,FALSE))</f>
        <v/>
      </c>
      <c r="D10" t="str">
        <f>IF(B10="","",VLOOKUP(B10,Roster!$A:$C,3,FALSE))</f>
        <v/>
      </c>
      <c r="F10" s="2"/>
      <c r="G10" s="3"/>
      <c r="H10" s="2" t="str">
        <f t="shared" si="0"/>
        <v/>
      </c>
      <c r="I10" s="3" t="str">
        <f t="shared" ca="1" si="1"/>
        <v/>
      </c>
      <c r="J10" s="3" t="str">
        <f t="shared" si="2"/>
        <v/>
      </c>
      <c r="L10" s="3"/>
      <c r="M10" s="3">
        <f t="shared" si="3"/>
        <v>0</v>
      </c>
      <c r="N10" s="2" t="str">
        <f t="shared" si="4"/>
        <v/>
      </c>
      <c r="O10" s="2"/>
      <c r="R10" t="str">
        <f>IF(B10="","",VLOOKUP(B10,Roster!$A:$K,10,FALSE))</f>
        <v/>
      </c>
      <c r="S10" t="str">
        <f>IF(B10="","",VLOOKUP(B10,Roster!$A:$K,11,FALSE))</f>
        <v/>
      </c>
      <c r="T10" t="str">
        <f t="shared" si="5"/>
        <v/>
      </c>
      <c r="W10" t="str">
        <f>IF(OR(B10="",O10&lt;&gt;""),"",COUNTIFS(B$3:B10,"&lt;&gt;",O$3:O10,""))</f>
        <v/>
      </c>
    </row>
    <row r="11" spans="1:23" ht="14.25" customHeight="1" x14ac:dyDescent="0.45">
      <c r="C11" t="str">
        <f>IF(B11="","",VLOOKUP(B11,Roster!$A:$C,2,FALSE))</f>
        <v/>
      </c>
      <c r="D11" t="str">
        <f>IF(B11="","",VLOOKUP(B11,Roster!$A:$C,3,FALSE))</f>
        <v/>
      </c>
      <c r="F11" s="2"/>
      <c r="G11" s="3"/>
      <c r="H11" s="2" t="str">
        <f t="shared" si="0"/>
        <v/>
      </c>
      <c r="I11" s="3" t="str">
        <f t="shared" ca="1" si="1"/>
        <v/>
      </c>
      <c r="J11" s="3" t="str">
        <f t="shared" si="2"/>
        <v/>
      </c>
      <c r="L11" s="3"/>
      <c r="M11" s="3">
        <f t="shared" si="3"/>
        <v>0</v>
      </c>
      <c r="N11" s="2" t="str">
        <f t="shared" si="4"/>
        <v/>
      </c>
      <c r="O11" s="2"/>
      <c r="R11" t="str">
        <f>IF(B11="","",VLOOKUP(B11,Roster!$A:$K,10,FALSE))</f>
        <v/>
      </c>
      <c r="S11" t="str">
        <f>IF(B11="","",VLOOKUP(B11,Roster!$A:$K,11,FALSE))</f>
        <v/>
      </c>
      <c r="T11" t="str">
        <f t="shared" si="5"/>
        <v/>
      </c>
      <c r="W11" t="str">
        <f>IF(OR(B11="",O11&lt;&gt;""),"",COUNTIFS(B$3:B11,"&lt;&gt;",O$3:O11,""))</f>
        <v/>
      </c>
    </row>
    <row r="12" spans="1:23" ht="14.25" customHeight="1" x14ac:dyDescent="0.45">
      <c r="C12" t="str">
        <f>IF(B12="","",VLOOKUP(B12,Roster!$A:$C,2,FALSE))</f>
        <v/>
      </c>
      <c r="D12" t="str">
        <f>IF(B12="","",VLOOKUP(B12,Roster!$A:$C,3,FALSE))</f>
        <v/>
      </c>
      <c r="F12" s="2"/>
      <c r="G12" s="3"/>
      <c r="H12" s="2" t="str">
        <f t="shared" si="0"/>
        <v/>
      </c>
      <c r="I12" s="3" t="str">
        <f t="shared" ca="1" si="1"/>
        <v/>
      </c>
      <c r="J12" s="3" t="str">
        <f t="shared" si="2"/>
        <v/>
      </c>
      <c r="L12" s="3"/>
      <c r="M12" s="3">
        <f t="shared" si="3"/>
        <v>0</v>
      </c>
      <c r="N12" s="2" t="str">
        <f t="shared" si="4"/>
        <v/>
      </c>
      <c r="O12" s="2"/>
      <c r="R12" t="str">
        <f>IF(B12="","",VLOOKUP(B12,Roster!$A:$K,10,FALSE))</f>
        <v/>
      </c>
      <c r="S12" t="str">
        <f>IF(B12="","",VLOOKUP(B12,Roster!$A:$K,11,FALSE))</f>
        <v/>
      </c>
      <c r="T12" t="str">
        <f t="shared" si="5"/>
        <v/>
      </c>
      <c r="W12" t="str">
        <f>IF(OR(B12="",O12&lt;&gt;""),"",COUNTIFS(B$3:B12,"&lt;&gt;",O$3:O12,""))</f>
        <v/>
      </c>
    </row>
    <row r="13" spans="1:23" ht="14.25" customHeight="1" x14ac:dyDescent="0.45">
      <c r="C13" t="str">
        <f>IF(B13="","",VLOOKUP(B13,Roster!$A:$C,2,FALSE))</f>
        <v/>
      </c>
      <c r="D13" t="str">
        <f>IF(B13="","",VLOOKUP(B13,Roster!$A:$C,3,FALSE))</f>
        <v/>
      </c>
      <c r="F13" s="2"/>
      <c r="G13" s="3"/>
      <c r="H13" s="2" t="str">
        <f t="shared" si="0"/>
        <v/>
      </c>
      <c r="I13" s="3" t="str">
        <f t="shared" ca="1" si="1"/>
        <v/>
      </c>
      <c r="J13" s="3" t="str">
        <f t="shared" si="2"/>
        <v/>
      </c>
      <c r="L13" s="3"/>
      <c r="M13" s="3">
        <f t="shared" si="3"/>
        <v>0</v>
      </c>
      <c r="N13" s="2" t="str">
        <f t="shared" si="4"/>
        <v/>
      </c>
      <c r="O13" s="2"/>
      <c r="R13" t="str">
        <f>IF(B13="","",VLOOKUP(B13,Roster!$A:$K,10,FALSE))</f>
        <v/>
      </c>
      <c r="S13" t="str">
        <f>IF(B13="","",VLOOKUP(B13,Roster!$A:$K,11,FALSE))</f>
        <v/>
      </c>
      <c r="T13" t="str">
        <f t="shared" si="5"/>
        <v/>
      </c>
      <c r="W13" t="str">
        <f>IF(OR(B13="",O13&lt;&gt;""),"",COUNTIFS(B$3:B13,"&lt;&gt;",O$3:O13,""))</f>
        <v/>
      </c>
    </row>
    <row r="14" spans="1:23" ht="14.25" customHeight="1" x14ac:dyDescent="0.45">
      <c r="C14" t="str">
        <f>IF(B14="","",VLOOKUP(B14,Roster!$A:$C,2,FALSE))</f>
        <v/>
      </c>
      <c r="D14" t="str">
        <f>IF(B14="","",VLOOKUP(B14,Roster!$A:$C,3,FALSE))</f>
        <v/>
      </c>
      <c r="F14" s="2"/>
      <c r="G14" s="3"/>
      <c r="H14" s="2" t="str">
        <f t="shared" si="0"/>
        <v/>
      </c>
      <c r="I14" s="3" t="str">
        <f t="shared" ca="1" si="1"/>
        <v/>
      </c>
      <c r="J14" s="3" t="str">
        <f t="shared" si="2"/>
        <v/>
      </c>
      <c r="L14" s="3"/>
      <c r="M14" s="3">
        <f t="shared" si="3"/>
        <v>0</v>
      </c>
      <c r="N14" s="2" t="str">
        <f t="shared" si="4"/>
        <v/>
      </c>
      <c r="O14" s="2"/>
      <c r="R14" t="str">
        <f>IF(B14="","",VLOOKUP(B14,Roster!$A:$K,10,FALSE))</f>
        <v/>
      </c>
      <c r="S14" t="str">
        <f>IF(B14="","",VLOOKUP(B14,Roster!$A:$K,11,FALSE))</f>
        <v/>
      </c>
      <c r="T14" t="str">
        <f t="shared" si="5"/>
        <v/>
      </c>
      <c r="W14" t="str">
        <f>IF(OR(B14="",O14&lt;&gt;""),"",COUNTIFS(B$3:B14,"&lt;&gt;",O$3:O14,""))</f>
        <v/>
      </c>
    </row>
    <row r="15" spans="1:23" ht="14.25" customHeight="1" x14ac:dyDescent="0.45">
      <c r="C15" t="str">
        <f>IF(B15="","",VLOOKUP(B15,Roster!$A:$C,2,FALSE))</f>
        <v/>
      </c>
      <c r="D15" t="str">
        <f>IF(B15="","",VLOOKUP(B15,Roster!$A:$C,3,FALSE))</f>
        <v/>
      </c>
      <c r="F15" s="2"/>
      <c r="G15" s="3"/>
      <c r="H15" s="2" t="str">
        <f t="shared" si="0"/>
        <v/>
      </c>
      <c r="I15" s="3" t="str">
        <f t="shared" ca="1" si="1"/>
        <v/>
      </c>
      <c r="J15" s="3" t="str">
        <f t="shared" si="2"/>
        <v/>
      </c>
      <c r="L15" s="3"/>
      <c r="M15" s="3">
        <f t="shared" si="3"/>
        <v>0</v>
      </c>
      <c r="N15" s="2" t="str">
        <f t="shared" si="4"/>
        <v/>
      </c>
      <c r="O15" s="2"/>
      <c r="R15" t="str">
        <f>IF(B15="","",VLOOKUP(B15,Roster!$A:$K,10,FALSE))</f>
        <v/>
      </c>
      <c r="S15" t="str">
        <f>IF(B15="","",VLOOKUP(B15,Roster!$A:$K,11,FALSE))</f>
        <v/>
      </c>
      <c r="T15" t="str">
        <f t="shared" si="5"/>
        <v/>
      </c>
      <c r="W15" t="str">
        <f>IF(OR(B15="",O15&lt;&gt;""),"",COUNTIFS(B$3:B15,"&lt;&gt;",O$3:O15,""))</f>
        <v/>
      </c>
    </row>
    <row r="16" spans="1:23" ht="14.25" customHeight="1" x14ac:dyDescent="0.45">
      <c r="C16" t="str">
        <f>IF(B16="","",VLOOKUP(B16,Roster!$A:$C,2,FALSE))</f>
        <v/>
      </c>
      <c r="D16" t="str">
        <f>IF(B16="","",VLOOKUP(B16,Roster!$A:$C,3,FALSE))</f>
        <v/>
      </c>
      <c r="F16" s="2"/>
      <c r="G16" s="3"/>
      <c r="H16" s="2" t="str">
        <f t="shared" si="0"/>
        <v/>
      </c>
      <c r="I16" s="3" t="str">
        <f t="shared" ca="1" si="1"/>
        <v/>
      </c>
      <c r="J16" s="3" t="str">
        <f t="shared" si="2"/>
        <v/>
      </c>
      <c r="L16" s="3"/>
      <c r="M16" s="3">
        <f t="shared" si="3"/>
        <v>0</v>
      </c>
      <c r="N16" s="2" t="str">
        <f t="shared" si="4"/>
        <v/>
      </c>
      <c r="O16" s="2"/>
      <c r="R16" t="str">
        <f>IF(B16="","",VLOOKUP(B16,Roster!$A:$K,10,FALSE))</f>
        <v/>
      </c>
      <c r="S16" t="str">
        <f>IF(B16="","",VLOOKUP(B16,Roster!$A:$K,11,FALSE))</f>
        <v/>
      </c>
      <c r="T16" t="str">
        <f t="shared" si="5"/>
        <v/>
      </c>
      <c r="W16" t="str">
        <f>IF(OR(B16="",O16&lt;&gt;""),"",COUNTIFS(B$3:B16,"&lt;&gt;",O$3:O16,""))</f>
        <v/>
      </c>
    </row>
    <row r="17" spans="3:23" ht="14.25" customHeight="1" x14ac:dyDescent="0.45">
      <c r="C17" t="str">
        <f>IF(B17="","",VLOOKUP(B17,Roster!$A:$C,2,FALSE))</f>
        <v/>
      </c>
      <c r="D17" t="str">
        <f>IF(B17="","",VLOOKUP(B17,Roster!$A:$C,3,FALSE))</f>
        <v/>
      </c>
      <c r="F17" s="2"/>
      <c r="G17" s="3"/>
      <c r="H17" s="2" t="str">
        <f t="shared" si="0"/>
        <v/>
      </c>
      <c r="I17" s="3" t="str">
        <f t="shared" ca="1" si="1"/>
        <v/>
      </c>
      <c r="J17" s="3" t="str">
        <f t="shared" si="2"/>
        <v/>
      </c>
      <c r="L17" s="3"/>
      <c r="M17" s="3">
        <f t="shared" si="3"/>
        <v>0</v>
      </c>
      <c r="N17" s="2" t="str">
        <f t="shared" si="4"/>
        <v/>
      </c>
      <c r="O17" s="2"/>
      <c r="R17" t="str">
        <f>IF(B17="","",VLOOKUP(B17,Roster!$A:$K,10,FALSE))</f>
        <v/>
      </c>
      <c r="S17" t="str">
        <f>IF(B17="","",VLOOKUP(B17,Roster!$A:$K,11,FALSE))</f>
        <v/>
      </c>
      <c r="T17" t="str">
        <f t="shared" si="5"/>
        <v/>
      </c>
      <c r="W17" t="str">
        <f>IF(OR(B17="",O17&lt;&gt;""),"",COUNTIFS(B$3:B17,"&lt;&gt;",O$3:O17,""))</f>
        <v/>
      </c>
    </row>
    <row r="18" spans="3:23" ht="14.25" customHeight="1" x14ac:dyDescent="0.45">
      <c r="C18" t="str">
        <f>IF(B18="","",VLOOKUP(B18,Roster!$A:$C,2,FALSE))</f>
        <v/>
      </c>
      <c r="D18" t="str">
        <f>IF(B18="","",VLOOKUP(B18,Roster!$A:$C,3,FALSE))</f>
        <v/>
      </c>
      <c r="F18" s="2"/>
      <c r="G18" s="3"/>
      <c r="H18" s="2" t="str">
        <f t="shared" si="0"/>
        <v/>
      </c>
      <c r="I18" s="3" t="str">
        <f t="shared" ca="1" si="1"/>
        <v/>
      </c>
      <c r="J18" s="3" t="str">
        <f t="shared" si="2"/>
        <v/>
      </c>
      <c r="L18" s="3"/>
      <c r="M18" s="3">
        <f t="shared" si="3"/>
        <v>0</v>
      </c>
      <c r="N18" s="2" t="str">
        <f t="shared" si="4"/>
        <v/>
      </c>
      <c r="O18" s="2"/>
      <c r="R18" t="str">
        <f>IF(B18="","",VLOOKUP(B18,Roster!$A:$K,10,FALSE))</f>
        <v/>
      </c>
      <c r="S18" t="str">
        <f>IF(B18="","",VLOOKUP(B18,Roster!$A:$K,11,FALSE))</f>
        <v/>
      </c>
      <c r="T18" t="str">
        <f t="shared" si="5"/>
        <v/>
      </c>
      <c r="W18" t="str">
        <f>IF(OR(B18="",O18&lt;&gt;""),"",COUNTIFS(B$3:B18,"&lt;&gt;",O$3:O18,""))</f>
        <v/>
      </c>
    </row>
    <row r="19" spans="3:23" ht="14.25" customHeight="1" x14ac:dyDescent="0.45">
      <c r="C19" t="str">
        <f>IF(B19="","",VLOOKUP(B19,Roster!$A:$C,2,FALSE))</f>
        <v/>
      </c>
      <c r="D19" t="str">
        <f>IF(B19="","",VLOOKUP(B19,Roster!$A:$C,3,FALSE))</f>
        <v/>
      </c>
      <c r="F19" s="2"/>
      <c r="G19" s="3"/>
      <c r="H19" s="2" t="str">
        <f t="shared" si="0"/>
        <v/>
      </c>
      <c r="I19" s="3" t="str">
        <f t="shared" ca="1" si="1"/>
        <v/>
      </c>
      <c r="J19" s="3" t="str">
        <f t="shared" si="2"/>
        <v/>
      </c>
      <c r="L19" s="3"/>
      <c r="M19" s="3">
        <f t="shared" si="3"/>
        <v>0</v>
      </c>
      <c r="N19" s="2" t="str">
        <f t="shared" si="4"/>
        <v/>
      </c>
      <c r="O19" s="2"/>
      <c r="R19" t="str">
        <f>IF(B19="","",VLOOKUP(B19,Roster!$A:$K,10,FALSE))</f>
        <v/>
      </c>
      <c r="S19" t="str">
        <f>IF(B19="","",VLOOKUP(B19,Roster!$A:$K,11,FALSE))</f>
        <v/>
      </c>
      <c r="T19" t="str">
        <f t="shared" si="5"/>
        <v/>
      </c>
      <c r="W19" t="str">
        <f>IF(OR(B19="",O19&lt;&gt;""),"",COUNTIFS(B$3:B19,"&lt;&gt;",O$3:O19,""))</f>
        <v/>
      </c>
    </row>
    <row r="20" spans="3:23" ht="14.25" customHeight="1" x14ac:dyDescent="0.45">
      <c r="C20" t="str">
        <f>IF(B20="","",VLOOKUP(B20,Roster!$A:$C,2,FALSE))</f>
        <v/>
      </c>
      <c r="D20" t="str">
        <f>IF(B20="","",VLOOKUP(B20,Roster!$A:$C,3,FALSE))</f>
        <v/>
      </c>
      <c r="F20" s="2"/>
      <c r="G20" s="3"/>
      <c r="H20" s="2" t="str">
        <f t="shared" si="0"/>
        <v/>
      </c>
      <c r="I20" s="3" t="str">
        <f t="shared" ca="1" si="1"/>
        <v/>
      </c>
      <c r="J20" s="3" t="str">
        <f t="shared" si="2"/>
        <v/>
      </c>
      <c r="L20" s="3"/>
      <c r="M20" s="3">
        <f t="shared" si="3"/>
        <v>0</v>
      </c>
      <c r="N20" s="2" t="str">
        <f t="shared" si="4"/>
        <v/>
      </c>
      <c r="O20" s="2"/>
      <c r="R20" t="str">
        <f>IF(B20="","",VLOOKUP(B20,Roster!$A:$K,10,FALSE))</f>
        <v/>
      </c>
      <c r="S20" t="str">
        <f>IF(B20="","",VLOOKUP(B20,Roster!$A:$K,11,FALSE))</f>
        <v/>
      </c>
      <c r="T20" t="str">
        <f t="shared" si="5"/>
        <v/>
      </c>
      <c r="W20" t="str">
        <f>IF(OR(B20="",O20&lt;&gt;""),"",COUNTIFS(B$3:B20,"&lt;&gt;",O$3:O20,""))</f>
        <v/>
      </c>
    </row>
    <row r="21" spans="3:23" ht="14.25" customHeight="1" x14ac:dyDescent="0.45">
      <c r="C21" t="str">
        <f>IF(B21="","",VLOOKUP(B21,Roster!$A:$C,2,FALSE))</f>
        <v/>
      </c>
      <c r="D21" t="str">
        <f>IF(B21="","",VLOOKUP(B21,Roster!$A:$C,3,FALSE))</f>
        <v/>
      </c>
      <c r="F21" s="2"/>
      <c r="G21" s="3"/>
      <c r="H21" s="2" t="str">
        <f t="shared" si="0"/>
        <v/>
      </c>
      <c r="I21" s="3" t="str">
        <f t="shared" ca="1" si="1"/>
        <v/>
      </c>
      <c r="J21" s="3" t="str">
        <f t="shared" si="2"/>
        <v/>
      </c>
      <c r="L21" s="3"/>
      <c r="M21" s="3">
        <f t="shared" si="3"/>
        <v>0</v>
      </c>
      <c r="N21" s="2" t="str">
        <f t="shared" si="4"/>
        <v/>
      </c>
      <c r="O21" s="2"/>
      <c r="R21" t="str">
        <f>IF(B21="","",VLOOKUP(B21,Roster!$A:$K,10,FALSE))</f>
        <v/>
      </c>
      <c r="S21" t="str">
        <f>IF(B21="","",VLOOKUP(B21,Roster!$A:$K,11,FALSE))</f>
        <v/>
      </c>
      <c r="T21" t="str">
        <f t="shared" si="5"/>
        <v/>
      </c>
      <c r="W21" t="str">
        <f>IF(OR(B21="",O21&lt;&gt;""),"",COUNTIFS(B$3:B21,"&lt;&gt;",O$3:O21,""))</f>
        <v/>
      </c>
    </row>
    <row r="22" spans="3:23" ht="14.25" customHeight="1" x14ac:dyDescent="0.45">
      <c r="C22" t="str">
        <f>IF(B22="","",VLOOKUP(B22,Roster!$A:$C,2,FALSE))</f>
        <v/>
      </c>
      <c r="D22" t="str">
        <f>IF(B22="","",VLOOKUP(B22,Roster!$A:$C,3,FALSE))</f>
        <v/>
      </c>
      <c r="F22" s="2"/>
      <c r="G22" s="3"/>
      <c r="H22" s="2" t="str">
        <f t="shared" si="0"/>
        <v/>
      </c>
      <c r="I22" s="3" t="str">
        <f t="shared" ca="1" si="1"/>
        <v/>
      </c>
      <c r="J22" s="3" t="str">
        <f t="shared" si="2"/>
        <v/>
      </c>
      <c r="L22" s="3"/>
      <c r="M22" s="3">
        <f t="shared" si="3"/>
        <v>0</v>
      </c>
      <c r="N22" s="2" t="str">
        <f t="shared" si="4"/>
        <v/>
      </c>
      <c r="O22" s="2"/>
      <c r="R22" t="str">
        <f>IF(B22="","",VLOOKUP(B22,Roster!$A:$K,10,FALSE))</f>
        <v/>
      </c>
      <c r="S22" t="str">
        <f>IF(B22="","",VLOOKUP(B22,Roster!$A:$K,11,FALSE))</f>
        <v/>
      </c>
      <c r="T22" t="str">
        <f t="shared" si="5"/>
        <v/>
      </c>
      <c r="W22" t="str">
        <f>IF(OR(B22="",O22&lt;&gt;""),"",COUNTIFS(B$3:B22,"&lt;&gt;",O$3:O22,""))</f>
        <v/>
      </c>
    </row>
    <row r="23" spans="3:23" ht="14.25" customHeight="1" x14ac:dyDescent="0.45">
      <c r="C23" t="str">
        <f>IF(B23="","",VLOOKUP(B23,Roster!$A:$C,2,FALSE))</f>
        <v/>
      </c>
      <c r="D23" t="str">
        <f>IF(B23="","",VLOOKUP(B23,Roster!$A:$C,3,FALSE))</f>
        <v/>
      </c>
      <c r="F23" s="2"/>
      <c r="G23" s="3"/>
      <c r="H23" s="2" t="str">
        <f t="shared" si="0"/>
        <v/>
      </c>
      <c r="I23" s="3" t="str">
        <f t="shared" ca="1" si="1"/>
        <v/>
      </c>
      <c r="J23" s="3" t="str">
        <f t="shared" si="2"/>
        <v/>
      </c>
      <c r="L23" s="3"/>
      <c r="M23" s="3">
        <f t="shared" si="3"/>
        <v>0</v>
      </c>
      <c r="N23" s="2" t="str">
        <f t="shared" si="4"/>
        <v/>
      </c>
      <c r="O23" s="2"/>
      <c r="R23" t="str">
        <f>IF(B23="","",VLOOKUP(B23,Roster!$A:$K,10,FALSE))</f>
        <v/>
      </c>
      <c r="S23" t="str">
        <f>IF(B23="","",VLOOKUP(B23,Roster!$A:$K,11,FALSE))</f>
        <v/>
      </c>
      <c r="T23" t="str">
        <f t="shared" si="5"/>
        <v/>
      </c>
      <c r="W23" t="str">
        <f>IF(OR(B23="",O23&lt;&gt;""),"",COUNTIFS(B$3:B23,"&lt;&gt;",O$3:O23,""))</f>
        <v/>
      </c>
    </row>
    <row r="24" spans="3:23" ht="14.25" customHeight="1" x14ac:dyDescent="0.45">
      <c r="C24" t="str">
        <f>IF(B24="","",VLOOKUP(B24,Roster!$A:$C,2,FALSE))</f>
        <v/>
      </c>
      <c r="D24" t="str">
        <f>IF(B24="","",VLOOKUP(B24,Roster!$A:$C,3,FALSE))</f>
        <v/>
      </c>
      <c r="F24" s="2"/>
      <c r="G24" s="3"/>
      <c r="H24" s="2" t="str">
        <f t="shared" si="0"/>
        <v/>
      </c>
      <c r="I24" s="3" t="str">
        <f t="shared" ca="1" si="1"/>
        <v/>
      </c>
      <c r="J24" s="3" t="str">
        <f t="shared" si="2"/>
        <v/>
      </c>
      <c r="L24" s="3"/>
      <c r="M24" s="3">
        <f t="shared" si="3"/>
        <v>0</v>
      </c>
      <c r="N24" s="2" t="str">
        <f t="shared" si="4"/>
        <v/>
      </c>
      <c r="O24" s="2"/>
      <c r="R24" t="str">
        <f>IF(B24="","",VLOOKUP(B24,Roster!$A:$K,10,FALSE))</f>
        <v/>
      </c>
      <c r="S24" t="str">
        <f>IF(B24="","",VLOOKUP(B24,Roster!$A:$K,11,FALSE))</f>
        <v/>
      </c>
      <c r="T24" t="str">
        <f t="shared" si="5"/>
        <v/>
      </c>
      <c r="W24" t="str">
        <f>IF(OR(B24="",O24&lt;&gt;""),"",COUNTIFS(B$3:B24,"&lt;&gt;",O$3:O24,""))</f>
        <v/>
      </c>
    </row>
    <row r="25" spans="3:23" ht="14.25" customHeight="1" x14ac:dyDescent="0.45">
      <c r="C25" t="str">
        <f>IF(B25="","",VLOOKUP(B25,Roster!$A:$C,2,FALSE))</f>
        <v/>
      </c>
      <c r="D25" t="str">
        <f>IF(B25="","",VLOOKUP(B25,Roster!$A:$C,3,FALSE))</f>
        <v/>
      </c>
      <c r="F25" s="2"/>
      <c r="G25" s="3"/>
      <c r="H25" s="2" t="str">
        <f t="shared" si="0"/>
        <v/>
      </c>
      <c r="I25" s="3" t="str">
        <f t="shared" ca="1" si="1"/>
        <v/>
      </c>
      <c r="J25" s="3" t="str">
        <f t="shared" si="2"/>
        <v/>
      </c>
      <c r="L25" s="3"/>
      <c r="M25" s="3">
        <f t="shared" si="3"/>
        <v>0</v>
      </c>
      <c r="N25" s="2" t="str">
        <f t="shared" si="4"/>
        <v/>
      </c>
      <c r="O25" s="2"/>
      <c r="R25" t="str">
        <f>IF(B25="","",VLOOKUP(B25,Roster!$A:$K,10,FALSE))</f>
        <v/>
      </c>
      <c r="S25" t="str">
        <f>IF(B25="","",VLOOKUP(B25,Roster!$A:$K,11,FALSE))</f>
        <v/>
      </c>
      <c r="T25" t="str">
        <f t="shared" si="5"/>
        <v/>
      </c>
      <c r="W25" t="str">
        <f>IF(OR(B25="",O25&lt;&gt;""),"",COUNTIFS(B$3:B25,"&lt;&gt;",O$3:O25,""))</f>
        <v/>
      </c>
    </row>
    <row r="26" spans="3:23" ht="14.25" customHeight="1" x14ac:dyDescent="0.45">
      <c r="C26" t="str">
        <f>IF(B26="","",VLOOKUP(B26,Roster!$A:$C,2,FALSE))</f>
        <v/>
      </c>
      <c r="D26" t="str">
        <f>IF(B26="","",VLOOKUP(B26,Roster!$A:$C,3,FALSE))</f>
        <v/>
      </c>
      <c r="F26" s="2"/>
      <c r="G26" s="3"/>
      <c r="H26" s="2" t="str">
        <f t="shared" si="0"/>
        <v/>
      </c>
      <c r="I26" s="3" t="str">
        <f t="shared" ca="1" si="1"/>
        <v/>
      </c>
      <c r="J26" s="3" t="str">
        <f t="shared" si="2"/>
        <v/>
      </c>
      <c r="L26" s="3"/>
      <c r="M26" s="3">
        <f t="shared" si="3"/>
        <v>0</v>
      </c>
      <c r="N26" s="2" t="str">
        <f t="shared" si="4"/>
        <v/>
      </c>
      <c r="O26" s="2"/>
      <c r="R26" t="str">
        <f>IF(B26="","",VLOOKUP(B26,Roster!$A:$K,10,FALSE))</f>
        <v/>
      </c>
      <c r="S26" t="str">
        <f>IF(B26="","",VLOOKUP(B26,Roster!$A:$K,11,FALSE))</f>
        <v/>
      </c>
      <c r="T26" t="str">
        <f t="shared" si="5"/>
        <v/>
      </c>
      <c r="W26" t="str">
        <f>IF(OR(B26="",O26&lt;&gt;""),"",COUNTIFS(B$3:B26,"&lt;&gt;",O$3:O26,""))</f>
        <v/>
      </c>
    </row>
    <row r="27" spans="3:23" ht="14.25" customHeight="1" x14ac:dyDescent="0.45">
      <c r="C27" t="str">
        <f>IF(B27="","",VLOOKUP(B27,Roster!$A:$C,2,FALSE))</f>
        <v/>
      </c>
      <c r="D27" t="str">
        <f>IF(B27="","",VLOOKUP(B27,Roster!$A:$C,3,FALSE))</f>
        <v/>
      </c>
      <c r="F27" s="2"/>
      <c r="G27" s="3"/>
      <c r="H27" s="2" t="str">
        <f t="shared" si="0"/>
        <v/>
      </c>
      <c r="I27" s="3" t="str">
        <f t="shared" ca="1" si="1"/>
        <v/>
      </c>
      <c r="J27" s="3" t="str">
        <f t="shared" si="2"/>
        <v/>
      </c>
      <c r="L27" s="3"/>
      <c r="M27" s="3">
        <f t="shared" si="3"/>
        <v>0</v>
      </c>
      <c r="N27" s="2" t="str">
        <f t="shared" si="4"/>
        <v/>
      </c>
      <c r="O27" s="2"/>
      <c r="R27" t="str">
        <f>IF(B27="","",VLOOKUP(B27,Roster!$A:$K,10,FALSE))</f>
        <v/>
      </c>
      <c r="S27" t="str">
        <f>IF(B27="","",VLOOKUP(B27,Roster!$A:$K,11,FALSE))</f>
        <v/>
      </c>
      <c r="T27" t="str">
        <f t="shared" si="5"/>
        <v/>
      </c>
      <c r="W27" t="str">
        <f>IF(OR(B27="",O27&lt;&gt;""),"",COUNTIFS(B$3:B27,"&lt;&gt;",O$3:O27,""))</f>
        <v/>
      </c>
    </row>
    <row r="28" spans="3:23" ht="14.25" customHeight="1" x14ac:dyDescent="0.45">
      <c r="C28" t="str">
        <f>IF(B28="","",VLOOKUP(B28,Roster!$A:$C,2,FALSE))</f>
        <v/>
      </c>
      <c r="D28" t="str">
        <f>IF(B28="","",VLOOKUP(B28,Roster!$A:$C,3,FALSE))</f>
        <v/>
      </c>
      <c r="F28" s="2"/>
      <c r="G28" s="3"/>
      <c r="H28" s="2" t="str">
        <f t="shared" si="0"/>
        <v/>
      </c>
      <c r="I28" s="3" t="str">
        <f t="shared" ca="1" si="1"/>
        <v/>
      </c>
      <c r="J28" s="3" t="str">
        <f t="shared" si="2"/>
        <v/>
      </c>
      <c r="L28" s="3"/>
      <c r="M28" s="3">
        <f t="shared" si="3"/>
        <v>0</v>
      </c>
      <c r="N28" s="2" t="str">
        <f t="shared" si="4"/>
        <v/>
      </c>
      <c r="O28" s="2"/>
      <c r="R28" t="str">
        <f>IF(B28="","",VLOOKUP(B28,Roster!$A:$K,10,FALSE))</f>
        <v/>
      </c>
      <c r="S28" t="str">
        <f>IF(B28="","",VLOOKUP(B28,Roster!$A:$K,11,FALSE))</f>
        <v/>
      </c>
      <c r="T28" t="str">
        <f t="shared" si="5"/>
        <v/>
      </c>
      <c r="W28" t="str">
        <f>IF(OR(B28="",O28&lt;&gt;""),"",COUNTIFS(B$3:B28,"&lt;&gt;",O$3:O28,""))</f>
        <v/>
      </c>
    </row>
    <row r="29" spans="3:23" ht="14.25" customHeight="1" x14ac:dyDescent="0.45">
      <c r="C29" t="str">
        <f>IF(B29="","",VLOOKUP(B29,Roster!$A:$C,2,FALSE))</f>
        <v/>
      </c>
      <c r="D29" t="str">
        <f>IF(B29="","",VLOOKUP(B29,Roster!$A:$C,3,FALSE))</f>
        <v/>
      </c>
      <c r="F29" s="2"/>
      <c r="G29" s="3"/>
      <c r="H29" s="2" t="str">
        <f t="shared" si="0"/>
        <v/>
      </c>
      <c r="I29" s="3" t="str">
        <f t="shared" ca="1" si="1"/>
        <v/>
      </c>
      <c r="J29" s="3" t="str">
        <f t="shared" si="2"/>
        <v/>
      </c>
      <c r="L29" s="3"/>
      <c r="M29" s="3">
        <f t="shared" si="3"/>
        <v>0</v>
      </c>
      <c r="N29" s="2" t="str">
        <f t="shared" si="4"/>
        <v/>
      </c>
      <c r="O29" s="2"/>
      <c r="R29" t="str">
        <f>IF(B29="","",VLOOKUP(B29,Roster!$A:$K,10,FALSE))</f>
        <v/>
      </c>
      <c r="S29" t="str">
        <f>IF(B29="","",VLOOKUP(B29,Roster!$A:$K,11,FALSE))</f>
        <v/>
      </c>
      <c r="T29" t="str">
        <f t="shared" si="5"/>
        <v/>
      </c>
      <c r="W29" t="str">
        <f>IF(OR(B29="",O29&lt;&gt;""),"",COUNTIFS(B$3:B29,"&lt;&gt;",O$3:O29,""))</f>
        <v/>
      </c>
    </row>
    <row r="30" spans="3:23" ht="14.25" customHeight="1" x14ac:dyDescent="0.45">
      <c r="C30" t="str">
        <f>IF(B30="","",VLOOKUP(B30,Roster!$A:$C,2,FALSE))</f>
        <v/>
      </c>
      <c r="D30" t="str">
        <f>IF(B30="","",VLOOKUP(B30,Roster!$A:$C,3,FALSE))</f>
        <v/>
      </c>
      <c r="F30" s="2"/>
      <c r="G30" s="3"/>
      <c r="H30" s="2" t="str">
        <f t="shared" si="0"/>
        <v/>
      </c>
      <c r="I30" s="3" t="str">
        <f t="shared" ca="1" si="1"/>
        <v/>
      </c>
      <c r="J30" s="3" t="str">
        <f t="shared" si="2"/>
        <v/>
      </c>
      <c r="L30" s="3"/>
      <c r="M30" s="3">
        <f t="shared" si="3"/>
        <v>0</v>
      </c>
      <c r="N30" s="2" t="str">
        <f t="shared" si="4"/>
        <v/>
      </c>
      <c r="O30" s="2"/>
      <c r="R30" t="str">
        <f>IF(B30="","",VLOOKUP(B30,Roster!$A:$K,10,FALSE))</f>
        <v/>
      </c>
      <c r="S30" t="str">
        <f>IF(B30="","",VLOOKUP(B30,Roster!$A:$K,11,FALSE))</f>
        <v/>
      </c>
      <c r="T30" t="str">
        <f t="shared" si="5"/>
        <v/>
      </c>
      <c r="W30" t="str">
        <f>IF(OR(B30="",O30&lt;&gt;""),"",COUNTIFS(B$3:B30,"&lt;&gt;",O$3:O30,""))</f>
        <v/>
      </c>
    </row>
    <row r="31" spans="3:23" ht="14.25" customHeight="1" x14ac:dyDescent="0.45">
      <c r="C31" t="str">
        <f>IF(B31="","",VLOOKUP(B31,Roster!$A:$C,2,FALSE))</f>
        <v/>
      </c>
      <c r="D31" t="str">
        <f>IF(B31="","",VLOOKUP(B31,Roster!$A:$C,3,FALSE))</f>
        <v/>
      </c>
      <c r="F31" s="2"/>
      <c r="G31" s="3"/>
      <c r="H31" s="2" t="str">
        <f t="shared" si="0"/>
        <v/>
      </c>
      <c r="I31" s="3" t="str">
        <f t="shared" ca="1" si="1"/>
        <v/>
      </c>
      <c r="J31" s="3" t="str">
        <f t="shared" si="2"/>
        <v/>
      </c>
      <c r="L31" s="3"/>
      <c r="M31" s="3">
        <f t="shared" si="3"/>
        <v>0</v>
      </c>
      <c r="N31" s="2" t="str">
        <f t="shared" si="4"/>
        <v/>
      </c>
      <c r="O31" s="2"/>
      <c r="R31" t="str">
        <f>IF(B31="","",VLOOKUP(B31,Roster!$A:$K,10,FALSE))</f>
        <v/>
      </c>
      <c r="S31" t="str">
        <f>IF(B31="","",VLOOKUP(B31,Roster!$A:$K,11,FALSE))</f>
        <v/>
      </c>
      <c r="T31" t="str">
        <f t="shared" si="5"/>
        <v/>
      </c>
      <c r="W31" t="str">
        <f>IF(OR(B31="",O31&lt;&gt;""),"",COUNTIFS(B$3:B31,"&lt;&gt;",O$3:O31,""))</f>
        <v/>
      </c>
    </row>
    <row r="32" spans="3:23" ht="14.25" customHeight="1" x14ac:dyDescent="0.45">
      <c r="C32" t="str">
        <f>IF(B32="","",VLOOKUP(B32,Roster!$A:$C,2,FALSE))</f>
        <v/>
      </c>
      <c r="D32" t="str">
        <f>IF(B32="","",VLOOKUP(B32,Roster!$A:$C,3,FALSE))</f>
        <v/>
      </c>
      <c r="F32" s="2"/>
      <c r="G32" s="3"/>
      <c r="H32" s="2" t="str">
        <f t="shared" si="0"/>
        <v/>
      </c>
      <c r="I32" s="3" t="str">
        <f t="shared" ca="1" si="1"/>
        <v/>
      </c>
      <c r="J32" s="3" t="str">
        <f t="shared" si="2"/>
        <v/>
      </c>
      <c r="L32" s="3"/>
      <c r="M32" s="3">
        <f t="shared" si="3"/>
        <v>0</v>
      </c>
      <c r="N32" s="2" t="str">
        <f t="shared" si="4"/>
        <v/>
      </c>
      <c r="O32" s="2"/>
      <c r="R32" t="str">
        <f>IF(B32="","",VLOOKUP(B32,Roster!$A:$K,10,FALSE))</f>
        <v/>
      </c>
      <c r="S32" t="str">
        <f>IF(B32="","",VLOOKUP(B32,Roster!$A:$K,11,FALSE))</f>
        <v/>
      </c>
      <c r="T32" t="str">
        <f t="shared" si="5"/>
        <v/>
      </c>
      <c r="W32" t="str">
        <f>IF(OR(B32="",O32&lt;&gt;""),"",COUNTIFS(B$3:B32,"&lt;&gt;",O$3:O32,""))</f>
        <v/>
      </c>
    </row>
    <row r="33" spans="3:23" ht="14.25" customHeight="1" x14ac:dyDescent="0.45">
      <c r="C33" t="str">
        <f>IF(B33="","",VLOOKUP(B33,Roster!$A:$C,2,FALSE))</f>
        <v/>
      </c>
      <c r="D33" t="str">
        <f>IF(B33="","",VLOOKUP(B33,Roster!$A:$C,3,FALSE))</f>
        <v/>
      </c>
      <c r="F33" s="2"/>
      <c r="G33" s="3"/>
      <c r="H33" s="2" t="str">
        <f t="shared" si="0"/>
        <v/>
      </c>
      <c r="I33" s="3" t="str">
        <f t="shared" ca="1" si="1"/>
        <v/>
      </c>
      <c r="J33" s="3" t="str">
        <f t="shared" si="2"/>
        <v/>
      </c>
      <c r="L33" s="3"/>
      <c r="M33" s="3">
        <f t="shared" si="3"/>
        <v>0</v>
      </c>
      <c r="N33" s="2" t="str">
        <f t="shared" si="4"/>
        <v/>
      </c>
      <c r="O33" s="2"/>
      <c r="R33" t="str">
        <f>IF(B33="","",VLOOKUP(B33,Roster!$A:$K,10,FALSE))</f>
        <v/>
      </c>
      <c r="S33" t="str">
        <f>IF(B33="","",VLOOKUP(B33,Roster!$A:$K,11,FALSE))</f>
        <v/>
      </c>
      <c r="T33" t="str">
        <f t="shared" si="5"/>
        <v/>
      </c>
      <c r="W33" t="str">
        <f>IF(OR(B33="",O33&lt;&gt;""),"",COUNTIFS(B$3:B33,"&lt;&gt;",O$3:O33,""))</f>
        <v/>
      </c>
    </row>
    <row r="34" spans="3:23" ht="14.25" customHeight="1" x14ac:dyDescent="0.45">
      <c r="C34" t="str">
        <f>IF(B34="","",VLOOKUP(B34,Roster!$A:$C,2,FALSE))</f>
        <v/>
      </c>
      <c r="D34" t="str">
        <f>IF(B34="","",VLOOKUP(B34,Roster!$A:$C,3,FALSE))</f>
        <v/>
      </c>
      <c r="F34" s="2"/>
      <c r="G34" s="3"/>
      <c r="H34" s="2" t="str">
        <f t="shared" si="0"/>
        <v/>
      </c>
      <c r="I34" s="3" t="str">
        <f t="shared" ca="1" si="1"/>
        <v/>
      </c>
      <c r="J34" s="3" t="str">
        <f t="shared" si="2"/>
        <v/>
      </c>
      <c r="L34" s="3"/>
      <c r="M34" s="3">
        <f t="shared" si="3"/>
        <v>0</v>
      </c>
      <c r="N34" s="2" t="str">
        <f t="shared" si="4"/>
        <v/>
      </c>
      <c r="O34" s="2"/>
      <c r="R34" t="str">
        <f>IF(B34="","",VLOOKUP(B34,Roster!$A:$K,10,FALSE))</f>
        <v/>
      </c>
      <c r="S34" t="str">
        <f>IF(B34="","",VLOOKUP(B34,Roster!$A:$K,11,FALSE))</f>
        <v/>
      </c>
      <c r="T34" t="str">
        <f t="shared" si="5"/>
        <v/>
      </c>
      <c r="W34" t="str">
        <f>IF(OR(B34="",O34&lt;&gt;""),"",COUNTIFS(B$3:B34,"&lt;&gt;",O$3:O34,""))</f>
        <v/>
      </c>
    </row>
    <row r="35" spans="3:23" ht="14.25" customHeight="1" x14ac:dyDescent="0.45">
      <c r="C35" t="str">
        <f>IF(B35="","",VLOOKUP(B35,Roster!$A:$C,2,FALSE))</f>
        <v/>
      </c>
      <c r="D35" t="str">
        <f>IF(B35="","",VLOOKUP(B35,Roster!$A:$C,3,FALSE))</f>
        <v/>
      </c>
      <c r="F35" s="2"/>
      <c r="G35" s="3"/>
      <c r="H35" s="2" t="str">
        <f t="shared" ref="H35:H66" si="6">IF(F35="","",F35+G35)</f>
        <v/>
      </c>
      <c r="I35" s="3" t="str">
        <f t="shared" ref="I35:I66" ca="1" si="7">IF(F35="","",IF(O35&lt;&gt;"",O35-F35,TODAY()-F35))</f>
        <v/>
      </c>
      <c r="J35" s="3" t="str">
        <f t="shared" ref="J35:J66" si="8">IF(F35="","",MAX(0,IF(K35="Yes",M35,G35)-I35))</f>
        <v/>
      </c>
      <c r="L35" s="3"/>
      <c r="M35" s="3">
        <f t="shared" ref="M35:M66" si="9">IF(K35="Yes",G35+L35,G35)</f>
        <v>0</v>
      </c>
      <c r="N35" s="2" t="str">
        <f t="shared" ref="N35:N66" si="10">IF(F35="","",F35+M35)</f>
        <v/>
      </c>
      <c r="O35" s="2"/>
      <c r="R35" t="str">
        <f>IF(B35="","",VLOOKUP(B35,Roster!$A:$K,10,FALSE))</f>
        <v/>
      </c>
      <c r="S35" t="str">
        <f>IF(B35="","",VLOOKUP(B35,Roster!$A:$K,11,FALSE))</f>
        <v/>
      </c>
      <c r="T35" t="str">
        <f t="shared" ref="T35:T66" si="11">IF(B35="","",IF(OR(R35="Yes",S35="Yes"),"Yes — MDR Required","No"))</f>
        <v/>
      </c>
      <c r="W35" t="str">
        <f>IF(OR(B35="",O35&lt;&gt;""),"",COUNTIFS(B$3:B35,"&lt;&gt;",O$3:O35,""))</f>
        <v/>
      </c>
    </row>
    <row r="36" spans="3:23" ht="14.25" customHeight="1" x14ac:dyDescent="0.45">
      <c r="C36" t="str">
        <f>IF(B36="","",VLOOKUP(B36,Roster!$A:$C,2,FALSE))</f>
        <v/>
      </c>
      <c r="D36" t="str">
        <f>IF(B36="","",VLOOKUP(B36,Roster!$A:$C,3,FALSE))</f>
        <v/>
      </c>
      <c r="F36" s="2"/>
      <c r="G36" s="3"/>
      <c r="H36" s="2" t="str">
        <f t="shared" si="6"/>
        <v/>
      </c>
      <c r="I36" s="3" t="str">
        <f t="shared" ca="1" si="7"/>
        <v/>
      </c>
      <c r="J36" s="3" t="str">
        <f t="shared" si="8"/>
        <v/>
      </c>
      <c r="L36" s="3"/>
      <c r="M36" s="3">
        <f t="shared" si="9"/>
        <v>0</v>
      </c>
      <c r="N36" s="2" t="str">
        <f t="shared" si="10"/>
        <v/>
      </c>
      <c r="O36" s="2"/>
      <c r="R36" t="str">
        <f>IF(B36="","",VLOOKUP(B36,Roster!$A:$K,10,FALSE))</f>
        <v/>
      </c>
      <c r="S36" t="str">
        <f>IF(B36="","",VLOOKUP(B36,Roster!$A:$K,11,FALSE))</f>
        <v/>
      </c>
      <c r="T36" t="str">
        <f t="shared" si="11"/>
        <v/>
      </c>
      <c r="W36" t="str">
        <f>IF(OR(B36="",O36&lt;&gt;""),"",COUNTIFS(B$3:B36,"&lt;&gt;",O$3:O36,""))</f>
        <v/>
      </c>
    </row>
    <row r="37" spans="3:23" ht="14.25" customHeight="1" x14ac:dyDescent="0.45">
      <c r="C37" t="str">
        <f>IF(B37="","",VLOOKUP(B37,Roster!$A:$C,2,FALSE))</f>
        <v/>
      </c>
      <c r="D37" t="str">
        <f>IF(B37="","",VLOOKUP(B37,Roster!$A:$C,3,FALSE))</f>
        <v/>
      </c>
      <c r="F37" s="2"/>
      <c r="G37" s="3"/>
      <c r="H37" s="2" t="str">
        <f t="shared" si="6"/>
        <v/>
      </c>
      <c r="I37" s="3" t="str">
        <f t="shared" ca="1" si="7"/>
        <v/>
      </c>
      <c r="J37" s="3" t="str">
        <f t="shared" si="8"/>
        <v/>
      </c>
      <c r="L37" s="3"/>
      <c r="M37" s="3">
        <f t="shared" si="9"/>
        <v>0</v>
      </c>
      <c r="N37" s="2" t="str">
        <f t="shared" si="10"/>
        <v/>
      </c>
      <c r="O37" s="2"/>
      <c r="R37" t="str">
        <f>IF(B37="","",VLOOKUP(B37,Roster!$A:$K,10,FALSE))</f>
        <v/>
      </c>
      <c r="S37" t="str">
        <f>IF(B37="","",VLOOKUP(B37,Roster!$A:$K,11,FALSE))</f>
        <v/>
      </c>
      <c r="T37" t="str">
        <f t="shared" si="11"/>
        <v/>
      </c>
      <c r="W37" t="str">
        <f>IF(OR(B37="",O37&lt;&gt;""),"",COUNTIFS(B$3:B37,"&lt;&gt;",O$3:O37,""))</f>
        <v/>
      </c>
    </row>
    <row r="38" spans="3:23" ht="14.25" customHeight="1" x14ac:dyDescent="0.45">
      <c r="C38" t="str">
        <f>IF(B38="","",VLOOKUP(B38,Roster!$A:$C,2,FALSE))</f>
        <v/>
      </c>
      <c r="D38" t="str">
        <f>IF(B38="","",VLOOKUP(B38,Roster!$A:$C,3,FALSE))</f>
        <v/>
      </c>
      <c r="F38" s="2"/>
      <c r="G38" s="3"/>
      <c r="H38" s="2" t="str">
        <f t="shared" si="6"/>
        <v/>
      </c>
      <c r="I38" s="3" t="str">
        <f t="shared" ca="1" si="7"/>
        <v/>
      </c>
      <c r="J38" s="3" t="str">
        <f t="shared" si="8"/>
        <v/>
      </c>
      <c r="L38" s="3"/>
      <c r="M38" s="3">
        <f t="shared" si="9"/>
        <v>0</v>
      </c>
      <c r="N38" s="2" t="str">
        <f t="shared" si="10"/>
        <v/>
      </c>
      <c r="O38" s="2"/>
      <c r="R38" t="str">
        <f>IF(B38="","",VLOOKUP(B38,Roster!$A:$K,10,FALSE))</f>
        <v/>
      </c>
      <c r="S38" t="str">
        <f>IF(B38="","",VLOOKUP(B38,Roster!$A:$K,11,FALSE))</f>
        <v/>
      </c>
      <c r="T38" t="str">
        <f t="shared" si="11"/>
        <v/>
      </c>
      <c r="W38" t="str">
        <f>IF(OR(B38="",O38&lt;&gt;""),"",COUNTIFS(B$3:B38,"&lt;&gt;",O$3:O38,""))</f>
        <v/>
      </c>
    </row>
    <row r="39" spans="3:23" ht="14.25" customHeight="1" x14ac:dyDescent="0.45">
      <c r="C39" t="str">
        <f>IF(B39="","",VLOOKUP(B39,Roster!$A:$C,2,FALSE))</f>
        <v/>
      </c>
      <c r="D39" t="str">
        <f>IF(B39="","",VLOOKUP(B39,Roster!$A:$C,3,FALSE))</f>
        <v/>
      </c>
      <c r="F39" s="2"/>
      <c r="G39" s="3"/>
      <c r="H39" s="2" t="str">
        <f t="shared" si="6"/>
        <v/>
      </c>
      <c r="I39" s="3" t="str">
        <f t="shared" ca="1" si="7"/>
        <v/>
      </c>
      <c r="J39" s="3" t="str">
        <f t="shared" si="8"/>
        <v/>
      </c>
      <c r="L39" s="3"/>
      <c r="M39" s="3">
        <f t="shared" si="9"/>
        <v>0</v>
      </c>
      <c r="N39" s="2" t="str">
        <f t="shared" si="10"/>
        <v/>
      </c>
      <c r="O39" s="2"/>
      <c r="R39" t="str">
        <f>IF(B39="","",VLOOKUP(B39,Roster!$A:$K,10,FALSE))</f>
        <v/>
      </c>
      <c r="S39" t="str">
        <f>IF(B39="","",VLOOKUP(B39,Roster!$A:$K,11,FALSE))</f>
        <v/>
      </c>
      <c r="T39" t="str">
        <f t="shared" si="11"/>
        <v/>
      </c>
      <c r="W39" t="str">
        <f>IF(OR(B39="",O39&lt;&gt;""),"",COUNTIFS(B$3:B39,"&lt;&gt;",O$3:O39,""))</f>
        <v/>
      </c>
    </row>
    <row r="40" spans="3:23" ht="14.25" customHeight="1" x14ac:dyDescent="0.45">
      <c r="C40" t="str">
        <f>IF(B40="","",VLOOKUP(B40,Roster!$A:$C,2,FALSE))</f>
        <v/>
      </c>
      <c r="D40" t="str">
        <f>IF(B40="","",VLOOKUP(B40,Roster!$A:$C,3,FALSE))</f>
        <v/>
      </c>
      <c r="F40" s="2"/>
      <c r="G40" s="3"/>
      <c r="H40" s="2" t="str">
        <f t="shared" si="6"/>
        <v/>
      </c>
      <c r="I40" s="3" t="str">
        <f t="shared" ca="1" si="7"/>
        <v/>
      </c>
      <c r="J40" s="3" t="str">
        <f t="shared" si="8"/>
        <v/>
      </c>
      <c r="L40" s="3"/>
      <c r="M40" s="3">
        <f t="shared" si="9"/>
        <v>0</v>
      </c>
      <c r="N40" s="2" t="str">
        <f t="shared" si="10"/>
        <v/>
      </c>
      <c r="O40" s="2"/>
      <c r="R40" t="str">
        <f>IF(B40="","",VLOOKUP(B40,Roster!$A:$K,10,FALSE))</f>
        <v/>
      </c>
      <c r="S40" t="str">
        <f>IF(B40="","",VLOOKUP(B40,Roster!$A:$K,11,FALSE))</f>
        <v/>
      </c>
      <c r="T40" t="str">
        <f t="shared" si="11"/>
        <v/>
      </c>
      <c r="W40" t="str">
        <f>IF(OR(B40="",O40&lt;&gt;""),"",COUNTIFS(B$3:B40,"&lt;&gt;",O$3:O40,""))</f>
        <v/>
      </c>
    </row>
    <row r="41" spans="3:23" ht="14.25" customHeight="1" x14ac:dyDescent="0.45">
      <c r="C41" t="str">
        <f>IF(B41="","",VLOOKUP(B41,Roster!$A:$C,2,FALSE))</f>
        <v/>
      </c>
      <c r="D41" t="str">
        <f>IF(B41="","",VLOOKUP(B41,Roster!$A:$C,3,FALSE))</f>
        <v/>
      </c>
      <c r="F41" s="2"/>
      <c r="G41" s="3"/>
      <c r="H41" s="2" t="str">
        <f t="shared" si="6"/>
        <v/>
      </c>
      <c r="I41" s="3" t="str">
        <f t="shared" ca="1" si="7"/>
        <v/>
      </c>
      <c r="J41" s="3" t="str">
        <f t="shared" si="8"/>
        <v/>
      </c>
      <c r="L41" s="3"/>
      <c r="M41" s="3">
        <f t="shared" si="9"/>
        <v>0</v>
      </c>
      <c r="N41" s="2" t="str">
        <f t="shared" si="10"/>
        <v/>
      </c>
      <c r="O41" s="2"/>
      <c r="R41" t="str">
        <f>IF(B41="","",VLOOKUP(B41,Roster!$A:$K,10,FALSE))</f>
        <v/>
      </c>
      <c r="S41" t="str">
        <f>IF(B41="","",VLOOKUP(B41,Roster!$A:$K,11,FALSE))</f>
        <v/>
      </c>
      <c r="T41" t="str">
        <f t="shared" si="11"/>
        <v/>
      </c>
      <c r="W41" t="str">
        <f>IF(OR(B41="",O41&lt;&gt;""),"",COUNTIFS(B$3:B41,"&lt;&gt;",O$3:O41,""))</f>
        <v/>
      </c>
    </row>
    <row r="42" spans="3:23" ht="14.25" customHeight="1" x14ac:dyDescent="0.45">
      <c r="C42" t="str">
        <f>IF(B42="","",VLOOKUP(B42,Roster!$A:$C,2,FALSE))</f>
        <v/>
      </c>
      <c r="D42" t="str">
        <f>IF(B42="","",VLOOKUP(B42,Roster!$A:$C,3,FALSE))</f>
        <v/>
      </c>
      <c r="F42" s="2"/>
      <c r="G42" s="3"/>
      <c r="H42" s="2" t="str">
        <f t="shared" si="6"/>
        <v/>
      </c>
      <c r="I42" s="3" t="str">
        <f t="shared" ca="1" si="7"/>
        <v/>
      </c>
      <c r="J42" s="3" t="str">
        <f t="shared" si="8"/>
        <v/>
      </c>
      <c r="L42" s="3"/>
      <c r="M42" s="3">
        <f t="shared" si="9"/>
        <v>0</v>
      </c>
      <c r="N42" s="2" t="str">
        <f t="shared" si="10"/>
        <v/>
      </c>
      <c r="O42" s="2"/>
      <c r="R42" t="str">
        <f>IF(B42="","",VLOOKUP(B42,Roster!$A:$K,10,FALSE))</f>
        <v/>
      </c>
      <c r="S42" t="str">
        <f>IF(B42="","",VLOOKUP(B42,Roster!$A:$K,11,FALSE))</f>
        <v/>
      </c>
      <c r="T42" t="str">
        <f t="shared" si="11"/>
        <v/>
      </c>
      <c r="W42" t="str">
        <f>IF(OR(B42="",O42&lt;&gt;""),"",COUNTIFS(B$3:B42,"&lt;&gt;",O$3:O42,""))</f>
        <v/>
      </c>
    </row>
    <row r="43" spans="3:23" ht="14.25" customHeight="1" x14ac:dyDescent="0.45">
      <c r="C43" t="str">
        <f>IF(B43="","",VLOOKUP(B43,Roster!$A:$C,2,FALSE))</f>
        <v/>
      </c>
      <c r="D43" t="str">
        <f>IF(B43="","",VLOOKUP(B43,Roster!$A:$C,3,FALSE))</f>
        <v/>
      </c>
      <c r="F43" s="2"/>
      <c r="G43" s="3"/>
      <c r="H43" s="2" t="str">
        <f t="shared" si="6"/>
        <v/>
      </c>
      <c r="I43" s="3" t="str">
        <f t="shared" ca="1" si="7"/>
        <v/>
      </c>
      <c r="J43" s="3" t="str">
        <f t="shared" si="8"/>
        <v/>
      </c>
      <c r="L43" s="3"/>
      <c r="M43" s="3">
        <f t="shared" si="9"/>
        <v>0</v>
      </c>
      <c r="N43" s="2" t="str">
        <f t="shared" si="10"/>
        <v/>
      </c>
      <c r="O43" s="2"/>
      <c r="R43" t="str">
        <f>IF(B43="","",VLOOKUP(B43,Roster!$A:$K,10,FALSE))</f>
        <v/>
      </c>
      <c r="S43" t="str">
        <f>IF(B43="","",VLOOKUP(B43,Roster!$A:$K,11,FALSE))</f>
        <v/>
      </c>
      <c r="T43" t="str">
        <f t="shared" si="11"/>
        <v/>
      </c>
      <c r="W43" t="str">
        <f>IF(OR(B43="",O43&lt;&gt;""),"",COUNTIFS(B$3:B43,"&lt;&gt;",O$3:O43,""))</f>
        <v/>
      </c>
    </row>
    <row r="44" spans="3:23" ht="14.25" customHeight="1" x14ac:dyDescent="0.45">
      <c r="C44" t="str">
        <f>IF(B44="","",VLOOKUP(B44,Roster!$A:$C,2,FALSE))</f>
        <v/>
      </c>
      <c r="D44" t="str">
        <f>IF(B44="","",VLOOKUP(B44,Roster!$A:$C,3,FALSE))</f>
        <v/>
      </c>
      <c r="F44" s="2"/>
      <c r="G44" s="3"/>
      <c r="H44" s="2" t="str">
        <f t="shared" si="6"/>
        <v/>
      </c>
      <c r="I44" s="3" t="str">
        <f t="shared" ca="1" si="7"/>
        <v/>
      </c>
      <c r="J44" s="3" t="str">
        <f t="shared" si="8"/>
        <v/>
      </c>
      <c r="L44" s="3"/>
      <c r="M44" s="3">
        <f t="shared" si="9"/>
        <v>0</v>
      </c>
      <c r="N44" s="2" t="str">
        <f t="shared" si="10"/>
        <v/>
      </c>
      <c r="O44" s="2"/>
      <c r="R44" t="str">
        <f>IF(B44="","",VLOOKUP(B44,Roster!$A:$K,10,FALSE))</f>
        <v/>
      </c>
      <c r="S44" t="str">
        <f>IF(B44="","",VLOOKUP(B44,Roster!$A:$K,11,FALSE))</f>
        <v/>
      </c>
      <c r="T44" t="str">
        <f t="shared" si="11"/>
        <v/>
      </c>
      <c r="W44" t="str">
        <f>IF(OR(B44="",O44&lt;&gt;""),"",COUNTIFS(B$3:B44,"&lt;&gt;",O$3:O44,""))</f>
        <v/>
      </c>
    </row>
    <row r="45" spans="3:23" ht="14.25" customHeight="1" x14ac:dyDescent="0.45">
      <c r="C45" t="str">
        <f>IF(B45="","",VLOOKUP(B45,Roster!$A:$C,2,FALSE))</f>
        <v/>
      </c>
      <c r="D45" t="str">
        <f>IF(B45="","",VLOOKUP(B45,Roster!$A:$C,3,FALSE))</f>
        <v/>
      </c>
      <c r="F45" s="2"/>
      <c r="G45" s="3"/>
      <c r="H45" s="2" t="str">
        <f t="shared" si="6"/>
        <v/>
      </c>
      <c r="I45" s="3" t="str">
        <f t="shared" ca="1" si="7"/>
        <v/>
      </c>
      <c r="J45" s="3" t="str">
        <f t="shared" si="8"/>
        <v/>
      </c>
      <c r="L45" s="3"/>
      <c r="M45" s="3">
        <f t="shared" si="9"/>
        <v>0</v>
      </c>
      <c r="N45" s="2" t="str">
        <f t="shared" si="10"/>
        <v/>
      </c>
      <c r="O45" s="2"/>
      <c r="R45" t="str">
        <f>IF(B45="","",VLOOKUP(B45,Roster!$A:$K,10,FALSE))</f>
        <v/>
      </c>
      <c r="S45" t="str">
        <f>IF(B45="","",VLOOKUP(B45,Roster!$A:$K,11,FALSE))</f>
        <v/>
      </c>
      <c r="T45" t="str">
        <f t="shared" si="11"/>
        <v/>
      </c>
      <c r="W45" t="str">
        <f>IF(OR(B45="",O45&lt;&gt;""),"",COUNTIFS(B$3:B45,"&lt;&gt;",O$3:O45,""))</f>
        <v/>
      </c>
    </row>
    <row r="46" spans="3:23" ht="14.25" customHeight="1" x14ac:dyDescent="0.45">
      <c r="C46" t="str">
        <f>IF(B46="","",VLOOKUP(B46,Roster!$A:$C,2,FALSE))</f>
        <v/>
      </c>
      <c r="D46" t="str">
        <f>IF(B46="","",VLOOKUP(B46,Roster!$A:$C,3,FALSE))</f>
        <v/>
      </c>
      <c r="F46" s="2"/>
      <c r="G46" s="3"/>
      <c r="H46" s="2" t="str">
        <f t="shared" si="6"/>
        <v/>
      </c>
      <c r="I46" s="3" t="str">
        <f t="shared" ca="1" si="7"/>
        <v/>
      </c>
      <c r="J46" s="3" t="str">
        <f t="shared" si="8"/>
        <v/>
      </c>
      <c r="L46" s="3"/>
      <c r="M46" s="3">
        <f t="shared" si="9"/>
        <v>0</v>
      </c>
      <c r="N46" s="2" t="str">
        <f t="shared" si="10"/>
        <v/>
      </c>
      <c r="O46" s="2"/>
      <c r="R46" t="str">
        <f>IF(B46="","",VLOOKUP(B46,Roster!$A:$K,10,FALSE))</f>
        <v/>
      </c>
      <c r="S46" t="str">
        <f>IF(B46="","",VLOOKUP(B46,Roster!$A:$K,11,FALSE))</f>
        <v/>
      </c>
      <c r="T46" t="str">
        <f t="shared" si="11"/>
        <v/>
      </c>
      <c r="W46" t="str">
        <f>IF(OR(B46="",O46&lt;&gt;""),"",COUNTIFS(B$3:B46,"&lt;&gt;",O$3:O46,""))</f>
        <v/>
      </c>
    </row>
    <row r="47" spans="3:23" ht="14.25" customHeight="1" x14ac:dyDescent="0.45">
      <c r="C47" t="str">
        <f>IF(B47="","",VLOOKUP(B47,Roster!$A:$C,2,FALSE))</f>
        <v/>
      </c>
      <c r="D47" t="str">
        <f>IF(B47="","",VLOOKUP(B47,Roster!$A:$C,3,FALSE))</f>
        <v/>
      </c>
      <c r="F47" s="2"/>
      <c r="G47" s="3"/>
      <c r="H47" s="2" t="str">
        <f t="shared" si="6"/>
        <v/>
      </c>
      <c r="I47" s="3" t="str">
        <f t="shared" ca="1" si="7"/>
        <v/>
      </c>
      <c r="J47" s="3" t="str">
        <f t="shared" si="8"/>
        <v/>
      </c>
      <c r="L47" s="3"/>
      <c r="M47" s="3">
        <f t="shared" si="9"/>
        <v>0</v>
      </c>
      <c r="N47" s="2" t="str">
        <f t="shared" si="10"/>
        <v/>
      </c>
      <c r="O47" s="2"/>
      <c r="R47" t="str">
        <f>IF(B47="","",VLOOKUP(B47,Roster!$A:$K,10,FALSE))</f>
        <v/>
      </c>
      <c r="S47" t="str">
        <f>IF(B47="","",VLOOKUP(B47,Roster!$A:$K,11,FALSE))</f>
        <v/>
      </c>
      <c r="T47" t="str">
        <f t="shared" si="11"/>
        <v/>
      </c>
      <c r="W47" t="str">
        <f>IF(OR(B47="",O47&lt;&gt;""),"",COUNTIFS(B$3:B47,"&lt;&gt;",O$3:O47,""))</f>
        <v/>
      </c>
    </row>
    <row r="48" spans="3:23" ht="14.25" customHeight="1" x14ac:dyDescent="0.45">
      <c r="C48" t="str">
        <f>IF(B48="","",VLOOKUP(B48,Roster!$A:$C,2,FALSE))</f>
        <v/>
      </c>
      <c r="D48" t="str">
        <f>IF(B48="","",VLOOKUP(B48,Roster!$A:$C,3,FALSE))</f>
        <v/>
      </c>
      <c r="F48" s="2"/>
      <c r="G48" s="3"/>
      <c r="H48" s="2" t="str">
        <f t="shared" si="6"/>
        <v/>
      </c>
      <c r="I48" s="3" t="str">
        <f t="shared" ca="1" si="7"/>
        <v/>
      </c>
      <c r="J48" s="3" t="str">
        <f t="shared" si="8"/>
        <v/>
      </c>
      <c r="L48" s="3"/>
      <c r="M48" s="3">
        <f t="shared" si="9"/>
        <v>0</v>
      </c>
      <c r="N48" s="2" t="str">
        <f t="shared" si="10"/>
        <v/>
      </c>
      <c r="O48" s="2"/>
      <c r="R48" t="str">
        <f>IF(B48="","",VLOOKUP(B48,Roster!$A:$K,10,FALSE))</f>
        <v/>
      </c>
      <c r="S48" t="str">
        <f>IF(B48="","",VLOOKUP(B48,Roster!$A:$K,11,FALSE))</f>
        <v/>
      </c>
      <c r="T48" t="str">
        <f t="shared" si="11"/>
        <v/>
      </c>
      <c r="W48" t="str">
        <f>IF(OR(B48="",O48&lt;&gt;""),"",COUNTIFS(B$3:B48,"&lt;&gt;",O$3:O48,""))</f>
        <v/>
      </c>
    </row>
    <row r="49" spans="3:23" ht="14.25" customHeight="1" x14ac:dyDescent="0.45">
      <c r="C49" t="str">
        <f>IF(B49="","",VLOOKUP(B49,Roster!$A:$C,2,FALSE))</f>
        <v/>
      </c>
      <c r="D49" t="str">
        <f>IF(B49="","",VLOOKUP(B49,Roster!$A:$C,3,FALSE))</f>
        <v/>
      </c>
      <c r="F49" s="2"/>
      <c r="G49" s="3"/>
      <c r="H49" s="2" t="str">
        <f t="shared" si="6"/>
        <v/>
      </c>
      <c r="I49" s="3" t="str">
        <f t="shared" ca="1" si="7"/>
        <v/>
      </c>
      <c r="J49" s="3" t="str">
        <f t="shared" si="8"/>
        <v/>
      </c>
      <c r="L49" s="3"/>
      <c r="M49" s="3">
        <f t="shared" si="9"/>
        <v>0</v>
      </c>
      <c r="N49" s="2" t="str">
        <f t="shared" si="10"/>
        <v/>
      </c>
      <c r="O49" s="2"/>
      <c r="R49" t="str">
        <f>IF(B49="","",VLOOKUP(B49,Roster!$A:$K,10,FALSE))</f>
        <v/>
      </c>
      <c r="S49" t="str">
        <f>IF(B49="","",VLOOKUP(B49,Roster!$A:$K,11,FALSE))</f>
        <v/>
      </c>
      <c r="T49" t="str">
        <f t="shared" si="11"/>
        <v/>
      </c>
      <c r="W49" t="str">
        <f>IF(OR(B49="",O49&lt;&gt;""),"",COUNTIFS(B$3:B49,"&lt;&gt;",O$3:O49,""))</f>
        <v/>
      </c>
    </row>
    <row r="50" spans="3:23" ht="14.25" customHeight="1" x14ac:dyDescent="0.45">
      <c r="C50" t="str">
        <f>IF(B50="","",VLOOKUP(B50,Roster!$A:$C,2,FALSE))</f>
        <v/>
      </c>
      <c r="D50" t="str">
        <f>IF(B50="","",VLOOKUP(B50,Roster!$A:$C,3,FALSE))</f>
        <v/>
      </c>
      <c r="F50" s="2"/>
      <c r="G50" s="3"/>
      <c r="H50" s="2" t="str">
        <f t="shared" si="6"/>
        <v/>
      </c>
      <c r="I50" s="3" t="str">
        <f t="shared" ca="1" si="7"/>
        <v/>
      </c>
      <c r="J50" s="3" t="str">
        <f t="shared" si="8"/>
        <v/>
      </c>
      <c r="L50" s="3"/>
      <c r="M50" s="3">
        <f t="shared" si="9"/>
        <v>0</v>
      </c>
      <c r="N50" s="2" t="str">
        <f t="shared" si="10"/>
        <v/>
      </c>
      <c r="O50" s="2"/>
      <c r="R50" t="str">
        <f>IF(B50="","",VLOOKUP(B50,Roster!$A:$K,10,FALSE))</f>
        <v/>
      </c>
      <c r="S50" t="str">
        <f>IF(B50="","",VLOOKUP(B50,Roster!$A:$K,11,FALSE))</f>
        <v/>
      </c>
      <c r="T50" t="str">
        <f t="shared" si="11"/>
        <v/>
      </c>
      <c r="W50" t="str">
        <f>IF(OR(B50="",O50&lt;&gt;""),"",COUNTIFS(B$3:B50,"&lt;&gt;",O$3:O50,""))</f>
        <v/>
      </c>
    </row>
    <row r="51" spans="3:23" ht="14.25" customHeight="1" x14ac:dyDescent="0.45">
      <c r="C51" t="str">
        <f>IF(B51="","",VLOOKUP(B51,Roster!$A:$C,2,FALSE))</f>
        <v/>
      </c>
      <c r="D51" t="str">
        <f>IF(B51="","",VLOOKUP(B51,Roster!$A:$C,3,FALSE))</f>
        <v/>
      </c>
      <c r="F51" s="2"/>
      <c r="G51" s="3"/>
      <c r="H51" s="2" t="str">
        <f t="shared" si="6"/>
        <v/>
      </c>
      <c r="I51" s="3" t="str">
        <f t="shared" ca="1" si="7"/>
        <v/>
      </c>
      <c r="J51" s="3" t="str">
        <f t="shared" si="8"/>
        <v/>
      </c>
      <c r="L51" s="3"/>
      <c r="M51" s="3">
        <f t="shared" si="9"/>
        <v>0</v>
      </c>
      <c r="N51" s="2" t="str">
        <f t="shared" si="10"/>
        <v/>
      </c>
      <c r="O51" s="2"/>
      <c r="R51" t="str">
        <f>IF(B51="","",VLOOKUP(B51,Roster!$A:$K,10,FALSE))</f>
        <v/>
      </c>
      <c r="S51" t="str">
        <f>IF(B51="","",VLOOKUP(B51,Roster!$A:$K,11,FALSE))</f>
        <v/>
      </c>
      <c r="T51" t="str">
        <f t="shared" si="11"/>
        <v/>
      </c>
      <c r="W51" t="str">
        <f>IF(OR(B51="",O51&lt;&gt;""),"",COUNTIFS(B$3:B51,"&lt;&gt;",O$3:O51,""))</f>
        <v/>
      </c>
    </row>
    <row r="52" spans="3:23" ht="14.25" customHeight="1" x14ac:dyDescent="0.45">
      <c r="C52" t="str">
        <f>IF(B52="","",VLOOKUP(B52,Roster!$A:$C,2,FALSE))</f>
        <v/>
      </c>
      <c r="D52" t="str">
        <f>IF(B52="","",VLOOKUP(B52,Roster!$A:$C,3,FALSE))</f>
        <v/>
      </c>
      <c r="F52" s="2"/>
      <c r="G52" s="3"/>
      <c r="H52" s="2" t="str">
        <f t="shared" si="6"/>
        <v/>
      </c>
      <c r="I52" s="3" t="str">
        <f t="shared" ca="1" si="7"/>
        <v/>
      </c>
      <c r="J52" s="3" t="str">
        <f t="shared" si="8"/>
        <v/>
      </c>
      <c r="L52" s="3"/>
      <c r="M52" s="3">
        <f t="shared" si="9"/>
        <v>0</v>
      </c>
      <c r="N52" s="2" t="str">
        <f t="shared" si="10"/>
        <v/>
      </c>
      <c r="O52" s="2"/>
      <c r="R52" t="str">
        <f>IF(B52="","",VLOOKUP(B52,Roster!$A:$K,10,FALSE))</f>
        <v/>
      </c>
      <c r="S52" t="str">
        <f>IF(B52="","",VLOOKUP(B52,Roster!$A:$K,11,FALSE))</f>
        <v/>
      </c>
      <c r="T52" t="str">
        <f t="shared" si="11"/>
        <v/>
      </c>
      <c r="W52" t="str">
        <f>IF(OR(B52="",O52&lt;&gt;""),"",COUNTIFS(B$3:B52,"&lt;&gt;",O$3:O52,""))</f>
        <v/>
      </c>
    </row>
    <row r="53" spans="3:23" ht="14.25" customHeight="1" x14ac:dyDescent="0.45">
      <c r="C53" t="str">
        <f>IF(B53="","",VLOOKUP(B53,Roster!$A:$C,2,FALSE))</f>
        <v/>
      </c>
      <c r="D53" t="str">
        <f>IF(B53="","",VLOOKUP(B53,Roster!$A:$C,3,FALSE))</f>
        <v/>
      </c>
      <c r="F53" s="2"/>
      <c r="G53" s="3"/>
      <c r="H53" s="2" t="str">
        <f t="shared" si="6"/>
        <v/>
      </c>
      <c r="I53" s="3" t="str">
        <f t="shared" ca="1" si="7"/>
        <v/>
      </c>
      <c r="J53" s="3" t="str">
        <f t="shared" si="8"/>
        <v/>
      </c>
      <c r="L53" s="3"/>
      <c r="M53" s="3">
        <f t="shared" si="9"/>
        <v>0</v>
      </c>
      <c r="N53" s="2" t="str">
        <f t="shared" si="10"/>
        <v/>
      </c>
      <c r="O53" s="2"/>
      <c r="R53" t="str">
        <f>IF(B53="","",VLOOKUP(B53,Roster!$A:$K,10,FALSE))</f>
        <v/>
      </c>
      <c r="S53" t="str">
        <f>IF(B53="","",VLOOKUP(B53,Roster!$A:$K,11,FALSE))</f>
        <v/>
      </c>
      <c r="T53" t="str">
        <f t="shared" si="11"/>
        <v/>
      </c>
      <c r="W53" t="str">
        <f>IF(OR(B53="",O53&lt;&gt;""),"",COUNTIFS(B$3:B53,"&lt;&gt;",O$3:O53,""))</f>
        <v/>
      </c>
    </row>
    <row r="54" spans="3:23" ht="14.25" customHeight="1" x14ac:dyDescent="0.45">
      <c r="C54" t="str">
        <f>IF(B54="","",VLOOKUP(B54,Roster!$A:$C,2,FALSE))</f>
        <v/>
      </c>
      <c r="D54" t="str">
        <f>IF(B54="","",VLOOKUP(B54,Roster!$A:$C,3,FALSE))</f>
        <v/>
      </c>
      <c r="F54" s="2"/>
      <c r="G54" s="3"/>
      <c r="H54" s="2" t="str">
        <f t="shared" si="6"/>
        <v/>
      </c>
      <c r="I54" s="3" t="str">
        <f t="shared" ca="1" si="7"/>
        <v/>
      </c>
      <c r="J54" s="3" t="str">
        <f t="shared" si="8"/>
        <v/>
      </c>
      <c r="L54" s="3"/>
      <c r="M54" s="3">
        <f t="shared" si="9"/>
        <v>0</v>
      </c>
      <c r="N54" s="2" t="str">
        <f t="shared" si="10"/>
        <v/>
      </c>
      <c r="O54" s="2"/>
      <c r="R54" t="str">
        <f>IF(B54="","",VLOOKUP(B54,Roster!$A:$K,10,FALSE))</f>
        <v/>
      </c>
      <c r="S54" t="str">
        <f>IF(B54="","",VLOOKUP(B54,Roster!$A:$K,11,FALSE))</f>
        <v/>
      </c>
      <c r="T54" t="str">
        <f t="shared" si="11"/>
        <v/>
      </c>
      <c r="W54" t="str">
        <f>IF(OR(B54="",O54&lt;&gt;""),"",COUNTIFS(B$3:B54,"&lt;&gt;",O$3:O54,""))</f>
        <v/>
      </c>
    </row>
    <row r="55" spans="3:23" ht="14.25" customHeight="1" x14ac:dyDescent="0.45">
      <c r="C55" t="str">
        <f>IF(B55="","",VLOOKUP(B55,Roster!$A:$C,2,FALSE))</f>
        <v/>
      </c>
      <c r="D55" t="str">
        <f>IF(B55="","",VLOOKUP(B55,Roster!$A:$C,3,FALSE))</f>
        <v/>
      </c>
      <c r="F55" s="2"/>
      <c r="G55" s="3"/>
      <c r="H55" s="2" t="str">
        <f t="shared" si="6"/>
        <v/>
      </c>
      <c r="I55" s="3" t="str">
        <f t="shared" ca="1" si="7"/>
        <v/>
      </c>
      <c r="J55" s="3" t="str">
        <f t="shared" si="8"/>
        <v/>
      </c>
      <c r="L55" s="3"/>
      <c r="M55" s="3">
        <f t="shared" si="9"/>
        <v>0</v>
      </c>
      <c r="N55" s="2" t="str">
        <f t="shared" si="10"/>
        <v/>
      </c>
      <c r="O55" s="2"/>
      <c r="R55" t="str">
        <f>IF(B55="","",VLOOKUP(B55,Roster!$A:$K,10,FALSE))</f>
        <v/>
      </c>
      <c r="S55" t="str">
        <f>IF(B55="","",VLOOKUP(B55,Roster!$A:$K,11,FALSE))</f>
        <v/>
      </c>
      <c r="T55" t="str">
        <f t="shared" si="11"/>
        <v/>
      </c>
      <c r="W55" t="str">
        <f>IF(OR(B55="",O55&lt;&gt;""),"",COUNTIFS(B$3:B55,"&lt;&gt;",O$3:O55,""))</f>
        <v/>
      </c>
    </row>
    <row r="56" spans="3:23" ht="14.25" customHeight="1" x14ac:dyDescent="0.45">
      <c r="C56" t="str">
        <f>IF(B56="","",VLOOKUP(B56,Roster!$A:$C,2,FALSE))</f>
        <v/>
      </c>
      <c r="D56" t="str">
        <f>IF(B56="","",VLOOKUP(B56,Roster!$A:$C,3,FALSE))</f>
        <v/>
      </c>
      <c r="F56" s="2"/>
      <c r="G56" s="3"/>
      <c r="H56" s="2" t="str">
        <f t="shared" si="6"/>
        <v/>
      </c>
      <c r="I56" s="3" t="str">
        <f t="shared" ca="1" si="7"/>
        <v/>
      </c>
      <c r="J56" s="3" t="str">
        <f t="shared" si="8"/>
        <v/>
      </c>
      <c r="L56" s="3"/>
      <c r="M56" s="3">
        <f t="shared" si="9"/>
        <v>0</v>
      </c>
      <c r="N56" s="2" t="str">
        <f t="shared" si="10"/>
        <v/>
      </c>
      <c r="O56" s="2"/>
      <c r="R56" t="str">
        <f>IF(B56="","",VLOOKUP(B56,Roster!$A:$K,10,FALSE))</f>
        <v/>
      </c>
      <c r="S56" t="str">
        <f>IF(B56="","",VLOOKUP(B56,Roster!$A:$K,11,FALSE))</f>
        <v/>
      </c>
      <c r="T56" t="str">
        <f t="shared" si="11"/>
        <v/>
      </c>
      <c r="W56" t="str">
        <f>IF(OR(B56="",O56&lt;&gt;""),"",COUNTIFS(B$3:B56,"&lt;&gt;",O$3:O56,""))</f>
        <v/>
      </c>
    </row>
    <row r="57" spans="3:23" ht="14.25" customHeight="1" x14ac:dyDescent="0.45">
      <c r="C57" t="str">
        <f>IF(B57="","",VLOOKUP(B57,Roster!$A:$C,2,FALSE))</f>
        <v/>
      </c>
      <c r="D57" t="str">
        <f>IF(B57="","",VLOOKUP(B57,Roster!$A:$C,3,FALSE))</f>
        <v/>
      </c>
      <c r="F57" s="2"/>
      <c r="G57" s="3"/>
      <c r="H57" s="2" t="str">
        <f t="shared" si="6"/>
        <v/>
      </c>
      <c r="I57" s="3" t="str">
        <f t="shared" ca="1" si="7"/>
        <v/>
      </c>
      <c r="J57" s="3" t="str">
        <f t="shared" si="8"/>
        <v/>
      </c>
      <c r="L57" s="3"/>
      <c r="M57" s="3">
        <f t="shared" si="9"/>
        <v>0</v>
      </c>
      <c r="N57" s="2" t="str">
        <f t="shared" si="10"/>
        <v/>
      </c>
      <c r="O57" s="2"/>
      <c r="R57" t="str">
        <f>IF(B57="","",VLOOKUP(B57,Roster!$A:$K,10,FALSE))</f>
        <v/>
      </c>
      <c r="S57" t="str">
        <f>IF(B57="","",VLOOKUP(B57,Roster!$A:$K,11,FALSE))</f>
        <v/>
      </c>
      <c r="T57" t="str">
        <f t="shared" si="11"/>
        <v/>
      </c>
      <c r="W57" t="str">
        <f>IF(OR(B57="",O57&lt;&gt;""),"",COUNTIFS(B$3:B57,"&lt;&gt;",O$3:O57,""))</f>
        <v/>
      </c>
    </row>
    <row r="58" spans="3:23" ht="14.25" customHeight="1" x14ac:dyDescent="0.45">
      <c r="C58" t="str">
        <f>IF(B58="","",VLOOKUP(B58,Roster!$A:$C,2,FALSE))</f>
        <v/>
      </c>
      <c r="D58" t="str">
        <f>IF(B58="","",VLOOKUP(B58,Roster!$A:$C,3,FALSE))</f>
        <v/>
      </c>
      <c r="F58" s="2"/>
      <c r="G58" s="3"/>
      <c r="H58" s="2" t="str">
        <f t="shared" si="6"/>
        <v/>
      </c>
      <c r="I58" s="3" t="str">
        <f t="shared" ca="1" si="7"/>
        <v/>
      </c>
      <c r="J58" s="3" t="str">
        <f t="shared" si="8"/>
        <v/>
      </c>
      <c r="L58" s="3"/>
      <c r="M58" s="3">
        <f t="shared" si="9"/>
        <v>0</v>
      </c>
      <c r="N58" s="2" t="str">
        <f t="shared" si="10"/>
        <v/>
      </c>
      <c r="O58" s="2"/>
      <c r="R58" t="str">
        <f>IF(B58="","",VLOOKUP(B58,Roster!$A:$K,10,FALSE))</f>
        <v/>
      </c>
      <c r="S58" t="str">
        <f>IF(B58="","",VLOOKUP(B58,Roster!$A:$K,11,FALSE))</f>
        <v/>
      </c>
      <c r="T58" t="str">
        <f t="shared" si="11"/>
        <v/>
      </c>
      <c r="W58" t="str">
        <f>IF(OR(B58="",O58&lt;&gt;""),"",COUNTIFS(B$3:B58,"&lt;&gt;",O$3:O58,""))</f>
        <v/>
      </c>
    </row>
    <row r="59" spans="3:23" ht="14.25" customHeight="1" x14ac:dyDescent="0.45">
      <c r="C59" t="str">
        <f>IF(B59="","",VLOOKUP(B59,Roster!$A:$C,2,FALSE))</f>
        <v/>
      </c>
      <c r="D59" t="str">
        <f>IF(B59="","",VLOOKUP(B59,Roster!$A:$C,3,FALSE))</f>
        <v/>
      </c>
      <c r="F59" s="2"/>
      <c r="G59" s="3"/>
      <c r="H59" s="2" t="str">
        <f t="shared" si="6"/>
        <v/>
      </c>
      <c r="I59" s="3" t="str">
        <f t="shared" ca="1" si="7"/>
        <v/>
      </c>
      <c r="J59" s="3" t="str">
        <f t="shared" si="8"/>
        <v/>
      </c>
      <c r="L59" s="3"/>
      <c r="M59" s="3">
        <f t="shared" si="9"/>
        <v>0</v>
      </c>
      <c r="N59" s="2" t="str">
        <f t="shared" si="10"/>
        <v/>
      </c>
      <c r="O59" s="2"/>
      <c r="R59" t="str">
        <f>IF(B59="","",VLOOKUP(B59,Roster!$A:$K,10,FALSE))</f>
        <v/>
      </c>
      <c r="S59" t="str">
        <f>IF(B59="","",VLOOKUP(B59,Roster!$A:$K,11,FALSE))</f>
        <v/>
      </c>
      <c r="T59" t="str">
        <f t="shared" si="11"/>
        <v/>
      </c>
      <c r="W59" t="str">
        <f>IF(OR(B59="",O59&lt;&gt;""),"",COUNTIFS(B$3:B59,"&lt;&gt;",O$3:O59,""))</f>
        <v/>
      </c>
    </row>
    <row r="60" spans="3:23" ht="14.25" customHeight="1" x14ac:dyDescent="0.45">
      <c r="C60" t="str">
        <f>IF(B60="","",VLOOKUP(B60,Roster!$A:$C,2,FALSE))</f>
        <v/>
      </c>
      <c r="D60" t="str">
        <f>IF(B60="","",VLOOKUP(B60,Roster!$A:$C,3,FALSE))</f>
        <v/>
      </c>
      <c r="F60" s="2"/>
      <c r="G60" s="3"/>
      <c r="H60" s="2" t="str">
        <f t="shared" si="6"/>
        <v/>
      </c>
      <c r="I60" s="3" t="str">
        <f t="shared" ca="1" si="7"/>
        <v/>
      </c>
      <c r="J60" s="3" t="str">
        <f t="shared" si="8"/>
        <v/>
      </c>
      <c r="L60" s="3"/>
      <c r="M60" s="3">
        <f t="shared" si="9"/>
        <v>0</v>
      </c>
      <c r="N60" s="2" t="str">
        <f t="shared" si="10"/>
        <v/>
      </c>
      <c r="O60" s="2"/>
      <c r="R60" t="str">
        <f>IF(B60="","",VLOOKUP(B60,Roster!$A:$K,10,FALSE))</f>
        <v/>
      </c>
      <c r="S60" t="str">
        <f>IF(B60="","",VLOOKUP(B60,Roster!$A:$K,11,FALSE))</f>
        <v/>
      </c>
      <c r="T60" t="str">
        <f t="shared" si="11"/>
        <v/>
      </c>
      <c r="W60" t="str">
        <f>IF(OR(B60="",O60&lt;&gt;""),"",COUNTIFS(B$3:B60,"&lt;&gt;",O$3:O60,""))</f>
        <v/>
      </c>
    </row>
    <row r="61" spans="3:23" ht="14.25" customHeight="1" x14ac:dyDescent="0.45">
      <c r="C61" t="str">
        <f>IF(B61="","",VLOOKUP(B61,Roster!$A:$C,2,FALSE))</f>
        <v/>
      </c>
      <c r="D61" t="str">
        <f>IF(B61="","",VLOOKUP(B61,Roster!$A:$C,3,FALSE))</f>
        <v/>
      </c>
      <c r="F61" s="2"/>
      <c r="G61" s="3"/>
      <c r="H61" s="2" t="str">
        <f t="shared" si="6"/>
        <v/>
      </c>
      <c r="I61" s="3" t="str">
        <f t="shared" ca="1" si="7"/>
        <v/>
      </c>
      <c r="J61" s="3" t="str">
        <f t="shared" si="8"/>
        <v/>
      </c>
      <c r="L61" s="3"/>
      <c r="M61" s="3">
        <f t="shared" si="9"/>
        <v>0</v>
      </c>
      <c r="N61" s="2" t="str">
        <f t="shared" si="10"/>
        <v/>
      </c>
      <c r="O61" s="2"/>
      <c r="R61" t="str">
        <f>IF(B61="","",VLOOKUP(B61,Roster!$A:$K,10,FALSE))</f>
        <v/>
      </c>
      <c r="S61" t="str">
        <f>IF(B61="","",VLOOKUP(B61,Roster!$A:$K,11,FALSE))</f>
        <v/>
      </c>
      <c r="T61" t="str">
        <f t="shared" si="11"/>
        <v/>
      </c>
      <c r="W61" t="str">
        <f>IF(OR(B61="",O61&lt;&gt;""),"",COUNTIFS(B$3:B61,"&lt;&gt;",O$3:O61,""))</f>
        <v/>
      </c>
    </row>
    <row r="62" spans="3:23" ht="14.25" customHeight="1" x14ac:dyDescent="0.45">
      <c r="C62" t="str">
        <f>IF(B62="","",VLOOKUP(B62,Roster!$A:$C,2,FALSE))</f>
        <v/>
      </c>
      <c r="D62" t="str">
        <f>IF(B62="","",VLOOKUP(B62,Roster!$A:$C,3,FALSE))</f>
        <v/>
      </c>
      <c r="F62" s="2"/>
      <c r="G62" s="3"/>
      <c r="H62" s="2" t="str">
        <f t="shared" si="6"/>
        <v/>
      </c>
      <c r="I62" s="3" t="str">
        <f t="shared" ca="1" si="7"/>
        <v/>
      </c>
      <c r="J62" s="3" t="str">
        <f t="shared" si="8"/>
        <v/>
      </c>
      <c r="L62" s="3"/>
      <c r="M62" s="3">
        <f t="shared" si="9"/>
        <v>0</v>
      </c>
      <c r="N62" s="2" t="str">
        <f t="shared" si="10"/>
        <v/>
      </c>
      <c r="O62" s="2"/>
      <c r="R62" t="str">
        <f>IF(B62="","",VLOOKUP(B62,Roster!$A:$K,10,FALSE))</f>
        <v/>
      </c>
      <c r="S62" t="str">
        <f>IF(B62="","",VLOOKUP(B62,Roster!$A:$K,11,FALSE))</f>
        <v/>
      </c>
      <c r="T62" t="str">
        <f t="shared" si="11"/>
        <v/>
      </c>
      <c r="W62" t="str">
        <f>IF(OR(B62="",O62&lt;&gt;""),"",COUNTIFS(B$3:B62,"&lt;&gt;",O$3:O62,""))</f>
        <v/>
      </c>
    </row>
    <row r="63" spans="3:23" ht="14.25" customHeight="1" x14ac:dyDescent="0.45">
      <c r="C63" t="str">
        <f>IF(B63="","",VLOOKUP(B63,Roster!$A:$C,2,FALSE))</f>
        <v/>
      </c>
      <c r="D63" t="str">
        <f>IF(B63="","",VLOOKUP(B63,Roster!$A:$C,3,FALSE))</f>
        <v/>
      </c>
      <c r="F63" s="2"/>
      <c r="G63" s="3"/>
      <c r="H63" s="2" t="str">
        <f t="shared" si="6"/>
        <v/>
      </c>
      <c r="I63" s="3" t="str">
        <f t="shared" ca="1" si="7"/>
        <v/>
      </c>
      <c r="J63" s="3" t="str">
        <f t="shared" si="8"/>
        <v/>
      </c>
      <c r="L63" s="3"/>
      <c r="M63" s="3">
        <f t="shared" si="9"/>
        <v>0</v>
      </c>
      <c r="N63" s="2" t="str">
        <f t="shared" si="10"/>
        <v/>
      </c>
      <c r="O63" s="2"/>
      <c r="R63" t="str">
        <f>IF(B63="","",VLOOKUP(B63,Roster!$A:$K,10,FALSE))</f>
        <v/>
      </c>
      <c r="S63" t="str">
        <f>IF(B63="","",VLOOKUP(B63,Roster!$A:$K,11,FALSE))</f>
        <v/>
      </c>
      <c r="T63" t="str">
        <f t="shared" si="11"/>
        <v/>
      </c>
      <c r="W63" t="str">
        <f>IF(OR(B63="",O63&lt;&gt;""),"",COUNTIFS(B$3:B63,"&lt;&gt;",O$3:O63,""))</f>
        <v/>
      </c>
    </row>
    <row r="64" spans="3:23" ht="14.25" customHeight="1" x14ac:dyDescent="0.45">
      <c r="C64" t="str">
        <f>IF(B64="","",VLOOKUP(B64,Roster!$A:$C,2,FALSE))</f>
        <v/>
      </c>
      <c r="D64" t="str">
        <f>IF(B64="","",VLOOKUP(B64,Roster!$A:$C,3,FALSE))</f>
        <v/>
      </c>
      <c r="F64" s="2"/>
      <c r="G64" s="3"/>
      <c r="H64" s="2" t="str">
        <f t="shared" si="6"/>
        <v/>
      </c>
      <c r="I64" s="3" t="str">
        <f t="shared" ca="1" si="7"/>
        <v/>
      </c>
      <c r="J64" s="3" t="str">
        <f t="shared" si="8"/>
        <v/>
      </c>
      <c r="L64" s="3"/>
      <c r="M64" s="3">
        <f t="shared" si="9"/>
        <v>0</v>
      </c>
      <c r="N64" s="2" t="str">
        <f t="shared" si="10"/>
        <v/>
      </c>
      <c r="O64" s="2"/>
      <c r="R64" t="str">
        <f>IF(B64="","",VLOOKUP(B64,Roster!$A:$K,10,FALSE))</f>
        <v/>
      </c>
      <c r="S64" t="str">
        <f>IF(B64="","",VLOOKUP(B64,Roster!$A:$K,11,FALSE))</f>
        <v/>
      </c>
      <c r="T64" t="str">
        <f t="shared" si="11"/>
        <v/>
      </c>
      <c r="W64" t="str">
        <f>IF(OR(B64="",O64&lt;&gt;""),"",COUNTIFS(B$3:B64,"&lt;&gt;",O$3:O64,""))</f>
        <v/>
      </c>
    </row>
    <row r="65" spans="3:23" ht="14.25" customHeight="1" x14ac:dyDescent="0.45">
      <c r="C65" t="str">
        <f>IF(B65="","",VLOOKUP(B65,Roster!$A:$C,2,FALSE))</f>
        <v/>
      </c>
      <c r="D65" t="str">
        <f>IF(B65="","",VLOOKUP(B65,Roster!$A:$C,3,FALSE))</f>
        <v/>
      </c>
      <c r="F65" s="2"/>
      <c r="G65" s="3"/>
      <c r="H65" s="2" t="str">
        <f t="shared" si="6"/>
        <v/>
      </c>
      <c r="I65" s="3" t="str">
        <f t="shared" ca="1" si="7"/>
        <v/>
      </c>
      <c r="J65" s="3" t="str">
        <f t="shared" si="8"/>
        <v/>
      </c>
      <c r="L65" s="3"/>
      <c r="M65" s="3">
        <f t="shared" si="9"/>
        <v>0</v>
      </c>
      <c r="N65" s="2" t="str">
        <f t="shared" si="10"/>
        <v/>
      </c>
      <c r="O65" s="2"/>
      <c r="R65" t="str">
        <f>IF(B65="","",VLOOKUP(B65,Roster!$A:$K,10,FALSE))</f>
        <v/>
      </c>
      <c r="S65" t="str">
        <f>IF(B65="","",VLOOKUP(B65,Roster!$A:$K,11,FALSE))</f>
        <v/>
      </c>
      <c r="T65" t="str">
        <f t="shared" si="11"/>
        <v/>
      </c>
      <c r="W65" t="str">
        <f>IF(OR(B65="",O65&lt;&gt;""),"",COUNTIFS(B$3:B65,"&lt;&gt;",O$3:O65,""))</f>
        <v/>
      </c>
    </row>
    <row r="66" spans="3:23" ht="14.25" customHeight="1" x14ac:dyDescent="0.45">
      <c r="C66" t="str">
        <f>IF(B66="","",VLOOKUP(B66,Roster!$A:$C,2,FALSE))</f>
        <v/>
      </c>
      <c r="D66" t="str">
        <f>IF(B66="","",VLOOKUP(B66,Roster!$A:$C,3,FALSE))</f>
        <v/>
      </c>
      <c r="F66" s="2"/>
      <c r="G66" s="3"/>
      <c r="H66" s="2" t="str">
        <f t="shared" si="6"/>
        <v/>
      </c>
      <c r="I66" s="3" t="str">
        <f t="shared" ca="1" si="7"/>
        <v/>
      </c>
      <c r="J66" s="3" t="str">
        <f t="shared" si="8"/>
        <v/>
      </c>
      <c r="L66" s="3"/>
      <c r="M66" s="3">
        <f t="shared" si="9"/>
        <v>0</v>
      </c>
      <c r="N66" s="2" t="str">
        <f t="shared" si="10"/>
        <v/>
      </c>
      <c r="O66" s="2"/>
      <c r="R66" t="str">
        <f>IF(B66="","",VLOOKUP(B66,Roster!$A:$K,10,FALSE))</f>
        <v/>
      </c>
      <c r="S66" t="str">
        <f>IF(B66="","",VLOOKUP(B66,Roster!$A:$K,11,FALSE))</f>
        <v/>
      </c>
      <c r="T66" t="str">
        <f t="shared" si="11"/>
        <v/>
      </c>
      <c r="W66" t="str">
        <f>IF(OR(B66="",O66&lt;&gt;""),"",COUNTIFS(B$3:B66,"&lt;&gt;",O$3:O66,""))</f>
        <v/>
      </c>
    </row>
    <row r="67" spans="3:23" ht="14.25" customHeight="1" x14ac:dyDescent="0.45">
      <c r="C67" t="str">
        <f>IF(B67="","",VLOOKUP(B67,Roster!$A:$C,2,FALSE))</f>
        <v/>
      </c>
      <c r="D67" t="str">
        <f>IF(B67="","",VLOOKUP(B67,Roster!$A:$C,3,FALSE))</f>
        <v/>
      </c>
      <c r="F67" s="2"/>
      <c r="G67" s="3"/>
      <c r="H67" s="2" t="str">
        <f t="shared" ref="H67:H98" si="12">IF(F67="","",F67+G67)</f>
        <v/>
      </c>
      <c r="I67" s="3" t="str">
        <f t="shared" ref="I67:I102" ca="1" si="13">IF(F67="","",IF(O67&lt;&gt;"",O67-F67,TODAY()-F67))</f>
        <v/>
      </c>
      <c r="J67" s="3" t="str">
        <f t="shared" ref="J67:J98" si="14">IF(F67="","",MAX(0,IF(K67="Yes",M67,G67)-I67))</f>
        <v/>
      </c>
      <c r="L67" s="3"/>
      <c r="M67" s="3">
        <f t="shared" ref="M67:M98" si="15">IF(K67="Yes",G67+L67,G67)</f>
        <v>0</v>
      </c>
      <c r="N67" s="2" t="str">
        <f t="shared" ref="N67:N98" si="16">IF(F67="","",F67+M67)</f>
        <v/>
      </c>
      <c r="O67" s="2"/>
      <c r="R67" t="str">
        <f>IF(B67="","",VLOOKUP(B67,Roster!$A:$K,10,FALSE))</f>
        <v/>
      </c>
      <c r="S67" t="str">
        <f>IF(B67="","",VLOOKUP(B67,Roster!$A:$K,11,FALSE))</f>
        <v/>
      </c>
      <c r="T67" t="str">
        <f t="shared" ref="T67:T98" si="17">IF(B67="","",IF(OR(R67="Yes",S67="Yes"),"Yes — MDR Required","No"))</f>
        <v/>
      </c>
      <c r="W67" t="str">
        <f>IF(OR(B67="",O67&lt;&gt;""),"",COUNTIFS(B$3:B67,"&lt;&gt;",O$3:O67,""))</f>
        <v/>
      </c>
    </row>
    <row r="68" spans="3:23" ht="14.25" customHeight="1" x14ac:dyDescent="0.45">
      <c r="C68" t="str">
        <f>IF(B68="","",VLOOKUP(B68,Roster!$A:$C,2,FALSE))</f>
        <v/>
      </c>
      <c r="D68" t="str">
        <f>IF(B68="","",VLOOKUP(B68,Roster!$A:$C,3,FALSE))</f>
        <v/>
      </c>
      <c r="F68" s="2"/>
      <c r="G68" s="3"/>
      <c r="H68" s="2" t="str">
        <f t="shared" si="12"/>
        <v/>
      </c>
      <c r="I68" s="3" t="str">
        <f t="shared" ca="1" si="13"/>
        <v/>
      </c>
      <c r="J68" s="3" t="str">
        <f t="shared" si="14"/>
        <v/>
      </c>
      <c r="L68" s="3"/>
      <c r="M68" s="3">
        <f t="shared" si="15"/>
        <v>0</v>
      </c>
      <c r="N68" s="2" t="str">
        <f t="shared" si="16"/>
        <v/>
      </c>
      <c r="O68" s="2"/>
      <c r="R68" t="str">
        <f>IF(B68="","",VLOOKUP(B68,Roster!$A:$K,10,FALSE))</f>
        <v/>
      </c>
      <c r="S68" t="str">
        <f>IF(B68="","",VLOOKUP(B68,Roster!$A:$K,11,FALSE))</f>
        <v/>
      </c>
      <c r="T68" t="str">
        <f t="shared" si="17"/>
        <v/>
      </c>
      <c r="W68" t="str">
        <f>IF(OR(B68="",O68&lt;&gt;""),"",COUNTIFS(B$3:B68,"&lt;&gt;",O$3:O68,""))</f>
        <v/>
      </c>
    </row>
    <row r="69" spans="3:23" ht="14.25" customHeight="1" x14ac:dyDescent="0.45">
      <c r="C69" t="str">
        <f>IF(B69="","",VLOOKUP(B69,Roster!$A:$C,2,FALSE))</f>
        <v/>
      </c>
      <c r="D69" t="str">
        <f>IF(B69="","",VLOOKUP(B69,Roster!$A:$C,3,FALSE))</f>
        <v/>
      </c>
      <c r="F69" s="2"/>
      <c r="G69" s="3"/>
      <c r="H69" s="2" t="str">
        <f t="shared" si="12"/>
        <v/>
      </c>
      <c r="I69" s="3" t="str">
        <f t="shared" ca="1" si="13"/>
        <v/>
      </c>
      <c r="J69" s="3" t="str">
        <f t="shared" si="14"/>
        <v/>
      </c>
      <c r="L69" s="3"/>
      <c r="M69" s="3">
        <f t="shared" si="15"/>
        <v>0</v>
      </c>
      <c r="N69" s="2" t="str">
        <f t="shared" si="16"/>
        <v/>
      </c>
      <c r="O69" s="2"/>
      <c r="R69" t="str">
        <f>IF(B69="","",VLOOKUP(B69,Roster!$A:$K,10,FALSE))</f>
        <v/>
      </c>
      <c r="S69" t="str">
        <f>IF(B69="","",VLOOKUP(B69,Roster!$A:$K,11,FALSE))</f>
        <v/>
      </c>
      <c r="T69" t="str">
        <f t="shared" si="17"/>
        <v/>
      </c>
      <c r="W69" t="str">
        <f>IF(OR(B69="",O69&lt;&gt;""),"",COUNTIFS(B$3:B69,"&lt;&gt;",O$3:O69,""))</f>
        <v/>
      </c>
    </row>
    <row r="70" spans="3:23" ht="14.25" customHeight="1" x14ac:dyDescent="0.45">
      <c r="C70" t="str">
        <f>IF(B70="","",VLOOKUP(B70,Roster!$A:$C,2,FALSE))</f>
        <v/>
      </c>
      <c r="D70" t="str">
        <f>IF(B70="","",VLOOKUP(B70,Roster!$A:$C,3,FALSE))</f>
        <v/>
      </c>
      <c r="F70" s="2"/>
      <c r="G70" s="3"/>
      <c r="H70" s="2" t="str">
        <f t="shared" si="12"/>
        <v/>
      </c>
      <c r="I70" s="3" t="str">
        <f t="shared" ca="1" si="13"/>
        <v/>
      </c>
      <c r="J70" s="3" t="str">
        <f t="shared" si="14"/>
        <v/>
      </c>
      <c r="L70" s="3"/>
      <c r="M70" s="3">
        <f t="shared" si="15"/>
        <v>0</v>
      </c>
      <c r="N70" s="2" t="str">
        <f t="shared" si="16"/>
        <v/>
      </c>
      <c r="O70" s="2"/>
      <c r="R70" t="str">
        <f>IF(B70="","",VLOOKUP(B70,Roster!$A:$K,10,FALSE))</f>
        <v/>
      </c>
      <c r="S70" t="str">
        <f>IF(B70="","",VLOOKUP(B70,Roster!$A:$K,11,FALSE))</f>
        <v/>
      </c>
      <c r="T70" t="str">
        <f t="shared" si="17"/>
        <v/>
      </c>
      <c r="W70" t="str">
        <f>IF(OR(B70="",O70&lt;&gt;""),"",COUNTIFS(B$3:B70,"&lt;&gt;",O$3:O70,""))</f>
        <v/>
      </c>
    </row>
    <row r="71" spans="3:23" ht="14.25" customHeight="1" x14ac:dyDescent="0.45">
      <c r="C71" t="str">
        <f>IF(B71="","",VLOOKUP(B71,Roster!$A:$C,2,FALSE))</f>
        <v/>
      </c>
      <c r="D71" t="str">
        <f>IF(B71="","",VLOOKUP(B71,Roster!$A:$C,3,FALSE))</f>
        <v/>
      </c>
      <c r="F71" s="2"/>
      <c r="G71" s="3"/>
      <c r="H71" s="2" t="str">
        <f t="shared" si="12"/>
        <v/>
      </c>
      <c r="I71" s="3" t="str">
        <f t="shared" ca="1" si="13"/>
        <v/>
      </c>
      <c r="J71" s="3" t="str">
        <f t="shared" si="14"/>
        <v/>
      </c>
      <c r="L71" s="3"/>
      <c r="M71" s="3">
        <f t="shared" si="15"/>
        <v>0</v>
      </c>
      <c r="N71" s="2" t="str">
        <f t="shared" si="16"/>
        <v/>
      </c>
      <c r="O71" s="2"/>
      <c r="R71" t="str">
        <f>IF(B71="","",VLOOKUP(B71,Roster!$A:$K,10,FALSE))</f>
        <v/>
      </c>
      <c r="S71" t="str">
        <f>IF(B71="","",VLOOKUP(B71,Roster!$A:$K,11,FALSE))</f>
        <v/>
      </c>
      <c r="T71" t="str">
        <f t="shared" si="17"/>
        <v/>
      </c>
      <c r="W71" t="str">
        <f>IF(OR(B71="",O71&lt;&gt;""),"",COUNTIFS(B$3:B71,"&lt;&gt;",O$3:O71,""))</f>
        <v/>
      </c>
    </row>
    <row r="72" spans="3:23" ht="14.25" customHeight="1" x14ac:dyDescent="0.45">
      <c r="C72" t="str">
        <f>IF(B72="","",VLOOKUP(B72,Roster!$A:$C,2,FALSE))</f>
        <v/>
      </c>
      <c r="D72" t="str">
        <f>IF(B72="","",VLOOKUP(B72,Roster!$A:$C,3,FALSE))</f>
        <v/>
      </c>
      <c r="F72" s="2"/>
      <c r="G72" s="3"/>
      <c r="H72" s="2" t="str">
        <f t="shared" si="12"/>
        <v/>
      </c>
      <c r="I72" s="3" t="str">
        <f t="shared" ca="1" si="13"/>
        <v/>
      </c>
      <c r="J72" s="3" t="str">
        <f t="shared" si="14"/>
        <v/>
      </c>
      <c r="L72" s="3"/>
      <c r="M72" s="3">
        <f t="shared" si="15"/>
        <v>0</v>
      </c>
      <c r="N72" s="2" t="str">
        <f t="shared" si="16"/>
        <v/>
      </c>
      <c r="O72" s="2"/>
      <c r="R72" t="str">
        <f>IF(B72="","",VLOOKUP(B72,Roster!$A:$K,10,FALSE))</f>
        <v/>
      </c>
      <c r="S72" t="str">
        <f>IF(B72="","",VLOOKUP(B72,Roster!$A:$K,11,FALSE))</f>
        <v/>
      </c>
      <c r="T72" t="str">
        <f t="shared" si="17"/>
        <v/>
      </c>
      <c r="W72" t="str">
        <f>IF(OR(B72="",O72&lt;&gt;""),"",COUNTIFS(B$3:B72,"&lt;&gt;",O$3:O72,""))</f>
        <v/>
      </c>
    </row>
    <row r="73" spans="3:23" ht="14.25" customHeight="1" x14ac:dyDescent="0.45">
      <c r="C73" t="str">
        <f>IF(B73="","",VLOOKUP(B73,Roster!$A:$C,2,FALSE))</f>
        <v/>
      </c>
      <c r="D73" t="str">
        <f>IF(B73="","",VLOOKUP(B73,Roster!$A:$C,3,FALSE))</f>
        <v/>
      </c>
      <c r="F73" s="2"/>
      <c r="G73" s="3"/>
      <c r="H73" s="2" t="str">
        <f t="shared" si="12"/>
        <v/>
      </c>
      <c r="I73" s="3" t="str">
        <f t="shared" ca="1" si="13"/>
        <v/>
      </c>
      <c r="J73" s="3" t="str">
        <f t="shared" si="14"/>
        <v/>
      </c>
      <c r="L73" s="3"/>
      <c r="M73" s="3">
        <f t="shared" si="15"/>
        <v>0</v>
      </c>
      <c r="N73" s="2" t="str">
        <f t="shared" si="16"/>
        <v/>
      </c>
      <c r="O73" s="2"/>
      <c r="R73" t="str">
        <f>IF(B73="","",VLOOKUP(B73,Roster!$A:$K,10,FALSE))</f>
        <v/>
      </c>
      <c r="S73" t="str">
        <f>IF(B73="","",VLOOKUP(B73,Roster!$A:$K,11,FALSE))</f>
        <v/>
      </c>
      <c r="T73" t="str">
        <f t="shared" si="17"/>
        <v/>
      </c>
      <c r="W73" t="str">
        <f>IF(OR(B73="",O73&lt;&gt;""),"",COUNTIFS(B$3:B73,"&lt;&gt;",O$3:O73,""))</f>
        <v/>
      </c>
    </row>
    <row r="74" spans="3:23" ht="14.25" customHeight="1" x14ac:dyDescent="0.45">
      <c r="C74" t="str">
        <f>IF(B74="","",VLOOKUP(B74,Roster!$A:$C,2,FALSE))</f>
        <v/>
      </c>
      <c r="D74" t="str">
        <f>IF(B74="","",VLOOKUP(B74,Roster!$A:$C,3,FALSE))</f>
        <v/>
      </c>
      <c r="F74" s="2"/>
      <c r="G74" s="3"/>
      <c r="H74" s="2" t="str">
        <f t="shared" si="12"/>
        <v/>
      </c>
      <c r="I74" s="3" t="str">
        <f t="shared" ca="1" si="13"/>
        <v/>
      </c>
      <c r="J74" s="3" t="str">
        <f t="shared" si="14"/>
        <v/>
      </c>
      <c r="L74" s="3"/>
      <c r="M74" s="3">
        <f t="shared" si="15"/>
        <v>0</v>
      </c>
      <c r="N74" s="2" t="str">
        <f t="shared" si="16"/>
        <v/>
      </c>
      <c r="O74" s="2"/>
      <c r="R74" t="str">
        <f>IF(B74="","",VLOOKUP(B74,Roster!$A:$K,10,FALSE))</f>
        <v/>
      </c>
      <c r="S74" t="str">
        <f>IF(B74="","",VLOOKUP(B74,Roster!$A:$K,11,FALSE))</f>
        <v/>
      </c>
      <c r="T74" t="str">
        <f t="shared" si="17"/>
        <v/>
      </c>
      <c r="W74" t="str">
        <f>IF(OR(B74="",O74&lt;&gt;""),"",COUNTIFS(B$3:B74,"&lt;&gt;",O$3:O74,""))</f>
        <v/>
      </c>
    </row>
    <row r="75" spans="3:23" ht="14.25" customHeight="1" x14ac:dyDescent="0.45">
      <c r="C75" t="str">
        <f>IF(B75="","",VLOOKUP(B75,Roster!$A:$C,2,FALSE))</f>
        <v/>
      </c>
      <c r="D75" t="str">
        <f>IF(B75="","",VLOOKUP(B75,Roster!$A:$C,3,FALSE))</f>
        <v/>
      </c>
      <c r="F75" s="2"/>
      <c r="G75" s="3"/>
      <c r="H75" s="2" t="str">
        <f t="shared" si="12"/>
        <v/>
      </c>
      <c r="I75" s="3" t="str">
        <f t="shared" ca="1" si="13"/>
        <v/>
      </c>
      <c r="J75" s="3" t="str">
        <f t="shared" si="14"/>
        <v/>
      </c>
      <c r="L75" s="3"/>
      <c r="M75" s="3">
        <f t="shared" si="15"/>
        <v>0</v>
      </c>
      <c r="N75" s="2" t="str">
        <f t="shared" si="16"/>
        <v/>
      </c>
      <c r="O75" s="2"/>
      <c r="R75" t="str">
        <f>IF(B75="","",VLOOKUP(B75,Roster!$A:$K,10,FALSE))</f>
        <v/>
      </c>
      <c r="S75" t="str">
        <f>IF(B75="","",VLOOKUP(B75,Roster!$A:$K,11,FALSE))</f>
        <v/>
      </c>
      <c r="T75" t="str">
        <f t="shared" si="17"/>
        <v/>
      </c>
      <c r="W75" t="str">
        <f>IF(OR(B75="",O75&lt;&gt;""),"",COUNTIFS(B$3:B75,"&lt;&gt;",O$3:O75,""))</f>
        <v/>
      </c>
    </row>
    <row r="76" spans="3:23" ht="14.25" customHeight="1" x14ac:dyDescent="0.45">
      <c r="C76" t="str">
        <f>IF(B76="","",VLOOKUP(B76,Roster!$A:$C,2,FALSE))</f>
        <v/>
      </c>
      <c r="D76" t="str">
        <f>IF(B76="","",VLOOKUP(B76,Roster!$A:$C,3,FALSE))</f>
        <v/>
      </c>
      <c r="F76" s="2"/>
      <c r="G76" s="3"/>
      <c r="H76" s="2" t="str">
        <f t="shared" si="12"/>
        <v/>
      </c>
      <c r="I76" s="3" t="str">
        <f t="shared" ca="1" si="13"/>
        <v/>
      </c>
      <c r="J76" s="3" t="str">
        <f t="shared" si="14"/>
        <v/>
      </c>
      <c r="L76" s="3"/>
      <c r="M76" s="3">
        <f t="shared" si="15"/>
        <v>0</v>
      </c>
      <c r="N76" s="2" t="str">
        <f t="shared" si="16"/>
        <v/>
      </c>
      <c r="O76" s="2"/>
      <c r="R76" t="str">
        <f>IF(B76="","",VLOOKUP(B76,Roster!$A:$K,10,FALSE))</f>
        <v/>
      </c>
      <c r="S76" t="str">
        <f>IF(B76="","",VLOOKUP(B76,Roster!$A:$K,11,FALSE))</f>
        <v/>
      </c>
      <c r="T76" t="str">
        <f t="shared" si="17"/>
        <v/>
      </c>
      <c r="W76" t="str">
        <f>IF(OR(B76="",O76&lt;&gt;""),"",COUNTIFS(B$3:B76,"&lt;&gt;",O$3:O76,""))</f>
        <v/>
      </c>
    </row>
    <row r="77" spans="3:23" ht="14.25" customHeight="1" x14ac:dyDescent="0.45">
      <c r="C77" t="str">
        <f>IF(B77="","",VLOOKUP(B77,Roster!$A:$C,2,FALSE))</f>
        <v/>
      </c>
      <c r="D77" t="str">
        <f>IF(B77="","",VLOOKUP(B77,Roster!$A:$C,3,FALSE))</f>
        <v/>
      </c>
      <c r="F77" s="2"/>
      <c r="G77" s="3"/>
      <c r="H77" s="2" t="str">
        <f t="shared" si="12"/>
        <v/>
      </c>
      <c r="I77" s="3" t="str">
        <f t="shared" ca="1" si="13"/>
        <v/>
      </c>
      <c r="J77" s="3" t="str">
        <f t="shared" si="14"/>
        <v/>
      </c>
      <c r="L77" s="3"/>
      <c r="M77" s="3">
        <f t="shared" si="15"/>
        <v>0</v>
      </c>
      <c r="N77" s="2" t="str">
        <f t="shared" si="16"/>
        <v/>
      </c>
      <c r="O77" s="2"/>
      <c r="R77" t="str">
        <f>IF(B77="","",VLOOKUP(B77,Roster!$A:$K,10,FALSE))</f>
        <v/>
      </c>
      <c r="S77" t="str">
        <f>IF(B77="","",VLOOKUP(B77,Roster!$A:$K,11,FALSE))</f>
        <v/>
      </c>
      <c r="T77" t="str">
        <f t="shared" si="17"/>
        <v/>
      </c>
      <c r="W77" t="str">
        <f>IF(OR(B77="",O77&lt;&gt;""),"",COUNTIFS(B$3:B77,"&lt;&gt;",O$3:O77,""))</f>
        <v/>
      </c>
    </row>
    <row r="78" spans="3:23" ht="14.25" customHeight="1" x14ac:dyDescent="0.45">
      <c r="C78" t="str">
        <f>IF(B78="","",VLOOKUP(B78,Roster!$A:$C,2,FALSE))</f>
        <v/>
      </c>
      <c r="D78" t="str">
        <f>IF(B78="","",VLOOKUP(B78,Roster!$A:$C,3,FALSE))</f>
        <v/>
      </c>
      <c r="F78" s="2"/>
      <c r="G78" s="3"/>
      <c r="H78" s="2" t="str">
        <f t="shared" si="12"/>
        <v/>
      </c>
      <c r="I78" s="3" t="str">
        <f t="shared" ca="1" si="13"/>
        <v/>
      </c>
      <c r="J78" s="3" t="str">
        <f t="shared" si="14"/>
        <v/>
      </c>
      <c r="L78" s="3"/>
      <c r="M78" s="3">
        <f t="shared" si="15"/>
        <v>0</v>
      </c>
      <c r="N78" s="2" t="str">
        <f t="shared" si="16"/>
        <v/>
      </c>
      <c r="O78" s="2"/>
      <c r="R78" t="str">
        <f>IF(B78="","",VLOOKUP(B78,Roster!$A:$K,10,FALSE))</f>
        <v/>
      </c>
      <c r="S78" t="str">
        <f>IF(B78="","",VLOOKUP(B78,Roster!$A:$K,11,FALSE))</f>
        <v/>
      </c>
      <c r="T78" t="str">
        <f t="shared" si="17"/>
        <v/>
      </c>
      <c r="W78" t="str">
        <f>IF(OR(B78="",O78&lt;&gt;""),"",COUNTIFS(B$3:B78,"&lt;&gt;",O$3:O78,""))</f>
        <v/>
      </c>
    </row>
    <row r="79" spans="3:23" ht="14.25" customHeight="1" x14ac:dyDescent="0.45">
      <c r="C79" t="str">
        <f>IF(B79="","",VLOOKUP(B79,Roster!$A:$C,2,FALSE))</f>
        <v/>
      </c>
      <c r="D79" t="str">
        <f>IF(B79="","",VLOOKUP(B79,Roster!$A:$C,3,FALSE))</f>
        <v/>
      </c>
      <c r="F79" s="2"/>
      <c r="G79" s="3"/>
      <c r="H79" s="2" t="str">
        <f t="shared" si="12"/>
        <v/>
      </c>
      <c r="I79" s="3" t="str">
        <f t="shared" ca="1" si="13"/>
        <v/>
      </c>
      <c r="J79" s="3" t="str">
        <f t="shared" si="14"/>
        <v/>
      </c>
      <c r="L79" s="3"/>
      <c r="M79" s="3">
        <f t="shared" si="15"/>
        <v>0</v>
      </c>
      <c r="N79" s="2" t="str">
        <f t="shared" si="16"/>
        <v/>
      </c>
      <c r="O79" s="2"/>
      <c r="R79" t="str">
        <f>IF(B79="","",VLOOKUP(B79,Roster!$A:$K,10,FALSE))</f>
        <v/>
      </c>
      <c r="S79" t="str">
        <f>IF(B79="","",VLOOKUP(B79,Roster!$A:$K,11,FALSE))</f>
        <v/>
      </c>
      <c r="T79" t="str">
        <f t="shared" si="17"/>
        <v/>
      </c>
      <c r="W79" t="str">
        <f>IF(OR(B79="",O79&lt;&gt;""),"",COUNTIFS(B$3:B79,"&lt;&gt;",O$3:O79,""))</f>
        <v/>
      </c>
    </row>
    <row r="80" spans="3:23" ht="14.25" customHeight="1" x14ac:dyDescent="0.45">
      <c r="C80" t="str">
        <f>IF(B80="","",VLOOKUP(B80,Roster!$A:$C,2,FALSE))</f>
        <v/>
      </c>
      <c r="D80" t="str">
        <f>IF(B80="","",VLOOKUP(B80,Roster!$A:$C,3,FALSE))</f>
        <v/>
      </c>
      <c r="F80" s="2"/>
      <c r="G80" s="3"/>
      <c r="H80" s="2" t="str">
        <f t="shared" si="12"/>
        <v/>
      </c>
      <c r="I80" s="3" t="str">
        <f t="shared" ca="1" si="13"/>
        <v/>
      </c>
      <c r="J80" s="3" t="str">
        <f t="shared" si="14"/>
        <v/>
      </c>
      <c r="L80" s="3"/>
      <c r="M80" s="3">
        <f t="shared" si="15"/>
        <v>0</v>
      </c>
      <c r="N80" s="2" t="str">
        <f t="shared" si="16"/>
        <v/>
      </c>
      <c r="O80" s="2"/>
      <c r="R80" t="str">
        <f>IF(B80="","",VLOOKUP(B80,Roster!$A:$K,10,FALSE))</f>
        <v/>
      </c>
      <c r="S80" t="str">
        <f>IF(B80="","",VLOOKUP(B80,Roster!$A:$K,11,FALSE))</f>
        <v/>
      </c>
      <c r="T80" t="str">
        <f t="shared" si="17"/>
        <v/>
      </c>
      <c r="W80" t="str">
        <f>IF(OR(B80="",O80&lt;&gt;""),"",COUNTIFS(B$3:B80,"&lt;&gt;",O$3:O80,""))</f>
        <v/>
      </c>
    </row>
    <row r="81" spans="3:23" ht="14.25" customHeight="1" x14ac:dyDescent="0.45">
      <c r="C81" t="str">
        <f>IF(B81="","",VLOOKUP(B81,Roster!$A:$C,2,FALSE))</f>
        <v/>
      </c>
      <c r="D81" t="str">
        <f>IF(B81="","",VLOOKUP(B81,Roster!$A:$C,3,FALSE))</f>
        <v/>
      </c>
      <c r="F81" s="2"/>
      <c r="G81" s="3"/>
      <c r="H81" s="2" t="str">
        <f t="shared" si="12"/>
        <v/>
      </c>
      <c r="I81" s="3" t="str">
        <f t="shared" ca="1" si="13"/>
        <v/>
      </c>
      <c r="J81" s="3" t="str">
        <f t="shared" si="14"/>
        <v/>
      </c>
      <c r="L81" s="3"/>
      <c r="M81" s="3">
        <f t="shared" si="15"/>
        <v>0</v>
      </c>
      <c r="N81" s="2" t="str">
        <f t="shared" si="16"/>
        <v/>
      </c>
      <c r="O81" s="2"/>
      <c r="R81" t="str">
        <f>IF(B81="","",VLOOKUP(B81,Roster!$A:$K,10,FALSE))</f>
        <v/>
      </c>
      <c r="S81" t="str">
        <f>IF(B81="","",VLOOKUP(B81,Roster!$A:$K,11,FALSE))</f>
        <v/>
      </c>
      <c r="T81" t="str">
        <f t="shared" si="17"/>
        <v/>
      </c>
      <c r="W81" t="str">
        <f>IF(OR(B81="",O81&lt;&gt;""),"",COUNTIFS(B$3:B81,"&lt;&gt;",O$3:O81,""))</f>
        <v/>
      </c>
    </row>
    <row r="82" spans="3:23" ht="14.25" customHeight="1" x14ac:dyDescent="0.45">
      <c r="C82" t="str">
        <f>IF(B82="","",VLOOKUP(B82,Roster!$A:$C,2,FALSE))</f>
        <v/>
      </c>
      <c r="D82" t="str">
        <f>IF(B82="","",VLOOKUP(B82,Roster!$A:$C,3,FALSE))</f>
        <v/>
      </c>
      <c r="F82" s="2"/>
      <c r="G82" s="3"/>
      <c r="H82" s="2" t="str">
        <f t="shared" si="12"/>
        <v/>
      </c>
      <c r="I82" s="3" t="str">
        <f t="shared" ca="1" si="13"/>
        <v/>
      </c>
      <c r="J82" s="3" t="str">
        <f t="shared" si="14"/>
        <v/>
      </c>
      <c r="L82" s="3"/>
      <c r="M82" s="3">
        <f t="shared" si="15"/>
        <v>0</v>
      </c>
      <c r="N82" s="2" t="str">
        <f t="shared" si="16"/>
        <v/>
      </c>
      <c r="O82" s="2"/>
      <c r="R82" t="str">
        <f>IF(B82="","",VLOOKUP(B82,Roster!$A:$K,10,FALSE))</f>
        <v/>
      </c>
      <c r="S82" t="str">
        <f>IF(B82="","",VLOOKUP(B82,Roster!$A:$K,11,FALSE))</f>
        <v/>
      </c>
      <c r="T82" t="str">
        <f t="shared" si="17"/>
        <v/>
      </c>
      <c r="W82" t="str">
        <f>IF(OR(B82="",O82&lt;&gt;""),"",COUNTIFS(B$3:B82,"&lt;&gt;",O$3:O82,""))</f>
        <v/>
      </c>
    </row>
    <row r="83" spans="3:23" ht="14.25" customHeight="1" x14ac:dyDescent="0.45">
      <c r="C83" t="str">
        <f>IF(B83="","",VLOOKUP(B83,Roster!$A:$C,2,FALSE))</f>
        <v/>
      </c>
      <c r="D83" t="str">
        <f>IF(B83="","",VLOOKUP(B83,Roster!$A:$C,3,FALSE))</f>
        <v/>
      </c>
      <c r="F83" s="2"/>
      <c r="G83" s="3"/>
      <c r="H83" s="2" t="str">
        <f t="shared" si="12"/>
        <v/>
      </c>
      <c r="I83" s="3" t="str">
        <f t="shared" ca="1" si="13"/>
        <v/>
      </c>
      <c r="J83" s="3" t="str">
        <f t="shared" si="14"/>
        <v/>
      </c>
      <c r="L83" s="3"/>
      <c r="M83" s="3">
        <f t="shared" si="15"/>
        <v>0</v>
      </c>
      <c r="N83" s="2" t="str">
        <f t="shared" si="16"/>
        <v/>
      </c>
      <c r="O83" s="2"/>
      <c r="R83" t="str">
        <f>IF(B83="","",VLOOKUP(B83,Roster!$A:$K,10,FALSE))</f>
        <v/>
      </c>
      <c r="S83" t="str">
        <f>IF(B83="","",VLOOKUP(B83,Roster!$A:$K,11,FALSE))</f>
        <v/>
      </c>
      <c r="T83" t="str">
        <f t="shared" si="17"/>
        <v/>
      </c>
      <c r="W83" t="str">
        <f>IF(OR(B83="",O83&lt;&gt;""),"",COUNTIFS(B$3:B83,"&lt;&gt;",O$3:O83,""))</f>
        <v/>
      </c>
    </row>
    <row r="84" spans="3:23" ht="14.25" customHeight="1" x14ac:dyDescent="0.45">
      <c r="C84" t="str">
        <f>IF(B84="","",VLOOKUP(B84,Roster!$A:$C,2,FALSE))</f>
        <v/>
      </c>
      <c r="D84" t="str">
        <f>IF(B84="","",VLOOKUP(B84,Roster!$A:$C,3,FALSE))</f>
        <v/>
      </c>
      <c r="F84" s="2"/>
      <c r="G84" s="3"/>
      <c r="H84" s="2" t="str">
        <f t="shared" si="12"/>
        <v/>
      </c>
      <c r="I84" s="3" t="str">
        <f t="shared" ca="1" si="13"/>
        <v/>
      </c>
      <c r="J84" s="3" t="str">
        <f t="shared" si="14"/>
        <v/>
      </c>
      <c r="L84" s="3"/>
      <c r="M84" s="3">
        <f t="shared" si="15"/>
        <v>0</v>
      </c>
      <c r="N84" s="2" t="str">
        <f t="shared" si="16"/>
        <v/>
      </c>
      <c r="O84" s="2"/>
      <c r="R84" t="str">
        <f>IF(B84="","",VLOOKUP(B84,Roster!$A:$K,10,FALSE))</f>
        <v/>
      </c>
      <c r="S84" t="str">
        <f>IF(B84="","",VLOOKUP(B84,Roster!$A:$K,11,FALSE))</f>
        <v/>
      </c>
      <c r="T84" t="str">
        <f t="shared" si="17"/>
        <v/>
      </c>
      <c r="W84" t="str">
        <f>IF(OR(B84="",O84&lt;&gt;""),"",COUNTIFS(B$3:B84,"&lt;&gt;",O$3:O84,""))</f>
        <v/>
      </c>
    </row>
    <row r="85" spans="3:23" ht="14.25" customHeight="1" x14ac:dyDescent="0.45">
      <c r="C85" t="str">
        <f>IF(B85="","",VLOOKUP(B85,Roster!$A:$C,2,FALSE))</f>
        <v/>
      </c>
      <c r="D85" t="str">
        <f>IF(B85="","",VLOOKUP(B85,Roster!$A:$C,3,FALSE))</f>
        <v/>
      </c>
      <c r="F85" s="2"/>
      <c r="G85" s="3"/>
      <c r="H85" s="2" t="str">
        <f t="shared" si="12"/>
        <v/>
      </c>
      <c r="I85" s="3" t="str">
        <f t="shared" ca="1" si="13"/>
        <v/>
      </c>
      <c r="J85" s="3" t="str">
        <f t="shared" si="14"/>
        <v/>
      </c>
      <c r="L85" s="3"/>
      <c r="M85" s="3">
        <f t="shared" si="15"/>
        <v>0</v>
      </c>
      <c r="N85" s="2" t="str">
        <f t="shared" si="16"/>
        <v/>
      </c>
      <c r="O85" s="2"/>
      <c r="R85" t="str">
        <f>IF(B85="","",VLOOKUP(B85,Roster!$A:$K,10,FALSE))</f>
        <v/>
      </c>
      <c r="S85" t="str">
        <f>IF(B85="","",VLOOKUP(B85,Roster!$A:$K,11,FALSE))</f>
        <v/>
      </c>
      <c r="T85" t="str">
        <f t="shared" si="17"/>
        <v/>
      </c>
      <c r="W85" t="str">
        <f>IF(OR(B85="",O85&lt;&gt;""),"",COUNTIFS(B$3:B85,"&lt;&gt;",O$3:O85,""))</f>
        <v/>
      </c>
    </row>
    <row r="86" spans="3:23" ht="14.25" customHeight="1" x14ac:dyDescent="0.45">
      <c r="C86" t="str">
        <f>IF(B86="","",VLOOKUP(B86,Roster!$A:$C,2,FALSE))</f>
        <v/>
      </c>
      <c r="D86" t="str">
        <f>IF(B86="","",VLOOKUP(B86,Roster!$A:$C,3,FALSE))</f>
        <v/>
      </c>
      <c r="F86" s="2"/>
      <c r="G86" s="3"/>
      <c r="H86" s="2" t="str">
        <f t="shared" si="12"/>
        <v/>
      </c>
      <c r="I86" s="3" t="str">
        <f t="shared" ca="1" si="13"/>
        <v/>
      </c>
      <c r="J86" s="3" t="str">
        <f t="shared" si="14"/>
        <v/>
      </c>
      <c r="L86" s="3"/>
      <c r="M86" s="3">
        <f t="shared" si="15"/>
        <v>0</v>
      </c>
      <c r="N86" s="2" t="str">
        <f t="shared" si="16"/>
        <v/>
      </c>
      <c r="O86" s="2"/>
      <c r="R86" t="str">
        <f>IF(B86="","",VLOOKUP(B86,Roster!$A:$K,10,FALSE))</f>
        <v/>
      </c>
      <c r="S86" t="str">
        <f>IF(B86="","",VLOOKUP(B86,Roster!$A:$K,11,FALSE))</f>
        <v/>
      </c>
      <c r="T86" t="str">
        <f t="shared" si="17"/>
        <v/>
      </c>
      <c r="W86" t="str">
        <f>IF(OR(B86="",O86&lt;&gt;""),"",COUNTIFS(B$3:B86,"&lt;&gt;",O$3:O86,""))</f>
        <v/>
      </c>
    </row>
    <row r="87" spans="3:23" ht="14.25" customHeight="1" x14ac:dyDescent="0.45">
      <c r="C87" t="str">
        <f>IF(B87="","",VLOOKUP(B87,Roster!$A:$C,2,FALSE))</f>
        <v/>
      </c>
      <c r="D87" t="str">
        <f>IF(B87="","",VLOOKUP(B87,Roster!$A:$C,3,FALSE))</f>
        <v/>
      </c>
      <c r="F87" s="2"/>
      <c r="G87" s="3"/>
      <c r="H87" s="2" t="str">
        <f t="shared" si="12"/>
        <v/>
      </c>
      <c r="I87" s="3" t="str">
        <f t="shared" ca="1" si="13"/>
        <v/>
      </c>
      <c r="J87" s="3" t="str">
        <f t="shared" si="14"/>
        <v/>
      </c>
      <c r="L87" s="3"/>
      <c r="M87" s="3">
        <f t="shared" si="15"/>
        <v>0</v>
      </c>
      <c r="N87" s="2" t="str">
        <f t="shared" si="16"/>
        <v/>
      </c>
      <c r="O87" s="2"/>
      <c r="R87" t="str">
        <f>IF(B87="","",VLOOKUP(B87,Roster!$A:$K,10,FALSE))</f>
        <v/>
      </c>
      <c r="S87" t="str">
        <f>IF(B87="","",VLOOKUP(B87,Roster!$A:$K,11,FALSE))</f>
        <v/>
      </c>
      <c r="T87" t="str">
        <f t="shared" si="17"/>
        <v/>
      </c>
      <c r="W87" t="str">
        <f>IF(OR(B87="",O87&lt;&gt;""),"",COUNTIFS(B$3:B87,"&lt;&gt;",O$3:O87,""))</f>
        <v/>
      </c>
    </row>
    <row r="88" spans="3:23" ht="14.25" customHeight="1" x14ac:dyDescent="0.45">
      <c r="C88" t="str">
        <f>IF(B88="","",VLOOKUP(B88,Roster!$A:$C,2,FALSE))</f>
        <v/>
      </c>
      <c r="D88" t="str">
        <f>IF(B88="","",VLOOKUP(B88,Roster!$A:$C,3,FALSE))</f>
        <v/>
      </c>
      <c r="F88" s="2"/>
      <c r="G88" s="3"/>
      <c r="H88" s="2" t="str">
        <f t="shared" si="12"/>
        <v/>
      </c>
      <c r="I88" s="3" t="str">
        <f t="shared" ca="1" si="13"/>
        <v/>
      </c>
      <c r="J88" s="3" t="str">
        <f t="shared" si="14"/>
        <v/>
      </c>
      <c r="L88" s="3"/>
      <c r="M88" s="3">
        <f t="shared" si="15"/>
        <v>0</v>
      </c>
      <c r="N88" s="2" t="str">
        <f t="shared" si="16"/>
        <v/>
      </c>
      <c r="O88" s="2"/>
      <c r="R88" t="str">
        <f>IF(B88="","",VLOOKUP(B88,Roster!$A:$K,10,FALSE))</f>
        <v/>
      </c>
      <c r="S88" t="str">
        <f>IF(B88="","",VLOOKUP(B88,Roster!$A:$K,11,FALSE))</f>
        <v/>
      </c>
      <c r="T88" t="str">
        <f t="shared" si="17"/>
        <v/>
      </c>
      <c r="W88" t="str">
        <f>IF(OR(B88="",O88&lt;&gt;""),"",COUNTIFS(B$3:B88,"&lt;&gt;",O$3:O88,""))</f>
        <v/>
      </c>
    </row>
    <row r="89" spans="3:23" ht="14.25" customHeight="1" x14ac:dyDescent="0.45">
      <c r="C89" t="str">
        <f>IF(B89="","",VLOOKUP(B89,Roster!$A:$C,2,FALSE))</f>
        <v/>
      </c>
      <c r="D89" t="str">
        <f>IF(B89="","",VLOOKUP(B89,Roster!$A:$C,3,FALSE))</f>
        <v/>
      </c>
      <c r="F89" s="2"/>
      <c r="G89" s="3"/>
      <c r="H89" s="2" t="str">
        <f t="shared" si="12"/>
        <v/>
      </c>
      <c r="I89" s="3" t="str">
        <f t="shared" ca="1" si="13"/>
        <v/>
      </c>
      <c r="J89" s="3" t="str">
        <f t="shared" si="14"/>
        <v/>
      </c>
      <c r="L89" s="3"/>
      <c r="M89" s="3">
        <f t="shared" si="15"/>
        <v>0</v>
      </c>
      <c r="N89" s="2" t="str">
        <f t="shared" si="16"/>
        <v/>
      </c>
      <c r="O89" s="2"/>
      <c r="R89" t="str">
        <f>IF(B89="","",VLOOKUP(B89,Roster!$A:$K,10,FALSE))</f>
        <v/>
      </c>
      <c r="S89" t="str">
        <f>IF(B89="","",VLOOKUP(B89,Roster!$A:$K,11,FALSE))</f>
        <v/>
      </c>
      <c r="T89" t="str">
        <f t="shared" si="17"/>
        <v/>
      </c>
      <c r="W89" t="str">
        <f>IF(OR(B89="",O89&lt;&gt;""),"",COUNTIFS(B$3:B89,"&lt;&gt;",O$3:O89,""))</f>
        <v/>
      </c>
    </row>
    <row r="90" spans="3:23" ht="14.25" customHeight="1" x14ac:dyDescent="0.45">
      <c r="C90" t="str">
        <f>IF(B90="","",VLOOKUP(B90,Roster!$A:$C,2,FALSE))</f>
        <v/>
      </c>
      <c r="D90" t="str">
        <f>IF(B90="","",VLOOKUP(B90,Roster!$A:$C,3,FALSE))</f>
        <v/>
      </c>
      <c r="F90" s="2"/>
      <c r="G90" s="3"/>
      <c r="H90" s="2" t="str">
        <f t="shared" si="12"/>
        <v/>
      </c>
      <c r="I90" s="3" t="str">
        <f t="shared" ca="1" si="13"/>
        <v/>
      </c>
      <c r="J90" s="3" t="str">
        <f t="shared" si="14"/>
        <v/>
      </c>
      <c r="L90" s="3"/>
      <c r="M90" s="3">
        <f t="shared" si="15"/>
        <v>0</v>
      </c>
      <c r="N90" s="2" t="str">
        <f t="shared" si="16"/>
        <v/>
      </c>
      <c r="O90" s="2"/>
      <c r="R90" t="str">
        <f>IF(B90="","",VLOOKUP(B90,Roster!$A:$K,10,FALSE))</f>
        <v/>
      </c>
      <c r="S90" t="str">
        <f>IF(B90="","",VLOOKUP(B90,Roster!$A:$K,11,FALSE))</f>
        <v/>
      </c>
      <c r="T90" t="str">
        <f t="shared" si="17"/>
        <v/>
      </c>
      <c r="W90" t="str">
        <f>IF(OR(B90="",O90&lt;&gt;""),"",COUNTIFS(B$3:B90,"&lt;&gt;",O$3:O90,""))</f>
        <v/>
      </c>
    </row>
    <row r="91" spans="3:23" ht="14.25" customHeight="1" x14ac:dyDescent="0.45">
      <c r="C91" t="str">
        <f>IF(B91="","",VLOOKUP(B91,Roster!$A:$C,2,FALSE))</f>
        <v/>
      </c>
      <c r="D91" t="str">
        <f>IF(B91="","",VLOOKUP(B91,Roster!$A:$C,3,FALSE))</f>
        <v/>
      </c>
      <c r="F91" s="2"/>
      <c r="G91" s="3"/>
      <c r="H91" s="2" t="str">
        <f t="shared" si="12"/>
        <v/>
      </c>
      <c r="I91" s="3" t="str">
        <f t="shared" ca="1" si="13"/>
        <v/>
      </c>
      <c r="J91" s="3" t="str">
        <f t="shared" si="14"/>
        <v/>
      </c>
      <c r="L91" s="3"/>
      <c r="M91" s="3">
        <f t="shared" si="15"/>
        <v>0</v>
      </c>
      <c r="N91" s="2" t="str">
        <f t="shared" si="16"/>
        <v/>
      </c>
      <c r="O91" s="2"/>
      <c r="R91" t="str">
        <f>IF(B91="","",VLOOKUP(B91,Roster!$A:$K,10,FALSE))</f>
        <v/>
      </c>
      <c r="S91" t="str">
        <f>IF(B91="","",VLOOKUP(B91,Roster!$A:$K,11,FALSE))</f>
        <v/>
      </c>
      <c r="T91" t="str">
        <f t="shared" si="17"/>
        <v/>
      </c>
      <c r="W91" t="str">
        <f>IF(OR(B91="",O91&lt;&gt;""),"",COUNTIFS(B$3:B91,"&lt;&gt;",O$3:O91,""))</f>
        <v/>
      </c>
    </row>
    <row r="92" spans="3:23" ht="14.25" customHeight="1" x14ac:dyDescent="0.45">
      <c r="C92" t="str">
        <f>IF(B92="","",VLOOKUP(B92,Roster!$A:$C,2,FALSE))</f>
        <v/>
      </c>
      <c r="D92" t="str">
        <f>IF(B92="","",VLOOKUP(B92,Roster!$A:$C,3,FALSE))</f>
        <v/>
      </c>
      <c r="F92" s="2"/>
      <c r="G92" s="3"/>
      <c r="H92" s="2" t="str">
        <f t="shared" si="12"/>
        <v/>
      </c>
      <c r="I92" s="3" t="str">
        <f t="shared" ca="1" si="13"/>
        <v/>
      </c>
      <c r="J92" s="3" t="str">
        <f t="shared" si="14"/>
        <v/>
      </c>
      <c r="L92" s="3"/>
      <c r="M92" s="3">
        <f t="shared" si="15"/>
        <v>0</v>
      </c>
      <c r="N92" s="2" t="str">
        <f t="shared" si="16"/>
        <v/>
      </c>
      <c r="O92" s="2"/>
      <c r="R92" t="str">
        <f>IF(B92="","",VLOOKUP(B92,Roster!$A:$K,10,FALSE))</f>
        <v/>
      </c>
      <c r="S92" t="str">
        <f>IF(B92="","",VLOOKUP(B92,Roster!$A:$K,11,FALSE))</f>
        <v/>
      </c>
      <c r="T92" t="str">
        <f t="shared" si="17"/>
        <v/>
      </c>
      <c r="W92" t="str">
        <f>IF(OR(B92="",O92&lt;&gt;""),"",COUNTIFS(B$3:B92,"&lt;&gt;",O$3:O92,""))</f>
        <v/>
      </c>
    </row>
    <row r="93" spans="3:23" ht="14.25" customHeight="1" x14ac:dyDescent="0.45">
      <c r="C93" t="str">
        <f>IF(B93="","",VLOOKUP(B93,Roster!$A:$C,2,FALSE))</f>
        <v/>
      </c>
      <c r="D93" t="str">
        <f>IF(B93="","",VLOOKUP(B93,Roster!$A:$C,3,FALSE))</f>
        <v/>
      </c>
      <c r="F93" s="2"/>
      <c r="G93" s="3"/>
      <c r="H93" s="2" t="str">
        <f t="shared" si="12"/>
        <v/>
      </c>
      <c r="I93" s="3" t="str">
        <f t="shared" ca="1" si="13"/>
        <v/>
      </c>
      <c r="J93" s="3" t="str">
        <f t="shared" si="14"/>
        <v/>
      </c>
      <c r="L93" s="3"/>
      <c r="M93" s="3">
        <f t="shared" si="15"/>
        <v>0</v>
      </c>
      <c r="N93" s="2" t="str">
        <f t="shared" si="16"/>
        <v/>
      </c>
      <c r="O93" s="2"/>
      <c r="R93" t="str">
        <f>IF(B93="","",VLOOKUP(B93,Roster!$A:$K,10,FALSE))</f>
        <v/>
      </c>
      <c r="S93" t="str">
        <f>IF(B93="","",VLOOKUP(B93,Roster!$A:$K,11,FALSE))</f>
        <v/>
      </c>
      <c r="T93" t="str">
        <f t="shared" si="17"/>
        <v/>
      </c>
      <c r="W93" t="str">
        <f>IF(OR(B93="",O93&lt;&gt;""),"",COUNTIFS(B$3:B93,"&lt;&gt;",O$3:O93,""))</f>
        <v/>
      </c>
    </row>
    <row r="94" spans="3:23" ht="14.25" customHeight="1" x14ac:dyDescent="0.45">
      <c r="C94" t="str">
        <f>IF(B94="","",VLOOKUP(B94,Roster!$A:$C,2,FALSE))</f>
        <v/>
      </c>
      <c r="D94" t="str">
        <f>IF(B94="","",VLOOKUP(B94,Roster!$A:$C,3,FALSE))</f>
        <v/>
      </c>
      <c r="F94" s="2"/>
      <c r="G94" s="3"/>
      <c r="H94" s="2" t="str">
        <f t="shared" si="12"/>
        <v/>
      </c>
      <c r="I94" s="3" t="str">
        <f t="shared" ca="1" si="13"/>
        <v/>
      </c>
      <c r="J94" s="3" t="str">
        <f t="shared" si="14"/>
        <v/>
      </c>
      <c r="L94" s="3"/>
      <c r="M94" s="3">
        <f t="shared" si="15"/>
        <v>0</v>
      </c>
      <c r="N94" s="2" t="str">
        <f t="shared" si="16"/>
        <v/>
      </c>
      <c r="O94" s="2"/>
      <c r="R94" t="str">
        <f>IF(B94="","",VLOOKUP(B94,Roster!$A:$K,10,FALSE))</f>
        <v/>
      </c>
      <c r="S94" t="str">
        <f>IF(B94="","",VLOOKUP(B94,Roster!$A:$K,11,FALSE))</f>
        <v/>
      </c>
      <c r="T94" t="str">
        <f t="shared" si="17"/>
        <v/>
      </c>
      <c r="W94" t="str">
        <f>IF(OR(B94="",O94&lt;&gt;""),"",COUNTIFS(B$3:B94,"&lt;&gt;",O$3:O94,""))</f>
        <v/>
      </c>
    </row>
    <row r="95" spans="3:23" ht="14.25" customHeight="1" x14ac:dyDescent="0.45">
      <c r="C95" t="str">
        <f>IF(B95="","",VLOOKUP(B95,Roster!$A:$C,2,FALSE))</f>
        <v/>
      </c>
      <c r="D95" t="str">
        <f>IF(B95="","",VLOOKUP(B95,Roster!$A:$C,3,FALSE))</f>
        <v/>
      </c>
      <c r="F95" s="2"/>
      <c r="G95" s="3"/>
      <c r="H95" s="2" t="str">
        <f t="shared" si="12"/>
        <v/>
      </c>
      <c r="I95" s="3" t="str">
        <f t="shared" ca="1" si="13"/>
        <v/>
      </c>
      <c r="J95" s="3" t="str">
        <f t="shared" si="14"/>
        <v/>
      </c>
      <c r="L95" s="3"/>
      <c r="M95" s="3">
        <f t="shared" si="15"/>
        <v>0</v>
      </c>
      <c r="N95" s="2" t="str">
        <f t="shared" si="16"/>
        <v/>
      </c>
      <c r="O95" s="2"/>
      <c r="R95" t="str">
        <f>IF(B95="","",VLOOKUP(B95,Roster!$A:$K,10,FALSE))</f>
        <v/>
      </c>
      <c r="S95" t="str">
        <f>IF(B95="","",VLOOKUP(B95,Roster!$A:$K,11,FALSE))</f>
        <v/>
      </c>
      <c r="T95" t="str">
        <f t="shared" si="17"/>
        <v/>
      </c>
      <c r="W95" t="str">
        <f>IF(OR(B95="",O95&lt;&gt;""),"",COUNTIFS(B$3:B95,"&lt;&gt;",O$3:O95,""))</f>
        <v/>
      </c>
    </row>
    <row r="96" spans="3:23" ht="14.25" customHeight="1" x14ac:dyDescent="0.45">
      <c r="C96" t="str">
        <f>IF(B96="","",VLOOKUP(B96,Roster!$A:$C,2,FALSE))</f>
        <v/>
      </c>
      <c r="D96" t="str">
        <f>IF(B96="","",VLOOKUP(B96,Roster!$A:$C,3,FALSE))</f>
        <v/>
      </c>
      <c r="F96" s="2"/>
      <c r="G96" s="3"/>
      <c r="H96" s="2" t="str">
        <f t="shared" si="12"/>
        <v/>
      </c>
      <c r="I96" s="3" t="str">
        <f t="shared" ca="1" si="13"/>
        <v/>
      </c>
      <c r="J96" s="3" t="str">
        <f t="shared" si="14"/>
        <v/>
      </c>
      <c r="L96" s="3"/>
      <c r="M96" s="3">
        <f t="shared" si="15"/>
        <v>0</v>
      </c>
      <c r="N96" s="2" t="str">
        <f t="shared" si="16"/>
        <v/>
      </c>
      <c r="O96" s="2"/>
      <c r="R96" t="str">
        <f>IF(B96="","",VLOOKUP(B96,Roster!$A:$K,10,FALSE))</f>
        <v/>
      </c>
      <c r="S96" t="str">
        <f>IF(B96="","",VLOOKUP(B96,Roster!$A:$K,11,FALSE))</f>
        <v/>
      </c>
      <c r="T96" t="str">
        <f t="shared" si="17"/>
        <v/>
      </c>
      <c r="W96" t="str">
        <f>IF(OR(B96="",O96&lt;&gt;""),"",COUNTIFS(B$3:B96,"&lt;&gt;",O$3:O96,""))</f>
        <v/>
      </c>
    </row>
    <row r="97" spans="3:23" ht="14.25" customHeight="1" x14ac:dyDescent="0.45">
      <c r="C97" t="str">
        <f>IF(B97="","",VLOOKUP(B97,Roster!$A:$C,2,FALSE))</f>
        <v/>
      </c>
      <c r="D97" t="str">
        <f>IF(B97="","",VLOOKUP(B97,Roster!$A:$C,3,FALSE))</f>
        <v/>
      </c>
      <c r="F97" s="2"/>
      <c r="G97" s="3"/>
      <c r="H97" s="2" t="str">
        <f t="shared" si="12"/>
        <v/>
      </c>
      <c r="I97" s="3" t="str">
        <f t="shared" ca="1" si="13"/>
        <v/>
      </c>
      <c r="J97" s="3" t="str">
        <f t="shared" si="14"/>
        <v/>
      </c>
      <c r="L97" s="3"/>
      <c r="M97" s="3">
        <f t="shared" si="15"/>
        <v>0</v>
      </c>
      <c r="N97" s="2" t="str">
        <f t="shared" si="16"/>
        <v/>
      </c>
      <c r="O97" s="2"/>
      <c r="R97" t="str">
        <f>IF(B97="","",VLOOKUP(B97,Roster!$A:$K,10,FALSE))</f>
        <v/>
      </c>
      <c r="S97" t="str">
        <f>IF(B97="","",VLOOKUP(B97,Roster!$A:$K,11,FALSE))</f>
        <v/>
      </c>
      <c r="T97" t="str">
        <f t="shared" si="17"/>
        <v/>
      </c>
      <c r="W97" t="str">
        <f>IF(OR(B97="",O97&lt;&gt;""),"",COUNTIFS(B$3:B97,"&lt;&gt;",O$3:O97,""))</f>
        <v/>
      </c>
    </row>
    <row r="98" spans="3:23" ht="14.25" customHeight="1" x14ac:dyDescent="0.45">
      <c r="C98" t="str">
        <f>IF(B98="","",VLOOKUP(B98,Roster!$A:$C,2,FALSE))</f>
        <v/>
      </c>
      <c r="D98" t="str">
        <f>IF(B98="","",VLOOKUP(B98,Roster!$A:$C,3,FALSE))</f>
        <v/>
      </c>
      <c r="F98" s="2"/>
      <c r="G98" s="3"/>
      <c r="H98" s="2" t="str">
        <f t="shared" si="12"/>
        <v/>
      </c>
      <c r="I98" s="3" t="str">
        <f t="shared" ca="1" si="13"/>
        <v/>
      </c>
      <c r="J98" s="3" t="str">
        <f t="shared" si="14"/>
        <v/>
      </c>
      <c r="L98" s="3"/>
      <c r="M98" s="3">
        <f t="shared" si="15"/>
        <v>0</v>
      </c>
      <c r="N98" s="2" t="str">
        <f t="shared" si="16"/>
        <v/>
      </c>
      <c r="O98" s="2"/>
      <c r="R98" t="str">
        <f>IF(B98="","",VLOOKUP(B98,Roster!$A:$K,10,FALSE))</f>
        <v/>
      </c>
      <c r="S98" t="str">
        <f>IF(B98="","",VLOOKUP(B98,Roster!$A:$K,11,FALSE))</f>
        <v/>
      </c>
      <c r="T98" t="str">
        <f t="shared" si="17"/>
        <v/>
      </c>
      <c r="W98" t="str">
        <f>IF(OR(B98="",O98&lt;&gt;""),"",COUNTIFS(B$3:B98,"&lt;&gt;",O$3:O98,""))</f>
        <v/>
      </c>
    </row>
    <row r="99" spans="3:23" ht="14.25" customHeight="1" x14ac:dyDescent="0.45">
      <c r="C99" t="str">
        <f>IF(B99="","",VLOOKUP(B99,Roster!$A:$C,2,FALSE))</f>
        <v/>
      </c>
      <c r="D99" t="str">
        <f>IF(B99="","",VLOOKUP(B99,Roster!$A:$C,3,FALSE))</f>
        <v/>
      </c>
      <c r="F99" s="2"/>
      <c r="G99" s="3"/>
      <c r="H99" s="2" t="str">
        <f t="shared" ref="H99:H130" si="18">IF(F99="","",F99+G99)</f>
        <v/>
      </c>
      <c r="I99" s="3" t="str">
        <f t="shared" ca="1" si="13"/>
        <v/>
      </c>
      <c r="J99" s="3" t="str">
        <f t="shared" ref="J99:J130" si="19">IF(F99="","",MAX(0,IF(K99="Yes",M99,G99)-I99))</f>
        <v/>
      </c>
      <c r="L99" s="3"/>
      <c r="M99" s="3">
        <f t="shared" ref="M99:M130" si="20">IF(K99="Yes",G99+L99,G99)</f>
        <v>0</v>
      </c>
      <c r="N99" s="2" t="str">
        <f t="shared" ref="N99:N130" si="21">IF(F99="","",F99+M99)</f>
        <v/>
      </c>
      <c r="O99" s="2"/>
      <c r="R99" t="str">
        <f>IF(B99="","",VLOOKUP(B99,Roster!$A:$K,10,FALSE))</f>
        <v/>
      </c>
      <c r="S99" t="str">
        <f>IF(B99="","",VLOOKUP(B99,Roster!$A:$K,11,FALSE))</f>
        <v/>
      </c>
      <c r="T99" t="str">
        <f t="shared" ref="T99:T130" si="22">IF(B99="","",IF(OR(R99="Yes",S99="Yes"),"Yes — MDR Required","No"))</f>
        <v/>
      </c>
      <c r="W99" t="str">
        <f>IF(OR(B99="",O99&lt;&gt;""),"",COUNTIFS(B$3:B99,"&lt;&gt;",O$3:O99,""))</f>
        <v/>
      </c>
    </row>
    <row r="100" spans="3:23" ht="14.25" customHeight="1" x14ac:dyDescent="0.45">
      <c r="C100" t="str">
        <f>IF(B100="","",VLOOKUP(B100,Roster!$A:$C,2,FALSE))</f>
        <v/>
      </c>
      <c r="D100" t="str">
        <f>IF(B100="","",VLOOKUP(B100,Roster!$A:$C,3,FALSE))</f>
        <v/>
      </c>
      <c r="F100" s="2"/>
      <c r="G100" s="3"/>
      <c r="H100" s="2" t="str">
        <f t="shared" si="18"/>
        <v/>
      </c>
      <c r="I100" s="3" t="str">
        <f t="shared" ca="1" si="13"/>
        <v/>
      </c>
      <c r="J100" s="3" t="str">
        <f t="shared" si="19"/>
        <v/>
      </c>
      <c r="L100" s="3"/>
      <c r="M100" s="3">
        <f t="shared" si="20"/>
        <v>0</v>
      </c>
      <c r="N100" s="2" t="str">
        <f t="shared" si="21"/>
        <v/>
      </c>
      <c r="O100" s="2"/>
      <c r="R100" t="str">
        <f>IF(B100="","",VLOOKUP(B100,Roster!$A:$K,10,FALSE))</f>
        <v/>
      </c>
      <c r="S100" t="str">
        <f>IF(B100="","",VLOOKUP(B100,Roster!$A:$K,11,FALSE))</f>
        <v/>
      </c>
      <c r="T100" t="str">
        <f t="shared" si="22"/>
        <v/>
      </c>
      <c r="W100" t="str">
        <f>IF(OR(B100="",O100&lt;&gt;""),"",COUNTIFS(B$3:B100,"&lt;&gt;",O$3:O100,""))</f>
        <v/>
      </c>
    </row>
    <row r="101" spans="3:23" ht="14.25" customHeight="1" x14ac:dyDescent="0.45">
      <c r="C101" t="str">
        <f>IF(B101="","",VLOOKUP(B101,Roster!$A:$C,2,FALSE))</f>
        <v/>
      </c>
      <c r="D101" t="str">
        <f>IF(B101="","",VLOOKUP(B101,Roster!$A:$C,3,FALSE))</f>
        <v/>
      </c>
      <c r="F101" s="2"/>
      <c r="G101" s="3"/>
      <c r="H101" s="2" t="str">
        <f t="shared" si="18"/>
        <v/>
      </c>
      <c r="I101" s="3" t="str">
        <f t="shared" ca="1" si="13"/>
        <v/>
      </c>
      <c r="J101" s="3" t="str">
        <f t="shared" si="19"/>
        <v/>
      </c>
      <c r="L101" s="3"/>
      <c r="M101" s="3">
        <f t="shared" si="20"/>
        <v>0</v>
      </c>
      <c r="N101" s="2" t="str">
        <f t="shared" si="21"/>
        <v/>
      </c>
      <c r="O101" s="2"/>
      <c r="R101" t="str">
        <f>IF(B101="","",VLOOKUP(B101,Roster!$A:$K,10,FALSE))</f>
        <v/>
      </c>
      <c r="S101" t="str">
        <f>IF(B101="","",VLOOKUP(B101,Roster!$A:$K,11,FALSE))</f>
        <v/>
      </c>
      <c r="T101" t="str">
        <f t="shared" si="22"/>
        <v/>
      </c>
      <c r="W101" t="str">
        <f>IF(OR(B101="",O101&lt;&gt;""),"",COUNTIFS(B$3:B101,"&lt;&gt;",O$3:O101,""))</f>
        <v/>
      </c>
    </row>
    <row r="102" spans="3:23" ht="14.25" customHeight="1" x14ac:dyDescent="0.45">
      <c r="C102" t="str">
        <f>IF(B102="","",VLOOKUP(B102,Roster!$A:$C,2,FALSE))</f>
        <v/>
      </c>
      <c r="D102" t="str">
        <f>IF(B102="","",VLOOKUP(B102,Roster!$A:$C,3,FALSE))</f>
        <v/>
      </c>
      <c r="F102" s="2"/>
      <c r="G102" s="3"/>
      <c r="H102" s="2" t="str">
        <f t="shared" si="18"/>
        <v/>
      </c>
      <c r="I102" s="3" t="str">
        <f t="shared" ca="1" si="13"/>
        <v/>
      </c>
      <c r="J102" s="3" t="str">
        <f t="shared" si="19"/>
        <v/>
      </c>
      <c r="L102" s="3"/>
      <c r="M102" s="3">
        <f t="shared" si="20"/>
        <v>0</v>
      </c>
      <c r="N102" s="2" t="str">
        <f t="shared" si="21"/>
        <v/>
      </c>
      <c r="O102" s="2"/>
      <c r="R102" t="str">
        <f>IF(B102="","",VLOOKUP(B102,Roster!$A:$K,10,FALSE))</f>
        <v/>
      </c>
      <c r="S102" t="str">
        <f>IF(B102="","",VLOOKUP(B102,Roster!$A:$K,11,FALSE))</f>
        <v/>
      </c>
      <c r="T102" t="str">
        <f t="shared" si="22"/>
        <v/>
      </c>
      <c r="W102" t="str">
        <f>IF(OR(B102="",O102&lt;&gt;""),"",COUNTIFS(B$3:B102,"&lt;&gt;",O$3:O102,""))</f>
        <v/>
      </c>
    </row>
  </sheetData>
  <mergeCells count="1">
    <mergeCell ref="A1:V1"/>
  </mergeCells>
  <conditionalFormatting sqref="J3:J102">
    <cfRule type="cellIs" dxfId="3" priority="7" operator="lessThanOrEqual">
      <formula>0</formula>
    </cfRule>
    <cfRule type="cellIs" dxfId="2" priority="8" operator="lessThanOrEqual">
      <formula>5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300-000000000000}">
          <x14:formula1>
            <xm:f>Lists!$J$2:$J$3</xm:f>
          </x14:formula1>
          <xm:sqref>K3:K102</xm:sqref>
        </x14:dataValidation>
        <x14:dataValidation type="list" allowBlank="1" xr:uid="{00000000-0002-0000-0300-000001000000}">
          <x14:formula1>
            <xm:f>Lists!$G$2:$G$8</xm:f>
          </x14:formula1>
          <xm:sqref>P3:P102</xm:sqref>
        </x14:dataValidation>
        <x14:dataValidation type="list" allowBlank="1" xr:uid="{00000000-0002-0000-0300-000002000000}">
          <x14:formula1>
            <xm:f>Lists!$I$2:$I$6</xm:f>
          </x14:formula1>
          <xm:sqref>U3:U102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53"/>
  <sheetViews>
    <sheetView zoomScaleNormal="100" workbookViewId="0"/>
  </sheetViews>
  <sheetFormatPr defaultRowHeight="15" customHeight="1" x14ac:dyDescent="0.45"/>
  <cols>
    <col min="1" max="2" width="15" customWidth="1"/>
    <col min="3" max="4" width="18.33203125" customWidth="1"/>
    <col min="5" max="5" width="15" customWidth="1"/>
    <col min="6" max="6" width="16.6640625" customWidth="1"/>
    <col min="7" max="8" width="36.6640625" customWidth="1"/>
    <col min="9" max="9" width="20" customWidth="1"/>
    <col min="10" max="10" width="16.6640625" customWidth="1"/>
    <col min="11" max="11" width="20" customWidth="1"/>
    <col min="12" max="12" width="18.33203125" customWidth="1"/>
    <col min="13" max="13" width="16.6640625" customWidth="1"/>
    <col min="14" max="14" width="20" customWidth="1"/>
    <col min="15" max="15" width="23.33203125" customWidth="1"/>
    <col min="16" max="16" width="16.6640625" customWidth="1"/>
    <col min="17" max="17" width="20" customWidth="1"/>
    <col min="18" max="18" width="36.6640625" customWidth="1"/>
    <col min="19" max="19" width="13" hidden="1" customWidth="1"/>
  </cols>
  <sheetData>
    <row r="1" spans="1:19" ht="14.25" customHeight="1" x14ac:dyDescent="0.45">
      <c r="A1" s="4" t="s">
        <v>146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9" ht="14.25" customHeight="1" x14ac:dyDescent="0.45">
      <c r="A2" s="4" t="s">
        <v>147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9" ht="14.25" customHeight="1" x14ac:dyDescent="0.45">
      <c r="A3" t="s">
        <v>148</v>
      </c>
      <c r="B3" t="s">
        <v>30</v>
      </c>
      <c r="C3" t="s">
        <v>84</v>
      </c>
      <c r="D3" t="s">
        <v>85</v>
      </c>
      <c r="E3" t="s">
        <v>122</v>
      </c>
      <c r="F3" t="s">
        <v>149</v>
      </c>
      <c r="G3" t="s">
        <v>150</v>
      </c>
      <c r="H3" t="s">
        <v>151</v>
      </c>
      <c r="I3" t="s">
        <v>123</v>
      </c>
      <c r="J3" t="s">
        <v>152</v>
      </c>
      <c r="K3" t="s">
        <v>153</v>
      </c>
      <c r="L3" t="s">
        <v>154</v>
      </c>
      <c r="M3" t="s">
        <v>38</v>
      </c>
      <c r="N3" t="s">
        <v>155</v>
      </c>
      <c r="O3" t="s">
        <v>156</v>
      </c>
      <c r="P3" t="s">
        <v>157</v>
      </c>
      <c r="Q3" t="s">
        <v>158</v>
      </c>
      <c r="R3" t="s">
        <v>159</v>
      </c>
      <c r="S3" t="s">
        <v>138</v>
      </c>
    </row>
    <row r="4" spans="1:19" ht="15" customHeight="1" x14ac:dyDescent="0.5">
      <c r="A4" t="s">
        <v>160</v>
      </c>
      <c r="B4" t="s">
        <v>48</v>
      </c>
      <c r="C4" t="str">
        <f>IF(B4="","",VLOOKUP(B4,Roster!$A:$C,2,FALSE))</f>
        <v>Ramirez</v>
      </c>
      <c r="D4" t="str">
        <f>IF(B4="","",VLOOKUP(B4,Roster!$A:$C,3,FALSE))</f>
        <v>Carlos</v>
      </c>
      <c r="E4" t="s">
        <v>139</v>
      </c>
      <c r="F4" s="1" t="s">
        <v>55</v>
      </c>
      <c r="G4" t="s">
        <v>161</v>
      </c>
      <c r="H4" t="s">
        <v>162</v>
      </c>
      <c r="I4" s="1">
        <v>46042</v>
      </c>
      <c r="J4" s="3">
        <v>10</v>
      </c>
      <c r="K4" s="2">
        <f t="shared" ref="K4:K35" si="0">IF(OR(I4="",J4=""),"",I4+ROUND(J4*7/5,0))</f>
        <v>46056</v>
      </c>
      <c r="L4" t="str">
        <f t="shared" ref="L4:L35" ca="1" si="1">IF(K4="","",IF(M4="Complete","N/A — Completed",K4-TODAY()))</f>
        <v>N/A — Completed</v>
      </c>
      <c r="M4" s="1" t="s">
        <v>163</v>
      </c>
      <c r="N4" s="2">
        <v>46038</v>
      </c>
      <c r="O4" t="s">
        <v>164</v>
      </c>
      <c r="P4" t="s">
        <v>55</v>
      </c>
      <c r="Q4" s="2">
        <v>46038</v>
      </c>
      <c r="R4" t="s">
        <v>165</v>
      </c>
      <c r="S4" t="str">
        <f ca="1">IF(AND(B4&lt;&gt;"",ISNUMBER(L4),L4&gt;=-5,L4&lt;=10,M4&lt;&gt;"Complete",M4&lt;&gt;"N/A"),COUNTIFS(B$4:B4,"&lt;&gt;",L$4:L4,"&gt;=-5",L$4:L4,"&lt;=10",M$4:M4,"&lt;&gt;Complete",M$4:M4,"&lt;&gt;N/A"),"")</f>
        <v/>
      </c>
    </row>
    <row r="5" spans="1:19" ht="15" customHeight="1" x14ac:dyDescent="0.5">
      <c r="A5" t="s">
        <v>166</v>
      </c>
      <c r="B5" t="s">
        <v>64</v>
      </c>
      <c r="C5" t="str">
        <f>IF(B5="","",VLOOKUP(B5,Roster!$A:$C,2,FALSE))</f>
        <v>Williams</v>
      </c>
      <c r="D5" t="str">
        <f>IF(B5="","",VLOOKUP(B5,Roster!$A:$C,3,FALSE))</f>
        <v>Marcus</v>
      </c>
      <c r="E5" t="s">
        <v>143</v>
      </c>
      <c r="F5" s="1" t="s">
        <v>55</v>
      </c>
      <c r="G5" t="s">
        <v>167</v>
      </c>
      <c r="H5" t="s">
        <v>168</v>
      </c>
      <c r="I5" s="1">
        <v>45978</v>
      </c>
      <c r="J5" s="3">
        <v>45</v>
      </c>
      <c r="K5" s="2">
        <f t="shared" si="0"/>
        <v>46041</v>
      </c>
      <c r="L5" t="str">
        <f t="shared" ca="1" si="1"/>
        <v>N/A — Completed</v>
      </c>
      <c r="M5" t="s">
        <v>163</v>
      </c>
      <c r="N5" s="2">
        <v>46009</v>
      </c>
      <c r="O5" t="s">
        <v>169</v>
      </c>
      <c r="P5" t="s">
        <v>55</v>
      </c>
      <c r="Q5" s="2">
        <v>46009</v>
      </c>
      <c r="S5" t="str">
        <f ca="1">IF(AND(B5&lt;&gt;"",ISNUMBER(L5),L5&gt;=-5,L5&lt;=10,M5&lt;&gt;"Complete",M5&lt;&gt;"N/A"),COUNTIFS(B$4:B5,"&lt;&gt;",L$4:L5,"&gt;=-5",L$4:L5,"&lt;=10",M$4:M5,"&lt;&gt;Complete",M$4:M5,"&lt;&gt;N/A"),"")</f>
        <v/>
      </c>
    </row>
    <row r="6" spans="1:19" ht="15" customHeight="1" x14ac:dyDescent="0.5">
      <c r="A6" t="s">
        <v>170</v>
      </c>
      <c r="B6" t="s">
        <v>71</v>
      </c>
      <c r="C6" t="str">
        <f>IF(B6="","",VLOOKUP(B6,Roster!$A:$C,2,FALSE))</f>
        <v>Nguyen</v>
      </c>
      <c r="D6" t="str">
        <f>IF(B6="","",VLOOKUP(B6,Roster!$A:$C,3,FALSE))</f>
        <v>Amy</v>
      </c>
      <c r="E6" t="s">
        <v>145</v>
      </c>
      <c r="F6" s="1" t="s">
        <v>171</v>
      </c>
      <c r="G6" t="s">
        <v>172</v>
      </c>
      <c r="H6" t="s">
        <v>173</v>
      </c>
      <c r="I6" s="1">
        <v>46083</v>
      </c>
      <c r="J6" s="3">
        <v>15</v>
      </c>
      <c r="K6" s="2">
        <f t="shared" si="0"/>
        <v>46104</v>
      </c>
      <c r="L6">
        <f t="shared" ca="1" si="1"/>
        <v>-113</v>
      </c>
      <c r="M6" t="s">
        <v>174</v>
      </c>
      <c r="N6" s="2"/>
      <c r="O6" t="s">
        <v>175</v>
      </c>
      <c r="P6" t="s">
        <v>56</v>
      </c>
      <c r="Q6" s="2"/>
      <c r="R6" t="s">
        <v>176</v>
      </c>
      <c r="S6" t="str">
        <f ca="1">IF(AND(B6&lt;&gt;"",ISNUMBER(L6),L6&gt;=-5,L6&lt;=10,M6&lt;&gt;"Complete",M6&lt;&gt;"N/A"),COUNTIFS(B$4:B6,"&lt;&gt;",L$4:L6,"&gt;=-5",L$4:L6,"&lt;=10",M$4:M6,"&lt;&gt;Complete",M$4:M6,"&lt;&gt;N/A"),"")</f>
        <v/>
      </c>
    </row>
    <row r="7" spans="1:19" ht="14.25" customHeight="1" x14ac:dyDescent="0.45">
      <c r="C7" t="str">
        <f>IF(B7="","",VLOOKUP(B7,Roster!$A:$C,2,FALSE))</f>
        <v/>
      </c>
      <c r="D7" t="str">
        <f>IF(B7="","",VLOOKUP(B7,Roster!$A:$C,3,FALSE))</f>
        <v/>
      </c>
      <c r="I7" s="2"/>
      <c r="J7" s="3"/>
      <c r="K7" s="2" t="str">
        <f t="shared" si="0"/>
        <v/>
      </c>
      <c r="L7" t="str">
        <f t="shared" ca="1" si="1"/>
        <v/>
      </c>
      <c r="N7" s="2"/>
      <c r="Q7" s="2"/>
      <c r="S7" t="str">
        <f ca="1">IF(AND(B7&lt;&gt;"",ISNUMBER(L7),L7&gt;=-5,L7&lt;=10,M7&lt;&gt;"Complete",M7&lt;&gt;"N/A"),COUNTIFS(B$4:B7,"&lt;&gt;",L$4:L7,"&gt;=-5",L$4:L7,"&lt;=10",M$4:M7,"&lt;&gt;Complete",M$4:M7,"&lt;&gt;N/A"),"")</f>
        <v/>
      </c>
    </row>
    <row r="8" spans="1:19" ht="14.25" customHeight="1" x14ac:dyDescent="0.45">
      <c r="C8" t="str">
        <f>IF(B8="","",VLOOKUP(B8,Roster!$A:$C,2,FALSE))</f>
        <v/>
      </c>
      <c r="D8" t="str">
        <f>IF(B8="","",VLOOKUP(B8,Roster!$A:$C,3,FALSE))</f>
        <v/>
      </c>
      <c r="I8" s="2"/>
      <c r="J8" s="3"/>
      <c r="K8" s="2" t="str">
        <f t="shared" si="0"/>
        <v/>
      </c>
      <c r="L8" t="str">
        <f t="shared" ca="1" si="1"/>
        <v/>
      </c>
      <c r="N8" s="2"/>
      <c r="Q8" s="2"/>
      <c r="S8" t="str">
        <f ca="1">IF(AND(B8&lt;&gt;"",ISNUMBER(L8),L8&gt;=-5,L8&lt;=10,M8&lt;&gt;"Complete",M8&lt;&gt;"N/A"),COUNTIFS(B$4:B8,"&lt;&gt;",L$4:L8,"&gt;=-5",L$4:L8,"&lt;=10",M$4:M8,"&lt;&gt;Complete",M$4:M8,"&lt;&gt;N/A"),"")</f>
        <v/>
      </c>
    </row>
    <row r="9" spans="1:19" ht="14.25" customHeight="1" x14ac:dyDescent="0.45">
      <c r="C9" t="str">
        <f>IF(B9="","",VLOOKUP(B9,Roster!$A:$C,2,FALSE))</f>
        <v/>
      </c>
      <c r="D9" t="str">
        <f>IF(B9="","",VLOOKUP(B9,Roster!$A:$C,3,FALSE))</f>
        <v/>
      </c>
      <c r="I9" s="2"/>
      <c r="J9" s="3"/>
      <c r="K9" s="2" t="str">
        <f t="shared" si="0"/>
        <v/>
      </c>
      <c r="L9" t="str">
        <f t="shared" ca="1" si="1"/>
        <v/>
      </c>
      <c r="N9" s="2"/>
      <c r="Q9" s="2"/>
      <c r="S9" t="str">
        <f ca="1">IF(AND(B9&lt;&gt;"",ISNUMBER(L9),L9&gt;=-5,L9&lt;=10,M9&lt;&gt;"Complete",M9&lt;&gt;"N/A"),COUNTIFS(B$4:B9,"&lt;&gt;",L$4:L9,"&gt;=-5",L$4:L9,"&lt;=10",M$4:M9,"&lt;&gt;Complete",M$4:M9,"&lt;&gt;N/A"),"")</f>
        <v/>
      </c>
    </row>
    <row r="10" spans="1:19" ht="14.25" customHeight="1" x14ac:dyDescent="0.45">
      <c r="C10" t="str">
        <f>IF(B10="","",VLOOKUP(B10,Roster!$A:$C,2,FALSE))</f>
        <v/>
      </c>
      <c r="D10" t="str">
        <f>IF(B10="","",VLOOKUP(B10,Roster!$A:$C,3,FALSE))</f>
        <v/>
      </c>
      <c r="I10" s="2"/>
      <c r="J10" s="3"/>
      <c r="K10" s="2" t="str">
        <f t="shared" si="0"/>
        <v/>
      </c>
      <c r="L10" t="str">
        <f t="shared" ca="1" si="1"/>
        <v/>
      </c>
      <c r="N10" s="2"/>
      <c r="Q10" s="2"/>
      <c r="S10" t="str">
        <f ca="1">IF(AND(B10&lt;&gt;"",ISNUMBER(L10),L10&gt;=-5,L10&lt;=10,M10&lt;&gt;"Complete",M10&lt;&gt;"N/A"),COUNTIFS(B$4:B10,"&lt;&gt;",L$4:L10,"&gt;=-5",L$4:L10,"&lt;=10",M$4:M10,"&lt;&gt;Complete",M$4:M10,"&lt;&gt;N/A"),"")</f>
        <v/>
      </c>
    </row>
    <row r="11" spans="1:19" ht="14.25" customHeight="1" x14ac:dyDescent="0.45">
      <c r="C11" t="str">
        <f>IF(B11="","",VLOOKUP(B11,Roster!$A:$C,2,FALSE))</f>
        <v/>
      </c>
      <c r="D11" t="str">
        <f>IF(B11="","",VLOOKUP(B11,Roster!$A:$C,3,FALSE))</f>
        <v/>
      </c>
      <c r="I11" s="2"/>
      <c r="J11" s="3"/>
      <c r="K11" s="2" t="str">
        <f t="shared" si="0"/>
        <v/>
      </c>
      <c r="L11" t="str">
        <f t="shared" ca="1" si="1"/>
        <v/>
      </c>
      <c r="N11" s="2"/>
      <c r="Q11" s="2"/>
      <c r="S11" t="str">
        <f ca="1">IF(AND(B11&lt;&gt;"",ISNUMBER(L11),L11&gt;=-5,L11&lt;=10,M11&lt;&gt;"Complete",M11&lt;&gt;"N/A"),COUNTIFS(B$4:B11,"&lt;&gt;",L$4:L11,"&gt;=-5",L$4:L11,"&lt;=10",M$4:M11,"&lt;&gt;Complete",M$4:M11,"&lt;&gt;N/A"),"")</f>
        <v/>
      </c>
    </row>
    <row r="12" spans="1:19" ht="14.25" customHeight="1" x14ac:dyDescent="0.45">
      <c r="C12" t="str">
        <f>IF(B12="","",VLOOKUP(B12,Roster!$A:$C,2,FALSE))</f>
        <v/>
      </c>
      <c r="D12" t="str">
        <f>IF(B12="","",VLOOKUP(B12,Roster!$A:$C,3,FALSE))</f>
        <v/>
      </c>
      <c r="I12" s="2"/>
      <c r="J12" s="3"/>
      <c r="K12" s="2" t="str">
        <f t="shared" si="0"/>
        <v/>
      </c>
      <c r="L12" t="str">
        <f t="shared" ca="1" si="1"/>
        <v/>
      </c>
      <c r="N12" s="2"/>
      <c r="Q12" s="2"/>
      <c r="S12" t="str">
        <f ca="1">IF(AND(B12&lt;&gt;"",ISNUMBER(L12),L12&gt;=-5,L12&lt;=10,M12&lt;&gt;"Complete",M12&lt;&gt;"N/A"),COUNTIFS(B$4:B12,"&lt;&gt;",L$4:L12,"&gt;=-5",L$4:L12,"&lt;=10",M$4:M12,"&lt;&gt;Complete",M$4:M12,"&lt;&gt;N/A"),"")</f>
        <v/>
      </c>
    </row>
    <row r="13" spans="1:19" ht="14.25" customHeight="1" x14ac:dyDescent="0.45">
      <c r="C13" t="str">
        <f>IF(B13="","",VLOOKUP(B13,Roster!$A:$C,2,FALSE))</f>
        <v/>
      </c>
      <c r="D13" t="str">
        <f>IF(B13="","",VLOOKUP(B13,Roster!$A:$C,3,FALSE))</f>
        <v/>
      </c>
      <c r="I13" s="2"/>
      <c r="J13" s="3"/>
      <c r="K13" s="2" t="str">
        <f t="shared" si="0"/>
        <v/>
      </c>
      <c r="L13" t="str">
        <f t="shared" ca="1" si="1"/>
        <v/>
      </c>
      <c r="N13" s="2"/>
      <c r="Q13" s="2"/>
      <c r="S13" t="str">
        <f ca="1">IF(AND(B13&lt;&gt;"",ISNUMBER(L13),L13&gt;=-5,L13&lt;=10,M13&lt;&gt;"Complete",M13&lt;&gt;"N/A"),COUNTIFS(B$4:B13,"&lt;&gt;",L$4:L13,"&gt;=-5",L$4:L13,"&lt;=10",M$4:M13,"&lt;&gt;Complete",M$4:M13,"&lt;&gt;N/A"),"")</f>
        <v/>
      </c>
    </row>
    <row r="14" spans="1:19" ht="14.25" customHeight="1" x14ac:dyDescent="0.45">
      <c r="C14" t="str">
        <f>IF(B14="","",VLOOKUP(B14,Roster!$A:$C,2,FALSE))</f>
        <v/>
      </c>
      <c r="D14" t="str">
        <f>IF(B14="","",VLOOKUP(B14,Roster!$A:$C,3,FALSE))</f>
        <v/>
      </c>
      <c r="I14" s="2"/>
      <c r="J14" s="3"/>
      <c r="K14" s="2" t="str">
        <f t="shared" si="0"/>
        <v/>
      </c>
      <c r="L14" t="str">
        <f t="shared" ca="1" si="1"/>
        <v/>
      </c>
      <c r="N14" s="2"/>
      <c r="Q14" s="2"/>
      <c r="S14" t="str">
        <f ca="1">IF(AND(B14&lt;&gt;"",ISNUMBER(L14),L14&gt;=-5,L14&lt;=10,M14&lt;&gt;"Complete",M14&lt;&gt;"N/A"),COUNTIFS(B$4:B14,"&lt;&gt;",L$4:L14,"&gt;=-5",L$4:L14,"&lt;=10",M$4:M14,"&lt;&gt;Complete",M$4:M14,"&lt;&gt;N/A"),"")</f>
        <v/>
      </c>
    </row>
    <row r="15" spans="1:19" ht="14.25" customHeight="1" x14ac:dyDescent="0.45">
      <c r="C15" t="str">
        <f>IF(B15="","",VLOOKUP(B15,Roster!$A:$C,2,FALSE))</f>
        <v/>
      </c>
      <c r="D15" t="str">
        <f>IF(B15="","",VLOOKUP(B15,Roster!$A:$C,3,FALSE))</f>
        <v/>
      </c>
      <c r="I15" s="2"/>
      <c r="J15" s="3"/>
      <c r="K15" s="2" t="str">
        <f t="shared" si="0"/>
        <v/>
      </c>
      <c r="L15" t="str">
        <f t="shared" ca="1" si="1"/>
        <v/>
      </c>
      <c r="N15" s="2"/>
      <c r="Q15" s="2"/>
      <c r="S15" t="str">
        <f ca="1">IF(AND(B15&lt;&gt;"",ISNUMBER(L15),L15&gt;=-5,L15&lt;=10,M15&lt;&gt;"Complete",M15&lt;&gt;"N/A"),COUNTIFS(B$4:B15,"&lt;&gt;",L$4:L15,"&gt;=-5",L$4:L15,"&lt;=10",M$4:M15,"&lt;&gt;Complete",M$4:M15,"&lt;&gt;N/A"),"")</f>
        <v/>
      </c>
    </row>
    <row r="16" spans="1:19" ht="14.25" customHeight="1" x14ac:dyDescent="0.45">
      <c r="C16" t="str">
        <f>IF(B16="","",VLOOKUP(B16,Roster!$A:$C,2,FALSE))</f>
        <v/>
      </c>
      <c r="D16" t="str">
        <f>IF(B16="","",VLOOKUP(B16,Roster!$A:$C,3,FALSE))</f>
        <v/>
      </c>
      <c r="I16" s="2"/>
      <c r="J16" s="3"/>
      <c r="K16" s="2" t="str">
        <f t="shared" si="0"/>
        <v/>
      </c>
      <c r="L16" t="str">
        <f t="shared" ca="1" si="1"/>
        <v/>
      </c>
      <c r="N16" s="2"/>
      <c r="Q16" s="2"/>
      <c r="S16" t="str">
        <f ca="1">IF(AND(B16&lt;&gt;"",ISNUMBER(L16),L16&gt;=-5,L16&lt;=10,M16&lt;&gt;"Complete",M16&lt;&gt;"N/A"),COUNTIFS(B$4:B16,"&lt;&gt;",L$4:L16,"&gt;=-5",L$4:L16,"&lt;=10",M$4:M16,"&lt;&gt;Complete",M$4:M16,"&lt;&gt;N/A"),"")</f>
        <v/>
      </c>
    </row>
    <row r="17" spans="3:19" ht="14.25" customHeight="1" x14ac:dyDescent="0.45">
      <c r="C17" t="str">
        <f>IF(B17="","",VLOOKUP(B17,Roster!$A:$C,2,FALSE))</f>
        <v/>
      </c>
      <c r="D17" t="str">
        <f>IF(B17="","",VLOOKUP(B17,Roster!$A:$C,3,FALSE))</f>
        <v/>
      </c>
      <c r="I17" s="2"/>
      <c r="J17" s="3"/>
      <c r="K17" s="2" t="str">
        <f t="shared" si="0"/>
        <v/>
      </c>
      <c r="L17" t="str">
        <f t="shared" ca="1" si="1"/>
        <v/>
      </c>
      <c r="N17" s="2"/>
      <c r="Q17" s="2"/>
      <c r="S17" t="str">
        <f ca="1">IF(AND(B17&lt;&gt;"",ISNUMBER(L17),L17&gt;=-5,L17&lt;=10,M17&lt;&gt;"Complete",M17&lt;&gt;"N/A"),COUNTIFS(B$4:B17,"&lt;&gt;",L$4:L17,"&gt;=-5",L$4:L17,"&lt;=10",M$4:M17,"&lt;&gt;Complete",M$4:M17,"&lt;&gt;N/A"),"")</f>
        <v/>
      </c>
    </row>
    <row r="18" spans="3:19" ht="14.25" customHeight="1" x14ac:dyDescent="0.45">
      <c r="C18" t="str">
        <f>IF(B18="","",VLOOKUP(B18,Roster!$A:$C,2,FALSE))</f>
        <v/>
      </c>
      <c r="D18" t="str">
        <f>IF(B18="","",VLOOKUP(B18,Roster!$A:$C,3,FALSE))</f>
        <v/>
      </c>
      <c r="I18" s="2"/>
      <c r="J18" s="3"/>
      <c r="K18" s="2" t="str">
        <f t="shared" si="0"/>
        <v/>
      </c>
      <c r="L18" t="str">
        <f t="shared" ca="1" si="1"/>
        <v/>
      </c>
      <c r="N18" s="2"/>
      <c r="Q18" s="2"/>
      <c r="S18" t="str">
        <f ca="1">IF(AND(B18&lt;&gt;"",ISNUMBER(L18),L18&gt;=-5,L18&lt;=10,M18&lt;&gt;"Complete",M18&lt;&gt;"N/A"),COUNTIFS(B$4:B18,"&lt;&gt;",L$4:L18,"&gt;=-5",L$4:L18,"&lt;=10",M$4:M18,"&lt;&gt;Complete",M$4:M18,"&lt;&gt;N/A"),"")</f>
        <v/>
      </c>
    </row>
    <row r="19" spans="3:19" ht="14.25" customHeight="1" x14ac:dyDescent="0.45">
      <c r="C19" t="str">
        <f>IF(B19="","",VLOOKUP(B19,Roster!$A:$C,2,FALSE))</f>
        <v/>
      </c>
      <c r="D19" t="str">
        <f>IF(B19="","",VLOOKUP(B19,Roster!$A:$C,3,FALSE))</f>
        <v/>
      </c>
      <c r="I19" s="2"/>
      <c r="J19" s="3"/>
      <c r="K19" s="2" t="str">
        <f t="shared" si="0"/>
        <v/>
      </c>
      <c r="L19" t="str">
        <f t="shared" ca="1" si="1"/>
        <v/>
      </c>
      <c r="N19" s="2"/>
      <c r="Q19" s="2"/>
      <c r="S19" t="str">
        <f ca="1">IF(AND(B19&lt;&gt;"",ISNUMBER(L19),L19&gt;=-5,L19&lt;=10,M19&lt;&gt;"Complete",M19&lt;&gt;"N/A"),COUNTIFS(B$4:B19,"&lt;&gt;",L$4:L19,"&gt;=-5",L$4:L19,"&lt;=10",M$4:M19,"&lt;&gt;Complete",M$4:M19,"&lt;&gt;N/A"),"")</f>
        <v/>
      </c>
    </row>
    <row r="20" spans="3:19" ht="14.25" customHeight="1" x14ac:dyDescent="0.45">
      <c r="C20" t="str">
        <f>IF(B20="","",VLOOKUP(B20,Roster!$A:$C,2,FALSE))</f>
        <v/>
      </c>
      <c r="D20" t="str">
        <f>IF(B20="","",VLOOKUP(B20,Roster!$A:$C,3,FALSE))</f>
        <v/>
      </c>
      <c r="I20" s="2"/>
      <c r="J20" s="3"/>
      <c r="K20" s="2" t="str">
        <f t="shared" si="0"/>
        <v/>
      </c>
      <c r="L20" t="str">
        <f t="shared" ca="1" si="1"/>
        <v/>
      </c>
      <c r="N20" s="2"/>
      <c r="Q20" s="2"/>
      <c r="S20" t="str">
        <f ca="1">IF(AND(B20&lt;&gt;"",ISNUMBER(L20),L20&gt;=-5,L20&lt;=10,M20&lt;&gt;"Complete",M20&lt;&gt;"N/A"),COUNTIFS(B$4:B20,"&lt;&gt;",L$4:L20,"&gt;=-5",L$4:L20,"&lt;=10",M$4:M20,"&lt;&gt;Complete",M$4:M20,"&lt;&gt;N/A"),"")</f>
        <v/>
      </c>
    </row>
    <row r="21" spans="3:19" ht="14.25" customHeight="1" x14ac:dyDescent="0.45">
      <c r="C21" t="str">
        <f>IF(B21="","",VLOOKUP(B21,Roster!$A:$C,2,FALSE))</f>
        <v/>
      </c>
      <c r="D21" t="str">
        <f>IF(B21="","",VLOOKUP(B21,Roster!$A:$C,3,FALSE))</f>
        <v/>
      </c>
      <c r="I21" s="2"/>
      <c r="J21" s="3"/>
      <c r="K21" s="2" t="str">
        <f t="shared" si="0"/>
        <v/>
      </c>
      <c r="L21" t="str">
        <f t="shared" ca="1" si="1"/>
        <v/>
      </c>
      <c r="N21" s="2"/>
      <c r="Q21" s="2"/>
      <c r="S21" t="str">
        <f ca="1">IF(AND(B21&lt;&gt;"",ISNUMBER(L21),L21&gt;=-5,L21&lt;=10,M21&lt;&gt;"Complete",M21&lt;&gt;"N/A"),COUNTIFS(B$4:B21,"&lt;&gt;",L$4:L21,"&gt;=-5",L$4:L21,"&lt;=10",M$4:M21,"&lt;&gt;Complete",M$4:M21,"&lt;&gt;N/A"),"")</f>
        <v/>
      </c>
    </row>
    <row r="22" spans="3:19" ht="14.25" customHeight="1" x14ac:dyDescent="0.45">
      <c r="C22" t="str">
        <f>IF(B22="","",VLOOKUP(B22,Roster!$A:$C,2,FALSE))</f>
        <v/>
      </c>
      <c r="D22" t="str">
        <f>IF(B22="","",VLOOKUP(B22,Roster!$A:$C,3,FALSE))</f>
        <v/>
      </c>
      <c r="I22" s="2"/>
      <c r="J22" s="3"/>
      <c r="K22" s="2" t="str">
        <f t="shared" si="0"/>
        <v/>
      </c>
      <c r="L22" t="str">
        <f t="shared" ca="1" si="1"/>
        <v/>
      </c>
      <c r="N22" s="2"/>
      <c r="Q22" s="2"/>
      <c r="S22" t="str">
        <f ca="1">IF(AND(B22&lt;&gt;"",ISNUMBER(L22),L22&gt;=-5,L22&lt;=10,M22&lt;&gt;"Complete",M22&lt;&gt;"N/A"),COUNTIFS(B$4:B22,"&lt;&gt;",L$4:L22,"&gt;=-5",L$4:L22,"&lt;=10",M$4:M22,"&lt;&gt;Complete",M$4:M22,"&lt;&gt;N/A"),"")</f>
        <v/>
      </c>
    </row>
    <row r="23" spans="3:19" ht="14.25" customHeight="1" x14ac:dyDescent="0.45">
      <c r="C23" t="str">
        <f>IF(B23="","",VLOOKUP(B23,Roster!$A:$C,2,FALSE))</f>
        <v/>
      </c>
      <c r="D23" t="str">
        <f>IF(B23="","",VLOOKUP(B23,Roster!$A:$C,3,FALSE))</f>
        <v/>
      </c>
      <c r="I23" s="2"/>
      <c r="J23" s="3"/>
      <c r="K23" s="2" t="str">
        <f t="shared" si="0"/>
        <v/>
      </c>
      <c r="L23" t="str">
        <f t="shared" ca="1" si="1"/>
        <v/>
      </c>
      <c r="N23" s="2"/>
      <c r="Q23" s="2"/>
      <c r="S23" t="str">
        <f ca="1">IF(AND(B23&lt;&gt;"",ISNUMBER(L23),L23&gt;=-5,L23&lt;=10,M23&lt;&gt;"Complete",M23&lt;&gt;"N/A"),COUNTIFS(B$4:B23,"&lt;&gt;",L$4:L23,"&gt;=-5",L$4:L23,"&lt;=10",M$4:M23,"&lt;&gt;Complete",M$4:M23,"&lt;&gt;N/A"),"")</f>
        <v/>
      </c>
    </row>
    <row r="24" spans="3:19" ht="14.25" customHeight="1" x14ac:dyDescent="0.45">
      <c r="C24" t="str">
        <f>IF(B24="","",VLOOKUP(B24,Roster!$A:$C,2,FALSE))</f>
        <v/>
      </c>
      <c r="D24" t="str">
        <f>IF(B24="","",VLOOKUP(B24,Roster!$A:$C,3,FALSE))</f>
        <v/>
      </c>
      <c r="I24" s="2"/>
      <c r="J24" s="3"/>
      <c r="K24" s="2" t="str">
        <f t="shared" si="0"/>
        <v/>
      </c>
      <c r="L24" t="str">
        <f t="shared" ca="1" si="1"/>
        <v/>
      </c>
      <c r="N24" s="2"/>
      <c r="Q24" s="2"/>
      <c r="S24" t="str">
        <f ca="1">IF(AND(B24&lt;&gt;"",ISNUMBER(L24),L24&gt;=-5,L24&lt;=10,M24&lt;&gt;"Complete",M24&lt;&gt;"N/A"),COUNTIFS(B$4:B24,"&lt;&gt;",L$4:L24,"&gt;=-5",L$4:L24,"&lt;=10",M$4:M24,"&lt;&gt;Complete",M$4:M24,"&lt;&gt;N/A"),"")</f>
        <v/>
      </c>
    </row>
    <row r="25" spans="3:19" ht="14.25" customHeight="1" x14ac:dyDescent="0.45">
      <c r="C25" t="str">
        <f>IF(B25="","",VLOOKUP(B25,Roster!$A:$C,2,FALSE))</f>
        <v/>
      </c>
      <c r="D25" t="str">
        <f>IF(B25="","",VLOOKUP(B25,Roster!$A:$C,3,FALSE))</f>
        <v/>
      </c>
      <c r="I25" s="2"/>
      <c r="J25" s="3"/>
      <c r="K25" s="2" t="str">
        <f t="shared" si="0"/>
        <v/>
      </c>
      <c r="L25" t="str">
        <f t="shared" ca="1" si="1"/>
        <v/>
      </c>
      <c r="N25" s="2"/>
      <c r="Q25" s="2"/>
      <c r="S25" t="str">
        <f ca="1">IF(AND(B25&lt;&gt;"",ISNUMBER(L25),L25&gt;=-5,L25&lt;=10,M25&lt;&gt;"Complete",M25&lt;&gt;"N/A"),COUNTIFS(B$4:B25,"&lt;&gt;",L$4:L25,"&gt;=-5",L$4:L25,"&lt;=10",M$4:M25,"&lt;&gt;Complete",M$4:M25,"&lt;&gt;N/A"),"")</f>
        <v/>
      </c>
    </row>
    <row r="26" spans="3:19" ht="14.25" customHeight="1" x14ac:dyDescent="0.45">
      <c r="C26" t="str">
        <f>IF(B26="","",VLOOKUP(B26,Roster!$A:$C,2,FALSE))</f>
        <v/>
      </c>
      <c r="D26" t="str">
        <f>IF(B26="","",VLOOKUP(B26,Roster!$A:$C,3,FALSE))</f>
        <v/>
      </c>
      <c r="I26" s="2"/>
      <c r="J26" s="3"/>
      <c r="K26" s="2" t="str">
        <f t="shared" si="0"/>
        <v/>
      </c>
      <c r="L26" t="str">
        <f t="shared" ca="1" si="1"/>
        <v/>
      </c>
      <c r="N26" s="2"/>
      <c r="Q26" s="2"/>
      <c r="S26" t="str">
        <f ca="1">IF(AND(B26&lt;&gt;"",ISNUMBER(L26),L26&gt;=-5,L26&lt;=10,M26&lt;&gt;"Complete",M26&lt;&gt;"N/A"),COUNTIFS(B$4:B26,"&lt;&gt;",L$4:L26,"&gt;=-5",L$4:L26,"&lt;=10",M$4:M26,"&lt;&gt;Complete",M$4:M26,"&lt;&gt;N/A"),"")</f>
        <v/>
      </c>
    </row>
    <row r="27" spans="3:19" ht="14.25" customHeight="1" x14ac:dyDescent="0.45">
      <c r="C27" t="str">
        <f>IF(B27="","",VLOOKUP(B27,Roster!$A:$C,2,FALSE))</f>
        <v/>
      </c>
      <c r="D27" t="str">
        <f>IF(B27="","",VLOOKUP(B27,Roster!$A:$C,3,FALSE))</f>
        <v/>
      </c>
      <c r="I27" s="2"/>
      <c r="J27" s="3"/>
      <c r="K27" s="2" t="str">
        <f t="shared" si="0"/>
        <v/>
      </c>
      <c r="L27" t="str">
        <f t="shared" ca="1" si="1"/>
        <v/>
      </c>
      <c r="N27" s="2"/>
      <c r="Q27" s="2"/>
      <c r="S27" t="str">
        <f ca="1">IF(AND(B27&lt;&gt;"",ISNUMBER(L27),L27&gt;=-5,L27&lt;=10,M27&lt;&gt;"Complete",M27&lt;&gt;"N/A"),COUNTIFS(B$4:B27,"&lt;&gt;",L$4:L27,"&gt;=-5",L$4:L27,"&lt;=10",M$4:M27,"&lt;&gt;Complete",M$4:M27,"&lt;&gt;N/A"),"")</f>
        <v/>
      </c>
    </row>
    <row r="28" spans="3:19" ht="14.25" customHeight="1" x14ac:dyDescent="0.45">
      <c r="C28" t="str">
        <f>IF(B28="","",VLOOKUP(B28,Roster!$A:$C,2,FALSE))</f>
        <v/>
      </c>
      <c r="D28" t="str">
        <f>IF(B28="","",VLOOKUP(B28,Roster!$A:$C,3,FALSE))</f>
        <v/>
      </c>
      <c r="I28" s="2"/>
      <c r="J28" s="3"/>
      <c r="K28" s="2" t="str">
        <f t="shared" si="0"/>
        <v/>
      </c>
      <c r="L28" t="str">
        <f t="shared" ca="1" si="1"/>
        <v/>
      </c>
      <c r="N28" s="2"/>
      <c r="Q28" s="2"/>
      <c r="S28" t="str">
        <f ca="1">IF(AND(B28&lt;&gt;"",ISNUMBER(L28),L28&gt;=-5,L28&lt;=10,M28&lt;&gt;"Complete",M28&lt;&gt;"N/A"),COUNTIFS(B$4:B28,"&lt;&gt;",L$4:L28,"&gt;=-5",L$4:L28,"&lt;=10",M$4:M28,"&lt;&gt;Complete",M$4:M28,"&lt;&gt;N/A"),"")</f>
        <v/>
      </c>
    </row>
    <row r="29" spans="3:19" ht="14.25" customHeight="1" x14ac:dyDescent="0.45">
      <c r="C29" t="str">
        <f>IF(B29="","",VLOOKUP(B29,Roster!$A:$C,2,FALSE))</f>
        <v/>
      </c>
      <c r="D29" t="str">
        <f>IF(B29="","",VLOOKUP(B29,Roster!$A:$C,3,FALSE))</f>
        <v/>
      </c>
      <c r="I29" s="2"/>
      <c r="J29" s="3"/>
      <c r="K29" s="2" t="str">
        <f t="shared" si="0"/>
        <v/>
      </c>
      <c r="L29" t="str">
        <f t="shared" ca="1" si="1"/>
        <v/>
      </c>
      <c r="N29" s="2"/>
      <c r="Q29" s="2"/>
      <c r="S29" t="str">
        <f ca="1">IF(AND(B29&lt;&gt;"",ISNUMBER(L29),L29&gt;=-5,L29&lt;=10,M29&lt;&gt;"Complete",M29&lt;&gt;"N/A"),COUNTIFS(B$4:B29,"&lt;&gt;",L$4:L29,"&gt;=-5",L$4:L29,"&lt;=10",M$4:M29,"&lt;&gt;Complete",M$4:M29,"&lt;&gt;N/A"),"")</f>
        <v/>
      </c>
    </row>
    <row r="30" spans="3:19" ht="14.25" customHeight="1" x14ac:dyDescent="0.45">
      <c r="C30" t="str">
        <f>IF(B30="","",VLOOKUP(B30,Roster!$A:$C,2,FALSE))</f>
        <v/>
      </c>
      <c r="D30" t="str">
        <f>IF(B30="","",VLOOKUP(B30,Roster!$A:$C,3,FALSE))</f>
        <v/>
      </c>
      <c r="I30" s="2"/>
      <c r="J30" s="3"/>
      <c r="K30" s="2" t="str">
        <f t="shared" si="0"/>
        <v/>
      </c>
      <c r="L30" t="str">
        <f t="shared" ca="1" si="1"/>
        <v/>
      </c>
      <c r="N30" s="2"/>
      <c r="Q30" s="2"/>
      <c r="S30" t="str">
        <f ca="1">IF(AND(B30&lt;&gt;"",ISNUMBER(L30),L30&gt;=-5,L30&lt;=10,M30&lt;&gt;"Complete",M30&lt;&gt;"N/A"),COUNTIFS(B$4:B30,"&lt;&gt;",L$4:L30,"&gt;=-5",L$4:L30,"&lt;=10",M$4:M30,"&lt;&gt;Complete",M$4:M30,"&lt;&gt;N/A"),"")</f>
        <v/>
      </c>
    </row>
    <row r="31" spans="3:19" ht="14.25" customHeight="1" x14ac:dyDescent="0.45">
      <c r="C31" t="str">
        <f>IF(B31="","",VLOOKUP(B31,Roster!$A:$C,2,FALSE))</f>
        <v/>
      </c>
      <c r="D31" t="str">
        <f>IF(B31="","",VLOOKUP(B31,Roster!$A:$C,3,FALSE))</f>
        <v/>
      </c>
      <c r="I31" s="2"/>
      <c r="J31" s="3"/>
      <c r="K31" s="2" t="str">
        <f t="shared" si="0"/>
        <v/>
      </c>
      <c r="L31" t="str">
        <f t="shared" ca="1" si="1"/>
        <v/>
      </c>
      <c r="N31" s="2"/>
      <c r="Q31" s="2"/>
      <c r="S31" t="str">
        <f ca="1">IF(AND(B31&lt;&gt;"",ISNUMBER(L31),L31&gt;=-5,L31&lt;=10,M31&lt;&gt;"Complete",M31&lt;&gt;"N/A"),COUNTIFS(B$4:B31,"&lt;&gt;",L$4:L31,"&gt;=-5",L$4:L31,"&lt;=10",M$4:M31,"&lt;&gt;Complete",M$4:M31,"&lt;&gt;N/A"),"")</f>
        <v/>
      </c>
    </row>
    <row r="32" spans="3:19" ht="14.25" customHeight="1" x14ac:dyDescent="0.45">
      <c r="C32" t="str">
        <f>IF(B32="","",VLOOKUP(B32,Roster!$A:$C,2,FALSE))</f>
        <v/>
      </c>
      <c r="D32" t="str">
        <f>IF(B32="","",VLOOKUP(B32,Roster!$A:$C,3,FALSE))</f>
        <v/>
      </c>
      <c r="I32" s="2"/>
      <c r="J32" s="3"/>
      <c r="K32" s="2" t="str">
        <f t="shared" si="0"/>
        <v/>
      </c>
      <c r="L32" t="str">
        <f t="shared" ca="1" si="1"/>
        <v/>
      </c>
      <c r="N32" s="2"/>
      <c r="Q32" s="2"/>
      <c r="S32" t="str">
        <f ca="1">IF(AND(B32&lt;&gt;"",ISNUMBER(L32),L32&gt;=-5,L32&lt;=10,M32&lt;&gt;"Complete",M32&lt;&gt;"N/A"),COUNTIFS(B$4:B32,"&lt;&gt;",L$4:L32,"&gt;=-5",L$4:L32,"&lt;=10",M$4:M32,"&lt;&gt;Complete",M$4:M32,"&lt;&gt;N/A"),"")</f>
        <v/>
      </c>
    </row>
    <row r="33" spans="3:19" ht="14.25" customHeight="1" x14ac:dyDescent="0.45">
      <c r="C33" t="str">
        <f>IF(B33="","",VLOOKUP(B33,Roster!$A:$C,2,FALSE))</f>
        <v/>
      </c>
      <c r="D33" t="str">
        <f>IF(B33="","",VLOOKUP(B33,Roster!$A:$C,3,FALSE))</f>
        <v/>
      </c>
      <c r="I33" s="2"/>
      <c r="J33" s="3"/>
      <c r="K33" s="2" t="str">
        <f t="shared" si="0"/>
        <v/>
      </c>
      <c r="L33" t="str">
        <f t="shared" ca="1" si="1"/>
        <v/>
      </c>
      <c r="N33" s="2"/>
      <c r="Q33" s="2"/>
      <c r="S33" t="str">
        <f ca="1">IF(AND(B33&lt;&gt;"",ISNUMBER(L33),L33&gt;=-5,L33&lt;=10,M33&lt;&gt;"Complete",M33&lt;&gt;"N/A"),COUNTIFS(B$4:B33,"&lt;&gt;",L$4:L33,"&gt;=-5",L$4:L33,"&lt;=10",M$4:M33,"&lt;&gt;Complete",M$4:M33,"&lt;&gt;N/A"),"")</f>
        <v/>
      </c>
    </row>
    <row r="34" spans="3:19" ht="14.25" customHeight="1" x14ac:dyDescent="0.45">
      <c r="C34" t="str">
        <f>IF(B34="","",VLOOKUP(B34,Roster!$A:$C,2,FALSE))</f>
        <v/>
      </c>
      <c r="D34" t="str">
        <f>IF(B34="","",VLOOKUP(B34,Roster!$A:$C,3,FALSE))</f>
        <v/>
      </c>
      <c r="I34" s="2"/>
      <c r="J34" s="3"/>
      <c r="K34" s="2" t="str">
        <f t="shared" si="0"/>
        <v/>
      </c>
      <c r="L34" t="str">
        <f t="shared" ca="1" si="1"/>
        <v/>
      </c>
      <c r="N34" s="2"/>
      <c r="Q34" s="2"/>
      <c r="S34" t="str">
        <f ca="1">IF(AND(B34&lt;&gt;"",ISNUMBER(L34),L34&gt;=-5,L34&lt;=10,M34&lt;&gt;"Complete",M34&lt;&gt;"N/A"),COUNTIFS(B$4:B34,"&lt;&gt;",L$4:L34,"&gt;=-5",L$4:L34,"&lt;=10",M$4:M34,"&lt;&gt;Complete",M$4:M34,"&lt;&gt;N/A"),"")</f>
        <v/>
      </c>
    </row>
    <row r="35" spans="3:19" ht="14.25" customHeight="1" x14ac:dyDescent="0.45">
      <c r="C35" t="str">
        <f>IF(B35="","",VLOOKUP(B35,Roster!$A:$C,2,FALSE))</f>
        <v/>
      </c>
      <c r="D35" t="str">
        <f>IF(B35="","",VLOOKUP(B35,Roster!$A:$C,3,FALSE))</f>
        <v/>
      </c>
      <c r="I35" s="2"/>
      <c r="J35" s="3"/>
      <c r="K35" s="2" t="str">
        <f t="shared" si="0"/>
        <v/>
      </c>
      <c r="L35" t="str">
        <f t="shared" ca="1" si="1"/>
        <v/>
      </c>
      <c r="N35" s="2"/>
      <c r="Q35" s="2"/>
      <c r="S35" t="str">
        <f ca="1">IF(AND(B35&lt;&gt;"",ISNUMBER(L35),L35&gt;=-5,L35&lt;=10,M35&lt;&gt;"Complete",M35&lt;&gt;"N/A"),COUNTIFS(B$4:B35,"&lt;&gt;",L$4:L35,"&gt;=-5",L$4:L35,"&lt;=10",M$4:M35,"&lt;&gt;Complete",M$4:M35,"&lt;&gt;N/A"),"")</f>
        <v/>
      </c>
    </row>
    <row r="36" spans="3:19" ht="14.25" customHeight="1" x14ac:dyDescent="0.45">
      <c r="C36" t="str">
        <f>IF(B36="","",VLOOKUP(B36,Roster!$A:$C,2,FALSE))</f>
        <v/>
      </c>
      <c r="D36" t="str">
        <f>IF(B36="","",VLOOKUP(B36,Roster!$A:$C,3,FALSE))</f>
        <v/>
      </c>
      <c r="I36" s="2"/>
      <c r="J36" s="3"/>
      <c r="K36" s="2" t="str">
        <f t="shared" ref="K36:K67" si="2">IF(OR(I36="",J36=""),"",I36+ROUND(J36*7/5,0))</f>
        <v/>
      </c>
      <c r="L36" t="str">
        <f t="shared" ref="L36:L67" ca="1" si="3">IF(K36="","",IF(M36="Complete","N/A — Completed",K36-TODAY()))</f>
        <v/>
      </c>
      <c r="N36" s="2"/>
      <c r="Q36" s="2"/>
      <c r="S36" t="str">
        <f ca="1">IF(AND(B36&lt;&gt;"",ISNUMBER(L36),L36&gt;=-5,L36&lt;=10,M36&lt;&gt;"Complete",M36&lt;&gt;"N/A"),COUNTIFS(B$4:B36,"&lt;&gt;",L$4:L36,"&gt;=-5",L$4:L36,"&lt;=10",M$4:M36,"&lt;&gt;Complete",M$4:M36,"&lt;&gt;N/A"),"")</f>
        <v/>
      </c>
    </row>
    <row r="37" spans="3:19" ht="14.25" customHeight="1" x14ac:dyDescent="0.45">
      <c r="C37" t="str">
        <f>IF(B37="","",VLOOKUP(B37,Roster!$A:$C,2,FALSE))</f>
        <v/>
      </c>
      <c r="D37" t="str">
        <f>IF(B37="","",VLOOKUP(B37,Roster!$A:$C,3,FALSE))</f>
        <v/>
      </c>
      <c r="I37" s="2"/>
      <c r="J37" s="3"/>
      <c r="K37" s="2" t="str">
        <f t="shared" si="2"/>
        <v/>
      </c>
      <c r="L37" t="str">
        <f t="shared" ca="1" si="3"/>
        <v/>
      </c>
      <c r="N37" s="2"/>
      <c r="Q37" s="2"/>
      <c r="S37" t="str">
        <f ca="1">IF(AND(B37&lt;&gt;"",ISNUMBER(L37),L37&gt;=-5,L37&lt;=10,M37&lt;&gt;"Complete",M37&lt;&gt;"N/A"),COUNTIFS(B$4:B37,"&lt;&gt;",L$4:L37,"&gt;=-5",L$4:L37,"&lt;=10",M$4:M37,"&lt;&gt;Complete",M$4:M37,"&lt;&gt;N/A"),"")</f>
        <v/>
      </c>
    </row>
    <row r="38" spans="3:19" ht="14.25" customHeight="1" x14ac:dyDescent="0.45">
      <c r="C38" t="str">
        <f>IF(B38="","",VLOOKUP(B38,Roster!$A:$C,2,FALSE))</f>
        <v/>
      </c>
      <c r="D38" t="str">
        <f>IF(B38="","",VLOOKUP(B38,Roster!$A:$C,3,FALSE))</f>
        <v/>
      </c>
      <c r="I38" s="2"/>
      <c r="J38" s="3"/>
      <c r="K38" s="2" t="str">
        <f t="shared" si="2"/>
        <v/>
      </c>
      <c r="L38" t="str">
        <f t="shared" ca="1" si="3"/>
        <v/>
      </c>
      <c r="N38" s="2"/>
      <c r="Q38" s="2"/>
      <c r="S38" t="str">
        <f ca="1">IF(AND(B38&lt;&gt;"",ISNUMBER(L38),L38&gt;=-5,L38&lt;=10,M38&lt;&gt;"Complete",M38&lt;&gt;"N/A"),COUNTIFS(B$4:B38,"&lt;&gt;",L$4:L38,"&gt;=-5",L$4:L38,"&lt;=10",M$4:M38,"&lt;&gt;Complete",M$4:M38,"&lt;&gt;N/A"),"")</f>
        <v/>
      </c>
    </row>
    <row r="39" spans="3:19" ht="14.25" customHeight="1" x14ac:dyDescent="0.45">
      <c r="C39" t="str">
        <f>IF(B39="","",VLOOKUP(B39,Roster!$A:$C,2,FALSE))</f>
        <v/>
      </c>
      <c r="D39" t="str">
        <f>IF(B39="","",VLOOKUP(B39,Roster!$A:$C,3,FALSE))</f>
        <v/>
      </c>
      <c r="I39" s="2"/>
      <c r="J39" s="3"/>
      <c r="K39" s="2" t="str">
        <f t="shared" si="2"/>
        <v/>
      </c>
      <c r="L39" t="str">
        <f t="shared" ca="1" si="3"/>
        <v/>
      </c>
      <c r="N39" s="2"/>
      <c r="Q39" s="2"/>
      <c r="S39" t="str">
        <f ca="1">IF(AND(B39&lt;&gt;"",ISNUMBER(L39),L39&gt;=-5,L39&lt;=10,M39&lt;&gt;"Complete",M39&lt;&gt;"N/A"),COUNTIFS(B$4:B39,"&lt;&gt;",L$4:L39,"&gt;=-5",L$4:L39,"&lt;=10",M$4:M39,"&lt;&gt;Complete",M$4:M39,"&lt;&gt;N/A"),"")</f>
        <v/>
      </c>
    </row>
    <row r="40" spans="3:19" ht="14.25" customHeight="1" x14ac:dyDescent="0.45">
      <c r="C40" t="str">
        <f>IF(B40="","",VLOOKUP(B40,Roster!$A:$C,2,FALSE))</f>
        <v/>
      </c>
      <c r="D40" t="str">
        <f>IF(B40="","",VLOOKUP(B40,Roster!$A:$C,3,FALSE))</f>
        <v/>
      </c>
      <c r="I40" s="2"/>
      <c r="J40" s="3"/>
      <c r="K40" s="2" t="str">
        <f t="shared" si="2"/>
        <v/>
      </c>
      <c r="L40" t="str">
        <f t="shared" ca="1" si="3"/>
        <v/>
      </c>
      <c r="N40" s="2"/>
      <c r="Q40" s="2"/>
      <c r="S40" t="str">
        <f ca="1">IF(AND(B40&lt;&gt;"",ISNUMBER(L40),L40&gt;=-5,L40&lt;=10,M40&lt;&gt;"Complete",M40&lt;&gt;"N/A"),COUNTIFS(B$4:B40,"&lt;&gt;",L$4:L40,"&gt;=-5",L$4:L40,"&lt;=10",M$4:M40,"&lt;&gt;Complete",M$4:M40,"&lt;&gt;N/A"),"")</f>
        <v/>
      </c>
    </row>
    <row r="41" spans="3:19" ht="14.25" customHeight="1" x14ac:dyDescent="0.45">
      <c r="C41" t="str">
        <f>IF(B41="","",VLOOKUP(B41,Roster!$A:$C,2,FALSE))</f>
        <v/>
      </c>
      <c r="D41" t="str">
        <f>IF(B41="","",VLOOKUP(B41,Roster!$A:$C,3,FALSE))</f>
        <v/>
      </c>
      <c r="I41" s="2"/>
      <c r="J41" s="3"/>
      <c r="K41" s="2" t="str">
        <f t="shared" si="2"/>
        <v/>
      </c>
      <c r="L41" t="str">
        <f t="shared" ca="1" si="3"/>
        <v/>
      </c>
      <c r="N41" s="2"/>
      <c r="Q41" s="2"/>
      <c r="S41" t="str">
        <f ca="1">IF(AND(B41&lt;&gt;"",ISNUMBER(L41),L41&gt;=-5,L41&lt;=10,M41&lt;&gt;"Complete",M41&lt;&gt;"N/A"),COUNTIFS(B$4:B41,"&lt;&gt;",L$4:L41,"&gt;=-5",L$4:L41,"&lt;=10",M$4:M41,"&lt;&gt;Complete",M$4:M41,"&lt;&gt;N/A"),"")</f>
        <v/>
      </c>
    </row>
    <row r="42" spans="3:19" ht="14.25" customHeight="1" x14ac:dyDescent="0.45">
      <c r="C42" t="str">
        <f>IF(B42="","",VLOOKUP(B42,Roster!$A:$C,2,FALSE))</f>
        <v/>
      </c>
      <c r="D42" t="str">
        <f>IF(B42="","",VLOOKUP(B42,Roster!$A:$C,3,FALSE))</f>
        <v/>
      </c>
      <c r="I42" s="2"/>
      <c r="J42" s="3"/>
      <c r="K42" s="2" t="str">
        <f t="shared" si="2"/>
        <v/>
      </c>
      <c r="L42" t="str">
        <f t="shared" ca="1" si="3"/>
        <v/>
      </c>
      <c r="N42" s="2"/>
      <c r="Q42" s="2"/>
      <c r="S42" t="str">
        <f ca="1">IF(AND(B42&lt;&gt;"",ISNUMBER(L42),L42&gt;=-5,L42&lt;=10,M42&lt;&gt;"Complete",M42&lt;&gt;"N/A"),COUNTIFS(B$4:B42,"&lt;&gt;",L$4:L42,"&gt;=-5",L$4:L42,"&lt;=10",M$4:M42,"&lt;&gt;Complete",M$4:M42,"&lt;&gt;N/A"),"")</f>
        <v/>
      </c>
    </row>
    <row r="43" spans="3:19" ht="14.25" customHeight="1" x14ac:dyDescent="0.45">
      <c r="C43" t="str">
        <f>IF(B43="","",VLOOKUP(B43,Roster!$A:$C,2,FALSE))</f>
        <v/>
      </c>
      <c r="D43" t="str">
        <f>IF(B43="","",VLOOKUP(B43,Roster!$A:$C,3,FALSE))</f>
        <v/>
      </c>
      <c r="I43" s="2"/>
      <c r="J43" s="3"/>
      <c r="K43" s="2" t="str">
        <f t="shared" si="2"/>
        <v/>
      </c>
      <c r="L43" t="str">
        <f t="shared" ca="1" si="3"/>
        <v/>
      </c>
      <c r="N43" s="2"/>
      <c r="Q43" s="2"/>
      <c r="S43" t="str">
        <f ca="1">IF(AND(B43&lt;&gt;"",ISNUMBER(L43),L43&gt;=-5,L43&lt;=10,M43&lt;&gt;"Complete",M43&lt;&gt;"N/A"),COUNTIFS(B$4:B43,"&lt;&gt;",L$4:L43,"&gt;=-5",L$4:L43,"&lt;=10",M$4:M43,"&lt;&gt;Complete",M$4:M43,"&lt;&gt;N/A"),"")</f>
        <v/>
      </c>
    </row>
    <row r="44" spans="3:19" ht="14.25" customHeight="1" x14ac:dyDescent="0.45">
      <c r="C44" t="str">
        <f>IF(B44="","",VLOOKUP(B44,Roster!$A:$C,2,FALSE))</f>
        <v/>
      </c>
      <c r="D44" t="str">
        <f>IF(B44="","",VLOOKUP(B44,Roster!$A:$C,3,FALSE))</f>
        <v/>
      </c>
      <c r="I44" s="2"/>
      <c r="J44" s="3"/>
      <c r="K44" s="2" t="str">
        <f t="shared" si="2"/>
        <v/>
      </c>
      <c r="L44" t="str">
        <f t="shared" ca="1" si="3"/>
        <v/>
      </c>
      <c r="N44" s="2"/>
      <c r="Q44" s="2"/>
      <c r="S44" t="str">
        <f ca="1">IF(AND(B44&lt;&gt;"",ISNUMBER(L44),L44&gt;=-5,L44&lt;=10,M44&lt;&gt;"Complete",M44&lt;&gt;"N/A"),COUNTIFS(B$4:B44,"&lt;&gt;",L$4:L44,"&gt;=-5",L$4:L44,"&lt;=10",M$4:M44,"&lt;&gt;Complete",M$4:M44,"&lt;&gt;N/A"),"")</f>
        <v/>
      </c>
    </row>
    <row r="45" spans="3:19" ht="14.25" customHeight="1" x14ac:dyDescent="0.45">
      <c r="C45" t="str">
        <f>IF(B45="","",VLOOKUP(B45,Roster!$A:$C,2,FALSE))</f>
        <v/>
      </c>
      <c r="D45" t="str">
        <f>IF(B45="","",VLOOKUP(B45,Roster!$A:$C,3,FALSE))</f>
        <v/>
      </c>
      <c r="I45" s="2"/>
      <c r="J45" s="3"/>
      <c r="K45" s="2" t="str">
        <f t="shared" si="2"/>
        <v/>
      </c>
      <c r="L45" t="str">
        <f t="shared" ca="1" si="3"/>
        <v/>
      </c>
      <c r="N45" s="2"/>
      <c r="Q45" s="2"/>
      <c r="S45" t="str">
        <f ca="1">IF(AND(B45&lt;&gt;"",ISNUMBER(L45),L45&gt;=-5,L45&lt;=10,M45&lt;&gt;"Complete",M45&lt;&gt;"N/A"),COUNTIFS(B$4:B45,"&lt;&gt;",L$4:L45,"&gt;=-5",L$4:L45,"&lt;=10",M$4:M45,"&lt;&gt;Complete",M$4:M45,"&lt;&gt;N/A"),"")</f>
        <v/>
      </c>
    </row>
    <row r="46" spans="3:19" ht="14.25" customHeight="1" x14ac:dyDescent="0.45">
      <c r="C46" t="str">
        <f>IF(B46="","",VLOOKUP(B46,Roster!$A:$C,2,FALSE))</f>
        <v/>
      </c>
      <c r="D46" t="str">
        <f>IF(B46="","",VLOOKUP(B46,Roster!$A:$C,3,FALSE))</f>
        <v/>
      </c>
      <c r="I46" s="2"/>
      <c r="J46" s="3"/>
      <c r="K46" s="2" t="str">
        <f t="shared" si="2"/>
        <v/>
      </c>
      <c r="L46" t="str">
        <f t="shared" ca="1" si="3"/>
        <v/>
      </c>
      <c r="N46" s="2"/>
      <c r="Q46" s="2"/>
      <c r="S46" t="str">
        <f ca="1">IF(AND(B46&lt;&gt;"",ISNUMBER(L46),L46&gt;=-5,L46&lt;=10,M46&lt;&gt;"Complete",M46&lt;&gt;"N/A"),COUNTIFS(B$4:B46,"&lt;&gt;",L$4:L46,"&gt;=-5",L$4:L46,"&lt;=10",M$4:M46,"&lt;&gt;Complete",M$4:M46,"&lt;&gt;N/A"),"")</f>
        <v/>
      </c>
    </row>
    <row r="47" spans="3:19" ht="14.25" customHeight="1" x14ac:dyDescent="0.45">
      <c r="C47" t="str">
        <f>IF(B47="","",VLOOKUP(B47,Roster!$A:$C,2,FALSE))</f>
        <v/>
      </c>
      <c r="D47" t="str">
        <f>IF(B47="","",VLOOKUP(B47,Roster!$A:$C,3,FALSE))</f>
        <v/>
      </c>
      <c r="I47" s="2"/>
      <c r="J47" s="3"/>
      <c r="K47" s="2" t="str">
        <f t="shared" si="2"/>
        <v/>
      </c>
      <c r="L47" t="str">
        <f t="shared" ca="1" si="3"/>
        <v/>
      </c>
      <c r="N47" s="2"/>
      <c r="Q47" s="2"/>
      <c r="S47" t="str">
        <f ca="1">IF(AND(B47&lt;&gt;"",ISNUMBER(L47),L47&gt;=-5,L47&lt;=10,M47&lt;&gt;"Complete",M47&lt;&gt;"N/A"),COUNTIFS(B$4:B47,"&lt;&gt;",L$4:L47,"&gt;=-5",L$4:L47,"&lt;=10",M$4:M47,"&lt;&gt;Complete",M$4:M47,"&lt;&gt;N/A"),"")</f>
        <v/>
      </c>
    </row>
    <row r="48" spans="3:19" ht="14.25" customHeight="1" x14ac:dyDescent="0.45">
      <c r="C48" t="str">
        <f>IF(B48="","",VLOOKUP(B48,Roster!$A:$C,2,FALSE))</f>
        <v/>
      </c>
      <c r="D48" t="str">
        <f>IF(B48="","",VLOOKUP(B48,Roster!$A:$C,3,FALSE))</f>
        <v/>
      </c>
      <c r="I48" s="2"/>
      <c r="J48" s="3"/>
      <c r="K48" s="2" t="str">
        <f t="shared" si="2"/>
        <v/>
      </c>
      <c r="L48" t="str">
        <f t="shared" ca="1" si="3"/>
        <v/>
      </c>
      <c r="N48" s="2"/>
      <c r="Q48" s="2"/>
      <c r="S48" t="str">
        <f ca="1">IF(AND(B48&lt;&gt;"",ISNUMBER(L48),L48&gt;=-5,L48&lt;=10,M48&lt;&gt;"Complete",M48&lt;&gt;"N/A"),COUNTIFS(B$4:B48,"&lt;&gt;",L$4:L48,"&gt;=-5",L$4:L48,"&lt;=10",M$4:M48,"&lt;&gt;Complete",M$4:M48,"&lt;&gt;N/A"),"")</f>
        <v/>
      </c>
    </row>
    <row r="49" spans="3:19" ht="14.25" customHeight="1" x14ac:dyDescent="0.45">
      <c r="C49" t="str">
        <f>IF(B49="","",VLOOKUP(B49,Roster!$A:$C,2,FALSE))</f>
        <v/>
      </c>
      <c r="D49" t="str">
        <f>IF(B49="","",VLOOKUP(B49,Roster!$A:$C,3,FALSE))</f>
        <v/>
      </c>
      <c r="I49" s="2"/>
      <c r="J49" s="3"/>
      <c r="K49" s="2" t="str">
        <f t="shared" si="2"/>
        <v/>
      </c>
      <c r="L49" t="str">
        <f t="shared" ca="1" si="3"/>
        <v/>
      </c>
      <c r="N49" s="2"/>
      <c r="Q49" s="2"/>
      <c r="S49" t="str">
        <f ca="1">IF(AND(B49&lt;&gt;"",ISNUMBER(L49),L49&gt;=-5,L49&lt;=10,M49&lt;&gt;"Complete",M49&lt;&gt;"N/A"),COUNTIFS(B$4:B49,"&lt;&gt;",L$4:L49,"&gt;=-5",L$4:L49,"&lt;=10",M$4:M49,"&lt;&gt;Complete",M$4:M49,"&lt;&gt;N/A"),"")</f>
        <v/>
      </c>
    </row>
    <row r="50" spans="3:19" ht="14.25" customHeight="1" x14ac:dyDescent="0.45">
      <c r="C50" t="str">
        <f>IF(B50="","",VLOOKUP(B50,Roster!$A:$C,2,FALSE))</f>
        <v/>
      </c>
      <c r="D50" t="str">
        <f>IF(B50="","",VLOOKUP(B50,Roster!$A:$C,3,FALSE))</f>
        <v/>
      </c>
      <c r="I50" s="2"/>
      <c r="J50" s="3"/>
      <c r="K50" s="2" t="str">
        <f t="shared" si="2"/>
        <v/>
      </c>
      <c r="L50" t="str">
        <f t="shared" ca="1" si="3"/>
        <v/>
      </c>
      <c r="N50" s="2"/>
      <c r="Q50" s="2"/>
      <c r="S50" t="str">
        <f ca="1">IF(AND(B50&lt;&gt;"",ISNUMBER(L50),L50&gt;=-5,L50&lt;=10,M50&lt;&gt;"Complete",M50&lt;&gt;"N/A"),COUNTIFS(B$4:B50,"&lt;&gt;",L$4:L50,"&gt;=-5",L$4:L50,"&lt;=10",M$4:M50,"&lt;&gt;Complete",M$4:M50,"&lt;&gt;N/A"),"")</f>
        <v/>
      </c>
    </row>
    <row r="51" spans="3:19" ht="14.25" customHeight="1" x14ac:dyDescent="0.45">
      <c r="C51" t="str">
        <f>IF(B51="","",VLOOKUP(B51,Roster!$A:$C,2,FALSE))</f>
        <v/>
      </c>
      <c r="D51" t="str">
        <f>IF(B51="","",VLOOKUP(B51,Roster!$A:$C,3,FALSE))</f>
        <v/>
      </c>
      <c r="I51" s="2"/>
      <c r="J51" s="3"/>
      <c r="K51" s="2" t="str">
        <f t="shared" si="2"/>
        <v/>
      </c>
      <c r="L51" t="str">
        <f t="shared" ca="1" si="3"/>
        <v/>
      </c>
      <c r="N51" s="2"/>
      <c r="Q51" s="2"/>
      <c r="S51" t="str">
        <f ca="1">IF(AND(B51&lt;&gt;"",ISNUMBER(L51),L51&gt;=-5,L51&lt;=10,M51&lt;&gt;"Complete",M51&lt;&gt;"N/A"),COUNTIFS(B$4:B51,"&lt;&gt;",L$4:L51,"&gt;=-5",L$4:L51,"&lt;=10",M$4:M51,"&lt;&gt;Complete",M$4:M51,"&lt;&gt;N/A"),"")</f>
        <v/>
      </c>
    </row>
    <row r="52" spans="3:19" ht="14.25" customHeight="1" x14ac:dyDescent="0.45">
      <c r="C52" t="str">
        <f>IF(B52="","",VLOOKUP(B52,Roster!$A:$C,2,FALSE))</f>
        <v/>
      </c>
      <c r="D52" t="str">
        <f>IF(B52="","",VLOOKUP(B52,Roster!$A:$C,3,FALSE))</f>
        <v/>
      </c>
      <c r="I52" s="2"/>
      <c r="J52" s="3"/>
      <c r="K52" s="2" t="str">
        <f t="shared" si="2"/>
        <v/>
      </c>
      <c r="L52" t="str">
        <f t="shared" ca="1" si="3"/>
        <v/>
      </c>
      <c r="N52" s="2"/>
      <c r="Q52" s="2"/>
      <c r="S52" t="str">
        <f ca="1">IF(AND(B52&lt;&gt;"",ISNUMBER(L52),L52&gt;=-5,L52&lt;=10,M52&lt;&gt;"Complete",M52&lt;&gt;"N/A"),COUNTIFS(B$4:B52,"&lt;&gt;",L$4:L52,"&gt;=-5",L$4:L52,"&lt;=10",M$4:M52,"&lt;&gt;Complete",M$4:M52,"&lt;&gt;N/A"),"")</f>
        <v/>
      </c>
    </row>
    <row r="53" spans="3:19" ht="14.25" customHeight="1" x14ac:dyDescent="0.45">
      <c r="C53" t="str">
        <f>IF(B53="","",VLOOKUP(B53,Roster!$A:$C,2,FALSE))</f>
        <v/>
      </c>
      <c r="D53" t="str">
        <f>IF(B53="","",VLOOKUP(B53,Roster!$A:$C,3,FALSE))</f>
        <v/>
      </c>
      <c r="I53" s="2"/>
      <c r="J53" s="3"/>
      <c r="K53" s="2" t="str">
        <f t="shared" si="2"/>
        <v/>
      </c>
      <c r="L53" t="str">
        <f t="shared" ca="1" si="3"/>
        <v/>
      </c>
      <c r="N53" s="2"/>
      <c r="Q53" s="2"/>
      <c r="S53" t="str">
        <f ca="1">IF(AND(B53&lt;&gt;"",ISNUMBER(L53),L53&gt;=-5,L53&lt;=10,M53&lt;&gt;"Complete",M53&lt;&gt;"N/A"),COUNTIFS(B$4:B53,"&lt;&gt;",L$4:L53,"&gt;=-5",L$4:L53,"&lt;=10",M$4:M53,"&lt;&gt;Complete",M$4:M53,"&lt;&gt;N/A"),"")</f>
        <v/>
      </c>
    </row>
    <row r="54" spans="3:19" ht="14.25" customHeight="1" x14ac:dyDescent="0.45">
      <c r="C54" t="str">
        <f>IF(B54="","",VLOOKUP(B54,Roster!$A:$C,2,FALSE))</f>
        <v/>
      </c>
      <c r="D54" t="str">
        <f>IF(B54="","",VLOOKUP(B54,Roster!$A:$C,3,FALSE))</f>
        <v/>
      </c>
      <c r="I54" s="2"/>
      <c r="J54" s="3"/>
      <c r="K54" s="2" t="str">
        <f t="shared" si="2"/>
        <v/>
      </c>
      <c r="L54" t="str">
        <f t="shared" ca="1" si="3"/>
        <v/>
      </c>
      <c r="N54" s="2"/>
      <c r="Q54" s="2"/>
      <c r="S54" t="str">
        <f ca="1">IF(AND(B54&lt;&gt;"",ISNUMBER(L54),L54&gt;=-5,L54&lt;=10,M54&lt;&gt;"Complete",M54&lt;&gt;"N/A"),COUNTIFS(B$4:B54,"&lt;&gt;",L$4:L54,"&gt;=-5",L$4:L54,"&lt;=10",M$4:M54,"&lt;&gt;Complete",M$4:M54,"&lt;&gt;N/A"),"")</f>
        <v/>
      </c>
    </row>
    <row r="55" spans="3:19" ht="14.25" customHeight="1" x14ac:dyDescent="0.45">
      <c r="C55" t="str">
        <f>IF(B55="","",VLOOKUP(B55,Roster!$A:$C,2,FALSE))</f>
        <v/>
      </c>
      <c r="D55" t="str">
        <f>IF(B55="","",VLOOKUP(B55,Roster!$A:$C,3,FALSE))</f>
        <v/>
      </c>
      <c r="I55" s="2"/>
      <c r="J55" s="3"/>
      <c r="K55" s="2" t="str">
        <f t="shared" si="2"/>
        <v/>
      </c>
      <c r="L55" t="str">
        <f t="shared" ca="1" si="3"/>
        <v/>
      </c>
      <c r="N55" s="2"/>
      <c r="Q55" s="2"/>
      <c r="S55" t="str">
        <f ca="1">IF(AND(B55&lt;&gt;"",ISNUMBER(L55),L55&gt;=-5,L55&lt;=10,M55&lt;&gt;"Complete",M55&lt;&gt;"N/A"),COUNTIFS(B$4:B55,"&lt;&gt;",L$4:L55,"&gt;=-5",L$4:L55,"&lt;=10",M$4:M55,"&lt;&gt;Complete",M$4:M55,"&lt;&gt;N/A"),"")</f>
        <v/>
      </c>
    </row>
    <row r="56" spans="3:19" ht="14.25" customHeight="1" x14ac:dyDescent="0.45">
      <c r="C56" t="str">
        <f>IF(B56="","",VLOOKUP(B56,Roster!$A:$C,2,FALSE))</f>
        <v/>
      </c>
      <c r="D56" t="str">
        <f>IF(B56="","",VLOOKUP(B56,Roster!$A:$C,3,FALSE))</f>
        <v/>
      </c>
      <c r="I56" s="2"/>
      <c r="J56" s="3"/>
      <c r="K56" s="2" t="str">
        <f t="shared" si="2"/>
        <v/>
      </c>
      <c r="L56" t="str">
        <f t="shared" ca="1" si="3"/>
        <v/>
      </c>
      <c r="N56" s="2"/>
      <c r="Q56" s="2"/>
      <c r="S56" t="str">
        <f ca="1">IF(AND(B56&lt;&gt;"",ISNUMBER(L56),L56&gt;=-5,L56&lt;=10,M56&lt;&gt;"Complete",M56&lt;&gt;"N/A"),COUNTIFS(B$4:B56,"&lt;&gt;",L$4:L56,"&gt;=-5",L$4:L56,"&lt;=10",M$4:M56,"&lt;&gt;Complete",M$4:M56,"&lt;&gt;N/A"),"")</f>
        <v/>
      </c>
    </row>
    <row r="57" spans="3:19" ht="14.25" customHeight="1" x14ac:dyDescent="0.45">
      <c r="C57" t="str">
        <f>IF(B57="","",VLOOKUP(B57,Roster!$A:$C,2,FALSE))</f>
        <v/>
      </c>
      <c r="D57" t="str">
        <f>IF(B57="","",VLOOKUP(B57,Roster!$A:$C,3,FALSE))</f>
        <v/>
      </c>
      <c r="I57" s="2"/>
      <c r="J57" s="3"/>
      <c r="K57" s="2" t="str">
        <f t="shared" si="2"/>
        <v/>
      </c>
      <c r="L57" t="str">
        <f t="shared" ca="1" si="3"/>
        <v/>
      </c>
      <c r="N57" s="2"/>
      <c r="Q57" s="2"/>
      <c r="S57" t="str">
        <f ca="1">IF(AND(B57&lt;&gt;"",ISNUMBER(L57),L57&gt;=-5,L57&lt;=10,M57&lt;&gt;"Complete",M57&lt;&gt;"N/A"),COUNTIFS(B$4:B57,"&lt;&gt;",L$4:L57,"&gt;=-5",L$4:L57,"&lt;=10",M$4:M57,"&lt;&gt;Complete",M$4:M57,"&lt;&gt;N/A"),"")</f>
        <v/>
      </c>
    </row>
    <row r="58" spans="3:19" ht="14.25" customHeight="1" x14ac:dyDescent="0.45">
      <c r="C58" t="str">
        <f>IF(B58="","",VLOOKUP(B58,Roster!$A:$C,2,FALSE))</f>
        <v/>
      </c>
      <c r="D58" t="str">
        <f>IF(B58="","",VLOOKUP(B58,Roster!$A:$C,3,FALSE))</f>
        <v/>
      </c>
      <c r="I58" s="2"/>
      <c r="J58" s="3"/>
      <c r="K58" s="2" t="str">
        <f t="shared" si="2"/>
        <v/>
      </c>
      <c r="L58" t="str">
        <f t="shared" ca="1" si="3"/>
        <v/>
      </c>
      <c r="N58" s="2"/>
      <c r="Q58" s="2"/>
      <c r="S58" t="str">
        <f ca="1">IF(AND(B58&lt;&gt;"",ISNUMBER(L58),L58&gt;=-5,L58&lt;=10,M58&lt;&gt;"Complete",M58&lt;&gt;"N/A"),COUNTIFS(B$4:B58,"&lt;&gt;",L$4:L58,"&gt;=-5",L$4:L58,"&lt;=10",M$4:M58,"&lt;&gt;Complete",M$4:M58,"&lt;&gt;N/A"),"")</f>
        <v/>
      </c>
    </row>
    <row r="59" spans="3:19" ht="14.25" customHeight="1" x14ac:dyDescent="0.45">
      <c r="C59" t="str">
        <f>IF(B59="","",VLOOKUP(B59,Roster!$A:$C,2,FALSE))</f>
        <v/>
      </c>
      <c r="D59" t="str">
        <f>IF(B59="","",VLOOKUP(B59,Roster!$A:$C,3,FALSE))</f>
        <v/>
      </c>
      <c r="I59" s="2"/>
      <c r="J59" s="3"/>
      <c r="K59" s="2" t="str">
        <f t="shared" si="2"/>
        <v/>
      </c>
      <c r="L59" t="str">
        <f t="shared" ca="1" si="3"/>
        <v/>
      </c>
      <c r="N59" s="2"/>
      <c r="Q59" s="2"/>
      <c r="S59" t="str">
        <f ca="1">IF(AND(B59&lt;&gt;"",ISNUMBER(L59),L59&gt;=-5,L59&lt;=10,M59&lt;&gt;"Complete",M59&lt;&gt;"N/A"),COUNTIFS(B$4:B59,"&lt;&gt;",L$4:L59,"&gt;=-5",L$4:L59,"&lt;=10",M$4:M59,"&lt;&gt;Complete",M$4:M59,"&lt;&gt;N/A"),"")</f>
        <v/>
      </c>
    </row>
    <row r="60" spans="3:19" ht="14.25" customHeight="1" x14ac:dyDescent="0.45">
      <c r="C60" t="str">
        <f>IF(B60="","",VLOOKUP(B60,Roster!$A:$C,2,FALSE))</f>
        <v/>
      </c>
      <c r="D60" t="str">
        <f>IF(B60="","",VLOOKUP(B60,Roster!$A:$C,3,FALSE))</f>
        <v/>
      </c>
      <c r="I60" s="2"/>
      <c r="J60" s="3"/>
      <c r="K60" s="2" t="str">
        <f t="shared" si="2"/>
        <v/>
      </c>
      <c r="L60" t="str">
        <f t="shared" ca="1" si="3"/>
        <v/>
      </c>
      <c r="N60" s="2"/>
      <c r="Q60" s="2"/>
      <c r="S60" t="str">
        <f ca="1">IF(AND(B60&lt;&gt;"",ISNUMBER(L60),L60&gt;=-5,L60&lt;=10,M60&lt;&gt;"Complete",M60&lt;&gt;"N/A"),COUNTIFS(B$4:B60,"&lt;&gt;",L$4:L60,"&gt;=-5",L$4:L60,"&lt;=10",M$4:M60,"&lt;&gt;Complete",M$4:M60,"&lt;&gt;N/A"),"")</f>
        <v/>
      </c>
    </row>
    <row r="61" spans="3:19" ht="14.25" customHeight="1" x14ac:dyDescent="0.45">
      <c r="C61" t="str">
        <f>IF(B61="","",VLOOKUP(B61,Roster!$A:$C,2,FALSE))</f>
        <v/>
      </c>
      <c r="D61" t="str">
        <f>IF(B61="","",VLOOKUP(B61,Roster!$A:$C,3,FALSE))</f>
        <v/>
      </c>
      <c r="I61" s="2"/>
      <c r="J61" s="3"/>
      <c r="K61" s="2" t="str">
        <f t="shared" si="2"/>
        <v/>
      </c>
      <c r="L61" t="str">
        <f t="shared" ca="1" si="3"/>
        <v/>
      </c>
      <c r="N61" s="2"/>
      <c r="Q61" s="2"/>
      <c r="S61" t="str">
        <f ca="1">IF(AND(B61&lt;&gt;"",ISNUMBER(L61),L61&gt;=-5,L61&lt;=10,M61&lt;&gt;"Complete",M61&lt;&gt;"N/A"),COUNTIFS(B$4:B61,"&lt;&gt;",L$4:L61,"&gt;=-5",L$4:L61,"&lt;=10",M$4:M61,"&lt;&gt;Complete",M$4:M61,"&lt;&gt;N/A"),"")</f>
        <v/>
      </c>
    </row>
    <row r="62" spans="3:19" ht="14.25" customHeight="1" x14ac:dyDescent="0.45">
      <c r="C62" t="str">
        <f>IF(B62="","",VLOOKUP(B62,Roster!$A:$C,2,FALSE))</f>
        <v/>
      </c>
      <c r="D62" t="str">
        <f>IF(B62="","",VLOOKUP(B62,Roster!$A:$C,3,FALSE))</f>
        <v/>
      </c>
      <c r="I62" s="2"/>
      <c r="J62" s="3"/>
      <c r="K62" s="2" t="str">
        <f t="shared" si="2"/>
        <v/>
      </c>
      <c r="L62" t="str">
        <f t="shared" ca="1" si="3"/>
        <v/>
      </c>
      <c r="N62" s="2"/>
      <c r="Q62" s="2"/>
      <c r="S62" t="str">
        <f ca="1">IF(AND(B62&lt;&gt;"",ISNUMBER(L62),L62&gt;=-5,L62&lt;=10,M62&lt;&gt;"Complete",M62&lt;&gt;"N/A"),COUNTIFS(B$4:B62,"&lt;&gt;",L$4:L62,"&gt;=-5",L$4:L62,"&lt;=10",M$4:M62,"&lt;&gt;Complete",M$4:M62,"&lt;&gt;N/A"),"")</f>
        <v/>
      </c>
    </row>
    <row r="63" spans="3:19" ht="14.25" customHeight="1" x14ac:dyDescent="0.45">
      <c r="C63" t="str">
        <f>IF(B63="","",VLOOKUP(B63,Roster!$A:$C,2,FALSE))</f>
        <v/>
      </c>
      <c r="D63" t="str">
        <f>IF(B63="","",VLOOKUP(B63,Roster!$A:$C,3,FALSE))</f>
        <v/>
      </c>
      <c r="I63" s="2"/>
      <c r="J63" s="3"/>
      <c r="K63" s="2" t="str">
        <f t="shared" si="2"/>
        <v/>
      </c>
      <c r="L63" t="str">
        <f t="shared" ca="1" si="3"/>
        <v/>
      </c>
      <c r="N63" s="2"/>
      <c r="Q63" s="2"/>
      <c r="S63" t="str">
        <f ca="1">IF(AND(B63&lt;&gt;"",ISNUMBER(L63),L63&gt;=-5,L63&lt;=10,M63&lt;&gt;"Complete",M63&lt;&gt;"N/A"),COUNTIFS(B$4:B63,"&lt;&gt;",L$4:L63,"&gt;=-5",L$4:L63,"&lt;=10",M$4:M63,"&lt;&gt;Complete",M$4:M63,"&lt;&gt;N/A"),"")</f>
        <v/>
      </c>
    </row>
    <row r="64" spans="3:19" ht="14.25" customHeight="1" x14ac:dyDescent="0.45">
      <c r="C64" t="str">
        <f>IF(B64="","",VLOOKUP(B64,Roster!$A:$C,2,FALSE))</f>
        <v/>
      </c>
      <c r="D64" t="str">
        <f>IF(B64="","",VLOOKUP(B64,Roster!$A:$C,3,FALSE))</f>
        <v/>
      </c>
      <c r="I64" s="2"/>
      <c r="J64" s="3"/>
      <c r="K64" s="2" t="str">
        <f t="shared" si="2"/>
        <v/>
      </c>
      <c r="L64" t="str">
        <f t="shared" ca="1" si="3"/>
        <v/>
      </c>
      <c r="N64" s="2"/>
      <c r="Q64" s="2"/>
      <c r="S64" t="str">
        <f ca="1">IF(AND(B64&lt;&gt;"",ISNUMBER(L64),L64&gt;=-5,L64&lt;=10,M64&lt;&gt;"Complete",M64&lt;&gt;"N/A"),COUNTIFS(B$4:B64,"&lt;&gt;",L$4:L64,"&gt;=-5",L$4:L64,"&lt;=10",M$4:M64,"&lt;&gt;Complete",M$4:M64,"&lt;&gt;N/A"),"")</f>
        <v/>
      </c>
    </row>
    <row r="65" spans="3:19" ht="14.25" customHeight="1" x14ac:dyDescent="0.45">
      <c r="C65" t="str">
        <f>IF(B65="","",VLOOKUP(B65,Roster!$A:$C,2,FALSE))</f>
        <v/>
      </c>
      <c r="D65" t="str">
        <f>IF(B65="","",VLOOKUP(B65,Roster!$A:$C,3,FALSE))</f>
        <v/>
      </c>
      <c r="I65" s="2"/>
      <c r="J65" s="3"/>
      <c r="K65" s="2" t="str">
        <f t="shared" si="2"/>
        <v/>
      </c>
      <c r="L65" t="str">
        <f t="shared" ca="1" si="3"/>
        <v/>
      </c>
      <c r="N65" s="2"/>
      <c r="Q65" s="2"/>
      <c r="S65" t="str">
        <f ca="1">IF(AND(B65&lt;&gt;"",ISNUMBER(L65),L65&gt;=-5,L65&lt;=10,M65&lt;&gt;"Complete",M65&lt;&gt;"N/A"),COUNTIFS(B$4:B65,"&lt;&gt;",L$4:L65,"&gt;=-5",L$4:L65,"&lt;=10",M$4:M65,"&lt;&gt;Complete",M$4:M65,"&lt;&gt;N/A"),"")</f>
        <v/>
      </c>
    </row>
    <row r="66" spans="3:19" ht="14.25" customHeight="1" x14ac:dyDescent="0.45">
      <c r="C66" t="str">
        <f>IF(B66="","",VLOOKUP(B66,Roster!$A:$C,2,FALSE))</f>
        <v/>
      </c>
      <c r="D66" t="str">
        <f>IF(B66="","",VLOOKUP(B66,Roster!$A:$C,3,FALSE))</f>
        <v/>
      </c>
      <c r="I66" s="2"/>
      <c r="J66" s="3"/>
      <c r="K66" s="2" t="str">
        <f t="shared" si="2"/>
        <v/>
      </c>
      <c r="L66" t="str">
        <f t="shared" ca="1" si="3"/>
        <v/>
      </c>
      <c r="N66" s="2"/>
      <c r="Q66" s="2"/>
      <c r="S66" t="str">
        <f ca="1">IF(AND(B66&lt;&gt;"",ISNUMBER(L66),L66&gt;=-5,L66&lt;=10,M66&lt;&gt;"Complete",M66&lt;&gt;"N/A"),COUNTIFS(B$4:B66,"&lt;&gt;",L$4:L66,"&gt;=-5",L$4:L66,"&lt;=10",M$4:M66,"&lt;&gt;Complete",M$4:M66,"&lt;&gt;N/A"),"")</f>
        <v/>
      </c>
    </row>
    <row r="67" spans="3:19" ht="14.25" customHeight="1" x14ac:dyDescent="0.45">
      <c r="C67" t="str">
        <f>IF(B67="","",VLOOKUP(B67,Roster!$A:$C,2,FALSE))</f>
        <v/>
      </c>
      <c r="D67" t="str">
        <f>IF(B67="","",VLOOKUP(B67,Roster!$A:$C,3,FALSE))</f>
        <v/>
      </c>
      <c r="I67" s="2"/>
      <c r="J67" s="3"/>
      <c r="K67" s="2" t="str">
        <f t="shared" si="2"/>
        <v/>
      </c>
      <c r="L67" t="str">
        <f t="shared" ca="1" si="3"/>
        <v/>
      </c>
      <c r="N67" s="2"/>
      <c r="Q67" s="2"/>
      <c r="S67" t="str">
        <f ca="1">IF(AND(B67&lt;&gt;"",ISNUMBER(L67),L67&gt;=-5,L67&lt;=10,M67&lt;&gt;"Complete",M67&lt;&gt;"N/A"),COUNTIFS(B$4:B67,"&lt;&gt;",L$4:L67,"&gt;=-5",L$4:L67,"&lt;=10",M$4:M67,"&lt;&gt;Complete",M$4:M67,"&lt;&gt;N/A"),"")</f>
        <v/>
      </c>
    </row>
    <row r="68" spans="3:19" ht="14.25" customHeight="1" x14ac:dyDescent="0.45">
      <c r="C68" t="str">
        <f>IF(B68="","",VLOOKUP(B68,Roster!$A:$C,2,FALSE))</f>
        <v/>
      </c>
      <c r="D68" t="str">
        <f>IF(B68="","",VLOOKUP(B68,Roster!$A:$C,3,FALSE))</f>
        <v/>
      </c>
      <c r="I68" s="2"/>
      <c r="J68" s="3"/>
      <c r="K68" s="2" t="str">
        <f t="shared" ref="K68:K99" si="4">IF(OR(I68="",J68=""),"",I68+ROUND(J68*7/5,0))</f>
        <v/>
      </c>
      <c r="L68" t="str">
        <f t="shared" ref="L68:L99" ca="1" si="5">IF(K68="","",IF(M68="Complete","N/A — Completed",K68-TODAY()))</f>
        <v/>
      </c>
      <c r="N68" s="2"/>
      <c r="Q68" s="2"/>
      <c r="S68" t="str">
        <f ca="1">IF(AND(B68&lt;&gt;"",ISNUMBER(L68),L68&gt;=-5,L68&lt;=10,M68&lt;&gt;"Complete",M68&lt;&gt;"N/A"),COUNTIFS(B$4:B68,"&lt;&gt;",L$4:L68,"&gt;=-5",L$4:L68,"&lt;=10",M$4:M68,"&lt;&gt;Complete",M$4:M68,"&lt;&gt;N/A"),"")</f>
        <v/>
      </c>
    </row>
    <row r="69" spans="3:19" ht="14.25" customHeight="1" x14ac:dyDescent="0.45">
      <c r="C69" t="str">
        <f>IF(B69="","",VLOOKUP(B69,Roster!$A:$C,2,FALSE))</f>
        <v/>
      </c>
      <c r="D69" t="str">
        <f>IF(B69="","",VLOOKUP(B69,Roster!$A:$C,3,FALSE))</f>
        <v/>
      </c>
      <c r="I69" s="2"/>
      <c r="J69" s="3"/>
      <c r="K69" s="2" t="str">
        <f t="shared" si="4"/>
        <v/>
      </c>
      <c r="L69" t="str">
        <f t="shared" ca="1" si="5"/>
        <v/>
      </c>
      <c r="N69" s="2"/>
      <c r="Q69" s="2"/>
      <c r="S69" t="str">
        <f ca="1">IF(AND(B69&lt;&gt;"",ISNUMBER(L69),L69&gt;=-5,L69&lt;=10,M69&lt;&gt;"Complete",M69&lt;&gt;"N/A"),COUNTIFS(B$4:B69,"&lt;&gt;",L$4:L69,"&gt;=-5",L$4:L69,"&lt;=10",M$4:M69,"&lt;&gt;Complete",M$4:M69,"&lt;&gt;N/A"),"")</f>
        <v/>
      </c>
    </row>
    <row r="70" spans="3:19" ht="14.25" customHeight="1" x14ac:dyDescent="0.45">
      <c r="C70" t="str">
        <f>IF(B70="","",VLOOKUP(B70,Roster!$A:$C,2,FALSE))</f>
        <v/>
      </c>
      <c r="D70" t="str">
        <f>IF(B70="","",VLOOKUP(B70,Roster!$A:$C,3,FALSE))</f>
        <v/>
      </c>
      <c r="I70" s="2"/>
      <c r="J70" s="3"/>
      <c r="K70" s="2" t="str">
        <f t="shared" si="4"/>
        <v/>
      </c>
      <c r="L70" t="str">
        <f t="shared" ca="1" si="5"/>
        <v/>
      </c>
      <c r="N70" s="2"/>
      <c r="Q70" s="2"/>
      <c r="S70" t="str">
        <f ca="1">IF(AND(B70&lt;&gt;"",ISNUMBER(L70),L70&gt;=-5,L70&lt;=10,M70&lt;&gt;"Complete",M70&lt;&gt;"N/A"),COUNTIFS(B$4:B70,"&lt;&gt;",L$4:L70,"&gt;=-5",L$4:L70,"&lt;=10",M$4:M70,"&lt;&gt;Complete",M$4:M70,"&lt;&gt;N/A"),"")</f>
        <v/>
      </c>
    </row>
    <row r="71" spans="3:19" ht="14.25" customHeight="1" x14ac:dyDescent="0.45">
      <c r="C71" t="str">
        <f>IF(B71="","",VLOOKUP(B71,Roster!$A:$C,2,FALSE))</f>
        <v/>
      </c>
      <c r="D71" t="str">
        <f>IF(B71="","",VLOOKUP(B71,Roster!$A:$C,3,FALSE))</f>
        <v/>
      </c>
      <c r="I71" s="2"/>
      <c r="J71" s="3"/>
      <c r="K71" s="2" t="str">
        <f t="shared" si="4"/>
        <v/>
      </c>
      <c r="L71" t="str">
        <f t="shared" ca="1" si="5"/>
        <v/>
      </c>
      <c r="N71" s="2"/>
      <c r="Q71" s="2"/>
      <c r="S71" t="str">
        <f ca="1">IF(AND(B71&lt;&gt;"",ISNUMBER(L71),L71&gt;=-5,L71&lt;=10,M71&lt;&gt;"Complete",M71&lt;&gt;"N/A"),COUNTIFS(B$4:B71,"&lt;&gt;",L$4:L71,"&gt;=-5",L$4:L71,"&lt;=10",M$4:M71,"&lt;&gt;Complete",M$4:M71,"&lt;&gt;N/A"),"")</f>
        <v/>
      </c>
    </row>
    <row r="72" spans="3:19" ht="14.25" customHeight="1" x14ac:dyDescent="0.45">
      <c r="C72" t="str">
        <f>IF(B72="","",VLOOKUP(B72,Roster!$A:$C,2,FALSE))</f>
        <v/>
      </c>
      <c r="D72" t="str">
        <f>IF(B72="","",VLOOKUP(B72,Roster!$A:$C,3,FALSE))</f>
        <v/>
      </c>
      <c r="I72" s="2"/>
      <c r="J72" s="3"/>
      <c r="K72" s="2" t="str">
        <f t="shared" si="4"/>
        <v/>
      </c>
      <c r="L72" t="str">
        <f t="shared" ca="1" si="5"/>
        <v/>
      </c>
      <c r="N72" s="2"/>
      <c r="Q72" s="2"/>
      <c r="S72" t="str">
        <f ca="1">IF(AND(B72&lt;&gt;"",ISNUMBER(L72),L72&gt;=-5,L72&lt;=10,M72&lt;&gt;"Complete",M72&lt;&gt;"N/A"),COUNTIFS(B$4:B72,"&lt;&gt;",L$4:L72,"&gt;=-5",L$4:L72,"&lt;=10",M$4:M72,"&lt;&gt;Complete",M$4:M72,"&lt;&gt;N/A"),"")</f>
        <v/>
      </c>
    </row>
    <row r="73" spans="3:19" ht="14.25" customHeight="1" x14ac:dyDescent="0.45">
      <c r="C73" t="str">
        <f>IF(B73="","",VLOOKUP(B73,Roster!$A:$C,2,FALSE))</f>
        <v/>
      </c>
      <c r="D73" t="str">
        <f>IF(B73="","",VLOOKUP(B73,Roster!$A:$C,3,FALSE))</f>
        <v/>
      </c>
      <c r="I73" s="2"/>
      <c r="J73" s="3"/>
      <c r="K73" s="2" t="str">
        <f t="shared" si="4"/>
        <v/>
      </c>
      <c r="L73" t="str">
        <f t="shared" ca="1" si="5"/>
        <v/>
      </c>
      <c r="N73" s="2"/>
      <c r="Q73" s="2"/>
      <c r="S73" t="str">
        <f ca="1">IF(AND(B73&lt;&gt;"",ISNUMBER(L73),L73&gt;=-5,L73&lt;=10,M73&lt;&gt;"Complete",M73&lt;&gt;"N/A"),COUNTIFS(B$4:B73,"&lt;&gt;",L$4:L73,"&gt;=-5",L$4:L73,"&lt;=10",M$4:M73,"&lt;&gt;Complete",M$4:M73,"&lt;&gt;N/A"),"")</f>
        <v/>
      </c>
    </row>
    <row r="74" spans="3:19" ht="14.25" customHeight="1" x14ac:dyDescent="0.45">
      <c r="C74" t="str">
        <f>IF(B74="","",VLOOKUP(B74,Roster!$A:$C,2,FALSE))</f>
        <v/>
      </c>
      <c r="D74" t="str">
        <f>IF(B74="","",VLOOKUP(B74,Roster!$A:$C,3,FALSE))</f>
        <v/>
      </c>
      <c r="I74" s="2"/>
      <c r="J74" s="3"/>
      <c r="K74" s="2" t="str">
        <f t="shared" si="4"/>
        <v/>
      </c>
      <c r="L74" t="str">
        <f t="shared" ca="1" si="5"/>
        <v/>
      </c>
      <c r="N74" s="2"/>
      <c r="Q74" s="2"/>
      <c r="S74" t="str">
        <f ca="1">IF(AND(B74&lt;&gt;"",ISNUMBER(L74),L74&gt;=-5,L74&lt;=10,M74&lt;&gt;"Complete",M74&lt;&gt;"N/A"),COUNTIFS(B$4:B74,"&lt;&gt;",L$4:L74,"&gt;=-5",L$4:L74,"&lt;=10",M$4:M74,"&lt;&gt;Complete",M$4:M74,"&lt;&gt;N/A"),"")</f>
        <v/>
      </c>
    </row>
    <row r="75" spans="3:19" ht="14.25" customHeight="1" x14ac:dyDescent="0.45">
      <c r="C75" t="str">
        <f>IF(B75="","",VLOOKUP(B75,Roster!$A:$C,2,FALSE))</f>
        <v/>
      </c>
      <c r="D75" t="str">
        <f>IF(B75="","",VLOOKUP(B75,Roster!$A:$C,3,FALSE))</f>
        <v/>
      </c>
      <c r="I75" s="2"/>
      <c r="J75" s="3"/>
      <c r="K75" s="2" t="str">
        <f t="shared" si="4"/>
        <v/>
      </c>
      <c r="L75" t="str">
        <f t="shared" ca="1" si="5"/>
        <v/>
      </c>
      <c r="N75" s="2"/>
      <c r="Q75" s="2"/>
      <c r="S75" t="str">
        <f ca="1">IF(AND(B75&lt;&gt;"",ISNUMBER(L75),L75&gt;=-5,L75&lt;=10,M75&lt;&gt;"Complete",M75&lt;&gt;"N/A"),COUNTIFS(B$4:B75,"&lt;&gt;",L$4:L75,"&gt;=-5",L$4:L75,"&lt;=10",M$4:M75,"&lt;&gt;Complete",M$4:M75,"&lt;&gt;N/A"),"")</f>
        <v/>
      </c>
    </row>
    <row r="76" spans="3:19" ht="14.25" customHeight="1" x14ac:dyDescent="0.45">
      <c r="C76" t="str">
        <f>IF(B76="","",VLOOKUP(B76,Roster!$A:$C,2,FALSE))</f>
        <v/>
      </c>
      <c r="D76" t="str">
        <f>IF(B76="","",VLOOKUP(B76,Roster!$A:$C,3,FALSE))</f>
        <v/>
      </c>
      <c r="I76" s="2"/>
      <c r="J76" s="3"/>
      <c r="K76" s="2" t="str">
        <f t="shared" si="4"/>
        <v/>
      </c>
      <c r="L76" t="str">
        <f t="shared" ca="1" si="5"/>
        <v/>
      </c>
      <c r="N76" s="2"/>
      <c r="Q76" s="2"/>
      <c r="S76" t="str">
        <f ca="1">IF(AND(B76&lt;&gt;"",ISNUMBER(L76),L76&gt;=-5,L76&lt;=10,M76&lt;&gt;"Complete",M76&lt;&gt;"N/A"),COUNTIFS(B$4:B76,"&lt;&gt;",L$4:L76,"&gt;=-5",L$4:L76,"&lt;=10",M$4:M76,"&lt;&gt;Complete",M$4:M76,"&lt;&gt;N/A"),"")</f>
        <v/>
      </c>
    </row>
    <row r="77" spans="3:19" ht="14.25" customHeight="1" x14ac:dyDescent="0.45">
      <c r="C77" t="str">
        <f>IF(B77="","",VLOOKUP(B77,Roster!$A:$C,2,FALSE))</f>
        <v/>
      </c>
      <c r="D77" t="str">
        <f>IF(B77="","",VLOOKUP(B77,Roster!$A:$C,3,FALSE))</f>
        <v/>
      </c>
      <c r="I77" s="2"/>
      <c r="J77" s="3"/>
      <c r="K77" s="2" t="str">
        <f t="shared" si="4"/>
        <v/>
      </c>
      <c r="L77" t="str">
        <f t="shared" ca="1" si="5"/>
        <v/>
      </c>
      <c r="N77" s="2"/>
      <c r="Q77" s="2"/>
      <c r="S77" t="str">
        <f ca="1">IF(AND(B77&lt;&gt;"",ISNUMBER(L77),L77&gt;=-5,L77&lt;=10,M77&lt;&gt;"Complete",M77&lt;&gt;"N/A"),COUNTIFS(B$4:B77,"&lt;&gt;",L$4:L77,"&gt;=-5",L$4:L77,"&lt;=10",M$4:M77,"&lt;&gt;Complete",M$4:M77,"&lt;&gt;N/A"),"")</f>
        <v/>
      </c>
    </row>
    <row r="78" spans="3:19" ht="14.25" customHeight="1" x14ac:dyDescent="0.45">
      <c r="C78" t="str">
        <f>IF(B78="","",VLOOKUP(B78,Roster!$A:$C,2,FALSE))</f>
        <v/>
      </c>
      <c r="D78" t="str">
        <f>IF(B78="","",VLOOKUP(B78,Roster!$A:$C,3,FALSE))</f>
        <v/>
      </c>
      <c r="I78" s="2"/>
      <c r="J78" s="3"/>
      <c r="K78" s="2" t="str">
        <f t="shared" si="4"/>
        <v/>
      </c>
      <c r="L78" t="str">
        <f t="shared" ca="1" si="5"/>
        <v/>
      </c>
      <c r="N78" s="2"/>
      <c r="Q78" s="2"/>
      <c r="S78" t="str">
        <f ca="1">IF(AND(B78&lt;&gt;"",ISNUMBER(L78),L78&gt;=-5,L78&lt;=10,M78&lt;&gt;"Complete",M78&lt;&gt;"N/A"),COUNTIFS(B$4:B78,"&lt;&gt;",L$4:L78,"&gt;=-5",L$4:L78,"&lt;=10",M$4:M78,"&lt;&gt;Complete",M$4:M78,"&lt;&gt;N/A"),"")</f>
        <v/>
      </c>
    </row>
    <row r="79" spans="3:19" ht="14.25" customHeight="1" x14ac:dyDescent="0.45">
      <c r="C79" t="str">
        <f>IF(B79="","",VLOOKUP(B79,Roster!$A:$C,2,FALSE))</f>
        <v/>
      </c>
      <c r="D79" t="str">
        <f>IF(B79="","",VLOOKUP(B79,Roster!$A:$C,3,FALSE))</f>
        <v/>
      </c>
      <c r="I79" s="2"/>
      <c r="J79" s="3"/>
      <c r="K79" s="2" t="str">
        <f t="shared" si="4"/>
        <v/>
      </c>
      <c r="L79" t="str">
        <f t="shared" ca="1" si="5"/>
        <v/>
      </c>
      <c r="N79" s="2"/>
      <c r="Q79" s="2"/>
      <c r="S79" t="str">
        <f ca="1">IF(AND(B79&lt;&gt;"",ISNUMBER(L79),L79&gt;=-5,L79&lt;=10,M79&lt;&gt;"Complete",M79&lt;&gt;"N/A"),COUNTIFS(B$4:B79,"&lt;&gt;",L$4:L79,"&gt;=-5",L$4:L79,"&lt;=10",M$4:M79,"&lt;&gt;Complete",M$4:M79,"&lt;&gt;N/A"),"")</f>
        <v/>
      </c>
    </row>
    <row r="80" spans="3:19" ht="14.25" customHeight="1" x14ac:dyDescent="0.45">
      <c r="C80" t="str">
        <f>IF(B80="","",VLOOKUP(B80,Roster!$A:$C,2,FALSE))</f>
        <v/>
      </c>
      <c r="D80" t="str">
        <f>IF(B80="","",VLOOKUP(B80,Roster!$A:$C,3,FALSE))</f>
        <v/>
      </c>
      <c r="I80" s="2"/>
      <c r="J80" s="3"/>
      <c r="K80" s="2" t="str">
        <f t="shared" si="4"/>
        <v/>
      </c>
      <c r="L80" t="str">
        <f t="shared" ca="1" si="5"/>
        <v/>
      </c>
      <c r="N80" s="2"/>
      <c r="Q80" s="2"/>
      <c r="S80" t="str">
        <f ca="1">IF(AND(B80&lt;&gt;"",ISNUMBER(L80),L80&gt;=-5,L80&lt;=10,M80&lt;&gt;"Complete",M80&lt;&gt;"N/A"),COUNTIFS(B$4:B80,"&lt;&gt;",L$4:L80,"&gt;=-5",L$4:L80,"&lt;=10",M$4:M80,"&lt;&gt;Complete",M$4:M80,"&lt;&gt;N/A"),"")</f>
        <v/>
      </c>
    </row>
    <row r="81" spans="3:19" ht="14.25" customHeight="1" x14ac:dyDescent="0.45">
      <c r="C81" t="str">
        <f>IF(B81="","",VLOOKUP(B81,Roster!$A:$C,2,FALSE))</f>
        <v/>
      </c>
      <c r="D81" t="str">
        <f>IF(B81="","",VLOOKUP(B81,Roster!$A:$C,3,FALSE))</f>
        <v/>
      </c>
      <c r="I81" s="2"/>
      <c r="J81" s="3"/>
      <c r="K81" s="2" t="str">
        <f t="shared" si="4"/>
        <v/>
      </c>
      <c r="L81" t="str">
        <f t="shared" ca="1" si="5"/>
        <v/>
      </c>
      <c r="N81" s="2"/>
      <c r="Q81" s="2"/>
      <c r="S81" t="str">
        <f ca="1">IF(AND(B81&lt;&gt;"",ISNUMBER(L81),L81&gt;=-5,L81&lt;=10,M81&lt;&gt;"Complete",M81&lt;&gt;"N/A"),COUNTIFS(B$4:B81,"&lt;&gt;",L$4:L81,"&gt;=-5",L$4:L81,"&lt;=10",M$4:M81,"&lt;&gt;Complete",M$4:M81,"&lt;&gt;N/A"),"")</f>
        <v/>
      </c>
    </row>
    <row r="82" spans="3:19" ht="14.25" customHeight="1" x14ac:dyDescent="0.45">
      <c r="C82" t="str">
        <f>IF(B82="","",VLOOKUP(B82,Roster!$A:$C,2,FALSE))</f>
        <v/>
      </c>
      <c r="D82" t="str">
        <f>IF(B82="","",VLOOKUP(B82,Roster!$A:$C,3,FALSE))</f>
        <v/>
      </c>
      <c r="I82" s="2"/>
      <c r="J82" s="3"/>
      <c r="K82" s="2" t="str">
        <f t="shared" si="4"/>
        <v/>
      </c>
      <c r="L82" t="str">
        <f t="shared" ca="1" si="5"/>
        <v/>
      </c>
      <c r="N82" s="2"/>
      <c r="Q82" s="2"/>
      <c r="S82" t="str">
        <f ca="1">IF(AND(B82&lt;&gt;"",ISNUMBER(L82),L82&gt;=-5,L82&lt;=10,M82&lt;&gt;"Complete",M82&lt;&gt;"N/A"),COUNTIFS(B$4:B82,"&lt;&gt;",L$4:L82,"&gt;=-5",L$4:L82,"&lt;=10",M$4:M82,"&lt;&gt;Complete",M$4:M82,"&lt;&gt;N/A"),"")</f>
        <v/>
      </c>
    </row>
    <row r="83" spans="3:19" ht="14.25" customHeight="1" x14ac:dyDescent="0.45">
      <c r="C83" t="str">
        <f>IF(B83="","",VLOOKUP(B83,Roster!$A:$C,2,FALSE))</f>
        <v/>
      </c>
      <c r="D83" t="str">
        <f>IF(B83="","",VLOOKUP(B83,Roster!$A:$C,3,FALSE))</f>
        <v/>
      </c>
      <c r="I83" s="2"/>
      <c r="J83" s="3"/>
      <c r="K83" s="2" t="str">
        <f t="shared" si="4"/>
        <v/>
      </c>
      <c r="L83" t="str">
        <f t="shared" ca="1" si="5"/>
        <v/>
      </c>
      <c r="N83" s="2"/>
      <c r="Q83" s="2"/>
      <c r="S83" t="str">
        <f ca="1">IF(AND(B83&lt;&gt;"",ISNUMBER(L83),L83&gt;=-5,L83&lt;=10,M83&lt;&gt;"Complete",M83&lt;&gt;"N/A"),COUNTIFS(B$4:B83,"&lt;&gt;",L$4:L83,"&gt;=-5",L$4:L83,"&lt;=10",M$4:M83,"&lt;&gt;Complete",M$4:M83,"&lt;&gt;N/A"),"")</f>
        <v/>
      </c>
    </row>
    <row r="84" spans="3:19" ht="14.25" customHeight="1" x14ac:dyDescent="0.45">
      <c r="C84" t="str">
        <f>IF(B84="","",VLOOKUP(B84,Roster!$A:$C,2,FALSE))</f>
        <v/>
      </c>
      <c r="D84" t="str">
        <f>IF(B84="","",VLOOKUP(B84,Roster!$A:$C,3,FALSE))</f>
        <v/>
      </c>
      <c r="I84" s="2"/>
      <c r="J84" s="3"/>
      <c r="K84" s="2" t="str">
        <f t="shared" si="4"/>
        <v/>
      </c>
      <c r="L84" t="str">
        <f t="shared" ca="1" si="5"/>
        <v/>
      </c>
      <c r="N84" s="2"/>
      <c r="Q84" s="2"/>
      <c r="S84" t="str">
        <f ca="1">IF(AND(B84&lt;&gt;"",ISNUMBER(L84),L84&gt;=-5,L84&lt;=10,M84&lt;&gt;"Complete",M84&lt;&gt;"N/A"),COUNTIFS(B$4:B84,"&lt;&gt;",L$4:L84,"&gt;=-5",L$4:L84,"&lt;=10",M$4:M84,"&lt;&gt;Complete",M$4:M84,"&lt;&gt;N/A"),"")</f>
        <v/>
      </c>
    </row>
    <row r="85" spans="3:19" ht="14.25" customHeight="1" x14ac:dyDescent="0.45">
      <c r="C85" t="str">
        <f>IF(B85="","",VLOOKUP(B85,Roster!$A:$C,2,FALSE))</f>
        <v/>
      </c>
      <c r="D85" t="str">
        <f>IF(B85="","",VLOOKUP(B85,Roster!$A:$C,3,FALSE))</f>
        <v/>
      </c>
      <c r="I85" s="2"/>
      <c r="J85" s="3"/>
      <c r="K85" s="2" t="str">
        <f t="shared" si="4"/>
        <v/>
      </c>
      <c r="L85" t="str">
        <f t="shared" ca="1" si="5"/>
        <v/>
      </c>
      <c r="N85" s="2"/>
      <c r="Q85" s="2"/>
      <c r="S85" t="str">
        <f ca="1">IF(AND(B85&lt;&gt;"",ISNUMBER(L85),L85&gt;=-5,L85&lt;=10,M85&lt;&gt;"Complete",M85&lt;&gt;"N/A"),COUNTIFS(B$4:B85,"&lt;&gt;",L$4:L85,"&gt;=-5",L$4:L85,"&lt;=10",M$4:M85,"&lt;&gt;Complete",M$4:M85,"&lt;&gt;N/A"),"")</f>
        <v/>
      </c>
    </row>
    <row r="86" spans="3:19" ht="14.25" customHeight="1" x14ac:dyDescent="0.45">
      <c r="C86" t="str">
        <f>IF(B86="","",VLOOKUP(B86,Roster!$A:$C,2,FALSE))</f>
        <v/>
      </c>
      <c r="D86" t="str">
        <f>IF(B86="","",VLOOKUP(B86,Roster!$A:$C,3,FALSE))</f>
        <v/>
      </c>
      <c r="I86" s="2"/>
      <c r="J86" s="3"/>
      <c r="K86" s="2" t="str">
        <f t="shared" si="4"/>
        <v/>
      </c>
      <c r="L86" t="str">
        <f t="shared" ca="1" si="5"/>
        <v/>
      </c>
      <c r="N86" s="2"/>
      <c r="Q86" s="2"/>
      <c r="S86" t="str">
        <f ca="1">IF(AND(B86&lt;&gt;"",ISNUMBER(L86),L86&gt;=-5,L86&lt;=10,M86&lt;&gt;"Complete",M86&lt;&gt;"N/A"),COUNTIFS(B$4:B86,"&lt;&gt;",L$4:L86,"&gt;=-5",L$4:L86,"&lt;=10",M$4:M86,"&lt;&gt;Complete",M$4:M86,"&lt;&gt;N/A"),"")</f>
        <v/>
      </c>
    </row>
    <row r="87" spans="3:19" ht="14.25" customHeight="1" x14ac:dyDescent="0.45">
      <c r="C87" t="str">
        <f>IF(B87="","",VLOOKUP(B87,Roster!$A:$C,2,FALSE))</f>
        <v/>
      </c>
      <c r="D87" t="str">
        <f>IF(B87="","",VLOOKUP(B87,Roster!$A:$C,3,FALSE))</f>
        <v/>
      </c>
      <c r="I87" s="2"/>
      <c r="J87" s="3"/>
      <c r="K87" s="2" t="str">
        <f t="shared" si="4"/>
        <v/>
      </c>
      <c r="L87" t="str">
        <f t="shared" ca="1" si="5"/>
        <v/>
      </c>
      <c r="N87" s="2"/>
      <c r="Q87" s="2"/>
      <c r="S87" t="str">
        <f ca="1">IF(AND(B87&lt;&gt;"",ISNUMBER(L87),L87&gt;=-5,L87&lt;=10,M87&lt;&gt;"Complete",M87&lt;&gt;"N/A"),COUNTIFS(B$4:B87,"&lt;&gt;",L$4:L87,"&gt;=-5",L$4:L87,"&lt;=10",M$4:M87,"&lt;&gt;Complete",M$4:M87,"&lt;&gt;N/A"),"")</f>
        <v/>
      </c>
    </row>
    <row r="88" spans="3:19" ht="14.25" customHeight="1" x14ac:dyDescent="0.45">
      <c r="C88" t="str">
        <f>IF(B88="","",VLOOKUP(B88,Roster!$A:$C,2,FALSE))</f>
        <v/>
      </c>
      <c r="D88" t="str">
        <f>IF(B88="","",VLOOKUP(B88,Roster!$A:$C,3,FALSE))</f>
        <v/>
      </c>
      <c r="I88" s="2"/>
      <c r="J88" s="3"/>
      <c r="K88" s="2" t="str">
        <f t="shared" si="4"/>
        <v/>
      </c>
      <c r="L88" t="str">
        <f t="shared" ca="1" si="5"/>
        <v/>
      </c>
      <c r="N88" s="2"/>
      <c r="Q88" s="2"/>
      <c r="S88" t="str">
        <f ca="1">IF(AND(B88&lt;&gt;"",ISNUMBER(L88),L88&gt;=-5,L88&lt;=10,M88&lt;&gt;"Complete",M88&lt;&gt;"N/A"),COUNTIFS(B$4:B88,"&lt;&gt;",L$4:L88,"&gt;=-5",L$4:L88,"&lt;=10",M$4:M88,"&lt;&gt;Complete",M$4:M88,"&lt;&gt;N/A"),"")</f>
        <v/>
      </c>
    </row>
    <row r="89" spans="3:19" ht="14.25" customHeight="1" x14ac:dyDescent="0.45">
      <c r="C89" t="str">
        <f>IF(B89="","",VLOOKUP(B89,Roster!$A:$C,2,FALSE))</f>
        <v/>
      </c>
      <c r="D89" t="str">
        <f>IF(B89="","",VLOOKUP(B89,Roster!$A:$C,3,FALSE))</f>
        <v/>
      </c>
      <c r="I89" s="2"/>
      <c r="J89" s="3"/>
      <c r="K89" s="2" t="str">
        <f t="shared" si="4"/>
        <v/>
      </c>
      <c r="L89" t="str">
        <f t="shared" ca="1" si="5"/>
        <v/>
      </c>
      <c r="N89" s="2"/>
      <c r="Q89" s="2"/>
      <c r="S89" t="str">
        <f ca="1">IF(AND(B89&lt;&gt;"",ISNUMBER(L89),L89&gt;=-5,L89&lt;=10,M89&lt;&gt;"Complete",M89&lt;&gt;"N/A"),COUNTIFS(B$4:B89,"&lt;&gt;",L$4:L89,"&gt;=-5",L$4:L89,"&lt;=10",M$4:M89,"&lt;&gt;Complete",M$4:M89,"&lt;&gt;N/A"),"")</f>
        <v/>
      </c>
    </row>
    <row r="90" spans="3:19" ht="14.25" customHeight="1" x14ac:dyDescent="0.45">
      <c r="C90" t="str">
        <f>IF(B90="","",VLOOKUP(B90,Roster!$A:$C,2,FALSE))</f>
        <v/>
      </c>
      <c r="D90" t="str">
        <f>IF(B90="","",VLOOKUP(B90,Roster!$A:$C,3,FALSE))</f>
        <v/>
      </c>
      <c r="I90" s="2"/>
      <c r="J90" s="3"/>
      <c r="K90" s="2" t="str">
        <f t="shared" si="4"/>
        <v/>
      </c>
      <c r="L90" t="str">
        <f t="shared" ca="1" si="5"/>
        <v/>
      </c>
      <c r="N90" s="2"/>
      <c r="Q90" s="2"/>
      <c r="S90" t="str">
        <f ca="1">IF(AND(B90&lt;&gt;"",ISNUMBER(L90),L90&gt;=-5,L90&lt;=10,M90&lt;&gt;"Complete",M90&lt;&gt;"N/A"),COUNTIFS(B$4:B90,"&lt;&gt;",L$4:L90,"&gt;=-5",L$4:L90,"&lt;=10",M$4:M90,"&lt;&gt;Complete",M$4:M90,"&lt;&gt;N/A"),"")</f>
        <v/>
      </c>
    </row>
    <row r="91" spans="3:19" ht="14.25" customHeight="1" x14ac:dyDescent="0.45">
      <c r="C91" t="str">
        <f>IF(B91="","",VLOOKUP(B91,Roster!$A:$C,2,FALSE))</f>
        <v/>
      </c>
      <c r="D91" t="str">
        <f>IF(B91="","",VLOOKUP(B91,Roster!$A:$C,3,FALSE))</f>
        <v/>
      </c>
      <c r="I91" s="2"/>
      <c r="J91" s="3"/>
      <c r="K91" s="2" t="str">
        <f t="shared" si="4"/>
        <v/>
      </c>
      <c r="L91" t="str">
        <f t="shared" ca="1" si="5"/>
        <v/>
      </c>
      <c r="N91" s="2"/>
      <c r="Q91" s="2"/>
      <c r="S91" t="str">
        <f ca="1">IF(AND(B91&lt;&gt;"",ISNUMBER(L91),L91&gt;=-5,L91&lt;=10,M91&lt;&gt;"Complete",M91&lt;&gt;"N/A"),COUNTIFS(B$4:B91,"&lt;&gt;",L$4:L91,"&gt;=-5",L$4:L91,"&lt;=10",M$4:M91,"&lt;&gt;Complete",M$4:M91,"&lt;&gt;N/A"),"")</f>
        <v/>
      </c>
    </row>
    <row r="92" spans="3:19" ht="14.25" customHeight="1" x14ac:dyDescent="0.45">
      <c r="C92" t="str">
        <f>IF(B92="","",VLOOKUP(B92,Roster!$A:$C,2,FALSE))</f>
        <v/>
      </c>
      <c r="D92" t="str">
        <f>IF(B92="","",VLOOKUP(B92,Roster!$A:$C,3,FALSE))</f>
        <v/>
      </c>
      <c r="I92" s="2"/>
      <c r="J92" s="3"/>
      <c r="K92" s="2" t="str">
        <f t="shared" si="4"/>
        <v/>
      </c>
      <c r="L92" t="str">
        <f t="shared" ca="1" si="5"/>
        <v/>
      </c>
      <c r="N92" s="2"/>
      <c r="Q92" s="2"/>
      <c r="S92" t="str">
        <f ca="1">IF(AND(B92&lt;&gt;"",ISNUMBER(L92),L92&gt;=-5,L92&lt;=10,M92&lt;&gt;"Complete",M92&lt;&gt;"N/A"),COUNTIFS(B$4:B92,"&lt;&gt;",L$4:L92,"&gt;=-5",L$4:L92,"&lt;=10",M$4:M92,"&lt;&gt;Complete",M$4:M92,"&lt;&gt;N/A"),"")</f>
        <v/>
      </c>
    </row>
    <row r="93" spans="3:19" ht="14.25" customHeight="1" x14ac:dyDescent="0.45">
      <c r="C93" t="str">
        <f>IF(B93="","",VLOOKUP(B93,Roster!$A:$C,2,FALSE))</f>
        <v/>
      </c>
      <c r="D93" t="str">
        <f>IF(B93="","",VLOOKUP(B93,Roster!$A:$C,3,FALSE))</f>
        <v/>
      </c>
      <c r="I93" s="2"/>
      <c r="J93" s="3"/>
      <c r="K93" s="2" t="str">
        <f t="shared" si="4"/>
        <v/>
      </c>
      <c r="L93" t="str">
        <f t="shared" ca="1" si="5"/>
        <v/>
      </c>
      <c r="N93" s="2"/>
      <c r="Q93" s="2"/>
      <c r="S93" t="str">
        <f ca="1">IF(AND(B93&lt;&gt;"",ISNUMBER(L93),L93&gt;=-5,L93&lt;=10,M93&lt;&gt;"Complete",M93&lt;&gt;"N/A"),COUNTIFS(B$4:B93,"&lt;&gt;",L$4:L93,"&gt;=-5",L$4:L93,"&lt;=10",M$4:M93,"&lt;&gt;Complete",M$4:M93,"&lt;&gt;N/A"),"")</f>
        <v/>
      </c>
    </row>
    <row r="94" spans="3:19" ht="14.25" customHeight="1" x14ac:dyDescent="0.45">
      <c r="C94" t="str">
        <f>IF(B94="","",VLOOKUP(B94,Roster!$A:$C,2,FALSE))</f>
        <v/>
      </c>
      <c r="D94" t="str">
        <f>IF(B94="","",VLOOKUP(B94,Roster!$A:$C,3,FALSE))</f>
        <v/>
      </c>
      <c r="I94" s="2"/>
      <c r="J94" s="3"/>
      <c r="K94" s="2" t="str">
        <f t="shared" si="4"/>
        <v/>
      </c>
      <c r="L94" t="str">
        <f t="shared" ca="1" si="5"/>
        <v/>
      </c>
      <c r="N94" s="2"/>
      <c r="Q94" s="2"/>
      <c r="S94" t="str">
        <f ca="1">IF(AND(B94&lt;&gt;"",ISNUMBER(L94),L94&gt;=-5,L94&lt;=10,M94&lt;&gt;"Complete",M94&lt;&gt;"N/A"),COUNTIFS(B$4:B94,"&lt;&gt;",L$4:L94,"&gt;=-5",L$4:L94,"&lt;=10",M$4:M94,"&lt;&gt;Complete",M$4:M94,"&lt;&gt;N/A"),"")</f>
        <v/>
      </c>
    </row>
    <row r="95" spans="3:19" ht="14.25" customHeight="1" x14ac:dyDescent="0.45">
      <c r="C95" t="str">
        <f>IF(B95="","",VLOOKUP(B95,Roster!$A:$C,2,FALSE))</f>
        <v/>
      </c>
      <c r="D95" t="str">
        <f>IF(B95="","",VLOOKUP(B95,Roster!$A:$C,3,FALSE))</f>
        <v/>
      </c>
      <c r="I95" s="2"/>
      <c r="J95" s="3"/>
      <c r="K95" s="2" t="str">
        <f t="shared" si="4"/>
        <v/>
      </c>
      <c r="L95" t="str">
        <f t="shared" ca="1" si="5"/>
        <v/>
      </c>
      <c r="N95" s="2"/>
      <c r="Q95" s="2"/>
      <c r="S95" t="str">
        <f ca="1">IF(AND(B95&lt;&gt;"",ISNUMBER(L95),L95&gt;=-5,L95&lt;=10,M95&lt;&gt;"Complete",M95&lt;&gt;"N/A"),COUNTIFS(B$4:B95,"&lt;&gt;",L$4:L95,"&gt;=-5",L$4:L95,"&lt;=10",M$4:M95,"&lt;&gt;Complete",M$4:M95,"&lt;&gt;N/A"),"")</f>
        <v/>
      </c>
    </row>
    <row r="96" spans="3:19" ht="14.25" customHeight="1" x14ac:dyDescent="0.45">
      <c r="C96" t="str">
        <f>IF(B96="","",VLOOKUP(B96,Roster!$A:$C,2,FALSE))</f>
        <v/>
      </c>
      <c r="D96" t="str">
        <f>IF(B96="","",VLOOKUP(B96,Roster!$A:$C,3,FALSE))</f>
        <v/>
      </c>
      <c r="I96" s="2"/>
      <c r="J96" s="3"/>
      <c r="K96" s="2" t="str">
        <f t="shared" si="4"/>
        <v/>
      </c>
      <c r="L96" t="str">
        <f t="shared" ca="1" si="5"/>
        <v/>
      </c>
      <c r="N96" s="2"/>
      <c r="Q96" s="2"/>
      <c r="S96" t="str">
        <f ca="1">IF(AND(B96&lt;&gt;"",ISNUMBER(L96),L96&gt;=-5,L96&lt;=10,M96&lt;&gt;"Complete",M96&lt;&gt;"N/A"),COUNTIFS(B$4:B96,"&lt;&gt;",L$4:L96,"&gt;=-5",L$4:L96,"&lt;=10",M$4:M96,"&lt;&gt;Complete",M$4:M96,"&lt;&gt;N/A"),"")</f>
        <v/>
      </c>
    </row>
    <row r="97" spans="3:19" ht="14.25" customHeight="1" x14ac:dyDescent="0.45">
      <c r="C97" t="str">
        <f>IF(B97="","",VLOOKUP(B97,Roster!$A:$C,2,FALSE))</f>
        <v/>
      </c>
      <c r="D97" t="str">
        <f>IF(B97="","",VLOOKUP(B97,Roster!$A:$C,3,FALSE))</f>
        <v/>
      </c>
      <c r="I97" s="2"/>
      <c r="J97" s="3"/>
      <c r="K97" s="2" t="str">
        <f t="shared" si="4"/>
        <v/>
      </c>
      <c r="L97" t="str">
        <f t="shared" ca="1" si="5"/>
        <v/>
      </c>
      <c r="N97" s="2"/>
      <c r="Q97" s="2"/>
      <c r="S97" t="str">
        <f ca="1">IF(AND(B97&lt;&gt;"",ISNUMBER(L97),L97&gt;=-5,L97&lt;=10,M97&lt;&gt;"Complete",M97&lt;&gt;"N/A"),COUNTIFS(B$4:B97,"&lt;&gt;",L$4:L97,"&gt;=-5",L$4:L97,"&lt;=10",M$4:M97,"&lt;&gt;Complete",M$4:M97,"&lt;&gt;N/A"),"")</f>
        <v/>
      </c>
    </row>
    <row r="98" spans="3:19" ht="14.25" customHeight="1" x14ac:dyDescent="0.45">
      <c r="C98" t="str">
        <f>IF(B98="","",VLOOKUP(B98,Roster!$A:$C,2,FALSE))</f>
        <v/>
      </c>
      <c r="D98" t="str">
        <f>IF(B98="","",VLOOKUP(B98,Roster!$A:$C,3,FALSE))</f>
        <v/>
      </c>
      <c r="I98" s="2"/>
      <c r="J98" s="3"/>
      <c r="K98" s="2" t="str">
        <f t="shared" si="4"/>
        <v/>
      </c>
      <c r="L98" t="str">
        <f t="shared" ca="1" si="5"/>
        <v/>
      </c>
      <c r="N98" s="2"/>
      <c r="Q98" s="2"/>
      <c r="S98" t="str">
        <f ca="1">IF(AND(B98&lt;&gt;"",ISNUMBER(L98),L98&gt;=-5,L98&lt;=10,M98&lt;&gt;"Complete",M98&lt;&gt;"N/A"),COUNTIFS(B$4:B98,"&lt;&gt;",L$4:L98,"&gt;=-5",L$4:L98,"&lt;=10",M$4:M98,"&lt;&gt;Complete",M$4:M98,"&lt;&gt;N/A"),"")</f>
        <v/>
      </c>
    </row>
    <row r="99" spans="3:19" ht="14.25" customHeight="1" x14ac:dyDescent="0.45">
      <c r="C99" t="str">
        <f>IF(B99="","",VLOOKUP(B99,Roster!$A:$C,2,FALSE))</f>
        <v/>
      </c>
      <c r="D99" t="str">
        <f>IF(B99="","",VLOOKUP(B99,Roster!$A:$C,3,FALSE))</f>
        <v/>
      </c>
      <c r="I99" s="2"/>
      <c r="J99" s="3"/>
      <c r="K99" s="2" t="str">
        <f t="shared" si="4"/>
        <v/>
      </c>
      <c r="L99" t="str">
        <f t="shared" ca="1" si="5"/>
        <v/>
      </c>
      <c r="N99" s="2"/>
      <c r="Q99" s="2"/>
      <c r="S99" t="str">
        <f ca="1">IF(AND(B99&lt;&gt;"",ISNUMBER(L99),L99&gt;=-5,L99&lt;=10,M99&lt;&gt;"Complete",M99&lt;&gt;"N/A"),COUNTIFS(B$4:B99,"&lt;&gt;",L$4:L99,"&gt;=-5",L$4:L99,"&lt;=10",M$4:M99,"&lt;&gt;Complete",M$4:M99,"&lt;&gt;N/A"),"")</f>
        <v/>
      </c>
    </row>
    <row r="100" spans="3:19" ht="14.25" customHeight="1" x14ac:dyDescent="0.45">
      <c r="C100" t="str">
        <f>IF(B100="","",VLOOKUP(B100,Roster!$A:$C,2,FALSE))</f>
        <v/>
      </c>
      <c r="D100" t="str">
        <f>IF(B100="","",VLOOKUP(B100,Roster!$A:$C,3,FALSE))</f>
        <v/>
      </c>
      <c r="I100" s="2"/>
      <c r="J100" s="3"/>
      <c r="K100" s="2" t="str">
        <f t="shared" ref="K100:K131" si="6">IF(OR(I100="",J100=""),"",I100+ROUND(J100*7/5,0))</f>
        <v/>
      </c>
      <c r="L100" t="str">
        <f t="shared" ref="L100:L131" ca="1" si="7">IF(K100="","",IF(M100="Complete","N/A — Completed",K100-TODAY()))</f>
        <v/>
      </c>
      <c r="N100" s="2"/>
      <c r="Q100" s="2"/>
      <c r="S100" t="str">
        <f ca="1">IF(AND(B100&lt;&gt;"",ISNUMBER(L100),L100&gt;=-5,L100&lt;=10,M100&lt;&gt;"Complete",M100&lt;&gt;"N/A"),COUNTIFS(B$4:B100,"&lt;&gt;",L$4:L100,"&gt;=-5",L$4:L100,"&lt;=10",M$4:M100,"&lt;&gt;Complete",M$4:M100,"&lt;&gt;N/A"),"")</f>
        <v/>
      </c>
    </row>
    <row r="101" spans="3:19" ht="14.25" customHeight="1" x14ac:dyDescent="0.45">
      <c r="C101" t="str">
        <f>IF(B101="","",VLOOKUP(B101,Roster!$A:$C,2,FALSE))</f>
        <v/>
      </c>
      <c r="D101" t="str">
        <f>IF(B101="","",VLOOKUP(B101,Roster!$A:$C,3,FALSE))</f>
        <v/>
      </c>
      <c r="I101" s="2"/>
      <c r="J101" s="3"/>
      <c r="K101" s="2" t="str">
        <f t="shared" si="6"/>
        <v/>
      </c>
      <c r="L101" t="str">
        <f t="shared" ca="1" si="7"/>
        <v/>
      </c>
      <c r="N101" s="2"/>
      <c r="Q101" s="2"/>
      <c r="S101" t="str">
        <f ca="1">IF(AND(B101&lt;&gt;"",ISNUMBER(L101),L101&gt;=-5,L101&lt;=10,M101&lt;&gt;"Complete",M101&lt;&gt;"N/A"),COUNTIFS(B$4:B101,"&lt;&gt;",L$4:L101,"&gt;=-5",L$4:L101,"&lt;=10",M$4:M101,"&lt;&gt;Complete",M$4:M101,"&lt;&gt;N/A"),"")</f>
        <v/>
      </c>
    </row>
    <row r="102" spans="3:19" ht="14.25" customHeight="1" x14ac:dyDescent="0.45">
      <c r="C102" t="str">
        <f>IF(B102="","",VLOOKUP(B102,Roster!$A:$C,2,FALSE))</f>
        <v/>
      </c>
      <c r="D102" t="str">
        <f>IF(B102="","",VLOOKUP(B102,Roster!$A:$C,3,FALSE))</f>
        <v/>
      </c>
      <c r="I102" s="2"/>
      <c r="J102" s="3"/>
      <c r="K102" s="2" t="str">
        <f t="shared" si="6"/>
        <v/>
      </c>
      <c r="L102" t="str">
        <f t="shared" ca="1" si="7"/>
        <v/>
      </c>
      <c r="N102" s="2"/>
      <c r="Q102" s="2"/>
      <c r="S102" t="str">
        <f ca="1">IF(AND(B102&lt;&gt;"",ISNUMBER(L102),L102&gt;=-5,L102&lt;=10,M102&lt;&gt;"Complete",M102&lt;&gt;"N/A"),COUNTIFS(B$4:B102,"&lt;&gt;",L$4:L102,"&gt;=-5",L$4:L102,"&lt;=10",M$4:M102,"&lt;&gt;Complete",M$4:M102,"&lt;&gt;N/A"),"")</f>
        <v/>
      </c>
    </row>
    <row r="103" spans="3:19" ht="14.25" customHeight="1" x14ac:dyDescent="0.45">
      <c r="C103" t="str">
        <f>IF(B103="","",VLOOKUP(B103,Roster!$A:$C,2,FALSE))</f>
        <v/>
      </c>
      <c r="D103" t="str">
        <f>IF(B103="","",VLOOKUP(B103,Roster!$A:$C,3,FALSE))</f>
        <v/>
      </c>
      <c r="I103" s="2"/>
      <c r="J103" s="3"/>
      <c r="K103" s="2" t="str">
        <f t="shared" si="6"/>
        <v/>
      </c>
      <c r="L103" t="str">
        <f t="shared" ca="1" si="7"/>
        <v/>
      </c>
      <c r="N103" s="2"/>
      <c r="Q103" s="2"/>
      <c r="S103" t="str">
        <f ca="1">IF(AND(B103&lt;&gt;"",ISNUMBER(L103),L103&gt;=-5,L103&lt;=10,M103&lt;&gt;"Complete",M103&lt;&gt;"N/A"),COUNTIFS(B$4:B103,"&lt;&gt;",L$4:L103,"&gt;=-5",L$4:L103,"&lt;=10",M$4:M103,"&lt;&gt;Complete",M$4:M103,"&lt;&gt;N/A"),"")</f>
        <v/>
      </c>
    </row>
    <row r="104" spans="3:19" ht="14.25" customHeight="1" x14ac:dyDescent="0.45">
      <c r="C104" t="str">
        <f>IF(B104="","",VLOOKUP(B104,Roster!$A:$C,2,FALSE))</f>
        <v/>
      </c>
      <c r="D104" t="str">
        <f>IF(B104="","",VLOOKUP(B104,Roster!$A:$C,3,FALSE))</f>
        <v/>
      </c>
      <c r="I104" s="2"/>
      <c r="J104" s="3"/>
      <c r="K104" s="2" t="str">
        <f t="shared" si="6"/>
        <v/>
      </c>
      <c r="L104" t="str">
        <f t="shared" ca="1" si="7"/>
        <v/>
      </c>
      <c r="N104" s="2"/>
      <c r="Q104" s="2"/>
      <c r="S104" t="str">
        <f ca="1">IF(AND(B104&lt;&gt;"",ISNUMBER(L104),L104&gt;=-5,L104&lt;=10,M104&lt;&gt;"Complete",M104&lt;&gt;"N/A"),COUNTIFS(B$4:B104,"&lt;&gt;",L$4:L104,"&gt;=-5",L$4:L104,"&lt;=10",M$4:M104,"&lt;&gt;Complete",M$4:M104,"&lt;&gt;N/A"),"")</f>
        <v/>
      </c>
    </row>
    <row r="105" spans="3:19" ht="14.25" customHeight="1" x14ac:dyDescent="0.45">
      <c r="C105" t="str">
        <f>IF(B105="","",VLOOKUP(B105,Roster!$A:$C,2,FALSE))</f>
        <v/>
      </c>
      <c r="D105" t="str">
        <f>IF(B105="","",VLOOKUP(B105,Roster!$A:$C,3,FALSE))</f>
        <v/>
      </c>
      <c r="I105" s="2"/>
      <c r="J105" s="3"/>
      <c r="K105" s="2" t="str">
        <f t="shared" si="6"/>
        <v/>
      </c>
      <c r="L105" t="str">
        <f t="shared" ca="1" si="7"/>
        <v/>
      </c>
      <c r="N105" s="2"/>
      <c r="Q105" s="2"/>
      <c r="S105" t="str">
        <f ca="1">IF(AND(B105&lt;&gt;"",ISNUMBER(L105),L105&gt;=-5,L105&lt;=10,M105&lt;&gt;"Complete",M105&lt;&gt;"N/A"),COUNTIFS(B$4:B105,"&lt;&gt;",L$4:L105,"&gt;=-5",L$4:L105,"&lt;=10",M$4:M105,"&lt;&gt;Complete",M$4:M105,"&lt;&gt;N/A"),"")</f>
        <v/>
      </c>
    </row>
    <row r="106" spans="3:19" ht="14.25" customHeight="1" x14ac:dyDescent="0.45">
      <c r="C106" t="str">
        <f>IF(B106="","",VLOOKUP(B106,Roster!$A:$C,2,FALSE))</f>
        <v/>
      </c>
      <c r="D106" t="str">
        <f>IF(B106="","",VLOOKUP(B106,Roster!$A:$C,3,FALSE))</f>
        <v/>
      </c>
      <c r="I106" s="2"/>
      <c r="J106" s="3"/>
      <c r="K106" s="2" t="str">
        <f t="shared" si="6"/>
        <v/>
      </c>
      <c r="L106" t="str">
        <f t="shared" ca="1" si="7"/>
        <v/>
      </c>
      <c r="N106" s="2"/>
      <c r="Q106" s="2"/>
      <c r="S106" t="str">
        <f ca="1">IF(AND(B106&lt;&gt;"",ISNUMBER(L106),L106&gt;=-5,L106&lt;=10,M106&lt;&gt;"Complete",M106&lt;&gt;"N/A"),COUNTIFS(B$4:B106,"&lt;&gt;",L$4:L106,"&gt;=-5",L$4:L106,"&lt;=10",M$4:M106,"&lt;&gt;Complete",M$4:M106,"&lt;&gt;N/A"),"")</f>
        <v/>
      </c>
    </row>
    <row r="107" spans="3:19" ht="14.25" customHeight="1" x14ac:dyDescent="0.45">
      <c r="C107" t="str">
        <f>IF(B107="","",VLOOKUP(B107,Roster!$A:$C,2,FALSE))</f>
        <v/>
      </c>
      <c r="D107" t="str">
        <f>IF(B107="","",VLOOKUP(B107,Roster!$A:$C,3,FALSE))</f>
        <v/>
      </c>
      <c r="I107" s="2"/>
      <c r="J107" s="3"/>
      <c r="K107" s="2" t="str">
        <f t="shared" si="6"/>
        <v/>
      </c>
      <c r="L107" t="str">
        <f t="shared" ca="1" si="7"/>
        <v/>
      </c>
      <c r="N107" s="2"/>
      <c r="Q107" s="2"/>
      <c r="S107" t="str">
        <f ca="1">IF(AND(B107&lt;&gt;"",ISNUMBER(L107),L107&gt;=-5,L107&lt;=10,M107&lt;&gt;"Complete",M107&lt;&gt;"N/A"),COUNTIFS(B$4:B107,"&lt;&gt;",L$4:L107,"&gt;=-5",L$4:L107,"&lt;=10",M$4:M107,"&lt;&gt;Complete",M$4:M107,"&lt;&gt;N/A"),"")</f>
        <v/>
      </c>
    </row>
    <row r="108" spans="3:19" ht="14.25" customHeight="1" x14ac:dyDescent="0.45">
      <c r="C108" t="str">
        <f>IF(B108="","",VLOOKUP(B108,Roster!$A:$C,2,FALSE))</f>
        <v/>
      </c>
      <c r="D108" t="str">
        <f>IF(B108="","",VLOOKUP(B108,Roster!$A:$C,3,FALSE))</f>
        <v/>
      </c>
      <c r="I108" s="2"/>
      <c r="J108" s="3"/>
      <c r="K108" s="2" t="str">
        <f t="shared" si="6"/>
        <v/>
      </c>
      <c r="L108" t="str">
        <f t="shared" ca="1" si="7"/>
        <v/>
      </c>
      <c r="N108" s="2"/>
      <c r="Q108" s="2"/>
      <c r="S108" t="str">
        <f ca="1">IF(AND(B108&lt;&gt;"",ISNUMBER(L108),L108&gt;=-5,L108&lt;=10,M108&lt;&gt;"Complete",M108&lt;&gt;"N/A"),COUNTIFS(B$4:B108,"&lt;&gt;",L$4:L108,"&gt;=-5",L$4:L108,"&lt;=10",M$4:M108,"&lt;&gt;Complete",M$4:M108,"&lt;&gt;N/A"),"")</f>
        <v/>
      </c>
    </row>
    <row r="109" spans="3:19" ht="14.25" customHeight="1" x14ac:dyDescent="0.45">
      <c r="C109" t="str">
        <f>IF(B109="","",VLOOKUP(B109,Roster!$A:$C,2,FALSE))</f>
        <v/>
      </c>
      <c r="D109" t="str">
        <f>IF(B109="","",VLOOKUP(B109,Roster!$A:$C,3,FALSE))</f>
        <v/>
      </c>
      <c r="I109" s="2"/>
      <c r="J109" s="3"/>
      <c r="K109" s="2" t="str">
        <f t="shared" si="6"/>
        <v/>
      </c>
      <c r="L109" t="str">
        <f t="shared" ca="1" si="7"/>
        <v/>
      </c>
      <c r="N109" s="2"/>
      <c r="Q109" s="2"/>
      <c r="S109" t="str">
        <f ca="1">IF(AND(B109&lt;&gt;"",ISNUMBER(L109),L109&gt;=-5,L109&lt;=10,M109&lt;&gt;"Complete",M109&lt;&gt;"N/A"),COUNTIFS(B$4:B109,"&lt;&gt;",L$4:L109,"&gt;=-5",L$4:L109,"&lt;=10",M$4:M109,"&lt;&gt;Complete",M$4:M109,"&lt;&gt;N/A"),"")</f>
        <v/>
      </c>
    </row>
    <row r="110" spans="3:19" ht="14.25" customHeight="1" x14ac:dyDescent="0.45">
      <c r="C110" t="str">
        <f>IF(B110="","",VLOOKUP(B110,Roster!$A:$C,2,FALSE))</f>
        <v/>
      </c>
      <c r="D110" t="str">
        <f>IF(B110="","",VLOOKUP(B110,Roster!$A:$C,3,FALSE))</f>
        <v/>
      </c>
      <c r="I110" s="2"/>
      <c r="J110" s="3"/>
      <c r="K110" s="2" t="str">
        <f t="shared" si="6"/>
        <v/>
      </c>
      <c r="L110" t="str">
        <f t="shared" ca="1" si="7"/>
        <v/>
      </c>
      <c r="N110" s="2"/>
      <c r="Q110" s="2"/>
      <c r="S110" t="str">
        <f ca="1">IF(AND(B110&lt;&gt;"",ISNUMBER(L110),L110&gt;=-5,L110&lt;=10,M110&lt;&gt;"Complete",M110&lt;&gt;"N/A"),COUNTIFS(B$4:B110,"&lt;&gt;",L$4:L110,"&gt;=-5",L$4:L110,"&lt;=10",M$4:M110,"&lt;&gt;Complete",M$4:M110,"&lt;&gt;N/A"),"")</f>
        <v/>
      </c>
    </row>
    <row r="111" spans="3:19" ht="14.25" customHeight="1" x14ac:dyDescent="0.45">
      <c r="C111" t="str">
        <f>IF(B111="","",VLOOKUP(B111,Roster!$A:$C,2,FALSE))</f>
        <v/>
      </c>
      <c r="D111" t="str">
        <f>IF(B111="","",VLOOKUP(B111,Roster!$A:$C,3,FALSE))</f>
        <v/>
      </c>
      <c r="I111" s="2"/>
      <c r="J111" s="3"/>
      <c r="K111" s="2" t="str">
        <f t="shared" si="6"/>
        <v/>
      </c>
      <c r="L111" t="str">
        <f t="shared" ca="1" si="7"/>
        <v/>
      </c>
      <c r="N111" s="2"/>
      <c r="Q111" s="2"/>
      <c r="S111" t="str">
        <f ca="1">IF(AND(B111&lt;&gt;"",ISNUMBER(L111),L111&gt;=-5,L111&lt;=10,M111&lt;&gt;"Complete",M111&lt;&gt;"N/A"),COUNTIFS(B$4:B111,"&lt;&gt;",L$4:L111,"&gt;=-5",L$4:L111,"&lt;=10",M$4:M111,"&lt;&gt;Complete",M$4:M111,"&lt;&gt;N/A"),"")</f>
        <v/>
      </c>
    </row>
    <row r="112" spans="3:19" ht="14.25" customHeight="1" x14ac:dyDescent="0.45">
      <c r="C112" t="str">
        <f>IF(B112="","",VLOOKUP(B112,Roster!$A:$C,2,FALSE))</f>
        <v/>
      </c>
      <c r="D112" t="str">
        <f>IF(B112="","",VLOOKUP(B112,Roster!$A:$C,3,FALSE))</f>
        <v/>
      </c>
      <c r="I112" s="2"/>
      <c r="J112" s="3"/>
      <c r="K112" s="2" t="str">
        <f t="shared" si="6"/>
        <v/>
      </c>
      <c r="L112" t="str">
        <f t="shared" ca="1" si="7"/>
        <v/>
      </c>
      <c r="N112" s="2"/>
      <c r="Q112" s="2"/>
      <c r="S112" t="str">
        <f ca="1">IF(AND(B112&lt;&gt;"",ISNUMBER(L112),L112&gt;=-5,L112&lt;=10,M112&lt;&gt;"Complete",M112&lt;&gt;"N/A"),COUNTIFS(B$4:B112,"&lt;&gt;",L$4:L112,"&gt;=-5",L$4:L112,"&lt;=10",M$4:M112,"&lt;&gt;Complete",M$4:M112,"&lt;&gt;N/A"),"")</f>
        <v/>
      </c>
    </row>
    <row r="113" spans="3:19" ht="14.25" customHeight="1" x14ac:dyDescent="0.45">
      <c r="C113" t="str">
        <f>IF(B113="","",VLOOKUP(B113,Roster!$A:$C,2,FALSE))</f>
        <v/>
      </c>
      <c r="D113" t="str">
        <f>IF(B113="","",VLOOKUP(B113,Roster!$A:$C,3,FALSE))</f>
        <v/>
      </c>
      <c r="I113" s="2"/>
      <c r="J113" s="3"/>
      <c r="K113" s="2" t="str">
        <f t="shared" si="6"/>
        <v/>
      </c>
      <c r="L113" t="str">
        <f t="shared" ca="1" si="7"/>
        <v/>
      </c>
      <c r="N113" s="2"/>
      <c r="Q113" s="2"/>
      <c r="S113" t="str">
        <f ca="1">IF(AND(B113&lt;&gt;"",ISNUMBER(L113),L113&gt;=-5,L113&lt;=10,M113&lt;&gt;"Complete",M113&lt;&gt;"N/A"),COUNTIFS(B$4:B113,"&lt;&gt;",L$4:L113,"&gt;=-5",L$4:L113,"&lt;=10",M$4:M113,"&lt;&gt;Complete",M$4:M113,"&lt;&gt;N/A"),"")</f>
        <v/>
      </c>
    </row>
    <row r="114" spans="3:19" ht="14.25" customHeight="1" x14ac:dyDescent="0.45">
      <c r="C114" t="str">
        <f>IF(B114="","",VLOOKUP(B114,Roster!$A:$C,2,FALSE))</f>
        <v/>
      </c>
      <c r="D114" t="str">
        <f>IF(B114="","",VLOOKUP(B114,Roster!$A:$C,3,FALSE))</f>
        <v/>
      </c>
      <c r="I114" s="2"/>
      <c r="J114" s="3"/>
      <c r="K114" s="2" t="str">
        <f t="shared" si="6"/>
        <v/>
      </c>
      <c r="L114" t="str">
        <f t="shared" ca="1" si="7"/>
        <v/>
      </c>
      <c r="N114" s="2"/>
      <c r="Q114" s="2"/>
      <c r="S114" t="str">
        <f ca="1">IF(AND(B114&lt;&gt;"",ISNUMBER(L114),L114&gt;=-5,L114&lt;=10,M114&lt;&gt;"Complete",M114&lt;&gt;"N/A"),COUNTIFS(B$4:B114,"&lt;&gt;",L$4:L114,"&gt;=-5",L$4:L114,"&lt;=10",M$4:M114,"&lt;&gt;Complete",M$4:M114,"&lt;&gt;N/A"),"")</f>
        <v/>
      </c>
    </row>
    <row r="115" spans="3:19" ht="14.25" customHeight="1" x14ac:dyDescent="0.45">
      <c r="C115" t="str">
        <f>IF(B115="","",VLOOKUP(B115,Roster!$A:$C,2,FALSE))</f>
        <v/>
      </c>
      <c r="D115" t="str">
        <f>IF(B115="","",VLOOKUP(B115,Roster!$A:$C,3,FALSE))</f>
        <v/>
      </c>
      <c r="I115" s="2"/>
      <c r="J115" s="3"/>
      <c r="K115" s="2" t="str">
        <f t="shared" si="6"/>
        <v/>
      </c>
      <c r="L115" t="str">
        <f t="shared" ca="1" si="7"/>
        <v/>
      </c>
      <c r="N115" s="2"/>
      <c r="Q115" s="2"/>
      <c r="S115" t="str">
        <f ca="1">IF(AND(B115&lt;&gt;"",ISNUMBER(L115),L115&gt;=-5,L115&lt;=10,M115&lt;&gt;"Complete",M115&lt;&gt;"N/A"),COUNTIFS(B$4:B115,"&lt;&gt;",L$4:L115,"&gt;=-5",L$4:L115,"&lt;=10",M$4:M115,"&lt;&gt;Complete",M$4:M115,"&lt;&gt;N/A"),"")</f>
        <v/>
      </c>
    </row>
    <row r="116" spans="3:19" ht="14.25" customHeight="1" x14ac:dyDescent="0.45">
      <c r="C116" t="str">
        <f>IF(B116="","",VLOOKUP(B116,Roster!$A:$C,2,FALSE))</f>
        <v/>
      </c>
      <c r="D116" t="str">
        <f>IF(B116="","",VLOOKUP(B116,Roster!$A:$C,3,FALSE))</f>
        <v/>
      </c>
      <c r="I116" s="2"/>
      <c r="J116" s="3"/>
      <c r="K116" s="2" t="str">
        <f t="shared" si="6"/>
        <v/>
      </c>
      <c r="L116" t="str">
        <f t="shared" ca="1" si="7"/>
        <v/>
      </c>
      <c r="N116" s="2"/>
      <c r="Q116" s="2"/>
      <c r="S116" t="str">
        <f ca="1">IF(AND(B116&lt;&gt;"",ISNUMBER(L116),L116&gt;=-5,L116&lt;=10,M116&lt;&gt;"Complete",M116&lt;&gt;"N/A"),COUNTIFS(B$4:B116,"&lt;&gt;",L$4:L116,"&gt;=-5",L$4:L116,"&lt;=10",M$4:M116,"&lt;&gt;Complete",M$4:M116,"&lt;&gt;N/A"),"")</f>
        <v/>
      </c>
    </row>
    <row r="117" spans="3:19" ht="14.25" customHeight="1" x14ac:dyDescent="0.45">
      <c r="C117" t="str">
        <f>IF(B117="","",VLOOKUP(B117,Roster!$A:$C,2,FALSE))</f>
        <v/>
      </c>
      <c r="D117" t="str">
        <f>IF(B117="","",VLOOKUP(B117,Roster!$A:$C,3,FALSE))</f>
        <v/>
      </c>
      <c r="I117" s="2"/>
      <c r="J117" s="3"/>
      <c r="K117" s="2" t="str">
        <f t="shared" si="6"/>
        <v/>
      </c>
      <c r="L117" t="str">
        <f t="shared" ca="1" si="7"/>
        <v/>
      </c>
      <c r="N117" s="2"/>
      <c r="Q117" s="2"/>
      <c r="S117" t="str">
        <f ca="1">IF(AND(B117&lt;&gt;"",ISNUMBER(L117),L117&gt;=-5,L117&lt;=10,M117&lt;&gt;"Complete",M117&lt;&gt;"N/A"),COUNTIFS(B$4:B117,"&lt;&gt;",L$4:L117,"&gt;=-5",L$4:L117,"&lt;=10",M$4:M117,"&lt;&gt;Complete",M$4:M117,"&lt;&gt;N/A"),"")</f>
        <v/>
      </c>
    </row>
    <row r="118" spans="3:19" ht="14.25" customHeight="1" x14ac:dyDescent="0.45">
      <c r="C118" t="str">
        <f>IF(B118="","",VLOOKUP(B118,Roster!$A:$C,2,FALSE))</f>
        <v/>
      </c>
      <c r="D118" t="str">
        <f>IF(B118="","",VLOOKUP(B118,Roster!$A:$C,3,FALSE))</f>
        <v/>
      </c>
      <c r="I118" s="2"/>
      <c r="J118" s="3"/>
      <c r="K118" s="2" t="str">
        <f t="shared" si="6"/>
        <v/>
      </c>
      <c r="L118" t="str">
        <f t="shared" ca="1" si="7"/>
        <v/>
      </c>
      <c r="N118" s="2"/>
      <c r="Q118" s="2"/>
      <c r="S118" t="str">
        <f ca="1">IF(AND(B118&lt;&gt;"",ISNUMBER(L118),L118&gt;=-5,L118&lt;=10,M118&lt;&gt;"Complete",M118&lt;&gt;"N/A"),COUNTIFS(B$4:B118,"&lt;&gt;",L$4:L118,"&gt;=-5",L$4:L118,"&lt;=10",M$4:M118,"&lt;&gt;Complete",M$4:M118,"&lt;&gt;N/A"),"")</f>
        <v/>
      </c>
    </row>
    <row r="119" spans="3:19" ht="14.25" customHeight="1" x14ac:dyDescent="0.45">
      <c r="C119" t="str">
        <f>IF(B119="","",VLOOKUP(B119,Roster!$A:$C,2,FALSE))</f>
        <v/>
      </c>
      <c r="D119" t="str">
        <f>IF(B119="","",VLOOKUP(B119,Roster!$A:$C,3,FALSE))</f>
        <v/>
      </c>
      <c r="I119" s="2"/>
      <c r="J119" s="3"/>
      <c r="K119" s="2" t="str">
        <f t="shared" si="6"/>
        <v/>
      </c>
      <c r="L119" t="str">
        <f t="shared" ca="1" si="7"/>
        <v/>
      </c>
      <c r="N119" s="2"/>
      <c r="Q119" s="2"/>
      <c r="S119" t="str">
        <f ca="1">IF(AND(B119&lt;&gt;"",ISNUMBER(L119),L119&gt;=-5,L119&lt;=10,M119&lt;&gt;"Complete",M119&lt;&gt;"N/A"),COUNTIFS(B$4:B119,"&lt;&gt;",L$4:L119,"&gt;=-5",L$4:L119,"&lt;=10",M$4:M119,"&lt;&gt;Complete",M$4:M119,"&lt;&gt;N/A"),"")</f>
        <v/>
      </c>
    </row>
    <row r="120" spans="3:19" ht="14.25" customHeight="1" x14ac:dyDescent="0.45">
      <c r="C120" t="str">
        <f>IF(B120="","",VLOOKUP(B120,Roster!$A:$C,2,FALSE))</f>
        <v/>
      </c>
      <c r="D120" t="str">
        <f>IF(B120="","",VLOOKUP(B120,Roster!$A:$C,3,FALSE))</f>
        <v/>
      </c>
      <c r="I120" s="2"/>
      <c r="J120" s="3"/>
      <c r="K120" s="2" t="str">
        <f t="shared" si="6"/>
        <v/>
      </c>
      <c r="L120" t="str">
        <f t="shared" ca="1" si="7"/>
        <v/>
      </c>
      <c r="N120" s="2"/>
      <c r="Q120" s="2"/>
      <c r="S120" t="str">
        <f ca="1">IF(AND(B120&lt;&gt;"",ISNUMBER(L120),L120&gt;=-5,L120&lt;=10,M120&lt;&gt;"Complete",M120&lt;&gt;"N/A"),COUNTIFS(B$4:B120,"&lt;&gt;",L$4:L120,"&gt;=-5",L$4:L120,"&lt;=10",M$4:M120,"&lt;&gt;Complete",M$4:M120,"&lt;&gt;N/A"),"")</f>
        <v/>
      </c>
    </row>
    <row r="121" spans="3:19" ht="14.25" customHeight="1" x14ac:dyDescent="0.45">
      <c r="C121" t="str">
        <f>IF(B121="","",VLOOKUP(B121,Roster!$A:$C,2,FALSE))</f>
        <v/>
      </c>
      <c r="D121" t="str">
        <f>IF(B121="","",VLOOKUP(B121,Roster!$A:$C,3,FALSE))</f>
        <v/>
      </c>
      <c r="I121" s="2"/>
      <c r="J121" s="3"/>
      <c r="K121" s="2" t="str">
        <f t="shared" si="6"/>
        <v/>
      </c>
      <c r="L121" t="str">
        <f t="shared" ca="1" si="7"/>
        <v/>
      </c>
      <c r="N121" s="2"/>
      <c r="Q121" s="2"/>
      <c r="S121" t="str">
        <f ca="1">IF(AND(B121&lt;&gt;"",ISNUMBER(L121),L121&gt;=-5,L121&lt;=10,M121&lt;&gt;"Complete",M121&lt;&gt;"N/A"),COUNTIFS(B$4:B121,"&lt;&gt;",L$4:L121,"&gt;=-5",L$4:L121,"&lt;=10",M$4:M121,"&lt;&gt;Complete",M$4:M121,"&lt;&gt;N/A"),"")</f>
        <v/>
      </c>
    </row>
    <row r="122" spans="3:19" ht="14.25" customHeight="1" x14ac:dyDescent="0.45">
      <c r="C122" t="str">
        <f>IF(B122="","",VLOOKUP(B122,Roster!$A:$C,2,FALSE))</f>
        <v/>
      </c>
      <c r="D122" t="str">
        <f>IF(B122="","",VLOOKUP(B122,Roster!$A:$C,3,FALSE))</f>
        <v/>
      </c>
      <c r="I122" s="2"/>
      <c r="J122" s="3"/>
      <c r="K122" s="2" t="str">
        <f t="shared" si="6"/>
        <v/>
      </c>
      <c r="L122" t="str">
        <f t="shared" ca="1" si="7"/>
        <v/>
      </c>
      <c r="N122" s="2"/>
      <c r="Q122" s="2"/>
      <c r="S122" t="str">
        <f ca="1">IF(AND(B122&lt;&gt;"",ISNUMBER(L122),L122&gt;=-5,L122&lt;=10,M122&lt;&gt;"Complete",M122&lt;&gt;"N/A"),COUNTIFS(B$4:B122,"&lt;&gt;",L$4:L122,"&gt;=-5",L$4:L122,"&lt;=10",M$4:M122,"&lt;&gt;Complete",M$4:M122,"&lt;&gt;N/A"),"")</f>
        <v/>
      </c>
    </row>
    <row r="123" spans="3:19" ht="14.25" customHeight="1" x14ac:dyDescent="0.45">
      <c r="C123" t="str">
        <f>IF(B123="","",VLOOKUP(B123,Roster!$A:$C,2,FALSE))</f>
        <v/>
      </c>
      <c r="D123" t="str">
        <f>IF(B123="","",VLOOKUP(B123,Roster!$A:$C,3,FALSE))</f>
        <v/>
      </c>
      <c r="I123" s="2"/>
      <c r="J123" s="3"/>
      <c r="K123" s="2" t="str">
        <f t="shared" si="6"/>
        <v/>
      </c>
      <c r="L123" t="str">
        <f t="shared" ca="1" si="7"/>
        <v/>
      </c>
      <c r="N123" s="2"/>
      <c r="Q123" s="2"/>
      <c r="S123" t="str">
        <f ca="1">IF(AND(B123&lt;&gt;"",ISNUMBER(L123),L123&gt;=-5,L123&lt;=10,M123&lt;&gt;"Complete",M123&lt;&gt;"N/A"),COUNTIFS(B$4:B123,"&lt;&gt;",L$4:L123,"&gt;=-5",L$4:L123,"&lt;=10",M$4:M123,"&lt;&gt;Complete",M$4:M123,"&lt;&gt;N/A"),"")</f>
        <v/>
      </c>
    </row>
    <row r="124" spans="3:19" ht="14.25" customHeight="1" x14ac:dyDescent="0.45">
      <c r="C124" t="str">
        <f>IF(B124="","",VLOOKUP(B124,Roster!$A:$C,2,FALSE))</f>
        <v/>
      </c>
      <c r="D124" t="str">
        <f>IF(B124="","",VLOOKUP(B124,Roster!$A:$C,3,FALSE))</f>
        <v/>
      </c>
      <c r="I124" s="2"/>
      <c r="J124" s="3"/>
      <c r="K124" s="2" t="str">
        <f t="shared" si="6"/>
        <v/>
      </c>
      <c r="L124" t="str">
        <f t="shared" ca="1" si="7"/>
        <v/>
      </c>
      <c r="N124" s="2"/>
      <c r="Q124" s="2"/>
      <c r="S124" t="str">
        <f ca="1">IF(AND(B124&lt;&gt;"",ISNUMBER(L124),L124&gt;=-5,L124&lt;=10,M124&lt;&gt;"Complete",M124&lt;&gt;"N/A"),COUNTIFS(B$4:B124,"&lt;&gt;",L$4:L124,"&gt;=-5",L$4:L124,"&lt;=10",M$4:M124,"&lt;&gt;Complete",M$4:M124,"&lt;&gt;N/A"),"")</f>
        <v/>
      </c>
    </row>
    <row r="125" spans="3:19" ht="14.25" customHeight="1" x14ac:dyDescent="0.45">
      <c r="C125" t="str">
        <f>IF(B125="","",VLOOKUP(B125,Roster!$A:$C,2,FALSE))</f>
        <v/>
      </c>
      <c r="D125" t="str">
        <f>IF(B125="","",VLOOKUP(B125,Roster!$A:$C,3,FALSE))</f>
        <v/>
      </c>
      <c r="I125" s="2"/>
      <c r="J125" s="3"/>
      <c r="K125" s="2" t="str">
        <f t="shared" si="6"/>
        <v/>
      </c>
      <c r="L125" t="str">
        <f t="shared" ca="1" si="7"/>
        <v/>
      </c>
      <c r="N125" s="2"/>
      <c r="Q125" s="2"/>
      <c r="S125" t="str">
        <f ca="1">IF(AND(B125&lt;&gt;"",ISNUMBER(L125),L125&gt;=-5,L125&lt;=10,M125&lt;&gt;"Complete",M125&lt;&gt;"N/A"),COUNTIFS(B$4:B125,"&lt;&gt;",L$4:L125,"&gt;=-5",L$4:L125,"&lt;=10",M$4:M125,"&lt;&gt;Complete",M$4:M125,"&lt;&gt;N/A"),"")</f>
        <v/>
      </c>
    </row>
    <row r="126" spans="3:19" ht="14.25" customHeight="1" x14ac:dyDescent="0.45">
      <c r="C126" t="str">
        <f>IF(B126="","",VLOOKUP(B126,Roster!$A:$C,2,FALSE))</f>
        <v/>
      </c>
      <c r="D126" t="str">
        <f>IF(B126="","",VLOOKUP(B126,Roster!$A:$C,3,FALSE))</f>
        <v/>
      </c>
      <c r="I126" s="2"/>
      <c r="J126" s="3"/>
      <c r="K126" s="2" t="str">
        <f t="shared" si="6"/>
        <v/>
      </c>
      <c r="L126" t="str">
        <f t="shared" ca="1" si="7"/>
        <v/>
      </c>
      <c r="N126" s="2"/>
      <c r="Q126" s="2"/>
      <c r="S126" t="str">
        <f ca="1">IF(AND(B126&lt;&gt;"",ISNUMBER(L126),L126&gt;=-5,L126&lt;=10,M126&lt;&gt;"Complete",M126&lt;&gt;"N/A"),COUNTIFS(B$4:B126,"&lt;&gt;",L$4:L126,"&gt;=-5",L$4:L126,"&lt;=10",M$4:M126,"&lt;&gt;Complete",M$4:M126,"&lt;&gt;N/A"),"")</f>
        <v/>
      </c>
    </row>
    <row r="127" spans="3:19" ht="14.25" customHeight="1" x14ac:dyDescent="0.45">
      <c r="C127" t="str">
        <f>IF(B127="","",VLOOKUP(B127,Roster!$A:$C,2,FALSE))</f>
        <v/>
      </c>
      <c r="D127" t="str">
        <f>IF(B127="","",VLOOKUP(B127,Roster!$A:$C,3,FALSE))</f>
        <v/>
      </c>
      <c r="I127" s="2"/>
      <c r="J127" s="3"/>
      <c r="K127" s="2" t="str">
        <f t="shared" si="6"/>
        <v/>
      </c>
      <c r="L127" t="str">
        <f t="shared" ca="1" si="7"/>
        <v/>
      </c>
      <c r="N127" s="2"/>
      <c r="Q127" s="2"/>
      <c r="S127" t="str">
        <f ca="1">IF(AND(B127&lt;&gt;"",ISNUMBER(L127),L127&gt;=-5,L127&lt;=10,M127&lt;&gt;"Complete",M127&lt;&gt;"N/A"),COUNTIFS(B$4:B127,"&lt;&gt;",L$4:L127,"&gt;=-5",L$4:L127,"&lt;=10",M$4:M127,"&lt;&gt;Complete",M$4:M127,"&lt;&gt;N/A"),"")</f>
        <v/>
      </c>
    </row>
    <row r="128" spans="3:19" ht="14.25" customHeight="1" x14ac:dyDescent="0.45">
      <c r="C128" t="str">
        <f>IF(B128="","",VLOOKUP(B128,Roster!$A:$C,2,FALSE))</f>
        <v/>
      </c>
      <c r="D128" t="str">
        <f>IF(B128="","",VLOOKUP(B128,Roster!$A:$C,3,FALSE))</f>
        <v/>
      </c>
      <c r="I128" s="2"/>
      <c r="J128" s="3"/>
      <c r="K128" s="2" t="str">
        <f t="shared" si="6"/>
        <v/>
      </c>
      <c r="L128" t="str">
        <f t="shared" ca="1" si="7"/>
        <v/>
      </c>
      <c r="N128" s="2"/>
      <c r="Q128" s="2"/>
      <c r="S128" t="str">
        <f ca="1">IF(AND(B128&lt;&gt;"",ISNUMBER(L128),L128&gt;=-5,L128&lt;=10,M128&lt;&gt;"Complete",M128&lt;&gt;"N/A"),COUNTIFS(B$4:B128,"&lt;&gt;",L$4:L128,"&gt;=-5",L$4:L128,"&lt;=10",M$4:M128,"&lt;&gt;Complete",M$4:M128,"&lt;&gt;N/A"),"")</f>
        <v/>
      </c>
    </row>
    <row r="129" spans="3:19" ht="14.25" customHeight="1" x14ac:dyDescent="0.45">
      <c r="C129" t="str">
        <f>IF(B129="","",VLOOKUP(B129,Roster!$A:$C,2,FALSE))</f>
        <v/>
      </c>
      <c r="D129" t="str">
        <f>IF(B129="","",VLOOKUP(B129,Roster!$A:$C,3,FALSE))</f>
        <v/>
      </c>
      <c r="I129" s="2"/>
      <c r="J129" s="3"/>
      <c r="K129" s="2" t="str">
        <f t="shared" si="6"/>
        <v/>
      </c>
      <c r="L129" t="str">
        <f t="shared" ca="1" si="7"/>
        <v/>
      </c>
      <c r="N129" s="2"/>
      <c r="Q129" s="2"/>
      <c r="S129" t="str">
        <f ca="1">IF(AND(B129&lt;&gt;"",ISNUMBER(L129),L129&gt;=-5,L129&lt;=10,M129&lt;&gt;"Complete",M129&lt;&gt;"N/A"),COUNTIFS(B$4:B129,"&lt;&gt;",L$4:L129,"&gt;=-5",L$4:L129,"&lt;=10",M$4:M129,"&lt;&gt;Complete",M$4:M129,"&lt;&gt;N/A"),"")</f>
        <v/>
      </c>
    </row>
    <row r="130" spans="3:19" ht="14.25" customHeight="1" x14ac:dyDescent="0.45">
      <c r="C130" t="str">
        <f>IF(B130="","",VLOOKUP(B130,Roster!$A:$C,2,FALSE))</f>
        <v/>
      </c>
      <c r="D130" t="str">
        <f>IF(B130="","",VLOOKUP(B130,Roster!$A:$C,3,FALSE))</f>
        <v/>
      </c>
      <c r="I130" s="2"/>
      <c r="J130" s="3"/>
      <c r="K130" s="2" t="str">
        <f t="shared" si="6"/>
        <v/>
      </c>
      <c r="L130" t="str">
        <f t="shared" ca="1" si="7"/>
        <v/>
      </c>
      <c r="N130" s="2"/>
      <c r="Q130" s="2"/>
      <c r="S130" t="str">
        <f ca="1">IF(AND(B130&lt;&gt;"",ISNUMBER(L130),L130&gt;=-5,L130&lt;=10,M130&lt;&gt;"Complete",M130&lt;&gt;"N/A"),COUNTIFS(B$4:B130,"&lt;&gt;",L$4:L130,"&gt;=-5",L$4:L130,"&lt;=10",M$4:M130,"&lt;&gt;Complete",M$4:M130,"&lt;&gt;N/A"),"")</f>
        <v/>
      </c>
    </row>
    <row r="131" spans="3:19" ht="14.25" customHeight="1" x14ac:dyDescent="0.45">
      <c r="C131" t="str">
        <f>IF(B131="","",VLOOKUP(B131,Roster!$A:$C,2,FALSE))</f>
        <v/>
      </c>
      <c r="D131" t="str">
        <f>IF(B131="","",VLOOKUP(B131,Roster!$A:$C,3,FALSE))</f>
        <v/>
      </c>
      <c r="I131" s="2"/>
      <c r="J131" s="3"/>
      <c r="K131" s="2" t="str">
        <f t="shared" si="6"/>
        <v/>
      </c>
      <c r="L131" t="str">
        <f t="shared" ca="1" si="7"/>
        <v/>
      </c>
      <c r="N131" s="2"/>
      <c r="Q131" s="2"/>
      <c r="S131" t="str">
        <f ca="1">IF(AND(B131&lt;&gt;"",ISNUMBER(L131),L131&gt;=-5,L131&lt;=10,M131&lt;&gt;"Complete",M131&lt;&gt;"N/A"),COUNTIFS(B$4:B131,"&lt;&gt;",L$4:L131,"&gt;=-5",L$4:L131,"&lt;=10",M$4:M131,"&lt;&gt;Complete",M$4:M131,"&lt;&gt;N/A"),"")</f>
        <v/>
      </c>
    </row>
    <row r="132" spans="3:19" ht="14.25" customHeight="1" x14ac:dyDescent="0.45">
      <c r="C132" t="str">
        <f>IF(B132="","",VLOOKUP(B132,Roster!$A:$C,2,FALSE))</f>
        <v/>
      </c>
      <c r="D132" t="str">
        <f>IF(B132="","",VLOOKUP(B132,Roster!$A:$C,3,FALSE))</f>
        <v/>
      </c>
      <c r="I132" s="2"/>
      <c r="J132" s="3"/>
      <c r="K132" s="2" t="str">
        <f t="shared" ref="K132:K163" si="8">IF(OR(I132="",J132=""),"",I132+ROUND(J132*7/5,0))</f>
        <v/>
      </c>
      <c r="L132" t="str">
        <f t="shared" ref="L132:L163" ca="1" si="9">IF(K132="","",IF(M132="Complete","N/A — Completed",K132-TODAY()))</f>
        <v/>
      </c>
      <c r="N132" s="2"/>
      <c r="Q132" s="2"/>
      <c r="S132" t="str">
        <f ca="1">IF(AND(B132&lt;&gt;"",ISNUMBER(L132),L132&gt;=-5,L132&lt;=10,M132&lt;&gt;"Complete",M132&lt;&gt;"N/A"),COUNTIFS(B$4:B132,"&lt;&gt;",L$4:L132,"&gt;=-5",L$4:L132,"&lt;=10",M$4:M132,"&lt;&gt;Complete",M$4:M132,"&lt;&gt;N/A"),"")</f>
        <v/>
      </c>
    </row>
    <row r="133" spans="3:19" ht="14.25" customHeight="1" x14ac:dyDescent="0.45">
      <c r="C133" t="str">
        <f>IF(B133="","",VLOOKUP(B133,Roster!$A:$C,2,FALSE))</f>
        <v/>
      </c>
      <c r="D133" t="str">
        <f>IF(B133="","",VLOOKUP(B133,Roster!$A:$C,3,FALSE))</f>
        <v/>
      </c>
      <c r="I133" s="2"/>
      <c r="J133" s="3"/>
      <c r="K133" s="2" t="str">
        <f t="shared" si="8"/>
        <v/>
      </c>
      <c r="L133" t="str">
        <f t="shared" ca="1" si="9"/>
        <v/>
      </c>
      <c r="N133" s="2"/>
      <c r="Q133" s="2"/>
      <c r="S133" t="str">
        <f ca="1">IF(AND(B133&lt;&gt;"",ISNUMBER(L133),L133&gt;=-5,L133&lt;=10,M133&lt;&gt;"Complete",M133&lt;&gt;"N/A"),COUNTIFS(B$4:B133,"&lt;&gt;",L$4:L133,"&gt;=-5",L$4:L133,"&lt;=10",M$4:M133,"&lt;&gt;Complete",M$4:M133,"&lt;&gt;N/A"),"")</f>
        <v/>
      </c>
    </row>
    <row r="134" spans="3:19" ht="14.25" customHeight="1" x14ac:dyDescent="0.45">
      <c r="C134" t="str">
        <f>IF(B134="","",VLOOKUP(B134,Roster!$A:$C,2,FALSE))</f>
        <v/>
      </c>
      <c r="D134" t="str">
        <f>IF(B134="","",VLOOKUP(B134,Roster!$A:$C,3,FALSE))</f>
        <v/>
      </c>
      <c r="I134" s="2"/>
      <c r="J134" s="3"/>
      <c r="K134" s="2" t="str">
        <f t="shared" si="8"/>
        <v/>
      </c>
      <c r="L134" t="str">
        <f t="shared" ca="1" si="9"/>
        <v/>
      </c>
      <c r="N134" s="2"/>
      <c r="Q134" s="2"/>
      <c r="S134" t="str">
        <f ca="1">IF(AND(B134&lt;&gt;"",ISNUMBER(L134),L134&gt;=-5,L134&lt;=10,M134&lt;&gt;"Complete",M134&lt;&gt;"N/A"),COUNTIFS(B$4:B134,"&lt;&gt;",L$4:L134,"&gt;=-5",L$4:L134,"&lt;=10",M$4:M134,"&lt;&gt;Complete",M$4:M134,"&lt;&gt;N/A"),"")</f>
        <v/>
      </c>
    </row>
    <row r="135" spans="3:19" ht="14.25" customHeight="1" x14ac:dyDescent="0.45">
      <c r="C135" t="str">
        <f>IF(B135="","",VLOOKUP(B135,Roster!$A:$C,2,FALSE))</f>
        <v/>
      </c>
      <c r="D135" t="str">
        <f>IF(B135="","",VLOOKUP(B135,Roster!$A:$C,3,FALSE))</f>
        <v/>
      </c>
      <c r="I135" s="2"/>
      <c r="J135" s="3"/>
      <c r="K135" s="2" t="str">
        <f t="shared" si="8"/>
        <v/>
      </c>
      <c r="L135" t="str">
        <f t="shared" ca="1" si="9"/>
        <v/>
      </c>
      <c r="N135" s="2"/>
      <c r="Q135" s="2"/>
      <c r="S135" t="str">
        <f ca="1">IF(AND(B135&lt;&gt;"",ISNUMBER(L135),L135&gt;=-5,L135&lt;=10,M135&lt;&gt;"Complete",M135&lt;&gt;"N/A"),COUNTIFS(B$4:B135,"&lt;&gt;",L$4:L135,"&gt;=-5",L$4:L135,"&lt;=10",M$4:M135,"&lt;&gt;Complete",M$4:M135,"&lt;&gt;N/A"),"")</f>
        <v/>
      </c>
    </row>
    <row r="136" spans="3:19" ht="14.25" customHeight="1" x14ac:dyDescent="0.45">
      <c r="C136" t="str">
        <f>IF(B136="","",VLOOKUP(B136,Roster!$A:$C,2,FALSE))</f>
        <v/>
      </c>
      <c r="D136" t="str">
        <f>IF(B136="","",VLOOKUP(B136,Roster!$A:$C,3,FALSE))</f>
        <v/>
      </c>
      <c r="I136" s="2"/>
      <c r="J136" s="3"/>
      <c r="K136" s="2" t="str">
        <f t="shared" si="8"/>
        <v/>
      </c>
      <c r="L136" t="str">
        <f t="shared" ca="1" si="9"/>
        <v/>
      </c>
      <c r="N136" s="2"/>
      <c r="Q136" s="2"/>
      <c r="S136" t="str">
        <f ca="1">IF(AND(B136&lt;&gt;"",ISNUMBER(L136),L136&gt;=-5,L136&lt;=10,M136&lt;&gt;"Complete",M136&lt;&gt;"N/A"),COUNTIFS(B$4:B136,"&lt;&gt;",L$4:L136,"&gt;=-5",L$4:L136,"&lt;=10",M$4:M136,"&lt;&gt;Complete",M$4:M136,"&lt;&gt;N/A"),"")</f>
        <v/>
      </c>
    </row>
    <row r="137" spans="3:19" ht="14.25" customHeight="1" x14ac:dyDescent="0.45">
      <c r="C137" t="str">
        <f>IF(B137="","",VLOOKUP(B137,Roster!$A:$C,2,FALSE))</f>
        <v/>
      </c>
      <c r="D137" t="str">
        <f>IF(B137="","",VLOOKUP(B137,Roster!$A:$C,3,FALSE))</f>
        <v/>
      </c>
      <c r="I137" s="2"/>
      <c r="J137" s="3"/>
      <c r="K137" s="2" t="str">
        <f t="shared" si="8"/>
        <v/>
      </c>
      <c r="L137" t="str">
        <f t="shared" ca="1" si="9"/>
        <v/>
      </c>
      <c r="N137" s="2"/>
      <c r="Q137" s="2"/>
      <c r="S137" t="str">
        <f ca="1">IF(AND(B137&lt;&gt;"",ISNUMBER(L137),L137&gt;=-5,L137&lt;=10,M137&lt;&gt;"Complete",M137&lt;&gt;"N/A"),COUNTIFS(B$4:B137,"&lt;&gt;",L$4:L137,"&gt;=-5",L$4:L137,"&lt;=10",M$4:M137,"&lt;&gt;Complete",M$4:M137,"&lt;&gt;N/A"),"")</f>
        <v/>
      </c>
    </row>
    <row r="138" spans="3:19" ht="14.25" customHeight="1" x14ac:dyDescent="0.45">
      <c r="C138" t="str">
        <f>IF(B138="","",VLOOKUP(B138,Roster!$A:$C,2,FALSE))</f>
        <v/>
      </c>
      <c r="D138" t="str">
        <f>IF(B138="","",VLOOKUP(B138,Roster!$A:$C,3,FALSE))</f>
        <v/>
      </c>
      <c r="I138" s="2"/>
      <c r="J138" s="3"/>
      <c r="K138" s="2" t="str">
        <f t="shared" si="8"/>
        <v/>
      </c>
      <c r="L138" t="str">
        <f t="shared" ca="1" si="9"/>
        <v/>
      </c>
      <c r="N138" s="2"/>
      <c r="Q138" s="2"/>
      <c r="S138" t="str">
        <f ca="1">IF(AND(B138&lt;&gt;"",ISNUMBER(L138),L138&gt;=-5,L138&lt;=10,M138&lt;&gt;"Complete",M138&lt;&gt;"N/A"),COUNTIFS(B$4:B138,"&lt;&gt;",L$4:L138,"&gt;=-5",L$4:L138,"&lt;=10",M$4:M138,"&lt;&gt;Complete",M$4:M138,"&lt;&gt;N/A"),"")</f>
        <v/>
      </c>
    </row>
    <row r="139" spans="3:19" ht="14.25" customHeight="1" x14ac:dyDescent="0.45">
      <c r="C139" t="str">
        <f>IF(B139="","",VLOOKUP(B139,Roster!$A:$C,2,FALSE))</f>
        <v/>
      </c>
      <c r="D139" t="str">
        <f>IF(B139="","",VLOOKUP(B139,Roster!$A:$C,3,FALSE))</f>
        <v/>
      </c>
      <c r="I139" s="2"/>
      <c r="J139" s="3"/>
      <c r="K139" s="2" t="str">
        <f t="shared" si="8"/>
        <v/>
      </c>
      <c r="L139" t="str">
        <f t="shared" ca="1" si="9"/>
        <v/>
      </c>
      <c r="N139" s="2"/>
      <c r="Q139" s="2"/>
      <c r="S139" t="str">
        <f ca="1">IF(AND(B139&lt;&gt;"",ISNUMBER(L139),L139&gt;=-5,L139&lt;=10,M139&lt;&gt;"Complete",M139&lt;&gt;"N/A"),COUNTIFS(B$4:B139,"&lt;&gt;",L$4:L139,"&gt;=-5",L$4:L139,"&lt;=10",M$4:M139,"&lt;&gt;Complete",M$4:M139,"&lt;&gt;N/A"),"")</f>
        <v/>
      </c>
    </row>
    <row r="140" spans="3:19" ht="14.25" customHeight="1" x14ac:dyDescent="0.45">
      <c r="C140" t="str">
        <f>IF(B140="","",VLOOKUP(B140,Roster!$A:$C,2,FALSE))</f>
        <v/>
      </c>
      <c r="D140" t="str">
        <f>IF(B140="","",VLOOKUP(B140,Roster!$A:$C,3,FALSE))</f>
        <v/>
      </c>
      <c r="I140" s="2"/>
      <c r="J140" s="3"/>
      <c r="K140" s="2" t="str">
        <f t="shared" si="8"/>
        <v/>
      </c>
      <c r="L140" t="str">
        <f t="shared" ca="1" si="9"/>
        <v/>
      </c>
      <c r="N140" s="2"/>
      <c r="Q140" s="2"/>
      <c r="S140" t="str">
        <f ca="1">IF(AND(B140&lt;&gt;"",ISNUMBER(L140),L140&gt;=-5,L140&lt;=10,M140&lt;&gt;"Complete",M140&lt;&gt;"N/A"),COUNTIFS(B$4:B140,"&lt;&gt;",L$4:L140,"&gt;=-5",L$4:L140,"&lt;=10",M$4:M140,"&lt;&gt;Complete",M$4:M140,"&lt;&gt;N/A"),"")</f>
        <v/>
      </c>
    </row>
    <row r="141" spans="3:19" ht="14.25" customHeight="1" x14ac:dyDescent="0.45">
      <c r="C141" t="str">
        <f>IF(B141="","",VLOOKUP(B141,Roster!$A:$C,2,FALSE))</f>
        <v/>
      </c>
      <c r="D141" t="str">
        <f>IF(B141="","",VLOOKUP(B141,Roster!$A:$C,3,FALSE))</f>
        <v/>
      </c>
      <c r="I141" s="2"/>
      <c r="J141" s="3"/>
      <c r="K141" s="2" t="str">
        <f t="shared" si="8"/>
        <v/>
      </c>
      <c r="L141" t="str">
        <f t="shared" ca="1" si="9"/>
        <v/>
      </c>
      <c r="N141" s="2"/>
      <c r="Q141" s="2"/>
      <c r="S141" t="str">
        <f ca="1">IF(AND(B141&lt;&gt;"",ISNUMBER(L141),L141&gt;=-5,L141&lt;=10,M141&lt;&gt;"Complete",M141&lt;&gt;"N/A"),COUNTIFS(B$4:B141,"&lt;&gt;",L$4:L141,"&gt;=-5",L$4:L141,"&lt;=10",M$4:M141,"&lt;&gt;Complete",M$4:M141,"&lt;&gt;N/A"),"")</f>
        <v/>
      </c>
    </row>
    <row r="142" spans="3:19" ht="14.25" customHeight="1" x14ac:dyDescent="0.45">
      <c r="C142" t="str">
        <f>IF(B142="","",VLOOKUP(B142,Roster!$A:$C,2,FALSE))</f>
        <v/>
      </c>
      <c r="D142" t="str">
        <f>IF(B142="","",VLOOKUP(B142,Roster!$A:$C,3,FALSE))</f>
        <v/>
      </c>
      <c r="I142" s="2"/>
      <c r="J142" s="3"/>
      <c r="K142" s="2" t="str">
        <f t="shared" si="8"/>
        <v/>
      </c>
      <c r="L142" t="str">
        <f t="shared" ca="1" si="9"/>
        <v/>
      </c>
      <c r="N142" s="2"/>
      <c r="Q142" s="2"/>
      <c r="S142" t="str">
        <f ca="1">IF(AND(B142&lt;&gt;"",ISNUMBER(L142),L142&gt;=-5,L142&lt;=10,M142&lt;&gt;"Complete",M142&lt;&gt;"N/A"),COUNTIFS(B$4:B142,"&lt;&gt;",L$4:L142,"&gt;=-5",L$4:L142,"&lt;=10",M$4:M142,"&lt;&gt;Complete",M$4:M142,"&lt;&gt;N/A"),"")</f>
        <v/>
      </c>
    </row>
    <row r="143" spans="3:19" ht="14.25" customHeight="1" x14ac:dyDescent="0.45">
      <c r="C143" t="str">
        <f>IF(B143="","",VLOOKUP(B143,Roster!$A:$C,2,FALSE))</f>
        <v/>
      </c>
      <c r="D143" t="str">
        <f>IF(B143="","",VLOOKUP(B143,Roster!$A:$C,3,FALSE))</f>
        <v/>
      </c>
      <c r="I143" s="2"/>
      <c r="J143" s="3"/>
      <c r="K143" s="2" t="str">
        <f t="shared" si="8"/>
        <v/>
      </c>
      <c r="L143" t="str">
        <f t="shared" ca="1" si="9"/>
        <v/>
      </c>
      <c r="N143" s="2"/>
      <c r="Q143" s="2"/>
      <c r="S143" t="str">
        <f ca="1">IF(AND(B143&lt;&gt;"",ISNUMBER(L143),L143&gt;=-5,L143&lt;=10,M143&lt;&gt;"Complete",M143&lt;&gt;"N/A"),COUNTIFS(B$4:B143,"&lt;&gt;",L$4:L143,"&gt;=-5",L$4:L143,"&lt;=10",M$4:M143,"&lt;&gt;Complete",M$4:M143,"&lt;&gt;N/A"),"")</f>
        <v/>
      </c>
    </row>
    <row r="144" spans="3:19" ht="14.25" customHeight="1" x14ac:dyDescent="0.45">
      <c r="C144" t="str">
        <f>IF(B144="","",VLOOKUP(B144,Roster!$A:$C,2,FALSE))</f>
        <v/>
      </c>
      <c r="D144" t="str">
        <f>IF(B144="","",VLOOKUP(B144,Roster!$A:$C,3,FALSE))</f>
        <v/>
      </c>
      <c r="I144" s="2"/>
      <c r="J144" s="3"/>
      <c r="K144" s="2" t="str">
        <f t="shared" si="8"/>
        <v/>
      </c>
      <c r="L144" t="str">
        <f t="shared" ca="1" si="9"/>
        <v/>
      </c>
      <c r="N144" s="2"/>
      <c r="Q144" s="2"/>
      <c r="S144" t="str">
        <f ca="1">IF(AND(B144&lt;&gt;"",ISNUMBER(L144),L144&gt;=-5,L144&lt;=10,M144&lt;&gt;"Complete",M144&lt;&gt;"N/A"),COUNTIFS(B$4:B144,"&lt;&gt;",L$4:L144,"&gt;=-5",L$4:L144,"&lt;=10",M$4:M144,"&lt;&gt;Complete",M$4:M144,"&lt;&gt;N/A"),"")</f>
        <v/>
      </c>
    </row>
    <row r="145" spans="3:19" ht="14.25" customHeight="1" x14ac:dyDescent="0.45">
      <c r="C145" t="str">
        <f>IF(B145="","",VLOOKUP(B145,Roster!$A:$C,2,FALSE))</f>
        <v/>
      </c>
      <c r="D145" t="str">
        <f>IF(B145="","",VLOOKUP(B145,Roster!$A:$C,3,FALSE))</f>
        <v/>
      </c>
      <c r="I145" s="2"/>
      <c r="J145" s="3"/>
      <c r="K145" s="2" t="str">
        <f t="shared" si="8"/>
        <v/>
      </c>
      <c r="L145" t="str">
        <f t="shared" ca="1" si="9"/>
        <v/>
      </c>
      <c r="N145" s="2"/>
      <c r="Q145" s="2"/>
      <c r="S145" t="str">
        <f ca="1">IF(AND(B145&lt;&gt;"",ISNUMBER(L145),L145&gt;=-5,L145&lt;=10,M145&lt;&gt;"Complete",M145&lt;&gt;"N/A"),COUNTIFS(B$4:B145,"&lt;&gt;",L$4:L145,"&gt;=-5",L$4:L145,"&lt;=10",M$4:M145,"&lt;&gt;Complete",M$4:M145,"&lt;&gt;N/A"),"")</f>
        <v/>
      </c>
    </row>
    <row r="146" spans="3:19" ht="14.25" customHeight="1" x14ac:dyDescent="0.45">
      <c r="C146" t="str">
        <f>IF(B146="","",VLOOKUP(B146,Roster!$A:$C,2,FALSE))</f>
        <v/>
      </c>
      <c r="D146" t="str">
        <f>IF(B146="","",VLOOKUP(B146,Roster!$A:$C,3,FALSE))</f>
        <v/>
      </c>
      <c r="I146" s="2"/>
      <c r="J146" s="3"/>
      <c r="K146" s="2" t="str">
        <f t="shared" si="8"/>
        <v/>
      </c>
      <c r="L146" t="str">
        <f t="shared" ca="1" si="9"/>
        <v/>
      </c>
      <c r="N146" s="2"/>
      <c r="Q146" s="2"/>
      <c r="S146" t="str">
        <f ca="1">IF(AND(B146&lt;&gt;"",ISNUMBER(L146),L146&gt;=-5,L146&lt;=10,M146&lt;&gt;"Complete",M146&lt;&gt;"N/A"),COUNTIFS(B$4:B146,"&lt;&gt;",L$4:L146,"&gt;=-5",L$4:L146,"&lt;=10",M$4:M146,"&lt;&gt;Complete",M$4:M146,"&lt;&gt;N/A"),"")</f>
        <v/>
      </c>
    </row>
    <row r="147" spans="3:19" ht="14.25" customHeight="1" x14ac:dyDescent="0.45">
      <c r="C147" t="str">
        <f>IF(B147="","",VLOOKUP(B147,Roster!$A:$C,2,FALSE))</f>
        <v/>
      </c>
      <c r="D147" t="str">
        <f>IF(B147="","",VLOOKUP(B147,Roster!$A:$C,3,FALSE))</f>
        <v/>
      </c>
      <c r="I147" s="2"/>
      <c r="J147" s="3"/>
      <c r="K147" s="2" t="str">
        <f t="shared" si="8"/>
        <v/>
      </c>
      <c r="L147" t="str">
        <f t="shared" ca="1" si="9"/>
        <v/>
      </c>
      <c r="N147" s="2"/>
      <c r="Q147" s="2"/>
      <c r="S147" t="str">
        <f ca="1">IF(AND(B147&lt;&gt;"",ISNUMBER(L147),L147&gt;=-5,L147&lt;=10,M147&lt;&gt;"Complete",M147&lt;&gt;"N/A"),COUNTIFS(B$4:B147,"&lt;&gt;",L$4:L147,"&gt;=-5",L$4:L147,"&lt;=10",M$4:M147,"&lt;&gt;Complete",M$4:M147,"&lt;&gt;N/A"),"")</f>
        <v/>
      </c>
    </row>
    <row r="148" spans="3:19" ht="14.25" customHeight="1" x14ac:dyDescent="0.45">
      <c r="C148" t="str">
        <f>IF(B148="","",VLOOKUP(B148,Roster!$A:$C,2,FALSE))</f>
        <v/>
      </c>
      <c r="D148" t="str">
        <f>IF(B148="","",VLOOKUP(B148,Roster!$A:$C,3,FALSE))</f>
        <v/>
      </c>
      <c r="I148" s="2"/>
      <c r="J148" s="3"/>
      <c r="K148" s="2" t="str">
        <f t="shared" si="8"/>
        <v/>
      </c>
      <c r="L148" t="str">
        <f t="shared" ca="1" si="9"/>
        <v/>
      </c>
      <c r="N148" s="2"/>
      <c r="Q148" s="2"/>
      <c r="S148" t="str">
        <f ca="1">IF(AND(B148&lt;&gt;"",ISNUMBER(L148),L148&gt;=-5,L148&lt;=10,M148&lt;&gt;"Complete",M148&lt;&gt;"N/A"),COUNTIFS(B$4:B148,"&lt;&gt;",L$4:L148,"&gt;=-5",L$4:L148,"&lt;=10",M$4:M148,"&lt;&gt;Complete",M$4:M148,"&lt;&gt;N/A"),"")</f>
        <v/>
      </c>
    </row>
    <row r="149" spans="3:19" ht="14.25" customHeight="1" x14ac:dyDescent="0.45">
      <c r="C149" t="str">
        <f>IF(B149="","",VLOOKUP(B149,Roster!$A:$C,2,FALSE))</f>
        <v/>
      </c>
      <c r="D149" t="str">
        <f>IF(B149="","",VLOOKUP(B149,Roster!$A:$C,3,FALSE))</f>
        <v/>
      </c>
      <c r="I149" s="2"/>
      <c r="J149" s="3"/>
      <c r="K149" s="2" t="str">
        <f t="shared" si="8"/>
        <v/>
      </c>
      <c r="L149" t="str">
        <f t="shared" ca="1" si="9"/>
        <v/>
      </c>
      <c r="N149" s="2"/>
      <c r="Q149" s="2"/>
      <c r="S149" t="str">
        <f ca="1">IF(AND(B149&lt;&gt;"",ISNUMBER(L149),L149&gt;=-5,L149&lt;=10,M149&lt;&gt;"Complete",M149&lt;&gt;"N/A"),COUNTIFS(B$4:B149,"&lt;&gt;",L$4:L149,"&gt;=-5",L$4:L149,"&lt;=10",M$4:M149,"&lt;&gt;Complete",M$4:M149,"&lt;&gt;N/A"),"")</f>
        <v/>
      </c>
    </row>
    <row r="150" spans="3:19" ht="14.25" customHeight="1" x14ac:dyDescent="0.45">
      <c r="C150" t="str">
        <f>IF(B150="","",VLOOKUP(B150,Roster!$A:$C,2,FALSE))</f>
        <v/>
      </c>
      <c r="D150" t="str">
        <f>IF(B150="","",VLOOKUP(B150,Roster!$A:$C,3,FALSE))</f>
        <v/>
      </c>
      <c r="I150" s="2"/>
      <c r="J150" s="3"/>
      <c r="K150" s="2" t="str">
        <f t="shared" si="8"/>
        <v/>
      </c>
      <c r="L150" t="str">
        <f t="shared" ca="1" si="9"/>
        <v/>
      </c>
      <c r="N150" s="2"/>
      <c r="Q150" s="2"/>
      <c r="S150" t="str">
        <f ca="1">IF(AND(B150&lt;&gt;"",ISNUMBER(L150),L150&gt;=-5,L150&lt;=10,M150&lt;&gt;"Complete",M150&lt;&gt;"N/A"),COUNTIFS(B$4:B150,"&lt;&gt;",L$4:L150,"&gt;=-5",L$4:L150,"&lt;=10",M$4:M150,"&lt;&gt;Complete",M$4:M150,"&lt;&gt;N/A"),"")</f>
        <v/>
      </c>
    </row>
    <row r="151" spans="3:19" ht="14.25" customHeight="1" x14ac:dyDescent="0.45">
      <c r="C151" t="str">
        <f>IF(B151="","",VLOOKUP(B151,Roster!$A:$C,2,FALSE))</f>
        <v/>
      </c>
      <c r="D151" t="str">
        <f>IF(B151="","",VLOOKUP(B151,Roster!$A:$C,3,FALSE))</f>
        <v/>
      </c>
      <c r="I151" s="2"/>
      <c r="J151" s="3"/>
      <c r="K151" s="2" t="str">
        <f t="shared" si="8"/>
        <v/>
      </c>
      <c r="L151" t="str">
        <f t="shared" ca="1" si="9"/>
        <v/>
      </c>
      <c r="N151" s="2"/>
      <c r="Q151" s="2"/>
      <c r="S151" t="str">
        <f ca="1">IF(AND(B151&lt;&gt;"",ISNUMBER(L151),L151&gt;=-5,L151&lt;=10,M151&lt;&gt;"Complete",M151&lt;&gt;"N/A"),COUNTIFS(B$4:B151,"&lt;&gt;",L$4:L151,"&gt;=-5",L$4:L151,"&lt;=10",M$4:M151,"&lt;&gt;Complete",M$4:M151,"&lt;&gt;N/A"),"")</f>
        <v/>
      </c>
    </row>
    <row r="152" spans="3:19" ht="14.25" customHeight="1" x14ac:dyDescent="0.45">
      <c r="C152" t="str">
        <f>IF(B152="","",VLOOKUP(B152,Roster!$A:$C,2,FALSE))</f>
        <v/>
      </c>
      <c r="D152" t="str">
        <f>IF(B152="","",VLOOKUP(B152,Roster!$A:$C,3,FALSE))</f>
        <v/>
      </c>
      <c r="I152" s="2"/>
      <c r="J152" s="3"/>
      <c r="K152" s="2" t="str">
        <f t="shared" si="8"/>
        <v/>
      </c>
      <c r="L152" t="str">
        <f t="shared" ca="1" si="9"/>
        <v/>
      </c>
      <c r="N152" s="2"/>
      <c r="Q152" s="2"/>
      <c r="S152" t="str">
        <f ca="1">IF(AND(B152&lt;&gt;"",ISNUMBER(L152),L152&gt;=-5,L152&lt;=10,M152&lt;&gt;"Complete",M152&lt;&gt;"N/A"),COUNTIFS(B$4:B152,"&lt;&gt;",L$4:L152,"&gt;=-5",L$4:L152,"&lt;=10",M$4:M152,"&lt;&gt;Complete",M$4:M152,"&lt;&gt;N/A"),"")</f>
        <v/>
      </c>
    </row>
    <row r="153" spans="3:19" ht="14.25" customHeight="1" x14ac:dyDescent="0.45">
      <c r="C153" t="str">
        <f>IF(B153="","",VLOOKUP(B153,Roster!$A:$C,2,FALSE))</f>
        <v/>
      </c>
      <c r="D153" t="str">
        <f>IF(B153="","",VLOOKUP(B153,Roster!$A:$C,3,FALSE))</f>
        <v/>
      </c>
      <c r="I153" s="2"/>
      <c r="J153" s="3"/>
      <c r="K153" s="2" t="str">
        <f t="shared" si="8"/>
        <v/>
      </c>
      <c r="L153" t="str">
        <f t="shared" ca="1" si="9"/>
        <v/>
      </c>
      <c r="N153" s="2"/>
      <c r="Q153" s="2"/>
      <c r="S153" t="str">
        <f ca="1">IF(AND(B153&lt;&gt;"",ISNUMBER(L153),L153&gt;=-5,L153&lt;=10,M153&lt;&gt;"Complete",M153&lt;&gt;"N/A"),COUNTIFS(B$4:B153,"&lt;&gt;",L$4:L153,"&gt;=-5",L$4:L153,"&lt;=10",M$4:M153,"&lt;&gt;Complete",M$4:M153,"&lt;&gt;N/A"),"")</f>
        <v/>
      </c>
    </row>
  </sheetData>
  <mergeCells count="2">
    <mergeCell ref="A2:R2"/>
    <mergeCell ref="A1:R1"/>
  </mergeCells>
  <conditionalFormatting sqref="L4:L153">
    <cfRule type="cellIs" dxfId="1" priority="15" operator="lessThanOrEqual">
      <formula>0</formula>
    </cfRule>
    <cfRule type="cellIs" dxfId="0" priority="16" operator="lessThanOrEqual">
      <formula>5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400-000000000000}">
          <x14:formula1>
            <xm:f>Lists!$K$2:$K$4</xm:f>
          </x14:formula1>
          <xm:sqref>F4:F153</xm:sqref>
        </x14:dataValidation>
        <x14:dataValidation type="list" allowBlank="1" xr:uid="{00000000-0002-0000-0400-000001000000}">
          <x14:formula1>
            <xm:f>Lists!$H$2:$H$17</xm:f>
          </x14:formula1>
          <xm:sqref>G4:G153</xm:sqref>
        </x14:dataValidation>
        <x14:dataValidation type="list" allowBlank="1" xr:uid="{00000000-0002-0000-0400-000002000000}">
          <x14:formula1>
            <xm:f>Lists!$I$2:$I$6</xm:f>
          </x14:formula1>
          <xm:sqref>M4:M153</xm:sqref>
        </x14:dataValidation>
        <x14:dataValidation type="list" allowBlank="1" xr:uid="{00000000-0002-0000-0400-000003000000}">
          <x14:formula1>
            <xm:f>Lists!$L$2:$L$4</xm:f>
          </x14:formula1>
          <xm:sqref>P4:P153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59"/>
  <sheetViews>
    <sheetView zoomScaleNormal="100" workbookViewId="0"/>
  </sheetViews>
  <sheetFormatPr defaultRowHeight="15" customHeight="1" x14ac:dyDescent="0.45"/>
  <cols>
    <col min="1" max="1" width="38.33203125" customWidth="1"/>
    <col min="2" max="2" width="16.6640625" customWidth="1"/>
    <col min="3" max="3" width="13.33203125" customWidth="1"/>
    <col min="4" max="4" width="33.33203125" customWidth="1"/>
    <col min="5" max="6" width="20" customWidth="1"/>
    <col min="7" max="7" width="16.6640625" customWidth="1"/>
    <col min="8" max="12" width="20" customWidth="1"/>
  </cols>
  <sheetData>
    <row r="1" spans="1:12" x14ac:dyDescent="0.45">
      <c r="A1" s="4" t="s">
        <v>177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45">
      <c r="A2" s="4" t="str">
        <f ca="1">"Dashboard reflects data as of: "&amp;TEXT(TODAY(),"MM/DD/YYYY")</f>
        <v>Dashboard reflects data as of: 07/14/2026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4" spans="1:12" x14ac:dyDescent="0.45">
      <c r="A4" s="4" t="s">
        <v>178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x14ac:dyDescent="0.45">
      <c r="A5" t="s">
        <v>179</v>
      </c>
      <c r="B5">
        <f>COUNTIF(Roster!I$3:I$102,"Active")</f>
        <v>4</v>
      </c>
    </row>
    <row r="6" spans="1:12" x14ac:dyDescent="0.45">
      <c r="A6" t="s">
        <v>180</v>
      </c>
      <c r="B6">
        <f>COUNTIFS(Roster!J$3:J$102,"Yes",Roster!I$3:I$102,"Active")</f>
        <v>1</v>
      </c>
    </row>
    <row r="7" spans="1:12" x14ac:dyDescent="0.45">
      <c r="A7" t="s">
        <v>181</v>
      </c>
      <c r="B7">
        <f>COUNTIFS(Roster!K$3:K$102,"Yes",Roster!I$3:I$102,"Active")</f>
        <v>1</v>
      </c>
    </row>
    <row r="8" spans="1:12" x14ac:dyDescent="0.45">
      <c r="A8" t="s">
        <v>182</v>
      </c>
      <c r="B8">
        <f ca="1">COUNTIFS('DAEP Placements'!J$3:J$102,"&gt;0",'DAEP Placements'!J$3:J$102,"&lt;=5",'DAEP Placements'!O$3:O$102,"")</f>
        <v>0</v>
      </c>
    </row>
    <row r="9" spans="1:12" x14ac:dyDescent="0.45">
      <c r="A9" t="s">
        <v>183</v>
      </c>
      <c r="B9">
        <f ca="1">COUNTIFS('DAEP Placements'!J$3:J$102,"&lt;=0",'DAEP Placements'!O$3:O$102,"",'DAEP Placements'!B$3:B$102,"&lt;&gt;")</f>
        <v>3</v>
      </c>
    </row>
    <row r="10" spans="1:12" x14ac:dyDescent="0.45">
      <c r="A10" t="s">
        <v>184</v>
      </c>
      <c r="B10">
        <f>COUNTIFS('Compliance Checklist'!M$4:M$153,"&lt;&gt;Complete",'Compliance Checklist'!M$4:M$153,"&lt;&gt;N/A",'Compliance Checklist'!B$4:B$153,"&lt;&gt;")</f>
        <v>1</v>
      </c>
    </row>
    <row r="11" spans="1:12" x14ac:dyDescent="0.45">
      <c r="A11" t="s">
        <v>185</v>
      </c>
      <c r="B11">
        <f>COUNTA('Incident Log'!A$3:A$202)</f>
        <v>5</v>
      </c>
    </row>
    <row r="12" spans="1:12" x14ac:dyDescent="0.45">
      <c r="A12" t="s">
        <v>186</v>
      </c>
      <c r="B12">
        <f>COUNTIF('DAEP Placements'!K$3:K$102,"Yes")</f>
        <v>0</v>
      </c>
    </row>
    <row r="14" spans="1:12" x14ac:dyDescent="0.45">
      <c r="A14" s="4" t="s">
        <v>187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x14ac:dyDescent="0.45">
      <c r="A15" t="s">
        <v>188</v>
      </c>
      <c r="B15" t="s">
        <v>189</v>
      </c>
      <c r="C15" t="s">
        <v>122</v>
      </c>
      <c r="D15" t="s">
        <v>190</v>
      </c>
      <c r="E15" t="s">
        <v>191</v>
      </c>
      <c r="F15" t="s">
        <v>192</v>
      </c>
      <c r="G15" t="s">
        <v>38</v>
      </c>
    </row>
    <row r="16" spans="1:12" x14ac:dyDescent="0.45">
      <c r="A16" t="s">
        <v>193</v>
      </c>
    </row>
    <row r="17" spans="1:12" x14ac:dyDescent="0.45">
      <c r="A17" s="4" t="s">
        <v>194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x14ac:dyDescent="0.45">
      <c r="A18" s="4" t="s">
        <v>195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20" spans="1:12" x14ac:dyDescent="0.45">
      <c r="A20" s="4" t="s">
        <v>196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x14ac:dyDescent="0.45">
      <c r="A21" t="s">
        <v>54</v>
      </c>
      <c r="B21">
        <f>COUNTIF(Roster!I$3:I$102,"Active")</f>
        <v>4</v>
      </c>
    </row>
    <row r="22" spans="1:12" x14ac:dyDescent="0.45">
      <c r="A22" t="s">
        <v>68</v>
      </c>
      <c r="B22">
        <f>COUNTIF(Roster!I$3:I$102,"Exited")</f>
        <v>1</v>
      </c>
    </row>
    <row r="23" spans="1:12" x14ac:dyDescent="0.45">
      <c r="A23" t="s">
        <v>197</v>
      </c>
      <c r="B23">
        <f>COUNTIF(Roster!I$3:I$102,"Extended")</f>
        <v>0</v>
      </c>
    </row>
    <row r="24" spans="1:12" x14ac:dyDescent="0.45">
      <c r="A24" t="s">
        <v>198</v>
      </c>
      <c r="B24">
        <f>COUNTIF(Roster!I$3:I$102,"Pending Placement")</f>
        <v>0</v>
      </c>
    </row>
    <row r="25" spans="1:12" x14ac:dyDescent="0.45">
      <c r="A25" t="s">
        <v>199</v>
      </c>
      <c r="B25">
        <f>COUNTIF(Roster!I$3:I$102,"Returned Early")</f>
        <v>0</v>
      </c>
    </row>
    <row r="26" spans="1:12" x14ac:dyDescent="0.45">
      <c r="A26" t="s">
        <v>200</v>
      </c>
      <c r="B26">
        <f>COUNTA(Roster!A$3:A$102)</f>
        <v>5</v>
      </c>
    </row>
    <row r="28" spans="1:12" x14ac:dyDescent="0.45">
      <c r="A28" s="4" t="s">
        <v>201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x14ac:dyDescent="0.45">
      <c r="A29" t="s">
        <v>100</v>
      </c>
      <c r="B29">
        <f>COUNTIF('Incident Log'!H$3:H$202,"Fighting")</f>
        <v>2</v>
      </c>
    </row>
    <row r="30" spans="1:12" x14ac:dyDescent="0.45">
      <c r="A30" t="s">
        <v>107</v>
      </c>
      <c r="B30">
        <f>COUNTIF('Incident Log'!H$3:H$202,"Drugs/Alcohol")</f>
        <v>2</v>
      </c>
    </row>
    <row r="31" spans="1:12" x14ac:dyDescent="0.45">
      <c r="A31" t="s">
        <v>202</v>
      </c>
      <c r="B31">
        <f>COUNTIF('Incident Log'!H$3:H$202,"Weapons")</f>
        <v>0</v>
      </c>
    </row>
    <row r="32" spans="1:12" x14ac:dyDescent="0.45">
      <c r="A32" t="s">
        <v>118</v>
      </c>
      <c r="B32">
        <f>COUNTIF('Incident Log'!H$3:H$202,"Harassment/Bullying")</f>
        <v>1</v>
      </c>
    </row>
    <row r="33" spans="1:12" x14ac:dyDescent="0.45">
      <c r="A33" t="s">
        <v>203</v>
      </c>
      <c r="B33">
        <f>COUNTIF('Incident Log'!H$3:H$202,"Truancy")</f>
        <v>0</v>
      </c>
    </row>
    <row r="34" spans="1:12" x14ac:dyDescent="0.45">
      <c r="A34" t="s">
        <v>204</v>
      </c>
      <c r="B34">
        <f>COUNTIF('Incident Log'!H$3:H$202,"Defiance/Insubordination")</f>
        <v>0</v>
      </c>
    </row>
    <row r="35" spans="1:12" x14ac:dyDescent="0.45">
      <c r="A35" t="s">
        <v>205</v>
      </c>
      <c r="B35">
        <f>COUNTIF('Incident Log'!H$3:H$202,"Theft")</f>
        <v>0</v>
      </c>
    </row>
    <row r="36" spans="1:12" x14ac:dyDescent="0.45">
      <c r="A36" t="s">
        <v>206</v>
      </c>
      <c r="B36">
        <f>COUNTIF('Incident Log'!H$3:H$202,"Vandalism")</f>
        <v>0</v>
      </c>
    </row>
    <row r="37" spans="1:12" x14ac:dyDescent="0.45">
      <c r="A37" t="s">
        <v>207</v>
      </c>
      <c r="B37">
        <f>COUNTIF('Incident Log'!H$3:H$202,"Sexual Offense")</f>
        <v>0</v>
      </c>
    </row>
    <row r="38" spans="1:12" x14ac:dyDescent="0.45">
      <c r="A38" t="s">
        <v>208</v>
      </c>
      <c r="B38">
        <f>COUNTIF('Incident Log'!H$3:H$202,"Gang-Related Activity")</f>
        <v>0</v>
      </c>
    </row>
    <row r="39" spans="1:12" x14ac:dyDescent="0.45">
      <c r="A39" t="s">
        <v>209</v>
      </c>
      <c r="B39">
        <f>COUNTIF('Incident Log'!H$3:H$202,"Other")</f>
        <v>0</v>
      </c>
    </row>
    <row r="40" spans="1:12" x14ac:dyDescent="0.45">
      <c r="A40" t="s">
        <v>210</v>
      </c>
      <c r="B40">
        <f>COUNTA('Incident Log'!A$3:A$202)</f>
        <v>5</v>
      </c>
    </row>
    <row r="42" spans="1:12" x14ac:dyDescent="0.45">
      <c r="A42" s="4" t="s">
        <v>211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 x14ac:dyDescent="0.45">
      <c r="A43" t="s">
        <v>212</v>
      </c>
      <c r="B43">
        <f>COUNTIFS(Roster!D$3:D$102,"Pre-K",Roster!I$3:I$102,"Active")</f>
        <v>0</v>
      </c>
      <c r="C43" t="str">
        <f t="shared" ref="C43:C56" si="0">REPT("|",B43)</f>
        <v/>
      </c>
    </row>
    <row r="44" spans="1:12" x14ac:dyDescent="0.45">
      <c r="A44" t="s">
        <v>213</v>
      </c>
      <c r="B44">
        <f>COUNTIFS(Roster!D$3:D$102,"Kindergarten",Roster!I$3:I$102,"Active")</f>
        <v>0</v>
      </c>
      <c r="C44" t="str">
        <f t="shared" si="0"/>
        <v/>
      </c>
    </row>
    <row r="45" spans="1:12" x14ac:dyDescent="0.45">
      <c r="A45" t="s">
        <v>214</v>
      </c>
      <c r="B45">
        <f>COUNTIFS(Roster!D$3:D$102,"1st Grade",Roster!I$3:I$102,"Active")</f>
        <v>0</v>
      </c>
      <c r="C45" t="str">
        <f t="shared" si="0"/>
        <v/>
      </c>
    </row>
    <row r="46" spans="1:12" x14ac:dyDescent="0.45">
      <c r="A46" t="s">
        <v>215</v>
      </c>
      <c r="B46">
        <f>COUNTIFS(Roster!D$3:D$102,"2nd Grade",Roster!I$3:I$102,"Active")</f>
        <v>0</v>
      </c>
      <c r="C46" t="str">
        <f t="shared" si="0"/>
        <v/>
      </c>
    </row>
    <row r="47" spans="1:12" x14ac:dyDescent="0.45">
      <c r="A47" t="s">
        <v>216</v>
      </c>
      <c r="B47">
        <f>COUNTIFS(Roster!D$3:D$102,"3rd Grade",Roster!I$3:I$102,"Active")</f>
        <v>0</v>
      </c>
      <c r="C47" t="str">
        <f t="shared" si="0"/>
        <v/>
      </c>
    </row>
    <row r="48" spans="1:12" x14ac:dyDescent="0.45">
      <c r="A48" t="s">
        <v>217</v>
      </c>
      <c r="B48">
        <f>COUNTIFS(Roster!D$3:D$102,"4th Grade",Roster!I$3:I$102,"Active")</f>
        <v>0</v>
      </c>
      <c r="C48" t="str">
        <f t="shared" si="0"/>
        <v/>
      </c>
    </row>
    <row r="49" spans="1:12" x14ac:dyDescent="0.45">
      <c r="A49" t="s">
        <v>218</v>
      </c>
      <c r="B49">
        <f>COUNTIFS(Roster!D$3:D$102,"5th Grade",Roster!I$3:I$102,"Active")</f>
        <v>0</v>
      </c>
      <c r="C49" t="str">
        <f t="shared" si="0"/>
        <v/>
      </c>
    </row>
    <row r="50" spans="1:12" x14ac:dyDescent="0.45">
      <c r="A50" t="s">
        <v>219</v>
      </c>
      <c r="B50">
        <f>COUNTIFS(Roster!D$3:D$102,"6th Grade",Roster!I$3:I$102,"Active")</f>
        <v>0</v>
      </c>
      <c r="C50" t="str">
        <f t="shared" si="0"/>
        <v/>
      </c>
    </row>
    <row r="51" spans="1:12" x14ac:dyDescent="0.45">
      <c r="A51" t="s">
        <v>67</v>
      </c>
      <c r="B51">
        <f>COUNTIFS(Roster!D$3:D$102,"7th Grade",Roster!I$3:I$102,"Active")</f>
        <v>0</v>
      </c>
      <c r="C51" t="str">
        <f t="shared" si="0"/>
        <v/>
      </c>
    </row>
    <row r="52" spans="1:12" x14ac:dyDescent="0.45">
      <c r="A52" t="s">
        <v>51</v>
      </c>
      <c r="B52">
        <f>COUNTIFS(Roster!D$3:D$102,"8th Grade",Roster!I$3:I$102,"Active")</f>
        <v>1</v>
      </c>
      <c r="C52" t="str">
        <f t="shared" si="0"/>
        <v>|</v>
      </c>
    </row>
    <row r="53" spans="1:12" x14ac:dyDescent="0.45">
      <c r="A53" t="s">
        <v>74</v>
      </c>
      <c r="B53">
        <f>COUNTIFS(Roster!D$3:D$102,"9th Grade",Roster!I$3:I$102,"Active")</f>
        <v>1</v>
      </c>
      <c r="C53" t="str">
        <f t="shared" si="0"/>
        <v>|</v>
      </c>
    </row>
    <row r="54" spans="1:12" x14ac:dyDescent="0.45">
      <c r="A54" t="s">
        <v>62</v>
      </c>
      <c r="B54">
        <f>COUNTIFS(Roster!D$3:D$102,"10th Grade",Roster!I$3:I$102,"Active")</f>
        <v>1</v>
      </c>
      <c r="C54" t="str">
        <f t="shared" si="0"/>
        <v>|</v>
      </c>
    </row>
    <row r="55" spans="1:12" x14ac:dyDescent="0.45">
      <c r="A55" t="s">
        <v>79</v>
      </c>
      <c r="B55">
        <f>COUNTIFS(Roster!D$3:D$102,"11th Grade",Roster!I$3:I$102,"Active")</f>
        <v>1</v>
      </c>
      <c r="C55" t="str">
        <f t="shared" si="0"/>
        <v>|</v>
      </c>
    </row>
    <row r="56" spans="1:12" x14ac:dyDescent="0.45">
      <c r="A56" t="s">
        <v>220</v>
      </c>
      <c r="B56">
        <f>COUNTIFS(Roster!D$3:D$102,"12th Grade",Roster!I$3:I$102,"Active")</f>
        <v>0</v>
      </c>
      <c r="C56" t="str">
        <f t="shared" si="0"/>
        <v/>
      </c>
    </row>
    <row r="58" spans="1:12" x14ac:dyDescent="0.45">
      <c r="A58" s="4" t="s">
        <v>221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 x14ac:dyDescent="0.45">
      <c r="A59" s="4" t="s">
        <v>222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</sheetData>
  <mergeCells count="11">
    <mergeCell ref="A20:L20"/>
    <mergeCell ref="A59:L59"/>
    <mergeCell ref="A2:L2"/>
    <mergeCell ref="A42:L42"/>
    <mergeCell ref="A1:L1"/>
    <mergeCell ref="A28:L28"/>
    <mergeCell ref="A14:L14"/>
    <mergeCell ref="A58:L58"/>
    <mergeCell ref="A17:L17"/>
    <mergeCell ref="A18:L18"/>
    <mergeCell ref="A4:L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9"/>
  <sheetViews>
    <sheetView zoomScaleNormal="100" workbookViewId="0"/>
  </sheetViews>
  <sheetFormatPr defaultRowHeight="15" customHeight="1" x14ac:dyDescent="0.45"/>
  <cols>
    <col min="1" max="1" width="16.6640625" customWidth="1"/>
    <col min="2" max="3" width="26.6640625" customWidth="1"/>
    <col min="4" max="4" width="30" customWidth="1"/>
    <col min="5" max="5" width="20" customWidth="1"/>
    <col min="6" max="6" width="18.33203125" customWidth="1"/>
    <col min="7" max="7" width="20" customWidth="1"/>
    <col min="8" max="8" width="13.33203125" customWidth="1"/>
  </cols>
  <sheetData>
    <row r="1" spans="1:8" x14ac:dyDescent="0.45">
      <c r="A1" t="s">
        <v>223</v>
      </c>
    </row>
    <row r="2" spans="1:8" x14ac:dyDescent="0.45">
      <c r="A2" s="4" t="str">
        <f ca="1">"As of: "&amp;TEXT(TODAY(),"MMMM D, YYYY")</f>
        <v>As of: July 14, 2026</v>
      </c>
      <c r="B2" s="4"/>
      <c r="C2" s="4"/>
      <c r="D2" s="4"/>
      <c r="E2" s="4"/>
      <c r="F2" s="4"/>
      <c r="G2" s="4"/>
      <c r="H2" s="4"/>
    </row>
    <row r="3" spans="1:8" x14ac:dyDescent="0.45">
      <c r="A3" t="s">
        <v>224</v>
      </c>
    </row>
    <row r="5" spans="1:8" x14ac:dyDescent="0.45">
      <c r="A5" t="s">
        <v>225</v>
      </c>
    </row>
    <row r="6" spans="1:8" x14ac:dyDescent="0.45">
      <c r="A6" t="s">
        <v>30</v>
      </c>
      <c r="B6" t="s">
        <v>226</v>
      </c>
      <c r="C6" t="s">
        <v>227</v>
      </c>
      <c r="D6" t="s">
        <v>228</v>
      </c>
      <c r="E6" t="s">
        <v>229</v>
      </c>
      <c r="F6" t="s">
        <v>230</v>
      </c>
      <c r="G6" t="s">
        <v>231</v>
      </c>
      <c r="H6" t="s">
        <v>232</v>
      </c>
    </row>
    <row r="7" spans="1:8" x14ac:dyDescent="0.45">
      <c r="A7" t="str">
        <f>IFERROR(INDEX('DAEP Placements'!B$3:B$102,MATCH(1,'DAEP Placements'!W$3:W$102,0)),"")</f>
        <v>STU-001</v>
      </c>
      <c r="B7" t="str">
        <f>IF(A7="","",VLOOKUP(A7,Roster!$A:$C,2,FALSE)&amp;", "&amp;VLOOKUP(A7,Roster!$A:$C,3,FALSE))</f>
        <v>Ramirez, Carlos</v>
      </c>
      <c r="C7" t="str">
        <f>IF(A7="","",VLOOKUP(A7,Roster!$A:$D,4,FALSE))</f>
        <v>8th Grade</v>
      </c>
      <c r="D7">
        <f>IF(A7="","",INDEX('DAEP Placements'!G$3:G$102,MATCH(A7,'DAEP Placements'!B$3:B$102,0)))</f>
        <v>45</v>
      </c>
      <c r="E7" s="2">
        <f>IF(A7="","",INDEX('DAEP Placements'!F$3:F$102,MATCH(A7,'DAEP Placements'!B$3:B$102,0)))</f>
        <v>46042</v>
      </c>
      <c r="F7" s="2">
        <f>IF(A7="","",INDEX('DAEP Placements'!H$3:H$102,MATCH(A7,'DAEP Placements'!B$3:B$102,0)))</f>
        <v>46087</v>
      </c>
      <c r="G7" s="3">
        <f ca="1">IF(A7="","",INDEX('DAEP Placements'!J$3:J$102,MATCH(A7,'DAEP Placements'!B$3:B$102,0)))</f>
        <v>0</v>
      </c>
      <c r="H7" t="str">
        <f>IF(A7="","",VLOOKUP(A7,Roster!$A:$K,10,FALSE))</f>
        <v>Yes</v>
      </c>
    </row>
    <row r="8" spans="1:8" x14ac:dyDescent="0.45">
      <c r="A8" t="str">
        <f>IFERROR(INDEX('DAEP Placements'!B$3:B$102,MATCH(2,'DAEP Placements'!W$3:W$102,0)),"")</f>
        <v>STU-002</v>
      </c>
      <c r="B8" t="str">
        <f>IF(A8="","",VLOOKUP(A8,Roster!$A:$C,2,FALSE)&amp;", "&amp;VLOOKUP(A8,Roster!$A:$C,3,FALSE))</f>
        <v>Johnson, Destiny</v>
      </c>
      <c r="C8" t="str">
        <f>IF(A8="","",VLOOKUP(A8,Roster!$A:$D,4,FALSE))</f>
        <v>10th Grade</v>
      </c>
      <c r="D8">
        <f>IF(A8="","",INDEX('DAEP Placements'!G$3:G$102,MATCH(A8,'DAEP Placements'!B$3:B$102,0)))</f>
        <v>60</v>
      </c>
      <c r="E8" s="2">
        <f>IF(A8="","",INDEX('DAEP Placements'!F$3:F$102,MATCH(A8,'DAEP Placements'!B$3:B$102,0)))</f>
        <v>46062</v>
      </c>
      <c r="F8" s="2">
        <f>IF(A8="","",INDEX('DAEP Placements'!H$3:H$102,MATCH(A8,'DAEP Placements'!B$3:B$102,0)))</f>
        <v>46122</v>
      </c>
      <c r="G8" s="3">
        <f ca="1">IF(A8="","",INDEX('DAEP Placements'!J$3:J$102,MATCH(A8,'DAEP Placements'!B$3:B$102,0)))</f>
        <v>0</v>
      </c>
      <c r="H8" t="str">
        <f>IF(A8="","",VLOOKUP(A8,Roster!$A:$K,10,FALSE))</f>
        <v>No</v>
      </c>
    </row>
    <row r="9" spans="1:8" x14ac:dyDescent="0.45">
      <c r="A9" t="str">
        <f>IFERROR(INDEX('DAEP Placements'!B$3:B$102,MATCH(3,'DAEP Placements'!W$3:W$102,0)),"")</f>
        <v>STU-004</v>
      </c>
      <c r="B9" t="str">
        <f>IF(A9="","",VLOOKUP(A9,Roster!$A:$C,2,FALSE)&amp;", "&amp;VLOOKUP(A9,Roster!$A:$C,3,FALSE))</f>
        <v>Nguyen, Amy</v>
      </c>
      <c r="C9" t="str">
        <f>IF(A9="","",VLOOKUP(A9,Roster!$A:$D,4,FALSE))</f>
        <v>9th Grade</v>
      </c>
      <c r="D9">
        <f>IF(A9="","",INDEX('DAEP Placements'!G$3:G$102,MATCH(A9,'DAEP Placements'!B$3:B$102,0)))</f>
        <v>30</v>
      </c>
      <c r="E9" s="2">
        <f>IF(A9="","",INDEX('DAEP Placements'!F$3:F$102,MATCH(A9,'DAEP Placements'!B$3:B$102,0)))</f>
        <v>46083</v>
      </c>
      <c r="F9" s="2">
        <f>IF(A9="","",INDEX('DAEP Placements'!H$3:H$102,MATCH(A9,'DAEP Placements'!B$3:B$102,0)))</f>
        <v>46113</v>
      </c>
      <c r="G9" s="3">
        <f ca="1">IF(A9="","",INDEX('DAEP Placements'!J$3:J$102,MATCH(A9,'DAEP Placements'!B$3:B$102,0)))</f>
        <v>0</v>
      </c>
      <c r="H9" t="str">
        <f>IF(A9="","",VLOOKUP(A9,Roster!$A:$K,10,FALSE))</f>
        <v>No</v>
      </c>
    </row>
    <row r="10" spans="1:8" x14ac:dyDescent="0.45">
      <c r="A10" t="str">
        <f>IFERROR(INDEX('DAEP Placements'!B$3:B$102,MATCH(4,'DAEP Placements'!W$3:W$102,0)),"")</f>
        <v/>
      </c>
      <c r="B10" t="str">
        <f>IF(A10="","",VLOOKUP(A10,Roster!$A:$C,2,FALSE)&amp;", "&amp;VLOOKUP(A10,Roster!$A:$C,3,FALSE))</f>
        <v/>
      </c>
      <c r="C10" t="str">
        <f>IF(A10="","",VLOOKUP(A10,Roster!$A:$D,4,FALSE))</f>
        <v/>
      </c>
      <c r="D10" t="str">
        <f>IF(A10="","",INDEX('DAEP Placements'!G$3:G$102,MATCH(A10,'DAEP Placements'!B$3:B$102,0)))</f>
        <v/>
      </c>
      <c r="E10" s="2" t="str">
        <f>IF(A10="","",INDEX('DAEP Placements'!F$3:F$102,MATCH(A10,'DAEP Placements'!B$3:B$102,0)))</f>
        <v/>
      </c>
      <c r="F10" s="2" t="str">
        <f>IF(A10="","",INDEX('DAEP Placements'!H$3:H$102,MATCH(A10,'DAEP Placements'!B$3:B$102,0)))</f>
        <v/>
      </c>
      <c r="G10" s="3" t="str">
        <f>IF(A10="","",INDEX('DAEP Placements'!J$3:J$102,MATCH(A10,'DAEP Placements'!B$3:B$102,0)))</f>
        <v/>
      </c>
      <c r="H10" t="str">
        <f>IF(A10="","",VLOOKUP(A10,Roster!$A:$K,10,FALSE))</f>
        <v/>
      </c>
    </row>
    <row r="11" spans="1:8" x14ac:dyDescent="0.45">
      <c r="A11" t="str">
        <f>IFERROR(INDEX('DAEP Placements'!B$3:B$102,MATCH(5,'DAEP Placements'!W$3:W$102,0)),"")</f>
        <v/>
      </c>
      <c r="B11" t="str">
        <f>IF(A11="","",VLOOKUP(A11,Roster!$A:$C,2,FALSE)&amp;", "&amp;VLOOKUP(A11,Roster!$A:$C,3,FALSE))</f>
        <v/>
      </c>
      <c r="C11" t="str">
        <f>IF(A11="","",VLOOKUP(A11,Roster!$A:$D,4,FALSE))</f>
        <v/>
      </c>
      <c r="D11" t="str">
        <f>IF(A11="","",INDEX('DAEP Placements'!G$3:G$102,MATCH(A11,'DAEP Placements'!B$3:B$102,0)))</f>
        <v/>
      </c>
      <c r="E11" s="2" t="str">
        <f>IF(A11="","",INDEX('DAEP Placements'!F$3:F$102,MATCH(A11,'DAEP Placements'!B$3:B$102,0)))</f>
        <v/>
      </c>
      <c r="F11" s="2" t="str">
        <f>IF(A11="","",INDEX('DAEP Placements'!H$3:H$102,MATCH(A11,'DAEP Placements'!B$3:B$102,0)))</f>
        <v/>
      </c>
      <c r="G11" s="3" t="str">
        <f>IF(A11="","",INDEX('DAEP Placements'!J$3:J$102,MATCH(A11,'DAEP Placements'!B$3:B$102,0)))</f>
        <v/>
      </c>
      <c r="H11" t="str">
        <f>IF(A11="","",VLOOKUP(A11,Roster!$A:$K,10,FALSE))</f>
        <v/>
      </c>
    </row>
    <row r="12" spans="1:8" x14ac:dyDescent="0.45">
      <c r="A12" t="str">
        <f>IFERROR(INDEX('DAEP Placements'!B$3:B$102,MATCH(6,'DAEP Placements'!W$3:W$102,0)),"")</f>
        <v/>
      </c>
      <c r="B12" t="str">
        <f>IF(A12="","",VLOOKUP(A12,Roster!$A:$C,2,FALSE)&amp;", "&amp;VLOOKUP(A12,Roster!$A:$C,3,FALSE))</f>
        <v/>
      </c>
      <c r="C12" t="str">
        <f>IF(A12="","",VLOOKUP(A12,Roster!$A:$D,4,FALSE))</f>
        <v/>
      </c>
      <c r="D12" t="str">
        <f>IF(A12="","",INDEX('DAEP Placements'!G$3:G$102,MATCH(A12,'DAEP Placements'!B$3:B$102,0)))</f>
        <v/>
      </c>
      <c r="E12" s="2" t="str">
        <f>IF(A12="","",INDEX('DAEP Placements'!F$3:F$102,MATCH(A12,'DAEP Placements'!B$3:B$102,0)))</f>
        <v/>
      </c>
      <c r="F12" s="2" t="str">
        <f>IF(A12="","",INDEX('DAEP Placements'!H$3:H$102,MATCH(A12,'DAEP Placements'!B$3:B$102,0)))</f>
        <v/>
      </c>
      <c r="G12" s="3" t="str">
        <f>IF(A12="","",INDEX('DAEP Placements'!J$3:J$102,MATCH(A12,'DAEP Placements'!B$3:B$102,0)))</f>
        <v/>
      </c>
      <c r="H12" t="str">
        <f>IF(A12="","",VLOOKUP(A12,Roster!$A:$K,10,FALSE))</f>
        <v/>
      </c>
    </row>
    <row r="13" spans="1:8" x14ac:dyDescent="0.45">
      <c r="A13" t="str">
        <f>IFERROR(INDEX('DAEP Placements'!B$3:B$102,MATCH(7,'DAEP Placements'!W$3:W$102,0)),"")</f>
        <v/>
      </c>
      <c r="B13" t="str">
        <f>IF(A13="","",VLOOKUP(A13,Roster!$A:$C,2,FALSE)&amp;", "&amp;VLOOKUP(A13,Roster!$A:$C,3,FALSE))</f>
        <v/>
      </c>
      <c r="C13" t="str">
        <f>IF(A13="","",VLOOKUP(A13,Roster!$A:$D,4,FALSE))</f>
        <v/>
      </c>
      <c r="D13" t="str">
        <f>IF(A13="","",INDEX('DAEP Placements'!G$3:G$102,MATCH(A13,'DAEP Placements'!B$3:B$102,0)))</f>
        <v/>
      </c>
      <c r="E13" s="2" t="str">
        <f>IF(A13="","",INDEX('DAEP Placements'!F$3:F$102,MATCH(A13,'DAEP Placements'!B$3:B$102,0)))</f>
        <v/>
      </c>
      <c r="F13" s="2" t="str">
        <f>IF(A13="","",INDEX('DAEP Placements'!H$3:H$102,MATCH(A13,'DAEP Placements'!B$3:B$102,0)))</f>
        <v/>
      </c>
      <c r="G13" s="3" t="str">
        <f>IF(A13="","",INDEX('DAEP Placements'!J$3:J$102,MATCH(A13,'DAEP Placements'!B$3:B$102,0)))</f>
        <v/>
      </c>
      <c r="H13" t="str">
        <f>IF(A13="","",VLOOKUP(A13,Roster!$A:$K,10,FALSE))</f>
        <v/>
      </c>
    </row>
    <row r="14" spans="1:8" x14ac:dyDescent="0.45">
      <c r="A14" t="str">
        <f>IFERROR(INDEX('DAEP Placements'!B$3:B$102,MATCH(8,'DAEP Placements'!W$3:W$102,0)),"")</f>
        <v/>
      </c>
      <c r="B14" t="str">
        <f>IF(A14="","",VLOOKUP(A14,Roster!$A:$C,2,FALSE)&amp;", "&amp;VLOOKUP(A14,Roster!$A:$C,3,FALSE))</f>
        <v/>
      </c>
      <c r="C14" t="str">
        <f>IF(A14="","",VLOOKUP(A14,Roster!$A:$D,4,FALSE))</f>
        <v/>
      </c>
      <c r="D14" t="str">
        <f>IF(A14="","",INDEX('DAEP Placements'!G$3:G$102,MATCH(A14,'DAEP Placements'!B$3:B$102,0)))</f>
        <v/>
      </c>
      <c r="E14" s="2" t="str">
        <f>IF(A14="","",INDEX('DAEP Placements'!F$3:F$102,MATCH(A14,'DAEP Placements'!B$3:B$102,0)))</f>
        <v/>
      </c>
      <c r="F14" s="2" t="str">
        <f>IF(A14="","",INDEX('DAEP Placements'!H$3:H$102,MATCH(A14,'DAEP Placements'!B$3:B$102,0)))</f>
        <v/>
      </c>
      <c r="G14" s="3" t="str">
        <f>IF(A14="","",INDEX('DAEP Placements'!J$3:J$102,MATCH(A14,'DAEP Placements'!B$3:B$102,0)))</f>
        <v/>
      </c>
      <c r="H14" t="str">
        <f>IF(A14="","",VLOOKUP(A14,Roster!$A:$K,10,FALSE))</f>
        <v/>
      </c>
    </row>
    <row r="15" spans="1:8" x14ac:dyDescent="0.45">
      <c r="A15" t="str">
        <f>IFERROR(INDEX('DAEP Placements'!B$3:B$102,MATCH(9,'DAEP Placements'!W$3:W$102,0)),"")</f>
        <v/>
      </c>
      <c r="B15" t="str">
        <f>IF(A15="","",VLOOKUP(A15,Roster!$A:$C,2,FALSE)&amp;", "&amp;VLOOKUP(A15,Roster!$A:$C,3,FALSE))</f>
        <v/>
      </c>
      <c r="C15" t="str">
        <f>IF(A15="","",VLOOKUP(A15,Roster!$A:$D,4,FALSE))</f>
        <v/>
      </c>
      <c r="D15" t="str">
        <f>IF(A15="","",INDEX('DAEP Placements'!G$3:G$102,MATCH(A15,'DAEP Placements'!B$3:B$102,0)))</f>
        <v/>
      </c>
      <c r="E15" s="2" t="str">
        <f>IF(A15="","",INDEX('DAEP Placements'!F$3:F$102,MATCH(A15,'DAEP Placements'!B$3:B$102,0)))</f>
        <v/>
      </c>
      <c r="F15" s="2" t="str">
        <f>IF(A15="","",INDEX('DAEP Placements'!H$3:H$102,MATCH(A15,'DAEP Placements'!B$3:B$102,0)))</f>
        <v/>
      </c>
      <c r="G15" s="3" t="str">
        <f>IF(A15="","",INDEX('DAEP Placements'!J$3:J$102,MATCH(A15,'DAEP Placements'!B$3:B$102,0)))</f>
        <v/>
      </c>
      <c r="H15" t="str">
        <f>IF(A15="","",VLOOKUP(A15,Roster!$A:$K,10,FALSE))</f>
        <v/>
      </c>
    </row>
    <row r="16" spans="1:8" x14ac:dyDescent="0.45">
      <c r="A16" t="str">
        <f>IFERROR(INDEX('DAEP Placements'!B$3:B$102,MATCH(10,'DAEP Placements'!W$3:W$102,0)),"")</f>
        <v/>
      </c>
      <c r="B16" t="str">
        <f>IF(A16="","",VLOOKUP(A16,Roster!$A:$C,2,FALSE)&amp;", "&amp;VLOOKUP(A16,Roster!$A:$C,3,FALSE))</f>
        <v/>
      </c>
      <c r="C16" t="str">
        <f>IF(A16="","",VLOOKUP(A16,Roster!$A:$D,4,FALSE))</f>
        <v/>
      </c>
      <c r="D16" t="str">
        <f>IF(A16="","",INDEX('DAEP Placements'!G$3:G$102,MATCH(A16,'DAEP Placements'!B$3:B$102,0)))</f>
        <v/>
      </c>
      <c r="E16" s="2" t="str">
        <f>IF(A16="","",INDEX('DAEP Placements'!F$3:F$102,MATCH(A16,'DAEP Placements'!B$3:B$102,0)))</f>
        <v/>
      </c>
      <c r="F16" s="2" t="str">
        <f>IF(A16="","",INDEX('DAEP Placements'!H$3:H$102,MATCH(A16,'DAEP Placements'!B$3:B$102,0)))</f>
        <v/>
      </c>
      <c r="G16" s="3" t="str">
        <f>IF(A16="","",INDEX('DAEP Placements'!J$3:J$102,MATCH(A16,'DAEP Placements'!B$3:B$102,0)))</f>
        <v/>
      </c>
      <c r="H16" t="str">
        <f>IF(A16="","",VLOOKUP(A16,Roster!$A:$K,10,FALSE))</f>
        <v/>
      </c>
    </row>
    <row r="17" spans="1:8" x14ac:dyDescent="0.45">
      <c r="A17" t="str">
        <f>IFERROR(INDEX('DAEP Placements'!B$3:B$102,MATCH(11,'DAEP Placements'!W$3:W$102,0)),"")</f>
        <v/>
      </c>
      <c r="B17" t="str">
        <f>IF(A17="","",VLOOKUP(A17,Roster!$A:$C,2,FALSE)&amp;", "&amp;VLOOKUP(A17,Roster!$A:$C,3,FALSE))</f>
        <v/>
      </c>
      <c r="C17" t="str">
        <f>IF(A17="","",VLOOKUP(A17,Roster!$A:$D,4,FALSE))</f>
        <v/>
      </c>
      <c r="D17" t="str">
        <f>IF(A17="","",INDEX('DAEP Placements'!G$3:G$102,MATCH(A17,'DAEP Placements'!B$3:B$102,0)))</f>
        <v/>
      </c>
      <c r="E17" s="2" t="str">
        <f>IF(A17="","",INDEX('DAEP Placements'!F$3:F$102,MATCH(A17,'DAEP Placements'!B$3:B$102,0)))</f>
        <v/>
      </c>
      <c r="F17" s="2" t="str">
        <f>IF(A17="","",INDEX('DAEP Placements'!H$3:H$102,MATCH(A17,'DAEP Placements'!B$3:B$102,0)))</f>
        <v/>
      </c>
      <c r="G17" s="3" t="str">
        <f>IF(A17="","",INDEX('DAEP Placements'!J$3:J$102,MATCH(A17,'DAEP Placements'!B$3:B$102,0)))</f>
        <v/>
      </c>
      <c r="H17" t="str">
        <f>IF(A17="","",VLOOKUP(A17,Roster!$A:$K,10,FALSE))</f>
        <v/>
      </c>
    </row>
    <row r="18" spans="1:8" x14ac:dyDescent="0.45">
      <c r="A18" t="str">
        <f>IFERROR(INDEX('DAEP Placements'!B$3:B$102,MATCH(12,'DAEP Placements'!W$3:W$102,0)),"")</f>
        <v/>
      </c>
      <c r="B18" t="str">
        <f>IF(A18="","",VLOOKUP(A18,Roster!$A:$C,2,FALSE)&amp;", "&amp;VLOOKUP(A18,Roster!$A:$C,3,FALSE))</f>
        <v/>
      </c>
      <c r="C18" t="str">
        <f>IF(A18="","",VLOOKUP(A18,Roster!$A:$D,4,FALSE))</f>
        <v/>
      </c>
      <c r="D18" t="str">
        <f>IF(A18="","",INDEX('DAEP Placements'!G$3:G$102,MATCH(A18,'DAEP Placements'!B$3:B$102,0)))</f>
        <v/>
      </c>
      <c r="E18" s="2" t="str">
        <f>IF(A18="","",INDEX('DAEP Placements'!F$3:F$102,MATCH(A18,'DAEP Placements'!B$3:B$102,0)))</f>
        <v/>
      </c>
      <c r="F18" s="2" t="str">
        <f>IF(A18="","",INDEX('DAEP Placements'!H$3:H$102,MATCH(A18,'DAEP Placements'!B$3:B$102,0)))</f>
        <v/>
      </c>
      <c r="G18" s="3" t="str">
        <f>IF(A18="","",INDEX('DAEP Placements'!J$3:J$102,MATCH(A18,'DAEP Placements'!B$3:B$102,0)))</f>
        <v/>
      </c>
      <c r="H18" t="str">
        <f>IF(A18="","",VLOOKUP(A18,Roster!$A:$K,10,FALSE))</f>
        <v/>
      </c>
    </row>
    <row r="19" spans="1:8" x14ac:dyDescent="0.45">
      <c r="A19" t="str">
        <f>IFERROR(INDEX('DAEP Placements'!B$3:B$102,MATCH(13,'DAEP Placements'!W$3:W$102,0)),"")</f>
        <v/>
      </c>
      <c r="B19" t="str">
        <f>IF(A19="","",VLOOKUP(A19,Roster!$A:$C,2,FALSE)&amp;", "&amp;VLOOKUP(A19,Roster!$A:$C,3,FALSE))</f>
        <v/>
      </c>
      <c r="C19" t="str">
        <f>IF(A19="","",VLOOKUP(A19,Roster!$A:$D,4,FALSE))</f>
        <v/>
      </c>
      <c r="D19" t="str">
        <f>IF(A19="","",INDEX('DAEP Placements'!G$3:G$102,MATCH(A19,'DAEP Placements'!B$3:B$102,0)))</f>
        <v/>
      </c>
      <c r="E19" s="2" t="str">
        <f>IF(A19="","",INDEX('DAEP Placements'!F$3:F$102,MATCH(A19,'DAEP Placements'!B$3:B$102,0)))</f>
        <v/>
      </c>
      <c r="F19" s="2" t="str">
        <f>IF(A19="","",INDEX('DAEP Placements'!H$3:H$102,MATCH(A19,'DAEP Placements'!B$3:B$102,0)))</f>
        <v/>
      </c>
      <c r="G19" s="3" t="str">
        <f>IF(A19="","",INDEX('DAEP Placements'!J$3:J$102,MATCH(A19,'DAEP Placements'!B$3:B$102,0)))</f>
        <v/>
      </c>
      <c r="H19" t="str">
        <f>IF(A19="","",VLOOKUP(A19,Roster!$A:$K,10,FALSE))</f>
        <v/>
      </c>
    </row>
    <row r="20" spans="1:8" x14ac:dyDescent="0.45">
      <c r="A20" t="str">
        <f>IFERROR(INDEX('DAEP Placements'!B$3:B$102,MATCH(14,'DAEP Placements'!W$3:W$102,0)),"")</f>
        <v/>
      </c>
      <c r="B20" t="str">
        <f>IF(A20="","",VLOOKUP(A20,Roster!$A:$C,2,FALSE)&amp;", "&amp;VLOOKUP(A20,Roster!$A:$C,3,FALSE))</f>
        <v/>
      </c>
      <c r="C20" t="str">
        <f>IF(A20="","",VLOOKUP(A20,Roster!$A:$D,4,FALSE))</f>
        <v/>
      </c>
      <c r="D20" t="str">
        <f>IF(A20="","",INDEX('DAEP Placements'!G$3:G$102,MATCH(A20,'DAEP Placements'!B$3:B$102,0)))</f>
        <v/>
      </c>
      <c r="E20" s="2" t="str">
        <f>IF(A20="","",INDEX('DAEP Placements'!F$3:F$102,MATCH(A20,'DAEP Placements'!B$3:B$102,0)))</f>
        <v/>
      </c>
      <c r="F20" s="2" t="str">
        <f>IF(A20="","",INDEX('DAEP Placements'!H$3:H$102,MATCH(A20,'DAEP Placements'!B$3:B$102,0)))</f>
        <v/>
      </c>
      <c r="G20" s="3" t="str">
        <f>IF(A20="","",INDEX('DAEP Placements'!J$3:J$102,MATCH(A20,'DAEP Placements'!B$3:B$102,0)))</f>
        <v/>
      </c>
      <c r="H20" t="str">
        <f>IF(A20="","",VLOOKUP(A20,Roster!$A:$K,10,FALSE))</f>
        <v/>
      </c>
    </row>
    <row r="21" spans="1:8" x14ac:dyDescent="0.45">
      <c r="A21" t="str">
        <f>IFERROR(INDEX('DAEP Placements'!B$3:B$102,MATCH(15,'DAEP Placements'!W$3:W$102,0)),"")</f>
        <v/>
      </c>
      <c r="B21" t="str">
        <f>IF(A21="","",VLOOKUP(A21,Roster!$A:$C,2,FALSE)&amp;", "&amp;VLOOKUP(A21,Roster!$A:$C,3,FALSE))</f>
        <v/>
      </c>
      <c r="C21" t="str">
        <f>IF(A21="","",VLOOKUP(A21,Roster!$A:$D,4,FALSE))</f>
        <v/>
      </c>
      <c r="D21" t="str">
        <f>IF(A21="","",INDEX('DAEP Placements'!G$3:G$102,MATCH(A21,'DAEP Placements'!B$3:B$102,0)))</f>
        <v/>
      </c>
      <c r="E21" s="2" t="str">
        <f>IF(A21="","",INDEX('DAEP Placements'!F$3:F$102,MATCH(A21,'DAEP Placements'!B$3:B$102,0)))</f>
        <v/>
      </c>
      <c r="F21" s="2" t="str">
        <f>IF(A21="","",INDEX('DAEP Placements'!H$3:H$102,MATCH(A21,'DAEP Placements'!B$3:B$102,0)))</f>
        <v/>
      </c>
      <c r="G21" s="3" t="str">
        <f>IF(A21="","",INDEX('DAEP Placements'!J$3:J$102,MATCH(A21,'DAEP Placements'!B$3:B$102,0)))</f>
        <v/>
      </c>
      <c r="H21" t="str">
        <f>IF(A21="","",VLOOKUP(A21,Roster!$A:$K,10,FALSE))</f>
        <v/>
      </c>
    </row>
    <row r="22" spans="1:8" x14ac:dyDescent="0.45">
      <c r="A22" t="str">
        <f>IFERROR(INDEX('DAEP Placements'!B$3:B$102,MATCH(16,'DAEP Placements'!W$3:W$102,0)),"")</f>
        <v/>
      </c>
      <c r="B22" t="str">
        <f>IF(A22="","",VLOOKUP(A22,Roster!$A:$C,2,FALSE)&amp;", "&amp;VLOOKUP(A22,Roster!$A:$C,3,FALSE))</f>
        <v/>
      </c>
      <c r="C22" t="str">
        <f>IF(A22="","",VLOOKUP(A22,Roster!$A:$D,4,FALSE))</f>
        <v/>
      </c>
      <c r="D22" t="str">
        <f>IF(A22="","",INDEX('DAEP Placements'!G$3:G$102,MATCH(A22,'DAEP Placements'!B$3:B$102,0)))</f>
        <v/>
      </c>
      <c r="E22" s="2" t="str">
        <f>IF(A22="","",INDEX('DAEP Placements'!F$3:F$102,MATCH(A22,'DAEP Placements'!B$3:B$102,0)))</f>
        <v/>
      </c>
      <c r="F22" s="2" t="str">
        <f>IF(A22="","",INDEX('DAEP Placements'!H$3:H$102,MATCH(A22,'DAEP Placements'!B$3:B$102,0)))</f>
        <v/>
      </c>
      <c r="G22" s="3" t="str">
        <f>IF(A22="","",INDEX('DAEP Placements'!J$3:J$102,MATCH(A22,'DAEP Placements'!B$3:B$102,0)))</f>
        <v/>
      </c>
      <c r="H22" t="str">
        <f>IF(A22="","",VLOOKUP(A22,Roster!$A:$K,10,FALSE))</f>
        <v/>
      </c>
    </row>
    <row r="23" spans="1:8" x14ac:dyDescent="0.45">
      <c r="A23" t="str">
        <f>IFERROR(INDEX('DAEP Placements'!B$3:B$102,MATCH(17,'DAEP Placements'!W$3:W$102,0)),"")</f>
        <v/>
      </c>
      <c r="B23" t="str">
        <f>IF(A23="","",VLOOKUP(A23,Roster!$A:$C,2,FALSE)&amp;", "&amp;VLOOKUP(A23,Roster!$A:$C,3,FALSE))</f>
        <v/>
      </c>
      <c r="C23" t="str">
        <f>IF(A23="","",VLOOKUP(A23,Roster!$A:$D,4,FALSE))</f>
        <v/>
      </c>
      <c r="D23" t="str">
        <f>IF(A23="","",INDEX('DAEP Placements'!G$3:G$102,MATCH(A23,'DAEP Placements'!B$3:B$102,0)))</f>
        <v/>
      </c>
      <c r="E23" s="2" t="str">
        <f>IF(A23="","",INDEX('DAEP Placements'!F$3:F$102,MATCH(A23,'DAEP Placements'!B$3:B$102,0)))</f>
        <v/>
      </c>
      <c r="F23" s="2" t="str">
        <f>IF(A23="","",INDEX('DAEP Placements'!H$3:H$102,MATCH(A23,'DAEP Placements'!B$3:B$102,0)))</f>
        <v/>
      </c>
      <c r="G23" s="3" t="str">
        <f>IF(A23="","",INDEX('DAEP Placements'!J$3:J$102,MATCH(A23,'DAEP Placements'!B$3:B$102,0)))</f>
        <v/>
      </c>
      <c r="H23" t="str">
        <f>IF(A23="","",VLOOKUP(A23,Roster!$A:$K,10,FALSE))</f>
        <v/>
      </c>
    </row>
    <row r="24" spans="1:8" x14ac:dyDescent="0.45">
      <c r="A24" t="str">
        <f>IFERROR(INDEX('DAEP Placements'!B$3:B$102,MATCH(18,'DAEP Placements'!W$3:W$102,0)),"")</f>
        <v/>
      </c>
      <c r="B24" t="str">
        <f>IF(A24="","",VLOOKUP(A24,Roster!$A:$C,2,FALSE)&amp;", "&amp;VLOOKUP(A24,Roster!$A:$C,3,FALSE))</f>
        <v/>
      </c>
      <c r="C24" t="str">
        <f>IF(A24="","",VLOOKUP(A24,Roster!$A:$D,4,FALSE))</f>
        <v/>
      </c>
      <c r="D24" t="str">
        <f>IF(A24="","",INDEX('DAEP Placements'!G$3:G$102,MATCH(A24,'DAEP Placements'!B$3:B$102,0)))</f>
        <v/>
      </c>
      <c r="E24" s="2" t="str">
        <f>IF(A24="","",INDEX('DAEP Placements'!F$3:F$102,MATCH(A24,'DAEP Placements'!B$3:B$102,0)))</f>
        <v/>
      </c>
      <c r="F24" s="2" t="str">
        <f>IF(A24="","",INDEX('DAEP Placements'!H$3:H$102,MATCH(A24,'DAEP Placements'!B$3:B$102,0)))</f>
        <v/>
      </c>
      <c r="G24" s="3" t="str">
        <f>IF(A24="","",INDEX('DAEP Placements'!J$3:J$102,MATCH(A24,'DAEP Placements'!B$3:B$102,0)))</f>
        <v/>
      </c>
      <c r="H24" t="str">
        <f>IF(A24="","",VLOOKUP(A24,Roster!$A:$K,10,FALSE))</f>
        <v/>
      </c>
    </row>
    <row r="25" spans="1:8" x14ac:dyDescent="0.45">
      <c r="A25" t="str">
        <f>IFERROR(INDEX('DAEP Placements'!B$3:B$102,MATCH(19,'DAEP Placements'!W$3:W$102,0)),"")</f>
        <v/>
      </c>
      <c r="B25" t="str">
        <f>IF(A25="","",VLOOKUP(A25,Roster!$A:$C,2,FALSE)&amp;", "&amp;VLOOKUP(A25,Roster!$A:$C,3,FALSE))</f>
        <v/>
      </c>
      <c r="C25" t="str">
        <f>IF(A25="","",VLOOKUP(A25,Roster!$A:$D,4,FALSE))</f>
        <v/>
      </c>
      <c r="D25" t="str">
        <f>IF(A25="","",INDEX('DAEP Placements'!G$3:G$102,MATCH(A25,'DAEP Placements'!B$3:B$102,0)))</f>
        <v/>
      </c>
      <c r="E25" s="2" t="str">
        <f>IF(A25="","",INDEX('DAEP Placements'!F$3:F$102,MATCH(A25,'DAEP Placements'!B$3:B$102,0)))</f>
        <v/>
      </c>
      <c r="F25" s="2" t="str">
        <f>IF(A25="","",INDEX('DAEP Placements'!H$3:H$102,MATCH(A25,'DAEP Placements'!B$3:B$102,0)))</f>
        <v/>
      </c>
      <c r="G25" s="3" t="str">
        <f>IF(A25="","",INDEX('DAEP Placements'!J$3:J$102,MATCH(A25,'DAEP Placements'!B$3:B$102,0)))</f>
        <v/>
      </c>
      <c r="H25" t="str">
        <f>IF(A25="","",VLOOKUP(A25,Roster!$A:$K,10,FALSE))</f>
        <v/>
      </c>
    </row>
    <row r="26" spans="1:8" x14ac:dyDescent="0.45">
      <c r="A26" t="str">
        <f>IFERROR(INDEX('DAEP Placements'!B$3:B$102,MATCH(20,'DAEP Placements'!W$3:W$102,0)),"")</f>
        <v/>
      </c>
      <c r="B26" t="str">
        <f>IF(A26="","",VLOOKUP(A26,Roster!$A:$C,2,FALSE)&amp;", "&amp;VLOOKUP(A26,Roster!$A:$C,3,FALSE))</f>
        <v/>
      </c>
      <c r="C26" t="str">
        <f>IF(A26="","",VLOOKUP(A26,Roster!$A:$D,4,FALSE))</f>
        <v/>
      </c>
      <c r="D26" t="str">
        <f>IF(A26="","",INDEX('DAEP Placements'!G$3:G$102,MATCH(A26,'DAEP Placements'!B$3:B$102,0)))</f>
        <v/>
      </c>
      <c r="E26" s="2" t="str">
        <f>IF(A26="","",INDEX('DAEP Placements'!F$3:F$102,MATCH(A26,'DAEP Placements'!B$3:B$102,0)))</f>
        <v/>
      </c>
      <c r="F26" s="2" t="str">
        <f>IF(A26="","",INDEX('DAEP Placements'!H$3:H$102,MATCH(A26,'DAEP Placements'!B$3:B$102,0)))</f>
        <v/>
      </c>
      <c r="G26" s="3" t="str">
        <f>IF(A26="","",INDEX('DAEP Placements'!J$3:J$102,MATCH(A26,'DAEP Placements'!B$3:B$102,0)))</f>
        <v/>
      </c>
      <c r="H26" t="str">
        <f>IF(A26="","",VLOOKUP(A26,Roster!$A:$K,10,FALSE))</f>
        <v/>
      </c>
    </row>
    <row r="28" spans="1:8" x14ac:dyDescent="0.45">
      <c r="A28" t="s">
        <v>233</v>
      </c>
    </row>
    <row r="29" spans="1:8" x14ac:dyDescent="0.45">
      <c r="A29" t="s">
        <v>30</v>
      </c>
      <c r="B29" t="s">
        <v>226</v>
      </c>
      <c r="C29" t="s">
        <v>190</v>
      </c>
      <c r="D29" t="s">
        <v>191</v>
      </c>
      <c r="E29" t="s">
        <v>231</v>
      </c>
      <c r="F29" t="s">
        <v>38</v>
      </c>
    </row>
    <row r="30" spans="1:8" x14ac:dyDescent="0.45">
      <c r="A30" t="str">
        <f ca="1">IFERROR(INDEX('Compliance Checklist'!B$4:B$153,MATCH(1,'Compliance Checklist'!S$4:S$153,0)),"")</f>
        <v/>
      </c>
      <c r="B30" t="str">
        <f ca="1">IF(A30="","",VLOOKUP(A30,Roster!$A:$C,2,FALSE)&amp;", "&amp;VLOOKUP(A30,Roster!$A:$C,3,FALSE))</f>
        <v/>
      </c>
      <c r="C30" t="str">
        <f ca="1">IF(A30="","",INDEX('Compliance Checklist'!G$4:G$153,MATCH(A30,'Compliance Checklist'!B$4:B$153,0)))</f>
        <v/>
      </c>
      <c r="D30" s="2" t="str">
        <f ca="1">IF(A30="","",INDEX('Compliance Checklist'!K$4:K$153,MATCH(A30,'Compliance Checklist'!B$4:B$153,0)))</f>
        <v/>
      </c>
      <c r="E30" t="str">
        <f ca="1">IF(A30="","",INDEX('Compliance Checklist'!L$4:L$153,MATCH(A30,'Compliance Checklist'!B$4:B$153,0)))</f>
        <v/>
      </c>
      <c r="F30" t="str">
        <f ca="1">IF(A30="","",INDEX('Compliance Checklist'!M$4:M$153,MATCH(A30,'Compliance Checklist'!B$4:B$153,0)))</f>
        <v/>
      </c>
    </row>
    <row r="31" spans="1:8" x14ac:dyDescent="0.45">
      <c r="A31" t="str">
        <f ca="1">IFERROR(INDEX('Compliance Checklist'!B$4:B$153,MATCH(2,'Compliance Checklist'!S$4:S$153,0)),"")</f>
        <v/>
      </c>
      <c r="B31" t="str">
        <f ca="1">IF(A31="","",VLOOKUP(A31,Roster!$A:$C,2,FALSE)&amp;", "&amp;VLOOKUP(A31,Roster!$A:$C,3,FALSE))</f>
        <v/>
      </c>
      <c r="C31" t="str">
        <f ca="1">IF(A31="","",INDEX('Compliance Checklist'!G$4:G$153,MATCH(A31,'Compliance Checklist'!B$4:B$153,0)))</f>
        <v/>
      </c>
      <c r="D31" s="2" t="str">
        <f ca="1">IF(A31="","",INDEX('Compliance Checklist'!K$4:K$153,MATCH(A31,'Compliance Checklist'!B$4:B$153,0)))</f>
        <v/>
      </c>
      <c r="E31" t="str">
        <f ca="1">IF(A31="","",INDEX('Compliance Checklist'!L$4:L$153,MATCH(A31,'Compliance Checklist'!B$4:B$153,0)))</f>
        <v/>
      </c>
      <c r="F31" t="str">
        <f ca="1">IF(A31="","",INDEX('Compliance Checklist'!M$4:M$153,MATCH(A31,'Compliance Checklist'!B$4:B$153,0)))</f>
        <v/>
      </c>
    </row>
    <row r="32" spans="1:8" x14ac:dyDescent="0.45">
      <c r="A32" t="str">
        <f ca="1">IFERROR(INDEX('Compliance Checklist'!B$4:B$153,MATCH(3,'Compliance Checklist'!S$4:S$153,0)),"")</f>
        <v/>
      </c>
      <c r="B32" t="str">
        <f ca="1">IF(A32="","",VLOOKUP(A32,Roster!$A:$C,2,FALSE)&amp;", "&amp;VLOOKUP(A32,Roster!$A:$C,3,FALSE))</f>
        <v/>
      </c>
      <c r="C32" t="str">
        <f ca="1">IF(A32="","",INDEX('Compliance Checklist'!G$4:G$153,MATCH(A32,'Compliance Checklist'!B$4:B$153,0)))</f>
        <v/>
      </c>
      <c r="D32" s="2" t="str">
        <f ca="1">IF(A32="","",INDEX('Compliance Checklist'!K$4:K$153,MATCH(A32,'Compliance Checklist'!B$4:B$153,0)))</f>
        <v/>
      </c>
      <c r="E32" t="str">
        <f ca="1">IF(A32="","",INDEX('Compliance Checklist'!L$4:L$153,MATCH(A32,'Compliance Checklist'!B$4:B$153,0)))</f>
        <v/>
      </c>
      <c r="F32" t="str">
        <f ca="1">IF(A32="","",INDEX('Compliance Checklist'!M$4:M$153,MATCH(A32,'Compliance Checklist'!B$4:B$153,0)))</f>
        <v/>
      </c>
    </row>
    <row r="33" spans="1:6" x14ac:dyDescent="0.45">
      <c r="A33" t="str">
        <f ca="1">IFERROR(INDEX('Compliance Checklist'!B$4:B$153,MATCH(4,'Compliance Checklist'!S$4:S$153,0)),"")</f>
        <v/>
      </c>
      <c r="B33" t="str">
        <f ca="1">IF(A33="","",VLOOKUP(A33,Roster!$A:$C,2,FALSE)&amp;", "&amp;VLOOKUP(A33,Roster!$A:$C,3,FALSE))</f>
        <v/>
      </c>
      <c r="C33" t="str">
        <f ca="1">IF(A33="","",INDEX('Compliance Checklist'!G$4:G$153,MATCH(A33,'Compliance Checklist'!B$4:B$153,0)))</f>
        <v/>
      </c>
      <c r="D33" s="2" t="str">
        <f ca="1">IF(A33="","",INDEX('Compliance Checklist'!K$4:K$153,MATCH(A33,'Compliance Checklist'!B$4:B$153,0)))</f>
        <v/>
      </c>
      <c r="E33" t="str">
        <f ca="1">IF(A33="","",INDEX('Compliance Checklist'!L$4:L$153,MATCH(A33,'Compliance Checklist'!B$4:B$153,0)))</f>
        <v/>
      </c>
      <c r="F33" t="str">
        <f ca="1">IF(A33="","",INDEX('Compliance Checklist'!M$4:M$153,MATCH(A33,'Compliance Checklist'!B$4:B$153,0)))</f>
        <v/>
      </c>
    </row>
    <row r="34" spans="1:6" x14ac:dyDescent="0.45">
      <c r="A34" t="str">
        <f ca="1">IFERROR(INDEX('Compliance Checklist'!B$4:B$153,MATCH(5,'Compliance Checklist'!S$4:S$153,0)),"")</f>
        <v/>
      </c>
      <c r="B34" t="str">
        <f ca="1">IF(A34="","",VLOOKUP(A34,Roster!$A:$C,2,FALSE)&amp;", "&amp;VLOOKUP(A34,Roster!$A:$C,3,FALSE))</f>
        <v/>
      </c>
      <c r="C34" t="str">
        <f ca="1">IF(A34="","",INDEX('Compliance Checklist'!G$4:G$153,MATCH(A34,'Compliance Checklist'!B$4:B$153,0)))</f>
        <v/>
      </c>
      <c r="D34" s="2" t="str">
        <f ca="1">IF(A34="","",INDEX('Compliance Checklist'!K$4:K$153,MATCH(A34,'Compliance Checklist'!B$4:B$153,0)))</f>
        <v/>
      </c>
      <c r="E34" t="str">
        <f ca="1">IF(A34="","",INDEX('Compliance Checklist'!L$4:L$153,MATCH(A34,'Compliance Checklist'!B$4:B$153,0)))</f>
        <v/>
      </c>
      <c r="F34" t="str">
        <f ca="1">IF(A34="","",INDEX('Compliance Checklist'!M$4:M$153,MATCH(A34,'Compliance Checklist'!B$4:B$153,0)))</f>
        <v/>
      </c>
    </row>
    <row r="35" spans="1:6" x14ac:dyDescent="0.45">
      <c r="A35" t="str">
        <f ca="1">IFERROR(INDEX('Compliance Checklist'!B$4:B$153,MATCH(6,'Compliance Checklist'!S$4:S$153,0)),"")</f>
        <v/>
      </c>
      <c r="B35" t="str">
        <f ca="1">IF(A35="","",VLOOKUP(A35,Roster!$A:$C,2,FALSE)&amp;", "&amp;VLOOKUP(A35,Roster!$A:$C,3,FALSE))</f>
        <v/>
      </c>
      <c r="C35" t="str">
        <f ca="1">IF(A35="","",INDEX('Compliance Checklist'!G$4:G$153,MATCH(A35,'Compliance Checklist'!B$4:B$153,0)))</f>
        <v/>
      </c>
      <c r="D35" s="2" t="str">
        <f ca="1">IF(A35="","",INDEX('Compliance Checklist'!K$4:K$153,MATCH(A35,'Compliance Checklist'!B$4:B$153,0)))</f>
        <v/>
      </c>
      <c r="E35" t="str">
        <f ca="1">IF(A35="","",INDEX('Compliance Checklist'!L$4:L$153,MATCH(A35,'Compliance Checklist'!B$4:B$153,0)))</f>
        <v/>
      </c>
      <c r="F35" t="str">
        <f ca="1">IF(A35="","",INDEX('Compliance Checklist'!M$4:M$153,MATCH(A35,'Compliance Checklist'!B$4:B$153,0)))</f>
        <v/>
      </c>
    </row>
    <row r="36" spans="1:6" x14ac:dyDescent="0.45">
      <c r="A36" t="str">
        <f ca="1">IFERROR(INDEX('Compliance Checklist'!B$4:B$153,MATCH(7,'Compliance Checklist'!S$4:S$153,0)),"")</f>
        <v/>
      </c>
      <c r="B36" t="str">
        <f ca="1">IF(A36="","",VLOOKUP(A36,Roster!$A:$C,2,FALSE)&amp;", "&amp;VLOOKUP(A36,Roster!$A:$C,3,FALSE))</f>
        <v/>
      </c>
      <c r="C36" t="str">
        <f ca="1">IF(A36="","",INDEX('Compliance Checklist'!G$4:G$153,MATCH(A36,'Compliance Checklist'!B$4:B$153,0)))</f>
        <v/>
      </c>
      <c r="D36" s="2" t="str">
        <f ca="1">IF(A36="","",INDEX('Compliance Checklist'!K$4:K$153,MATCH(A36,'Compliance Checklist'!B$4:B$153,0)))</f>
        <v/>
      </c>
      <c r="E36" t="str">
        <f ca="1">IF(A36="","",INDEX('Compliance Checklist'!L$4:L$153,MATCH(A36,'Compliance Checklist'!B$4:B$153,0)))</f>
        <v/>
      </c>
      <c r="F36" t="str">
        <f ca="1">IF(A36="","",INDEX('Compliance Checklist'!M$4:M$153,MATCH(A36,'Compliance Checklist'!B$4:B$153,0)))</f>
        <v/>
      </c>
    </row>
    <row r="37" spans="1:6" x14ac:dyDescent="0.45">
      <c r="A37" t="str">
        <f ca="1">IFERROR(INDEX('Compliance Checklist'!B$4:B$153,MATCH(8,'Compliance Checklist'!S$4:S$153,0)),"")</f>
        <v/>
      </c>
      <c r="B37" t="str">
        <f ca="1">IF(A37="","",VLOOKUP(A37,Roster!$A:$C,2,FALSE)&amp;", "&amp;VLOOKUP(A37,Roster!$A:$C,3,FALSE))</f>
        <v/>
      </c>
      <c r="C37" t="str">
        <f ca="1">IF(A37="","",INDEX('Compliance Checklist'!G$4:G$153,MATCH(A37,'Compliance Checklist'!B$4:B$153,0)))</f>
        <v/>
      </c>
      <c r="D37" s="2" t="str">
        <f ca="1">IF(A37="","",INDEX('Compliance Checklist'!K$4:K$153,MATCH(A37,'Compliance Checklist'!B$4:B$153,0)))</f>
        <v/>
      </c>
      <c r="E37" t="str">
        <f ca="1">IF(A37="","",INDEX('Compliance Checklist'!L$4:L$153,MATCH(A37,'Compliance Checklist'!B$4:B$153,0)))</f>
        <v/>
      </c>
      <c r="F37" t="str">
        <f ca="1">IF(A37="","",INDEX('Compliance Checklist'!M$4:M$153,MATCH(A37,'Compliance Checklist'!B$4:B$153,0)))</f>
        <v/>
      </c>
    </row>
    <row r="38" spans="1:6" x14ac:dyDescent="0.45">
      <c r="A38" t="str">
        <f ca="1">IFERROR(INDEX('Compliance Checklist'!B$4:B$153,MATCH(9,'Compliance Checklist'!S$4:S$153,0)),"")</f>
        <v/>
      </c>
      <c r="B38" t="str">
        <f ca="1">IF(A38="","",VLOOKUP(A38,Roster!$A:$C,2,FALSE)&amp;", "&amp;VLOOKUP(A38,Roster!$A:$C,3,FALSE))</f>
        <v/>
      </c>
      <c r="C38" t="str">
        <f ca="1">IF(A38="","",INDEX('Compliance Checklist'!G$4:G$153,MATCH(A38,'Compliance Checklist'!B$4:B$153,0)))</f>
        <v/>
      </c>
      <c r="D38" s="2" t="str">
        <f ca="1">IF(A38="","",INDEX('Compliance Checklist'!K$4:K$153,MATCH(A38,'Compliance Checklist'!B$4:B$153,0)))</f>
        <v/>
      </c>
      <c r="E38" t="str">
        <f ca="1">IF(A38="","",INDEX('Compliance Checklist'!L$4:L$153,MATCH(A38,'Compliance Checklist'!B$4:B$153,0)))</f>
        <v/>
      </c>
      <c r="F38" t="str">
        <f ca="1">IF(A38="","",INDEX('Compliance Checklist'!M$4:M$153,MATCH(A38,'Compliance Checklist'!B$4:B$153,0)))</f>
        <v/>
      </c>
    </row>
    <row r="39" spans="1:6" x14ac:dyDescent="0.45">
      <c r="A39" t="str">
        <f ca="1">IFERROR(INDEX('Compliance Checklist'!B$4:B$153,MATCH(10,'Compliance Checklist'!S$4:S$153,0)),"")</f>
        <v/>
      </c>
      <c r="B39" t="str">
        <f ca="1">IF(A39="","",VLOOKUP(A39,Roster!$A:$C,2,FALSE)&amp;", "&amp;VLOOKUP(A39,Roster!$A:$C,3,FALSE))</f>
        <v/>
      </c>
      <c r="C39" t="str">
        <f ca="1">IF(A39="","",INDEX('Compliance Checklist'!G$4:G$153,MATCH(A39,'Compliance Checklist'!B$4:B$153,0)))</f>
        <v/>
      </c>
      <c r="D39" s="2" t="str">
        <f ca="1">IF(A39="","",INDEX('Compliance Checklist'!K$4:K$153,MATCH(A39,'Compliance Checklist'!B$4:B$153,0)))</f>
        <v/>
      </c>
      <c r="E39" t="str">
        <f ca="1">IF(A39="","",INDEX('Compliance Checklist'!L$4:L$153,MATCH(A39,'Compliance Checklist'!B$4:B$153,0)))</f>
        <v/>
      </c>
      <c r="F39" t="str">
        <f ca="1">IF(A39="","",INDEX('Compliance Checklist'!M$4:M$153,MATCH(A39,'Compliance Checklist'!B$4:B$153,0)))</f>
        <v/>
      </c>
    </row>
    <row r="41" spans="1:6" x14ac:dyDescent="0.45">
      <c r="A41" t="s">
        <v>234</v>
      </c>
    </row>
    <row r="42" spans="1:6" x14ac:dyDescent="0.45">
      <c r="A42" t="s">
        <v>179</v>
      </c>
      <c r="B42">
        <f>COUNTIFS('DAEP Placements'!O$3:O$102,"",'DAEP Placements'!B$3:B$102,"&lt;&gt;")</f>
        <v>3</v>
      </c>
    </row>
    <row r="43" spans="1:6" x14ac:dyDescent="0.45">
      <c r="A43" t="s">
        <v>235</v>
      </c>
      <c r="B43">
        <f ca="1">COUNTIFS('DAEP Placements'!J$3:J$102,"&gt;0",'DAEP Placements'!J$3:J$102,"&lt;=5",'DAEP Placements'!O$3:O$102,"")</f>
        <v>0</v>
      </c>
    </row>
    <row r="44" spans="1:6" x14ac:dyDescent="0.45">
      <c r="A44" t="s">
        <v>236</v>
      </c>
      <c r="B44">
        <f ca="1">COUNTIFS('DAEP Placements'!J$3:J$102,"&lt;=0",'DAEP Placements'!O$3:O$102,"",'DAEP Placements'!B$3:B$102,"&lt;&gt;")</f>
        <v>3</v>
      </c>
    </row>
    <row r="45" spans="1:6" x14ac:dyDescent="0.45">
      <c r="A45" t="s">
        <v>237</v>
      </c>
      <c r="B45">
        <f>COUNTIFS(Roster!J$3:J$102,"Yes",Roster!I$3:I$102,"Active")</f>
        <v>1</v>
      </c>
    </row>
    <row r="46" spans="1:6" x14ac:dyDescent="0.45">
      <c r="A46" t="s">
        <v>238</v>
      </c>
      <c r="B46">
        <f>COUNTIFS('Compliance Checklist'!M$4:M$153,"&lt;&gt;Complete",'Compliance Checklist'!M$4:M$153,"&lt;&gt;N/A",'Compliance Checklist'!B$4:B$153,"&lt;&gt;")</f>
        <v>1</v>
      </c>
    </row>
    <row r="47" spans="1:6" x14ac:dyDescent="0.45">
      <c r="A47" t="s">
        <v>239</v>
      </c>
      <c r="B47">
        <f ca="1">COUNTIFS('Compliance Checklist'!L$4:L$153,"&gt;=-5",'Compliance Checklist'!L$4:L$153,"&lt;=3",'Compliance Checklist'!M$4:M$153,"&lt;&gt;Complete",'Compliance Checklist'!M$4:M$153,"&lt;&gt;N/A",'Compliance Checklist'!B$4:B$153,"&lt;&gt;")</f>
        <v>0</v>
      </c>
    </row>
    <row r="49" spans="1:8" x14ac:dyDescent="0.45">
      <c r="A49" s="4" t="s">
        <v>240</v>
      </c>
      <c r="B49" s="4"/>
      <c r="C49" s="4"/>
      <c r="D49" s="4"/>
      <c r="E49" s="4"/>
      <c r="F49" s="4"/>
      <c r="G49" s="4"/>
      <c r="H49" s="4"/>
    </row>
  </sheetData>
  <mergeCells count="2">
    <mergeCell ref="A2:H2"/>
    <mergeCell ref="A49:H4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98"/>
  <sheetViews>
    <sheetView zoomScaleNormal="100" workbookViewId="0"/>
  </sheetViews>
  <sheetFormatPr defaultRowHeight="15" customHeight="1" x14ac:dyDescent="0.45"/>
  <cols>
    <col min="1" max="1" width="33.33203125" customWidth="1"/>
    <col min="2" max="2" width="53.33203125" customWidth="1"/>
    <col min="3" max="3" width="33.33203125" customWidth="1"/>
    <col min="4" max="4" width="36.6640625" customWidth="1"/>
  </cols>
  <sheetData>
    <row r="1" spans="1:3" x14ac:dyDescent="0.45">
      <c r="A1" t="s">
        <v>241</v>
      </c>
    </row>
    <row r="2" spans="1:3" x14ac:dyDescent="0.45">
      <c r="A2" t="s">
        <v>242</v>
      </c>
    </row>
    <row r="4" spans="1:3" x14ac:dyDescent="0.45">
      <c r="A4" t="s">
        <v>243</v>
      </c>
    </row>
    <row r="5" spans="1:3" x14ac:dyDescent="0.45">
      <c r="A5" t="s">
        <v>244</v>
      </c>
      <c r="B5" t="s">
        <v>245</v>
      </c>
      <c r="C5" t="s">
        <v>246</v>
      </c>
    </row>
    <row r="6" spans="1:3" x14ac:dyDescent="0.45">
      <c r="A6" t="s">
        <v>247</v>
      </c>
      <c r="B6" t="s">
        <v>248</v>
      </c>
      <c r="C6" t="s">
        <v>249</v>
      </c>
    </row>
    <row r="7" spans="1:3" x14ac:dyDescent="0.45">
      <c r="A7" t="s">
        <v>250</v>
      </c>
      <c r="B7" t="s">
        <v>251</v>
      </c>
      <c r="C7" t="s">
        <v>252</v>
      </c>
    </row>
    <row r="8" spans="1:3" x14ac:dyDescent="0.45">
      <c r="A8" t="s">
        <v>253</v>
      </c>
      <c r="B8" t="s">
        <v>254</v>
      </c>
      <c r="C8" t="s">
        <v>255</v>
      </c>
    </row>
    <row r="9" spans="1:3" x14ac:dyDescent="0.45">
      <c r="A9" t="s">
        <v>256</v>
      </c>
      <c r="B9" t="s">
        <v>257</v>
      </c>
      <c r="C9" t="s">
        <v>258</v>
      </c>
    </row>
    <row r="10" spans="1:3" x14ac:dyDescent="0.45">
      <c r="A10" t="s">
        <v>259</v>
      </c>
      <c r="B10" t="s">
        <v>260</v>
      </c>
      <c r="C10" t="s">
        <v>261</v>
      </c>
    </row>
    <row r="11" spans="1:3" x14ac:dyDescent="0.45">
      <c r="A11" t="s">
        <v>262</v>
      </c>
      <c r="B11" t="s">
        <v>263</v>
      </c>
      <c r="C11" t="s">
        <v>264</v>
      </c>
    </row>
    <row r="12" spans="1:3" x14ac:dyDescent="0.45">
      <c r="A12" t="s">
        <v>265</v>
      </c>
      <c r="B12" t="s">
        <v>266</v>
      </c>
      <c r="C12" t="s">
        <v>267</v>
      </c>
    </row>
    <row r="13" spans="1:3" x14ac:dyDescent="0.45">
      <c r="A13" t="s">
        <v>268</v>
      </c>
      <c r="B13" t="s">
        <v>269</v>
      </c>
      <c r="C13" t="s">
        <v>270</v>
      </c>
    </row>
    <row r="14" spans="1:3" x14ac:dyDescent="0.45">
      <c r="A14" t="s">
        <v>271</v>
      </c>
      <c r="B14" t="s">
        <v>272</v>
      </c>
      <c r="C14" t="s">
        <v>273</v>
      </c>
    </row>
    <row r="15" spans="1:3" x14ac:dyDescent="0.45">
      <c r="A15" t="s">
        <v>274</v>
      </c>
      <c r="B15" t="s">
        <v>275</v>
      </c>
      <c r="C15" t="s">
        <v>276</v>
      </c>
    </row>
    <row r="16" spans="1:3" x14ac:dyDescent="0.45">
      <c r="A16" t="s">
        <v>277</v>
      </c>
      <c r="B16" t="s">
        <v>278</v>
      </c>
      <c r="C16" t="s">
        <v>279</v>
      </c>
    </row>
    <row r="17" spans="1:3" x14ac:dyDescent="0.45">
      <c r="A17" t="s">
        <v>280</v>
      </c>
      <c r="B17" t="s">
        <v>281</v>
      </c>
      <c r="C17" t="s">
        <v>282</v>
      </c>
    </row>
    <row r="18" spans="1:3" x14ac:dyDescent="0.45">
      <c r="A18" t="s">
        <v>283</v>
      </c>
      <c r="B18" t="s">
        <v>284</v>
      </c>
      <c r="C18" t="s">
        <v>285</v>
      </c>
    </row>
    <row r="20" spans="1:3" x14ac:dyDescent="0.45">
      <c r="A20" t="s">
        <v>286</v>
      </c>
    </row>
    <row r="21" spans="1:3" x14ac:dyDescent="0.45">
      <c r="B21" t="s">
        <v>287</v>
      </c>
    </row>
    <row r="22" spans="1:3" x14ac:dyDescent="0.45">
      <c r="B22" t="s">
        <v>288</v>
      </c>
    </row>
    <row r="23" spans="1:3" x14ac:dyDescent="0.45">
      <c r="B23" t="s">
        <v>289</v>
      </c>
    </row>
    <row r="24" spans="1:3" x14ac:dyDescent="0.45">
      <c r="B24" t="s">
        <v>290</v>
      </c>
    </row>
    <row r="25" spans="1:3" x14ac:dyDescent="0.45">
      <c r="B25" t="s">
        <v>291</v>
      </c>
    </row>
    <row r="26" spans="1:3" x14ac:dyDescent="0.45">
      <c r="B26" t="s">
        <v>292</v>
      </c>
    </row>
    <row r="27" spans="1:3" x14ac:dyDescent="0.45">
      <c r="B27" t="s">
        <v>293</v>
      </c>
    </row>
    <row r="28" spans="1:3" x14ac:dyDescent="0.45">
      <c r="B28" t="s">
        <v>294</v>
      </c>
    </row>
    <row r="30" spans="1:3" x14ac:dyDescent="0.45">
      <c r="B30" t="s">
        <v>295</v>
      </c>
    </row>
    <row r="31" spans="1:3" x14ac:dyDescent="0.45">
      <c r="B31" t="s">
        <v>296</v>
      </c>
    </row>
    <row r="32" spans="1:3" x14ac:dyDescent="0.45">
      <c r="B32" t="s">
        <v>297</v>
      </c>
    </row>
    <row r="33" spans="1:4" x14ac:dyDescent="0.45">
      <c r="B33" t="s">
        <v>298</v>
      </c>
    </row>
    <row r="34" spans="1:4" x14ac:dyDescent="0.45">
      <c r="B34" t="s">
        <v>299</v>
      </c>
    </row>
    <row r="35" spans="1:4" x14ac:dyDescent="0.45">
      <c r="B35" t="s">
        <v>300</v>
      </c>
    </row>
    <row r="36" spans="1:4" x14ac:dyDescent="0.45">
      <c r="B36" t="s">
        <v>301</v>
      </c>
    </row>
    <row r="37" spans="1:4" x14ac:dyDescent="0.45">
      <c r="B37" t="s">
        <v>302</v>
      </c>
    </row>
    <row r="39" spans="1:4" x14ac:dyDescent="0.45">
      <c r="A39" t="s">
        <v>303</v>
      </c>
    </row>
    <row r="40" spans="1:4" x14ac:dyDescent="0.45">
      <c r="A40" t="s">
        <v>304</v>
      </c>
      <c r="B40" t="s">
        <v>305</v>
      </c>
      <c r="C40" t="s">
        <v>306</v>
      </c>
      <c r="D40" t="s">
        <v>307</v>
      </c>
    </row>
    <row r="41" spans="1:4" x14ac:dyDescent="0.45">
      <c r="A41" t="s">
        <v>161</v>
      </c>
      <c r="B41" t="s">
        <v>308</v>
      </c>
      <c r="C41" t="s">
        <v>309</v>
      </c>
      <c r="D41" t="s">
        <v>310</v>
      </c>
    </row>
    <row r="42" spans="1:4" x14ac:dyDescent="0.45">
      <c r="A42" t="s">
        <v>311</v>
      </c>
      <c r="B42" t="s">
        <v>312</v>
      </c>
      <c r="C42" t="s">
        <v>313</v>
      </c>
      <c r="D42" t="s">
        <v>314</v>
      </c>
    </row>
    <row r="43" spans="1:4" x14ac:dyDescent="0.45">
      <c r="A43" t="s">
        <v>315</v>
      </c>
      <c r="B43" t="s">
        <v>316</v>
      </c>
      <c r="C43" t="s">
        <v>317</v>
      </c>
      <c r="D43" t="s">
        <v>314</v>
      </c>
    </row>
    <row r="44" spans="1:4" x14ac:dyDescent="0.45">
      <c r="A44" t="s">
        <v>318</v>
      </c>
      <c r="B44" t="s">
        <v>319</v>
      </c>
      <c r="C44" t="s">
        <v>320</v>
      </c>
      <c r="D44" t="s">
        <v>321</v>
      </c>
    </row>
    <row r="45" spans="1:4" x14ac:dyDescent="0.45">
      <c r="A45" t="s">
        <v>322</v>
      </c>
      <c r="B45" t="s">
        <v>323</v>
      </c>
      <c r="C45" t="s">
        <v>324</v>
      </c>
      <c r="D45" t="s">
        <v>325</v>
      </c>
    </row>
    <row r="46" spans="1:4" x14ac:dyDescent="0.45">
      <c r="A46" t="s">
        <v>326</v>
      </c>
      <c r="B46" t="s">
        <v>327</v>
      </c>
      <c r="C46" t="s">
        <v>328</v>
      </c>
      <c r="D46" t="s">
        <v>329</v>
      </c>
    </row>
    <row r="47" spans="1:4" x14ac:dyDescent="0.45">
      <c r="A47" t="s">
        <v>278</v>
      </c>
      <c r="B47" t="s">
        <v>330</v>
      </c>
      <c r="C47" t="s">
        <v>331</v>
      </c>
      <c r="D47" t="s">
        <v>332</v>
      </c>
    </row>
    <row r="48" spans="1:4" x14ac:dyDescent="0.45">
      <c r="A48" t="s">
        <v>333</v>
      </c>
      <c r="B48" t="s">
        <v>334</v>
      </c>
      <c r="C48" t="s">
        <v>335</v>
      </c>
      <c r="D48" t="s">
        <v>336</v>
      </c>
    </row>
    <row r="49" spans="1:4" x14ac:dyDescent="0.45">
      <c r="A49" t="s">
        <v>337</v>
      </c>
      <c r="B49" t="s">
        <v>338</v>
      </c>
      <c r="C49" t="s">
        <v>339</v>
      </c>
      <c r="D49" t="s">
        <v>340</v>
      </c>
    </row>
    <row r="51" spans="1:4" x14ac:dyDescent="0.45">
      <c r="A51" t="s">
        <v>341</v>
      </c>
    </row>
    <row r="52" spans="1:4" x14ac:dyDescent="0.45">
      <c r="A52" t="s">
        <v>342</v>
      </c>
      <c r="B52" t="s">
        <v>343</v>
      </c>
    </row>
    <row r="53" spans="1:4" x14ac:dyDescent="0.45">
      <c r="A53" t="s">
        <v>344</v>
      </c>
      <c r="B53" t="s">
        <v>345</v>
      </c>
    </row>
    <row r="54" spans="1:4" x14ac:dyDescent="0.45">
      <c r="A54" t="s">
        <v>346</v>
      </c>
      <c r="B54" t="s">
        <v>347</v>
      </c>
    </row>
    <row r="55" spans="1:4" x14ac:dyDescent="0.45">
      <c r="A55" t="s">
        <v>348</v>
      </c>
      <c r="B55" t="s">
        <v>349</v>
      </c>
    </row>
    <row r="56" spans="1:4" x14ac:dyDescent="0.45">
      <c r="A56" t="s">
        <v>350</v>
      </c>
      <c r="B56" t="s">
        <v>351</v>
      </c>
    </row>
    <row r="57" spans="1:4" x14ac:dyDescent="0.45">
      <c r="A57" t="s">
        <v>352</v>
      </c>
      <c r="B57" t="s">
        <v>353</v>
      </c>
    </row>
    <row r="58" spans="1:4" x14ac:dyDescent="0.45">
      <c r="A58" t="s">
        <v>272</v>
      </c>
      <c r="B58" t="s">
        <v>354</v>
      </c>
    </row>
    <row r="59" spans="1:4" x14ac:dyDescent="0.45">
      <c r="A59" t="s">
        <v>355</v>
      </c>
      <c r="B59" t="s">
        <v>356</v>
      </c>
    </row>
    <row r="60" spans="1:4" x14ac:dyDescent="0.45">
      <c r="A60" t="s">
        <v>357</v>
      </c>
      <c r="B60" t="s">
        <v>358</v>
      </c>
    </row>
    <row r="61" spans="1:4" x14ac:dyDescent="0.45">
      <c r="A61" t="s">
        <v>359</v>
      </c>
      <c r="B61" t="s">
        <v>360</v>
      </c>
    </row>
    <row r="62" spans="1:4" x14ac:dyDescent="0.45">
      <c r="A62" t="s">
        <v>361</v>
      </c>
      <c r="B62" t="s">
        <v>362</v>
      </c>
    </row>
    <row r="63" spans="1:4" x14ac:dyDescent="0.45">
      <c r="A63" t="s">
        <v>363</v>
      </c>
      <c r="B63" t="s">
        <v>364</v>
      </c>
    </row>
    <row r="64" spans="1:4" x14ac:dyDescent="0.45">
      <c r="A64" t="s">
        <v>365</v>
      </c>
      <c r="B64" t="s">
        <v>366</v>
      </c>
    </row>
    <row r="65" spans="1:2" x14ac:dyDescent="0.45">
      <c r="A65" t="s">
        <v>367</v>
      </c>
      <c r="B65" t="s">
        <v>368</v>
      </c>
    </row>
    <row r="66" spans="1:2" x14ac:dyDescent="0.45">
      <c r="A66" t="s">
        <v>369</v>
      </c>
      <c r="B66" t="s">
        <v>370</v>
      </c>
    </row>
    <row r="67" spans="1:2" x14ac:dyDescent="0.45">
      <c r="A67" t="s">
        <v>371</v>
      </c>
      <c r="B67" t="s">
        <v>372</v>
      </c>
    </row>
    <row r="69" spans="1:2" x14ac:dyDescent="0.45">
      <c r="A69" t="s">
        <v>373</v>
      </c>
    </row>
    <row r="70" spans="1:2" x14ac:dyDescent="0.45">
      <c r="A70" t="s">
        <v>374</v>
      </c>
      <c r="B70" t="s">
        <v>375</v>
      </c>
    </row>
    <row r="71" spans="1:2" x14ac:dyDescent="0.45">
      <c r="A71" t="s">
        <v>376</v>
      </c>
      <c r="B71" t="s">
        <v>377</v>
      </c>
    </row>
    <row r="72" spans="1:2" x14ac:dyDescent="0.45">
      <c r="A72" t="s">
        <v>378</v>
      </c>
      <c r="B72" t="s">
        <v>379</v>
      </c>
    </row>
    <row r="73" spans="1:2" x14ac:dyDescent="0.45">
      <c r="A73" t="s">
        <v>380</v>
      </c>
      <c r="B73" t="s">
        <v>57</v>
      </c>
    </row>
    <row r="74" spans="1:2" x14ac:dyDescent="0.45">
      <c r="A74" t="s">
        <v>381</v>
      </c>
      <c r="B74" t="s">
        <v>382</v>
      </c>
    </row>
    <row r="75" spans="1:2" x14ac:dyDescent="0.45">
      <c r="A75" t="s">
        <v>383</v>
      </c>
      <c r="B75" t="s">
        <v>384</v>
      </c>
    </row>
    <row r="76" spans="1:2" x14ac:dyDescent="0.45">
      <c r="A76" t="s">
        <v>385</v>
      </c>
      <c r="B76" t="s">
        <v>386</v>
      </c>
    </row>
    <row r="77" spans="1:2" x14ac:dyDescent="0.45">
      <c r="A77" t="s">
        <v>387</v>
      </c>
      <c r="B77" t="s">
        <v>388</v>
      </c>
    </row>
    <row r="78" spans="1:2" x14ac:dyDescent="0.45">
      <c r="A78" t="s">
        <v>389</v>
      </c>
      <c r="B78" t="s">
        <v>390</v>
      </c>
    </row>
    <row r="79" spans="1:2" x14ac:dyDescent="0.45">
      <c r="A79" t="s">
        <v>391</v>
      </c>
      <c r="B79" t="s">
        <v>392</v>
      </c>
    </row>
    <row r="80" spans="1:2" x14ac:dyDescent="0.45">
      <c r="A80" t="s">
        <v>393</v>
      </c>
      <c r="B80" t="s">
        <v>394</v>
      </c>
    </row>
    <row r="81" spans="1:2" x14ac:dyDescent="0.45">
      <c r="A81" t="s">
        <v>395</v>
      </c>
      <c r="B81" t="s">
        <v>396</v>
      </c>
    </row>
    <row r="82" spans="1:2" x14ac:dyDescent="0.45">
      <c r="A82" t="s">
        <v>397</v>
      </c>
      <c r="B82" t="s">
        <v>398</v>
      </c>
    </row>
    <row r="83" spans="1:2" x14ac:dyDescent="0.45">
      <c r="A83" t="s">
        <v>399</v>
      </c>
      <c r="B83" t="s">
        <v>400</v>
      </c>
    </row>
    <row r="85" spans="1:2" x14ac:dyDescent="0.45">
      <c r="A85" t="s">
        <v>401</v>
      </c>
    </row>
    <row r="86" spans="1:2" x14ac:dyDescent="0.45">
      <c r="A86" t="s">
        <v>402</v>
      </c>
      <c r="B86" t="s">
        <v>403</v>
      </c>
    </row>
    <row r="87" spans="1:2" x14ac:dyDescent="0.45">
      <c r="A87" t="s">
        <v>404</v>
      </c>
      <c r="B87" t="s">
        <v>405</v>
      </c>
    </row>
    <row r="88" spans="1:2" x14ac:dyDescent="0.45">
      <c r="A88" t="s">
        <v>406</v>
      </c>
      <c r="B88" t="s">
        <v>407</v>
      </c>
    </row>
    <row r="89" spans="1:2" x14ac:dyDescent="0.45">
      <c r="A89" t="s">
        <v>408</v>
      </c>
      <c r="B89" t="s">
        <v>409</v>
      </c>
    </row>
    <row r="90" spans="1:2" x14ac:dyDescent="0.45">
      <c r="A90" t="s">
        <v>120</v>
      </c>
      <c r="B90" t="s">
        <v>410</v>
      </c>
    </row>
    <row r="91" spans="1:2" x14ac:dyDescent="0.45">
      <c r="A91" t="s">
        <v>164</v>
      </c>
      <c r="B91" t="s">
        <v>411</v>
      </c>
    </row>
    <row r="92" spans="1:2" x14ac:dyDescent="0.45">
      <c r="A92" t="s">
        <v>175</v>
      </c>
      <c r="B92" t="s">
        <v>412</v>
      </c>
    </row>
    <row r="93" spans="1:2" x14ac:dyDescent="0.45">
      <c r="A93" t="s">
        <v>413</v>
      </c>
      <c r="B93" t="s">
        <v>414</v>
      </c>
    </row>
    <row r="94" spans="1:2" x14ac:dyDescent="0.45">
      <c r="A94" t="s">
        <v>415</v>
      </c>
      <c r="B94" t="s">
        <v>416</v>
      </c>
    </row>
    <row r="95" spans="1:2" x14ac:dyDescent="0.45">
      <c r="A95" t="s">
        <v>417</v>
      </c>
      <c r="B95" t="s">
        <v>418</v>
      </c>
    </row>
    <row r="96" spans="1:2" x14ac:dyDescent="0.45">
      <c r="A96" t="s">
        <v>419</v>
      </c>
      <c r="B96" t="s">
        <v>420</v>
      </c>
    </row>
    <row r="98" spans="1:1" x14ac:dyDescent="0.45">
      <c r="A98" t="s">
        <v>421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6"/>
  <sheetViews>
    <sheetView zoomScaleNormal="100" workbookViewId="0"/>
  </sheetViews>
  <sheetFormatPr defaultRowHeight="15" customHeight="1" x14ac:dyDescent="0.45"/>
  <cols>
    <col min="1" max="1" width="53.33203125" customWidth="1"/>
    <col min="2" max="2" width="33.33203125" customWidth="1"/>
    <col min="3" max="3" width="50" customWidth="1"/>
  </cols>
  <sheetData>
    <row r="1" spans="1:3" x14ac:dyDescent="0.45">
      <c r="A1" t="s">
        <v>422</v>
      </c>
    </row>
    <row r="2" spans="1:3" x14ac:dyDescent="0.45">
      <c r="A2" t="s">
        <v>1</v>
      </c>
    </row>
    <row r="4" spans="1:3" x14ac:dyDescent="0.45">
      <c r="A4" t="s">
        <v>423</v>
      </c>
    </row>
    <row r="5" spans="1:3" x14ac:dyDescent="0.45">
      <c r="A5" t="s">
        <v>424</v>
      </c>
    </row>
    <row r="6" spans="1:3" x14ac:dyDescent="0.45">
      <c r="A6" t="s">
        <v>425</v>
      </c>
    </row>
    <row r="8" spans="1:3" x14ac:dyDescent="0.45">
      <c r="A8" t="s">
        <v>426</v>
      </c>
    </row>
    <row r="9" spans="1:3" x14ac:dyDescent="0.45">
      <c r="A9" t="s">
        <v>427</v>
      </c>
      <c r="B9" t="s">
        <v>428</v>
      </c>
      <c r="C9" t="s">
        <v>429</v>
      </c>
    </row>
    <row r="10" spans="1:3" x14ac:dyDescent="0.45">
      <c r="A10" t="s">
        <v>430</v>
      </c>
      <c r="B10" t="s">
        <v>431</v>
      </c>
      <c r="C10" t="s">
        <v>432</v>
      </c>
    </row>
    <row r="11" spans="1:3" x14ac:dyDescent="0.45">
      <c r="A11" t="s">
        <v>433</v>
      </c>
      <c r="B11" t="s">
        <v>434</v>
      </c>
      <c r="C11" t="s">
        <v>435</v>
      </c>
    </row>
    <row r="12" spans="1:3" x14ac:dyDescent="0.45">
      <c r="A12" t="s">
        <v>436</v>
      </c>
      <c r="B12" t="s">
        <v>437</v>
      </c>
      <c r="C12" t="s">
        <v>438</v>
      </c>
    </row>
    <row r="13" spans="1:3" x14ac:dyDescent="0.45">
      <c r="A13" t="s">
        <v>439</v>
      </c>
      <c r="B13" t="s">
        <v>440</v>
      </c>
      <c r="C13" t="s">
        <v>441</v>
      </c>
    </row>
    <row r="14" spans="1:3" x14ac:dyDescent="0.45">
      <c r="A14" t="s">
        <v>442</v>
      </c>
      <c r="B14" t="s">
        <v>443</v>
      </c>
      <c r="C14" t="s">
        <v>444</v>
      </c>
    </row>
    <row r="15" spans="1:3" x14ac:dyDescent="0.45">
      <c r="A15" t="s">
        <v>445</v>
      </c>
      <c r="B15" t="s">
        <v>446</v>
      </c>
      <c r="C15" t="s">
        <v>447</v>
      </c>
    </row>
    <row r="16" spans="1:3" x14ac:dyDescent="0.45">
      <c r="A16" t="s">
        <v>448</v>
      </c>
      <c r="B16" t="s">
        <v>449</v>
      </c>
      <c r="C16" t="s">
        <v>450</v>
      </c>
    </row>
    <row r="17" spans="1:3" x14ac:dyDescent="0.45">
      <c r="A17" t="s">
        <v>451</v>
      </c>
      <c r="B17" t="s">
        <v>452</v>
      </c>
      <c r="C17" t="s">
        <v>453</v>
      </c>
    </row>
    <row r="18" spans="1:3" x14ac:dyDescent="0.45">
      <c r="A18" t="s">
        <v>454</v>
      </c>
      <c r="B18" t="s">
        <v>455</v>
      </c>
      <c r="C18" t="s">
        <v>456</v>
      </c>
    </row>
    <row r="19" spans="1:3" x14ac:dyDescent="0.45">
      <c r="A19" t="s">
        <v>457</v>
      </c>
      <c r="B19" t="s">
        <v>458</v>
      </c>
      <c r="C19" t="s">
        <v>459</v>
      </c>
    </row>
    <row r="20" spans="1:3" x14ac:dyDescent="0.45">
      <c r="A20" t="s">
        <v>460</v>
      </c>
      <c r="B20" t="s">
        <v>461</v>
      </c>
      <c r="C20" t="s">
        <v>462</v>
      </c>
    </row>
    <row r="21" spans="1:3" x14ac:dyDescent="0.45">
      <c r="A21" t="s">
        <v>463</v>
      </c>
      <c r="B21" t="s">
        <v>464</v>
      </c>
      <c r="C21" t="s">
        <v>465</v>
      </c>
    </row>
    <row r="22" spans="1:3" x14ac:dyDescent="0.45">
      <c r="A22" t="s">
        <v>466</v>
      </c>
      <c r="B22" t="s">
        <v>446</v>
      </c>
      <c r="C22" t="s">
        <v>467</v>
      </c>
    </row>
    <row r="23" spans="1:3" x14ac:dyDescent="0.45">
      <c r="A23" t="s">
        <v>468</v>
      </c>
      <c r="B23" t="s">
        <v>469</v>
      </c>
      <c r="C23" t="s">
        <v>470</v>
      </c>
    </row>
    <row r="24" spans="1:3" x14ac:dyDescent="0.45">
      <c r="A24" t="s">
        <v>471</v>
      </c>
      <c r="B24" t="s">
        <v>446</v>
      </c>
      <c r="C24" t="s">
        <v>472</v>
      </c>
    </row>
    <row r="25" spans="1:3" x14ac:dyDescent="0.45">
      <c r="A25" t="s">
        <v>473</v>
      </c>
      <c r="B25" t="s">
        <v>474</v>
      </c>
      <c r="C25" t="s">
        <v>475</v>
      </c>
    </row>
    <row r="27" spans="1:3" x14ac:dyDescent="0.45">
      <c r="A27" t="s">
        <v>476</v>
      </c>
    </row>
    <row r="28" spans="1:3" x14ac:dyDescent="0.45">
      <c r="A28" t="s">
        <v>477</v>
      </c>
    </row>
    <row r="29" spans="1:3" x14ac:dyDescent="0.45">
      <c r="A29" t="s">
        <v>478</v>
      </c>
    </row>
    <row r="31" spans="1:3" x14ac:dyDescent="0.45">
      <c r="A31" t="s">
        <v>479</v>
      </c>
    </row>
    <row r="32" spans="1:3" x14ac:dyDescent="0.45">
      <c r="A32" t="s">
        <v>480</v>
      </c>
    </row>
    <row r="33" spans="1:1" x14ac:dyDescent="0.45">
      <c r="A33" t="s">
        <v>481</v>
      </c>
    </row>
    <row r="34" spans="1:1" x14ac:dyDescent="0.45">
      <c r="A34" t="s">
        <v>482</v>
      </c>
    </row>
    <row r="36" spans="1:1" x14ac:dyDescent="0.45">
      <c r="A36" t="s">
        <v>483</v>
      </c>
    </row>
    <row r="37" spans="1:1" x14ac:dyDescent="0.45">
      <c r="A37" t="s">
        <v>484</v>
      </c>
    </row>
    <row r="38" spans="1:1" x14ac:dyDescent="0.45">
      <c r="A38" t="s">
        <v>485</v>
      </c>
    </row>
    <row r="39" spans="1:1" x14ac:dyDescent="0.45">
      <c r="A39" t="s">
        <v>486</v>
      </c>
    </row>
    <row r="41" spans="1:1" x14ac:dyDescent="0.45">
      <c r="A41" t="s">
        <v>487</v>
      </c>
    </row>
    <row r="42" spans="1:1" x14ac:dyDescent="0.45">
      <c r="A42" t="s">
        <v>488</v>
      </c>
    </row>
    <row r="43" spans="1:1" x14ac:dyDescent="0.45">
      <c r="A43" t="s">
        <v>489</v>
      </c>
    </row>
    <row r="45" spans="1:1" x14ac:dyDescent="0.45">
      <c r="A45" t="s">
        <v>490</v>
      </c>
    </row>
    <row r="46" spans="1:1" x14ac:dyDescent="0.45">
      <c r="A46" t="s">
        <v>491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27"/>
  <sheetViews>
    <sheetView zoomScaleNormal="100" workbookViewId="0"/>
  </sheetViews>
  <sheetFormatPr defaultRowHeight="15" customHeight="1" x14ac:dyDescent="0.45"/>
  <cols>
    <col min="1" max="1" width="23.33203125" customWidth="1"/>
    <col min="2" max="2" width="26.6640625" customWidth="1"/>
    <col min="3" max="3" width="46.6640625" customWidth="1"/>
    <col min="4" max="5" width="30" customWidth="1"/>
    <col min="6" max="6" width="21.6640625" customWidth="1"/>
    <col min="7" max="7" width="38.33203125" customWidth="1"/>
    <col min="8" max="8" width="46.6640625" customWidth="1"/>
    <col min="9" max="9" width="21.6640625" customWidth="1"/>
    <col min="10" max="10" width="13.33203125" customWidth="1"/>
    <col min="11" max="11" width="16.6640625" customWidth="1"/>
    <col min="12" max="12" width="20" customWidth="1"/>
  </cols>
  <sheetData>
    <row r="1" spans="1:12" x14ac:dyDescent="0.45">
      <c r="A1" t="s">
        <v>492</v>
      </c>
      <c r="B1" t="s">
        <v>493</v>
      </c>
      <c r="C1" t="s">
        <v>494</v>
      </c>
      <c r="D1" t="s">
        <v>495</v>
      </c>
      <c r="E1" t="s">
        <v>496</v>
      </c>
      <c r="F1" t="s">
        <v>497</v>
      </c>
      <c r="G1" t="s">
        <v>498</v>
      </c>
      <c r="H1" t="s">
        <v>499</v>
      </c>
      <c r="I1" t="s">
        <v>137</v>
      </c>
      <c r="J1" t="s">
        <v>500</v>
      </c>
      <c r="K1" t="s">
        <v>501</v>
      </c>
      <c r="L1" t="s">
        <v>502</v>
      </c>
    </row>
    <row r="2" spans="1:12" x14ac:dyDescent="0.45">
      <c r="A2" t="s">
        <v>212</v>
      </c>
      <c r="B2" t="s">
        <v>100</v>
      </c>
      <c r="C2" t="s">
        <v>101</v>
      </c>
      <c r="D2" t="s">
        <v>377</v>
      </c>
      <c r="E2" t="s">
        <v>116</v>
      </c>
      <c r="F2" t="s">
        <v>54</v>
      </c>
      <c r="G2" t="s">
        <v>144</v>
      </c>
      <c r="H2" t="s">
        <v>161</v>
      </c>
      <c r="I2" t="s">
        <v>503</v>
      </c>
      <c r="J2" t="s">
        <v>55</v>
      </c>
      <c r="K2" t="s">
        <v>55</v>
      </c>
      <c r="L2" t="s">
        <v>55</v>
      </c>
    </row>
    <row r="3" spans="1:12" x14ac:dyDescent="0.45">
      <c r="A3" t="s">
        <v>213</v>
      </c>
      <c r="B3" t="s">
        <v>107</v>
      </c>
      <c r="C3" t="s">
        <v>504</v>
      </c>
      <c r="D3" t="s">
        <v>379</v>
      </c>
      <c r="E3" t="s">
        <v>109</v>
      </c>
      <c r="F3" t="s">
        <v>68</v>
      </c>
      <c r="G3" t="s">
        <v>197</v>
      </c>
      <c r="H3" t="s">
        <v>311</v>
      </c>
      <c r="I3" t="s">
        <v>174</v>
      </c>
      <c r="J3" t="s">
        <v>56</v>
      </c>
      <c r="K3" t="s">
        <v>56</v>
      </c>
      <c r="L3" t="s">
        <v>56</v>
      </c>
    </row>
    <row r="4" spans="1:12" x14ac:dyDescent="0.45">
      <c r="A4" t="s">
        <v>214</v>
      </c>
      <c r="B4" t="s">
        <v>202</v>
      </c>
      <c r="C4" t="s">
        <v>505</v>
      </c>
      <c r="D4" t="s">
        <v>57</v>
      </c>
      <c r="E4" t="s">
        <v>506</v>
      </c>
      <c r="F4" t="s">
        <v>197</v>
      </c>
      <c r="G4" t="s">
        <v>507</v>
      </c>
      <c r="H4" t="s">
        <v>508</v>
      </c>
      <c r="I4" t="s">
        <v>163</v>
      </c>
      <c r="K4" t="s">
        <v>171</v>
      </c>
      <c r="L4" t="s">
        <v>509</v>
      </c>
    </row>
    <row r="5" spans="1:12" x14ac:dyDescent="0.45">
      <c r="A5" t="s">
        <v>215</v>
      </c>
      <c r="B5" t="s">
        <v>118</v>
      </c>
      <c r="C5" t="s">
        <v>510</v>
      </c>
      <c r="D5" t="s">
        <v>382</v>
      </c>
      <c r="E5" t="s">
        <v>120</v>
      </c>
      <c r="F5" t="s">
        <v>198</v>
      </c>
      <c r="G5" t="s">
        <v>511</v>
      </c>
      <c r="H5" t="s">
        <v>512</v>
      </c>
      <c r="I5" t="s">
        <v>513</v>
      </c>
    </row>
    <row r="6" spans="1:12" x14ac:dyDescent="0.45">
      <c r="A6" t="s">
        <v>216</v>
      </c>
      <c r="B6" t="s">
        <v>203</v>
      </c>
      <c r="C6" t="s">
        <v>514</v>
      </c>
      <c r="D6" t="s">
        <v>384</v>
      </c>
      <c r="E6" t="s">
        <v>164</v>
      </c>
      <c r="F6" t="s">
        <v>199</v>
      </c>
      <c r="G6" t="s">
        <v>515</v>
      </c>
      <c r="H6" t="s">
        <v>516</v>
      </c>
      <c r="I6" t="s">
        <v>171</v>
      </c>
    </row>
    <row r="7" spans="1:12" x14ac:dyDescent="0.45">
      <c r="A7" t="s">
        <v>217</v>
      </c>
      <c r="B7" t="s">
        <v>204</v>
      </c>
      <c r="C7" t="s">
        <v>517</v>
      </c>
      <c r="D7" t="s">
        <v>386</v>
      </c>
      <c r="E7" t="s">
        <v>103</v>
      </c>
      <c r="G7" t="s">
        <v>518</v>
      </c>
      <c r="H7" t="s">
        <v>519</v>
      </c>
    </row>
    <row r="8" spans="1:12" x14ac:dyDescent="0.45">
      <c r="A8" t="s">
        <v>218</v>
      </c>
      <c r="B8" t="s">
        <v>205</v>
      </c>
      <c r="C8" t="s">
        <v>520</v>
      </c>
      <c r="D8" t="s">
        <v>388</v>
      </c>
      <c r="E8" t="s">
        <v>521</v>
      </c>
      <c r="G8" t="s">
        <v>522</v>
      </c>
      <c r="H8" t="s">
        <v>322</v>
      </c>
    </row>
    <row r="9" spans="1:12" x14ac:dyDescent="0.45">
      <c r="A9" t="s">
        <v>219</v>
      </c>
      <c r="B9" t="s">
        <v>206</v>
      </c>
      <c r="C9" t="s">
        <v>523</v>
      </c>
      <c r="D9" t="s">
        <v>390</v>
      </c>
      <c r="E9" t="s">
        <v>524</v>
      </c>
      <c r="H9" t="s">
        <v>525</v>
      </c>
    </row>
    <row r="10" spans="1:12" x14ac:dyDescent="0.45">
      <c r="A10" t="s">
        <v>67</v>
      </c>
      <c r="B10" t="s">
        <v>207</v>
      </c>
      <c r="C10" t="s">
        <v>526</v>
      </c>
      <c r="D10" t="s">
        <v>392</v>
      </c>
      <c r="E10" t="s">
        <v>175</v>
      </c>
      <c r="H10" t="s">
        <v>527</v>
      </c>
    </row>
    <row r="11" spans="1:12" x14ac:dyDescent="0.45">
      <c r="A11" t="s">
        <v>51</v>
      </c>
      <c r="B11" t="s">
        <v>208</v>
      </c>
      <c r="C11" t="s">
        <v>528</v>
      </c>
      <c r="D11" t="s">
        <v>394</v>
      </c>
      <c r="E11" t="s">
        <v>417</v>
      </c>
      <c r="H11" t="s">
        <v>529</v>
      </c>
    </row>
    <row r="12" spans="1:12" x14ac:dyDescent="0.45">
      <c r="A12" t="s">
        <v>74</v>
      </c>
      <c r="B12" t="s">
        <v>209</v>
      </c>
      <c r="C12" t="s">
        <v>530</v>
      </c>
      <c r="D12" t="s">
        <v>396</v>
      </c>
      <c r="E12" t="s">
        <v>531</v>
      </c>
      <c r="H12" t="s">
        <v>532</v>
      </c>
    </row>
    <row r="13" spans="1:12" x14ac:dyDescent="0.45">
      <c r="A13" t="s">
        <v>62</v>
      </c>
      <c r="C13" t="s">
        <v>533</v>
      </c>
      <c r="D13" t="s">
        <v>398</v>
      </c>
      <c r="E13" t="s">
        <v>209</v>
      </c>
      <c r="H13" t="s">
        <v>534</v>
      </c>
    </row>
    <row r="14" spans="1:12" x14ac:dyDescent="0.45">
      <c r="A14" t="s">
        <v>79</v>
      </c>
      <c r="D14" t="s">
        <v>400</v>
      </c>
      <c r="H14" t="s">
        <v>333</v>
      </c>
    </row>
    <row r="15" spans="1:12" x14ac:dyDescent="0.45">
      <c r="A15" t="s">
        <v>220</v>
      </c>
      <c r="D15" t="s">
        <v>461</v>
      </c>
      <c r="H15" t="s">
        <v>167</v>
      </c>
    </row>
    <row r="16" spans="1:12" x14ac:dyDescent="0.45">
      <c r="H16" t="s">
        <v>535</v>
      </c>
    </row>
    <row r="17" spans="1:8" x14ac:dyDescent="0.45">
      <c r="H17" t="s">
        <v>536</v>
      </c>
    </row>
    <row r="19" spans="1:8" x14ac:dyDescent="0.45">
      <c r="A19" t="s">
        <v>537</v>
      </c>
    </row>
    <row r="20" spans="1:8" x14ac:dyDescent="0.45">
      <c r="A20" t="s">
        <v>538</v>
      </c>
    </row>
    <row r="21" spans="1:8" x14ac:dyDescent="0.45">
      <c r="A21" t="s">
        <v>539</v>
      </c>
    </row>
    <row r="22" spans="1:8" x14ac:dyDescent="0.45">
      <c r="A22" t="s">
        <v>540</v>
      </c>
    </row>
    <row r="23" spans="1:8" x14ac:dyDescent="0.45">
      <c r="A23" t="s">
        <v>541</v>
      </c>
    </row>
    <row r="25" spans="1:8" x14ac:dyDescent="0.45">
      <c r="A25" t="s">
        <v>542</v>
      </c>
    </row>
    <row r="26" spans="1:8" x14ac:dyDescent="0.45">
      <c r="A26" t="s">
        <v>543</v>
      </c>
    </row>
    <row r="27" spans="1:8" x14ac:dyDescent="0.45">
      <c r="A27" t="s">
        <v>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</vt:lpstr>
      <vt:lpstr>Roster</vt:lpstr>
      <vt:lpstr>Incident Log</vt:lpstr>
      <vt:lpstr>DAEP Placements</vt:lpstr>
      <vt:lpstr>Compliance Checklist</vt:lpstr>
      <vt:lpstr>Dashboard</vt:lpstr>
      <vt:lpstr>📋 Status Board</vt:lpstr>
      <vt:lpstr>Reference</vt:lpstr>
      <vt:lpstr>↑ Upgrade to Waypoint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Kim Culley</cp:lastModifiedBy>
  <dcterms:created xsi:type="dcterms:W3CDTF">2026-03-24T22:53:32Z</dcterms:created>
  <dcterms:modified xsi:type="dcterms:W3CDTF">2026-07-14T19:47:34Z</dcterms:modified>
</cp:coreProperties>
</file>