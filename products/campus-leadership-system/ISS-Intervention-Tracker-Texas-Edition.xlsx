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kcul\waypoint-intelligent-design-daep-master\products\campus-leadership-system\"/>
    </mc:Choice>
  </mc:AlternateContent>
  <xr:revisionPtr revIDLastSave="0" documentId="13_ncr:1_{B31B4E66-B72C-455D-A39D-132FB15E834D}" xr6:coauthVersionLast="47" xr6:coauthVersionMax="47" xr10:uidLastSave="{00000000-0000-0000-0000-000000000000}"/>
  <bookViews>
    <workbookView xWindow="2940" yWindow="2940" windowWidth="16200" windowHeight="9982" xr2:uid="{00000000-000D-0000-FFFF-FFFF00000000}"/>
  </bookViews>
  <sheets>
    <sheet name="Cover" sheetId="1" r:id="rId1"/>
    <sheet name="Student Roster" sheetId="2" r:id="rId2"/>
    <sheet name="ISS Placements" sheetId="3" r:id="rId3"/>
    <sheet name="Daily Activity Log" sheetId="4" r:id="rId4"/>
    <sheet name="Re-Entry Checklist" sheetId="5" r:id="rId5"/>
    <sheet name="Intervention Library" sheetId="6" r:id="rId6"/>
    <sheet name="Student Activity Plans" sheetId="7" r:id="rId7"/>
    <sheet name="Outcome Tracker" sheetId="8" r:id="rId8"/>
    <sheet name="Dashboard" sheetId="9" r:id="rId9"/>
    <sheet name="🔄 Re-Entry Board" sheetId="10" r:id="rId10"/>
    <sheet name="Reference" sheetId="11" r:id="rId11"/>
    <sheet name="↑ Upgrade to Navigator" sheetId="12" r:id="rId12"/>
    <sheet name="Lists" sheetId="13" r:id="rId13"/>
    <sheet name="↑ Upgrade to Waypoint" sheetId="14" r:id="rId14"/>
  </sheets>
  <definedNames>
    <definedName name="_xlnm.Print_Titles" localSheetId="3">'Daily Activity Log'!$1:$3</definedName>
    <definedName name="_xlnm.Print_Titles" localSheetId="5">'Intervention Library'!$1:$3</definedName>
    <definedName name="_xlnm.Print_Titles" localSheetId="2">'ISS Placements'!$1:$3</definedName>
    <definedName name="_xlnm.Print_Titles" localSheetId="7">'Outcome Tracker'!$1:$3</definedName>
    <definedName name="_xlnm.Print_Titles" localSheetId="4">'Re-Entry Checklist'!$1:$3</definedName>
    <definedName name="_xlnm.Print_Titles" localSheetId="10">Reference!$1:$2</definedName>
    <definedName name="_xlnm.Print_Titles" localSheetId="1">'Student Roster'!$1:$3</definedName>
    <definedName name="_xlnm.Print_Titles" localSheetId="9">'🔄 Re-Entry Board'!$1:$4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0" l="1"/>
  <c r="B29" i="9"/>
  <c r="B26" i="9"/>
  <c r="B23" i="9"/>
  <c r="B21" i="9"/>
  <c r="B18" i="9"/>
  <c r="B17" i="9"/>
  <c r="B16" i="9"/>
  <c r="B15" i="9"/>
  <c r="B6" i="9"/>
  <c r="B4" i="9"/>
  <c r="A2" i="9"/>
  <c r="K153" i="8"/>
  <c r="J153" i="8"/>
  <c r="L153" i="8" s="1"/>
  <c r="D153" i="8"/>
  <c r="C153" i="8"/>
  <c r="B153" i="8"/>
  <c r="K152" i="8"/>
  <c r="J152" i="8"/>
  <c r="L152" i="8" s="1"/>
  <c r="D152" i="8"/>
  <c r="C152" i="8"/>
  <c r="B152" i="8"/>
  <c r="K151" i="8"/>
  <c r="J151" i="8"/>
  <c r="L151" i="8" s="1"/>
  <c r="D151" i="8"/>
  <c r="C151" i="8"/>
  <c r="B151" i="8"/>
  <c r="K150" i="8"/>
  <c r="J150" i="8"/>
  <c r="L150" i="8" s="1"/>
  <c r="D150" i="8"/>
  <c r="C150" i="8"/>
  <c r="B150" i="8"/>
  <c r="K149" i="8"/>
  <c r="J149" i="8"/>
  <c r="L149" i="8" s="1"/>
  <c r="D149" i="8"/>
  <c r="C149" i="8"/>
  <c r="B149" i="8"/>
  <c r="K148" i="8"/>
  <c r="J148" i="8"/>
  <c r="L148" i="8" s="1"/>
  <c r="D148" i="8"/>
  <c r="C148" i="8"/>
  <c r="B148" i="8"/>
  <c r="K147" i="8"/>
  <c r="J147" i="8"/>
  <c r="L147" i="8" s="1"/>
  <c r="D147" i="8"/>
  <c r="C147" i="8"/>
  <c r="B147" i="8"/>
  <c r="K146" i="8"/>
  <c r="J146" i="8"/>
  <c r="L146" i="8" s="1"/>
  <c r="D146" i="8"/>
  <c r="C146" i="8"/>
  <c r="B146" i="8"/>
  <c r="K145" i="8"/>
  <c r="J145" i="8"/>
  <c r="L145" i="8" s="1"/>
  <c r="D145" i="8"/>
  <c r="C145" i="8"/>
  <c r="B145" i="8"/>
  <c r="K144" i="8"/>
  <c r="J144" i="8"/>
  <c r="L144" i="8" s="1"/>
  <c r="D144" i="8"/>
  <c r="C144" i="8"/>
  <c r="B144" i="8"/>
  <c r="K143" i="8"/>
  <c r="J143" i="8"/>
  <c r="L143" i="8" s="1"/>
  <c r="D143" i="8"/>
  <c r="C143" i="8"/>
  <c r="B143" i="8"/>
  <c r="K142" i="8"/>
  <c r="J142" i="8"/>
  <c r="L142" i="8" s="1"/>
  <c r="D142" i="8"/>
  <c r="C142" i="8"/>
  <c r="B142" i="8"/>
  <c r="K141" i="8"/>
  <c r="J141" i="8"/>
  <c r="L141" i="8" s="1"/>
  <c r="D141" i="8"/>
  <c r="C141" i="8"/>
  <c r="B141" i="8"/>
  <c r="K140" i="8"/>
  <c r="J140" i="8"/>
  <c r="L140" i="8" s="1"/>
  <c r="D140" i="8"/>
  <c r="C140" i="8"/>
  <c r="B140" i="8"/>
  <c r="K139" i="8"/>
  <c r="J139" i="8"/>
  <c r="L139" i="8" s="1"/>
  <c r="D139" i="8"/>
  <c r="C139" i="8"/>
  <c r="B139" i="8"/>
  <c r="K138" i="8"/>
  <c r="J138" i="8"/>
  <c r="L138" i="8" s="1"/>
  <c r="D138" i="8"/>
  <c r="C138" i="8"/>
  <c r="B138" i="8"/>
  <c r="K137" i="8"/>
  <c r="J137" i="8"/>
  <c r="L137" i="8" s="1"/>
  <c r="D137" i="8"/>
  <c r="C137" i="8"/>
  <c r="B137" i="8"/>
  <c r="K136" i="8"/>
  <c r="J136" i="8"/>
  <c r="L136" i="8" s="1"/>
  <c r="D136" i="8"/>
  <c r="C136" i="8"/>
  <c r="B136" i="8"/>
  <c r="K135" i="8"/>
  <c r="J135" i="8"/>
  <c r="L135" i="8" s="1"/>
  <c r="D135" i="8"/>
  <c r="C135" i="8"/>
  <c r="B135" i="8"/>
  <c r="K134" i="8"/>
  <c r="J134" i="8"/>
  <c r="L134" i="8" s="1"/>
  <c r="D134" i="8"/>
  <c r="C134" i="8"/>
  <c r="B134" i="8"/>
  <c r="K133" i="8"/>
  <c r="J133" i="8"/>
  <c r="L133" i="8" s="1"/>
  <c r="D133" i="8"/>
  <c r="C133" i="8"/>
  <c r="B133" i="8"/>
  <c r="K132" i="8"/>
  <c r="J132" i="8"/>
  <c r="L132" i="8" s="1"/>
  <c r="D132" i="8"/>
  <c r="C132" i="8"/>
  <c r="B132" i="8"/>
  <c r="K131" i="8"/>
  <c r="J131" i="8"/>
  <c r="L131" i="8" s="1"/>
  <c r="D131" i="8"/>
  <c r="C131" i="8"/>
  <c r="B131" i="8"/>
  <c r="K130" i="8"/>
  <c r="J130" i="8"/>
  <c r="L130" i="8" s="1"/>
  <c r="D130" i="8"/>
  <c r="C130" i="8"/>
  <c r="B130" i="8"/>
  <c r="K129" i="8"/>
  <c r="J129" i="8"/>
  <c r="L129" i="8" s="1"/>
  <c r="D129" i="8"/>
  <c r="C129" i="8"/>
  <c r="B129" i="8"/>
  <c r="K128" i="8"/>
  <c r="J128" i="8"/>
  <c r="L128" i="8" s="1"/>
  <c r="D128" i="8"/>
  <c r="C128" i="8"/>
  <c r="B128" i="8"/>
  <c r="K127" i="8"/>
  <c r="J127" i="8"/>
  <c r="L127" i="8" s="1"/>
  <c r="D127" i="8"/>
  <c r="C127" i="8"/>
  <c r="B127" i="8"/>
  <c r="K126" i="8"/>
  <c r="J126" i="8"/>
  <c r="L126" i="8" s="1"/>
  <c r="D126" i="8"/>
  <c r="C126" i="8"/>
  <c r="B126" i="8"/>
  <c r="K125" i="8"/>
  <c r="J125" i="8"/>
  <c r="L125" i="8" s="1"/>
  <c r="D125" i="8"/>
  <c r="C125" i="8"/>
  <c r="B125" i="8"/>
  <c r="K124" i="8"/>
  <c r="J124" i="8"/>
  <c r="L124" i="8" s="1"/>
  <c r="D124" i="8"/>
  <c r="C124" i="8"/>
  <c r="B124" i="8"/>
  <c r="K123" i="8"/>
  <c r="J123" i="8"/>
  <c r="L123" i="8" s="1"/>
  <c r="D123" i="8"/>
  <c r="C123" i="8"/>
  <c r="B123" i="8"/>
  <c r="K122" i="8"/>
  <c r="J122" i="8"/>
  <c r="L122" i="8" s="1"/>
  <c r="D122" i="8"/>
  <c r="C122" i="8"/>
  <c r="B122" i="8"/>
  <c r="K121" i="8"/>
  <c r="J121" i="8"/>
  <c r="L121" i="8" s="1"/>
  <c r="D121" i="8"/>
  <c r="C121" i="8"/>
  <c r="B121" i="8"/>
  <c r="K120" i="8"/>
  <c r="J120" i="8"/>
  <c r="L120" i="8" s="1"/>
  <c r="D120" i="8"/>
  <c r="C120" i="8"/>
  <c r="B120" i="8"/>
  <c r="K119" i="8"/>
  <c r="J119" i="8"/>
  <c r="L119" i="8" s="1"/>
  <c r="D119" i="8"/>
  <c r="C119" i="8"/>
  <c r="B119" i="8"/>
  <c r="K118" i="8"/>
  <c r="J118" i="8"/>
  <c r="L118" i="8" s="1"/>
  <c r="D118" i="8"/>
  <c r="C118" i="8"/>
  <c r="B118" i="8"/>
  <c r="K117" i="8"/>
  <c r="J117" i="8"/>
  <c r="L117" i="8" s="1"/>
  <c r="D117" i="8"/>
  <c r="C117" i="8"/>
  <c r="B117" i="8"/>
  <c r="K116" i="8"/>
  <c r="J116" i="8"/>
  <c r="L116" i="8" s="1"/>
  <c r="D116" i="8"/>
  <c r="C116" i="8"/>
  <c r="B116" i="8"/>
  <c r="K115" i="8"/>
  <c r="J115" i="8"/>
  <c r="L115" i="8" s="1"/>
  <c r="D115" i="8"/>
  <c r="C115" i="8"/>
  <c r="B115" i="8"/>
  <c r="K114" i="8"/>
  <c r="J114" i="8"/>
  <c r="L114" i="8" s="1"/>
  <c r="D114" i="8"/>
  <c r="C114" i="8"/>
  <c r="B114" i="8"/>
  <c r="K113" i="8"/>
  <c r="J113" i="8"/>
  <c r="L113" i="8" s="1"/>
  <c r="D113" i="8"/>
  <c r="C113" i="8"/>
  <c r="B113" i="8"/>
  <c r="K112" i="8"/>
  <c r="J112" i="8"/>
  <c r="L112" i="8" s="1"/>
  <c r="D112" i="8"/>
  <c r="C112" i="8"/>
  <c r="B112" i="8"/>
  <c r="K111" i="8"/>
  <c r="J111" i="8"/>
  <c r="L111" i="8" s="1"/>
  <c r="D111" i="8"/>
  <c r="C111" i="8"/>
  <c r="B111" i="8"/>
  <c r="K110" i="8"/>
  <c r="J110" i="8"/>
  <c r="L110" i="8" s="1"/>
  <c r="D110" i="8"/>
  <c r="C110" i="8"/>
  <c r="B110" i="8"/>
  <c r="K109" i="8"/>
  <c r="J109" i="8"/>
  <c r="L109" i="8" s="1"/>
  <c r="D109" i="8"/>
  <c r="C109" i="8"/>
  <c r="B109" i="8"/>
  <c r="K108" i="8"/>
  <c r="J108" i="8"/>
  <c r="L108" i="8" s="1"/>
  <c r="D108" i="8"/>
  <c r="C108" i="8"/>
  <c r="B108" i="8"/>
  <c r="K107" i="8"/>
  <c r="J107" i="8"/>
  <c r="L107" i="8" s="1"/>
  <c r="D107" i="8"/>
  <c r="C107" i="8"/>
  <c r="B107" i="8"/>
  <c r="K106" i="8"/>
  <c r="J106" i="8"/>
  <c r="L106" i="8" s="1"/>
  <c r="D106" i="8"/>
  <c r="C106" i="8"/>
  <c r="B106" i="8"/>
  <c r="K105" i="8"/>
  <c r="J105" i="8"/>
  <c r="L105" i="8" s="1"/>
  <c r="D105" i="8"/>
  <c r="C105" i="8"/>
  <c r="B105" i="8"/>
  <c r="K104" i="8"/>
  <c r="J104" i="8"/>
  <c r="L104" i="8" s="1"/>
  <c r="D104" i="8"/>
  <c r="C104" i="8"/>
  <c r="B104" i="8"/>
  <c r="K103" i="8"/>
  <c r="J103" i="8"/>
  <c r="L103" i="8" s="1"/>
  <c r="D103" i="8"/>
  <c r="C103" i="8"/>
  <c r="B103" i="8"/>
  <c r="K102" i="8"/>
  <c r="J102" i="8"/>
  <c r="L102" i="8" s="1"/>
  <c r="D102" i="8"/>
  <c r="C102" i="8"/>
  <c r="B102" i="8"/>
  <c r="K101" i="8"/>
  <c r="J101" i="8"/>
  <c r="L101" i="8" s="1"/>
  <c r="D101" i="8"/>
  <c r="C101" i="8"/>
  <c r="B101" i="8"/>
  <c r="K100" i="8"/>
  <c r="J100" i="8"/>
  <c r="L100" i="8" s="1"/>
  <c r="D100" i="8"/>
  <c r="C100" i="8"/>
  <c r="B100" i="8"/>
  <c r="K99" i="8"/>
  <c r="J99" i="8"/>
  <c r="L99" i="8" s="1"/>
  <c r="D99" i="8"/>
  <c r="C99" i="8"/>
  <c r="B99" i="8"/>
  <c r="K98" i="8"/>
  <c r="J98" i="8"/>
  <c r="L98" i="8" s="1"/>
  <c r="D98" i="8"/>
  <c r="C98" i="8"/>
  <c r="B98" i="8"/>
  <c r="K97" i="8"/>
  <c r="J97" i="8"/>
  <c r="L97" i="8" s="1"/>
  <c r="D97" i="8"/>
  <c r="C97" i="8"/>
  <c r="B97" i="8"/>
  <c r="K96" i="8"/>
  <c r="J96" i="8"/>
  <c r="L96" i="8" s="1"/>
  <c r="D96" i="8"/>
  <c r="C96" i="8"/>
  <c r="B96" i="8"/>
  <c r="K95" i="8"/>
  <c r="J95" i="8"/>
  <c r="L95" i="8" s="1"/>
  <c r="D95" i="8"/>
  <c r="C95" i="8"/>
  <c r="B95" i="8"/>
  <c r="K94" i="8"/>
  <c r="J94" i="8"/>
  <c r="L94" i="8" s="1"/>
  <c r="D94" i="8"/>
  <c r="C94" i="8"/>
  <c r="B94" i="8"/>
  <c r="K93" i="8"/>
  <c r="J93" i="8"/>
  <c r="L93" i="8" s="1"/>
  <c r="D93" i="8"/>
  <c r="C93" i="8"/>
  <c r="B93" i="8"/>
  <c r="K92" i="8"/>
  <c r="J92" i="8"/>
  <c r="L92" i="8" s="1"/>
  <c r="D92" i="8"/>
  <c r="C92" i="8"/>
  <c r="B92" i="8"/>
  <c r="K91" i="8"/>
  <c r="J91" i="8"/>
  <c r="L91" i="8" s="1"/>
  <c r="D91" i="8"/>
  <c r="C91" i="8"/>
  <c r="B91" i="8"/>
  <c r="K90" i="8"/>
  <c r="J90" i="8"/>
  <c r="L90" i="8" s="1"/>
  <c r="D90" i="8"/>
  <c r="C90" i="8"/>
  <c r="B90" i="8"/>
  <c r="K89" i="8"/>
  <c r="J89" i="8"/>
  <c r="L89" i="8" s="1"/>
  <c r="D89" i="8"/>
  <c r="C89" i="8"/>
  <c r="B89" i="8"/>
  <c r="K88" i="8"/>
  <c r="J88" i="8"/>
  <c r="L88" i="8" s="1"/>
  <c r="D88" i="8"/>
  <c r="C88" i="8"/>
  <c r="B88" i="8"/>
  <c r="K87" i="8"/>
  <c r="J87" i="8"/>
  <c r="L87" i="8" s="1"/>
  <c r="D87" i="8"/>
  <c r="C87" i="8"/>
  <c r="B87" i="8"/>
  <c r="K86" i="8"/>
  <c r="J86" i="8"/>
  <c r="L86" i="8" s="1"/>
  <c r="D86" i="8"/>
  <c r="C86" i="8"/>
  <c r="B86" i="8"/>
  <c r="K85" i="8"/>
  <c r="J85" i="8"/>
  <c r="L85" i="8" s="1"/>
  <c r="D85" i="8"/>
  <c r="C85" i="8"/>
  <c r="B85" i="8"/>
  <c r="K84" i="8"/>
  <c r="J84" i="8"/>
  <c r="L84" i="8" s="1"/>
  <c r="D84" i="8"/>
  <c r="C84" i="8"/>
  <c r="B84" i="8"/>
  <c r="K83" i="8"/>
  <c r="J83" i="8"/>
  <c r="L83" i="8" s="1"/>
  <c r="D83" i="8"/>
  <c r="C83" i="8"/>
  <c r="B83" i="8"/>
  <c r="K82" i="8"/>
  <c r="J82" i="8"/>
  <c r="L82" i="8" s="1"/>
  <c r="D82" i="8"/>
  <c r="C82" i="8"/>
  <c r="B82" i="8"/>
  <c r="K81" i="8"/>
  <c r="J81" i="8"/>
  <c r="L81" i="8" s="1"/>
  <c r="D81" i="8"/>
  <c r="C81" i="8"/>
  <c r="B81" i="8"/>
  <c r="K80" i="8"/>
  <c r="J80" i="8"/>
  <c r="L80" i="8" s="1"/>
  <c r="D80" i="8"/>
  <c r="C80" i="8"/>
  <c r="B80" i="8"/>
  <c r="K79" i="8"/>
  <c r="J79" i="8"/>
  <c r="L79" i="8" s="1"/>
  <c r="D79" i="8"/>
  <c r="C79" i="8"/>
  <c r="B79" i="8"/>
  <c r="K78" i="8"/>
  <c r="J78" i="8"/>
  <c r="L78" i="8" s="1"/>
  <c r="D78" i="8"/>
  <c r="C78" i="8"/>
  <c r="B78" i="8"/>
  <c r="K77" i="8"/>
  <c r="J77" i="8"/>
  <c r="L77" i="8" s="1"/>
  <c r="D77" i="8"/>
  <c r="C77" i="8"/>
  <c r="B77" i="8"/>
  <c r="K76" i="8"/>
  <c r="J76" i="8"/>
  <c r="L76" i="8" s="1"/>
  <c r="D76" i="8"/>
  <c r="C76" i="8"/>
  <c r="B76" i="8"/>
  <c r="K75" i="8"/>
  <c r="J75" i="8"/>
  <c r="L75" i="8" s="1"/>
  <c r="D75" i="8"/>
  <c r="C75" i="8"/>
  <c r="B75" i="8"/>
  <c r="K74" i="8"/>
  <c r="J74" i="8"/>
  <c r="L74" i="8" s="1"/>
  <c r="D74" i="8"/>
  <c r="C74" i="8"/>
  <c r="B74" i="8"/>
  <c r="K73" i="8"/>
  <c r="J73" i="8"/>
  <c r="L73" i="8" s="1"/>
  <c r="D73" i="8"/>
  <c r="C73" i="8"/>
  <c r="B73" i="8"/>
  <c r="K72" i="8"/>
  <c r="J72" i="8"/>
  <c r="L72" i="8" s="1"/>
  <c r="D72" i="8"/>
  <c r="C72" i="8"/>
  <c r="B72" i="8"/>
  <c r="K71" i="8"/>
  <c r="J71" i="8"/>
  <c r="L71" i="8" s="1"/>
  <c r="D71" i="8"/>
  <c r="C71" i="8"/>
  <c r="B71" i="8"/>
  <c r="K70" i="8"/>
  <c r="J70" i="8"/>
  <c r="L70" i="8" s="1"/>
  <c r="D70" i="8"/>
  <c r="C70" i="8"/>
  <c r="B70" i="8"/>
  <c r="K69" i="8"/>
  <c r="J69" i="8"/>
  <c r="L69" i="8" s="1"/>
  <c r="D69" i="8"/>
  <c r="C69" i="8"/>
  <c r="B69" i="8"/>
  <c r="K68" i="8"/>
  <c r="J68" i="8"/>
  <c r="L68" i="8" s="1"/>
  <c r="D68" i="8"/>
  <c r="C68" i="8"/>
  <c r="B68" i="8"/>
  <c r="K67" i="8"/>
  <c r="J67" i="8"/>
  <c r="L67" i="8" s="1"/>
  <c r="D67" i="8"/>
  <c r="C67" i="8"/>
  <c r="B67" i="8"/>
  <c r="K66" i="8"/>
  <c r="J66" i="8"/>
  <c r="L66" i="8" s="1"/>
  <c r="D66" i="8"/>
  <c r="C66" i="8"/>
  <c r="B66" i="8"/>
  <c r="K65" i="8"/>
  <c r="J65" i="8"/>
  <c r="L65" i="8" s="1"/>
  <c r="D65" i="8"/>
  <c r="C65" i="8"/>
  <c r="B65" i="8"/>
  <c r="K64" i="8"/>
  <c r="J64" i="8"/>
  <c r="L64" i="8" s="1"/>
  <c r="D64" i="8"/>
  <c r="C64" i="8"/>
  <c r="B64" i="8"/>
  <c r="K63" i="8"/>
  <c r="J63" i="8"/>
  <c r="L63" i="8" s="1"/>
  <c r="D63" i="8"/>
  <c r="C63" i="8"/>
  <c r="B63" i="8"/>
  <c r="K62" i="8"/>
  <c r="J62" i="8"/>
  <c r="L62" i="8" s="1"/>
  <c r="D62" i="8"/>
  <c r="C62" i="8"/>
  <c r="B62" i="8"/>
  <c r="K61" i="8"/>
  <c r="J61" i="8"/>
  <c r="L61" i="8" s="1"/>
  <c r="D61" i="8"/>
  <c r="C61" i="8"/>
  <c r="B61" i="8"/>
  <c r="K60" i="8"/>
  <c r="J60" i="8"/>
  <c r="L60" i="8" s="1"/>
  <c r="D60" i="8"/>
  <c r="C60" i="8"/>
  <c r="B60" i="8"/>
  <c r="K59" i="8"/>
  <c r="J59" i="8"/>
  <c r="L59" i="8" s="1"/>
  <c r="D59" i="8"/>
  <c r="C59" i="8"/>
  <c r="B59" i="8"/>
  <c r="K58" i="8"/>
  <c r="J58" i="8"/>
  <c r="L58" i="8" s="1"/>
  <c r="D58" i="8"/>
  <c r="C58" i="8"/>
  <c r="B58" i="8"/>
  <c r="K57" i="8"/>
  <c r="J57" i="8"/>
  <c r="L57" i="8" s="1"/>
  <c r="D57" i="8"/>
  <c r="C57" i="8"/>
  <c r="B57" i="8"/>
  <c r="K56" i="8"/>
  <c r="J56" i="8"/>
  <c r="L56" i="8" s="1"/>
  <c r="D56" i="8"/>
  <c r="C56" i="8"/>
  <c r="B56" i="8"/>
  <c r="K55" i="8"/>
  <c r="J55" i="8"/>
  <c r="L55" i="8" s="1"/>
  <c r="D55" i="8"/>
  <c r="C55" i="8"/>
  <c r="B55" i="8"/>
  <c r="K54" i="8"/>
  <c r="J54" i="8"/>
  <c r="L54" i="8" s="1"/>
  <c r="D54" i="8"/>
  <c r="C54" i="8"/>
  <c r="B54" i="8"/>
  <c r="K53" i="8"/>
  <c r="J53" i="8"/>
  <c r="L53" i="8" s="1"/>
  <c r="D53" i="8"/>
  <c r="C53" i="8"/>
  <c r="B53" i="8"/>
  <c r="K52" i="8"/>
  <c r="J52" i="8"/>
  <c r="L52" i="8" s="1"/>
  <c r="D52" i="8"/>
  <c r="C52" i="8"/>
  <c r="B52" i="8"/>
  <c r="K51" i="8"/>
  <c r="J51" i="8"/>
  <c r="L51" i="8" s="1"/>
  <c r="D51" i="8"/>
  <c r="C51" i="8"/>
  <c r="B51" i="8"/>
  <c r="K50" i="8"/>
  <c r="J50" i="8"/>
  <c r="L50" i="8" s="1"/>
  <c r="D50" i="8"/>
  <c r="C50" i="8"/>
  <c r="B50" i="8"/>
  <c r="K49" i="8"/>
  <c r="J49" i="8"/>
  <c r="L49" i="8" s="1"/>
  <c r="D49" i="8"/>
  <c r="C49" i="8"/>
  <c r="B49" i="8"/>
  <c r="K48" i="8"/>
  <c r="J48" i="8"/>
  <c r="L48" i="8" s="1"/>
  <c r="D48" i="8"/>
  <c r="C48" i="8"/>
  <c r="B48" i="8"/>
  <c r="K47" i="8"/>
  <c r="J47" i="8"/>
  <c r="L47" i="8" s="1"/>
  <c r="D47" i="8"/>
  <c r="C47" i="8"/>
  <c r="B47" i="8"/>
  <c r="K46" i="8"/>
  <c r="J46" i="8"/>
  <c r="L46" i="8" s="1"/>
  <c r="D46" i="8"/>
  <c r="C46" i="8"/>
  <c r="B46" i="8"/>
  <c r="K45" i="8"/>
  <c r="J45" i="8"/>
  <c r="L45" i="8" s="1"/>
  <c r="D45" i="8"/>
  <c r="C45" i="8"/>
  <c r="B45" i="8"/>
  <c r="K44" i="8"/>
  <c r="J44" i="8"/>
  <c r="L44" i="8" s="1"/>
  <c r="D44" i="8"/>
  <c r="C44" i="8"/>
  <c r="B44" i="8"/>
  <c r="K43" i="8"/>
  <c r="J43" i="8"/>
  <c r="L43" i="8" s="1"/>
  <c r="D43" i="8"/>
  <c r="C43" i="8"/>
  <c r="B43" i="8"/>
  <c r="K42" i="8"/>
  <c r="J42" i="8"/>
  <c r="L42" i="8" s="1"/>
  <c r="D42" i="8"/>
  <c r="C42" i="8"/>
  <c r="B42" i="8"/>
  <c r="K41" i="8"/>
  <c r="J41" i="8"/>
  <c r="L41" i="8" s="1"/>
  <c r="D41" i="8"/>
  <c r="C41" i="8"/>
  <c r="B41" i="8"/>
  <c r="K40" i="8"/>
  <c r="J40" i="8"/>
  <c r="L40" i="8" s="1"/>
  <c r="D40" i="8"/>
  <c r="C40" i="8"/>
  <c r="B40" i="8"/>
  <c r="K39" i="8"/>
  <c r="J39" i="8"/>
  <c r="L39" i="8" s="1"/>
  <c r="D39" i="8"/>
  <c r="C39" i="8"/>
  <c r="B39" i="8"/>
  <c r="K38" i="8"/>
  <c r="J38" i="8"/>
  <c r="L38" i="8" s="1"/>
  <c r="D38" i="8"/>
  <c r="C38" i="8"/>
  <c r="B38" i="8"/>
  <c r="K37" i="8"/>
  <c r="J37" i="8"/>
  <c r="L37" i="8" s="1"/>
  <c r="D37" i="8"/>
  <c r="C37" i="8"/>
  <c r="B37" i="8"/>
  <c r="K36" i="8"/>
  <c r="J36" i="8"/>
  <c r="L36" i="8" s="1"/>
  <c r="D36" i="8"/>
  <c r="C36" i="8"/>
  <c r="B36" i="8"/>
  <c r="K35" i="8"/>
  <c r="J35" i="8"/>
  <c r="L35" i="8" s="1"/>
  <c r="D35" i="8"/>
  <c r="C35" i="8"/>
  <c r="B35" i="8"/>
  <c r="K34" i="8"/>
  <c r="J34" i="8"/>
  <c r="L34" i="8" s="1"/>
  <c r="D34" i="8"/>
  <c r="C34" i="8"/>
  <c r="B34" i="8"/>
  <c r="K33" i="8"/>
  <c r="J33" i="8"/>
  <c r="L33" i="8" s="1"/>
  <c r="D33" i="8"/>
  <c r="C33" i="8"/>
  <c r="B33" i="8"/>
  <c r="K32" i="8"/>
  <c r="J32" i="8"/>
  <c r="L32" i="8" s="1"/>
  <c r="D32" i="8"/>
  <c r="C32" i="8"/>
  <c r="B32" i="8"/>
  <c r="K31" i="8"/>
  <c r="J31" i="8"/>
  <c r="L31" i="8" s="1"/>
  <c r="D31" i="8"/>
  <c r="C31" i="8"/>
  <c r="B31" i="8"/>
  <c r="K30" i="8"/>
  <c r="J30" i="8"/>
  <c r="L30" i="8" s="1"/>
  <c r="D30" i="8"/>
  <c r="C30" i="8"/>
  <c r="B30" i="8"/>
  <c r="K29" i="8"/>
  <c r="J29" i="8"/>
  <c r="L29" i="8" s="1"/>
  <c r="D29" i="8"/>
  <c r="C29" i="8"/>
  <c r="B29" i="8"/>
  <c r="K28" i="8"/>
  <c r="J28" i="8"/>
  <c r="L28" i="8" s="1"/>
  <c r="D28" i="8"/>
  <c r="C28" i="8"/>
  <c r="B28" i="8"/>
  <c r="K27" i="8"/>
  <c r="J27" i="8"/>
  <c r="L27" i="8" s="1"/>
  <c r="D27" i="8"/>
  <c r="C27" i="8"/>
  <c r="B27" i="8"/>
  <c r="K26" i="8"/>
  <c r="J26" i="8"/>
  <c r="L26" i="8" s="1"/>
  <c r="D26" i="8"/>
  <c r="C26" i="8"/>
  <c r="B26" i="8"/>
  <c r="K25" i="8"/>
  <c r="J25" i="8"/>
  <c r="L25" i="8" s="1"/>
  <c r="D25" i="8"/>
  <c r="C25" i="8"/>
  <c r="B25" i="8"/>
  <c r="K24" i="8"/>
  <c r="J24" i="8"/>
  <c r="L24" i="8" s="1"/>
  <c r="D24" i="8"/>
  <c r="C24" i="8"/>
  <c r="B24" i="8"/>
  <c r="K23" i="8"/>
  <c r="J23" i="8"/>
  <c r="L23" i="8" s="1"/>
  <c r="D23" i="8"/>
  <c r="C23" i="8"/>
  <c r="B23" i="8"/>
  <c r="K22" i="8"/>
  <c r="J22" i="8"/>
  <c r="L22" i="8" s="1"/>
  <c r="D22" i="8"/>
  <c r="C22" i="8"/>
  <c r="B22" i="8"/>
  <c r="K21" i="8"/>
  <c r="J21" i="8"/>
  <c r="L21" i="8" s="1"/>
  <c r="D21" i="8"/>
  <c r="C21" i="8"/>
  <c r="B21" i="8"/>
  <c r="K20" i="8"/>
  <c r="J20" i="8"/>
  <c r="L20" i="8" s="1"/>
  <c r="D20" i="8"/>
  <c r="C20" i="8"/>
  <c r="B20" i="8"/>
  <c r="K19" i="8"/>
  <c r="J19" i="8"/>
  <c r="L19" i="8" s="1"/>
  <c r="D19" i="8"/>
  <c r="C19" i="8"/>
  <c r="B19" i="8"/>
  <c r="K18" i="8"/>
  <c r="J18" i="8"/>
  <c r="L18" i="8" s="1"/>
  <c r="D18" i="8"/>
  <c r="C18" i="8"/>
  <c r="B18" i="8"/>
  <c r="K17" i="8"/>
  <c r="J17" i="8"/>
  <c r="L17" i="8" s="1"/>
  <c r="D17" i="8"/>
  <c r="C17" i="8"/>
  <c r="B17" i="8"/>
  <c r="K16" i="8"/>
  <c r="J16" i="8"/>
  <c r="L16" i="8" s="1"/>
  <c r="D16" i="8"/>
  <c r="C16" i="8"/>
  <c r="B16" i="8"/>
  <c r="K15" i="8"/>
  <c r="J15" i="8"/>
  <c r="L15" i="8" s="1"/>
  <c r="D15" i="8"/>
  <c r="C15" i="8"/>
  <c r="B15" i="8"/>
  <c r="K14" i="8"/>
  <c r="J14" i="8"/>
  <c r="L14" i="8" s="1"/>
  <c r="D14" i="8"/>
  <c r="C14" i="8"/>
  <c r="B14" i="8"/>
  <c r="K13" i="8"/>
  <c r="J13" i="8"/>
  <c r="L13" i="8" s="1"/>
  <c r="D13" i="8"/>
  <c r="C13" i="8"/>
  <c r="B13" i="8"/>
  <c r="K12" i="8"/>
  <c r="J12" i="8"/>
  <c r="L12" i="8" s="1"/>
  <c r="D12" i="8"/>
  <c r="C12" i="8"/>
  <c r="B12" i="8"/>
  <c r="K11" i="8"/>
  <c r="J11" i="8"/>
  <c r="L11" i="8" s="1"/>
  <c r="D11" i="8"/>
  <c r="C11" i="8"/>
  <c r="B11" i="8"/>
  <c r="K10" i="8"/>
  <c r="J10" i="8"/>
  <c r="L10" i="8" s="1"/>
  <c r="D10" i="8"/>
  <c r="C10" i="8"/>
  <c r="B10" i="8"/>
  <c r="K9" i="8"/>
  <c r="J9" i="8"/>
  <c r="L9" i="8" s="1"/>
  <c r="D9" i="8"/>
  <c r="C9" i="8"/>
  <c r="B9" i="8"/>
  <c r="K8" i="8"/>
  <c r="J8" i="8"/>
  <c r="L8" i="8" s="1"/>
  <c r="D8" i="8"/>
  <c r="C8" i="8"/>
  <c r="B8" i="8"/>
  <c r="K7" i="8"/>
  <c r="J7" i="8"/>
  <c r="L7" i="8" s="1"/>
  <c r="D7" i="8"/>
  <c r="C7" i="8"/>
  <c r="B7" i="8"/>
  <c r="K6" i="8"/>
  <c r="J6" i="8"/>
  <c r="L6" i="8" s="1"/>
  <c r="D6" i="8"/>
  <c r="C6" i="8"/>
  <c r="B6" i="8"/>
  <c r="K5" i="8"/>
  <c r="J5" i="8"/>
  <c r="L5" i="8" s="1"/>
  <c r="D5" i="8"/>
  <c r="C5" i="8"/>
  <c r="B5" i="8"/>
  <c r="K4" i="8"/>
  <c r="J4" i="8"/>
  <c r="L4" i="8" s="1"/>
  <c r="D4" i="8"/>
  <c r="C4" i="8"/>
  <c r="B4" i="8"/>
  <c r="Y153" i="5"/>
  <c r="W153" i="5"/>
  <c r="X153" i="5" s="1"/>
  <c r="F153" i="5"/>
  <c r="E153" i="5"/>
  <c r="D153" i="5"/>
  <c r="Y152" i="5"/>
  <c r="W152" i="5"/>
  <c r="X152" i="5" s="1"/>
  <c r="F152" i="5"/>
  <c r="E152" i="5"/>
  <c r="D152" i="5"/>
  <c r="Y151" i="5"/>
  <c r="W151" i="5"/>
  <c r="X151" i="5" s="1"/>
  <c r="F151" i="5"/>
  <c r="E151" i="5"/>
  <c r="D151" i="5"/>
  <c r="Y150" i="5"/>
  <c r="W150" i="5"/>
  <c r="X150" i="5" s="1"/>
  <c r="F150" i="5"/>
  <c r="E150" i="5"/>
  <c r="D150" i="5"/>
  <c r="Y149" i="5"/>
  <c r="W149" i="5"/>
  <c r="X149" i="5" s="1"/>
  <c r="F149" i="5"/>
  <c r="E149" i="5"/>
  <c r="D149" i="5"/>
  <c r="Y148" i="5"/>
  <c r="W148" i="5"/>
  <c r="X148" i="5" s="1"/>
  <c r="F148" i="5"/>
  <c r="E148" i="5"/>
  <c r="D148" i="5"/>
  <c r="Y147" i="5"/>
  <c r="W147" i="5"/>
  <c r="X147" i="5" s="1"/>
  <c r="F147" i="5"/>
  <c r="E147" i="5"/>
  <c r="D147" i="5"/>
  <c r="Y146" i="5"/>
  <c r="W146" i="5"/>
  <c r="X146" i="5" s="1"/>
  <c r="F146" i="5"/>
  <c r="E146" i="5"/>
  <c r="D146" i="5"/>
  <c r="Y145" i="5"/>
  <c r="W145" i="5"/>
  <c r="X145" i="5" s="1"/>
  <c r="F145" i="5"/>
  <c r="E145" i="5"/>
  <c r="D145" i="5"/>
  <c r="Y144" i="5"/>
  <c r="W144" i="5"/>
  <c r="X144" i="5" s="1"/>
  <c r="F144" i="5"/>
  <c r="E144" i="5"/>
  <c r="D144" i="5"/>
  <c r="Y143" i="5"/>
  <c r="W143" i="5"/>
  <c r="X143" i="5" s="1"/>
  <c r="F143" i="5"/>
  <c r="E143" i="5"/>
  <c r="D143" i="5"/>
  <c r="Y142" i="5"/>
  <c r="W142" i="5"/>
  <c r="X142" i="5" s="1"/>
  <c r="F142" i="5"/>
  <c r="E142" i="5"/>
  <c r="D142" i="5"/>
  <c r="Y141" i="5"/>
  <c r="W141" i="5"/>
  <c r="X141" i="5" s="1"/>
  <c r="F141" i="5"/>
  <c r="E141" i="5"/>
  <c r="D141" i="5"/>
  <c r="Y140" i="5"/>
  <c r="W140" i="5"/>
  <c r="X140" i="5" s="1"/>
  <c r="F140" i="5"/>
  <c r="E140" i="5"/>
  <c r="D140" i="5"/>
  <c r="Y139" i="5"/>
  <c r="W139" i="5"/>
  <c r="X139" i="5" s="1"/>
  <c r="F139" i="5"/>
  <c r="E139" i="5"/>
  <c r="D139" i="5"/>
  <c r="Y138" i="5"/>
  <c r="W138" i="5"/>
  <c r="X138" i="5" s="1"/>
  <c r="F138" i="5"/>
  <c r="E138" i="5"/>
  <c r="D138" i="5"/>
  <c r="Y137" i="5"/>
  <c r="W137" i="5"/>
  <c r="X137" i="5" s="1"/>
  <c r="F137" i="5"/>
  <c r="E137" i="5"/>
  <c r="D137" i="5"/>
  <c r="Y136" i="5"/>
  <c r="W136" i="5"/>
  <c r="X136" i="5" s="1"/>
  <c r="F136" i="5"/>
  <c r="E136" i="5"/>
  <c r="D136" i="5"/>
  <c r="Y135" i="5"/>
  <c r="W135" i="5"/>
  <c r="X135" i="5" s="1"/>
  <c r="F135" i="5"/>
  <c r="E135" i="5"/>
  <c r="D135" i="5"/>
  <c r="Y134" i="5"/>
  <c r="W134" i="5"/>
  <c r="X134" i="5" s="1"/>
  <c r="F134" i="5"/>
  <c r="E134" i="5"/>
  <c r="D134" i="5"/>
  <c r="Y133" i="5"/>
  <c r="W133" i="5"/>
  <c r="X133" i="5" s="1"/>
  <c r="F133" i="5"/>
  <c r="E133" i="5"/>
  <c r="D133" i="5"/>
  <c r="Y132" i="5"/>
  <c r="W132" i="5"/>
  <c r="X132" i="5" s="1"/>
  <c r="F132" i="5"/>
  <c r="E132" i="5"/>
  <c r="D132" i="5"/>
  <c r="Y131" i="5"/>
  <c r="W131" i="5"/>
  <c r="X131" i="5" s="1"/>
  <c r="F131" i="5"/>
  <c r="E131" i="5"/>
  <c r="D131" i="5"/>
  <c r="Y130" i="5"/>
  <c r="W130" i="5"/>
  <c r="X130" i="5" s="1"/>
  <c r="F130" i="5"/>
  <c r="E130" i="5"/>
  <c r="D130" i="5"/>
  <c r="Y129" i="5"/>
  <c r="W129" i="5"/>
  <c r="X129" i="5" s="1"/>
  <c r="F129" i="5"/>
  <c r="E129" i="5"/>
  <c r="D129" i="5"/>
  <c r="Y128" i="5"/>
  <c r="W128" i="5"/>
  <c r="X128" i="5" s="1"/>
  <c r="F128" i="5"/>
  <c r="E128" i="5"/>
  <c r="D128" i="5"/>
  <c r="Y127" i="5"/>
  <c r="W127" i="5"/>
  <c r="X127" i="5" s="1"/>
  <c r="F127" i="5"/>
  <c r="E127" i="5"/>
  <c r="D127" i="5"/>
  <c r="Y126" i="5"/>
  <c r="W126" i="5"/>
  <c r="X126" i="5" s="1"/>
  <c r="F126" i="5"/>
  <c r="E126" i="5"/>
  <c r="D126" i="5"/>
  <c r="Y125" i="5"/>
  <c r="W125" i="5"/>
  <c r="X125" i="5" s="1"/>
  <c r="F125" i="5"/>
  <c r="E125" i="5"/>
  <c r="D125" i="5"/>
  <c r="Y124" i="5"/>
  <c r="W124" i="5"/>
  <c r="X124" i="5" s="1"/>
  <c r="F124" i="5"/>
  <c r="E124" i="5"/>
  <c r="D124" i="5"/>
  <c r="Y123" i="5"/>
  <c r="W123" i="5"/>
  <c r="X123" i="5" s="1"/>
  <c r="F123" i="5"/>
  <c r="E123" i="5"/>
  <c r="D123" i="5"/>
  <c r="Y122" i="5"/>
  <c r="W122" i="5"/>
  <c r="X122" i="5" s="1"/>
  <c r="F122" i="5"/>
  <c r="E122" i="5"/>
  <c r="D122" i="5"/>
  <c r="Y121" i="5"/>
  <c r="W121" i="5"/>
  <c r="X121" i="5" s="1"/>
  <c r="F121" i="5"/>
  <c r="E121" i="5"/>
  <c r="D121" i="5"/>
  <c r="Y120" i="5"/>
  <c r="W120" i="5"/>
  <c r="X120" i="5" s="1"/>
  <c r="F120" i="5"/>
  <c r="E120" i="5"/>
  <c r="D120" i="5"/>
  <c r="Y119" i="5"/>
  <c r="W119" i="5"/>
  <c r="X119" i="5" s="1"/>
  <c r="F119" i="5"/>
  <c r="E119" i="5"/>
  <c r="D119" i="5"/>
  <c r="Y118" i="5"/>
  <c r="W118" i="5"/>
  <c r="X118" i="5" s="1"/>
  <c r="F118" i="5"/>
  <c r="E118" i="5"/>
  <c r="D118" i="5"/>
  <c r="Y117" i="5"/>
  <c r="W117" i="5"/>
  <c r="X117" i="5" s="1"/>
  <c r="F117" i="5"/>
  <c r="E117" i="5"/>
  <c r="D117" i="5"/>
  <c r="Y116" i="5"/>
  <c r="W116" i="5"/>
  <c r="X116" i="5" s="1"/>
  <c r="F116" i="5"/>
  <c r="E116" i="5"/>
  <c r="D116" i="5"/>
  <c r="Y115" i="5"/>
  <c r="W115" i="5"/>
  <c r="X115" i="5" s="1"/>
  <c r="F115" i="5"/>
  <c r="E115" i="5"/>
  <c r="D115" i="5"/>
  <c r="Y114" i="5"/>
  <c r="W114" i="5"/>
  <c r="X114" i="5" s="1"/>
  <c r="F114" i="5"/>
  <c r="E114" i="5"/>
  <c r="D114" i="5"/>
  <c r="Y113" i="5"/>
  <c r="W113" i="5"/>
  <c r="X113" i="5" s="1"/>
  <c r="F113" i="5"/>
  <c r="E113" i="5"/>
  <c r="D113" i="5"/>
  <c r="Y112" i="5"/>
  <c r="W112" i="5"/>
  <c r="X112" i="5" s="1"/>
  <c r="F112" i="5"/>
  <c r="E112" i="5"/>
  <c r="D112" i="5"/>
  <c r="Y111" i="5"/>
  <c r="W111" i="5"/>
  <c r="X111" i="5" s="1"/>
  <c r="F111" i="5"/>
  <c r="E111" i="5"/>
  <c r="D111" i="5"/>
  <c r="Y110" i="5"/>
  <c r="W110" i="5"/>
  <c r="X110" i="5" s="1"/>
  <c r="F110" i="5"/>
  <c r="E110" i="5"/>
  <c r="D110" i="5"/>
  <c r="Y109" i="5"/>
  <c r="W109" i="5"/>
  <c r="X109" i="5" s="1"/>
  <c r="F109" i="5"/>
  <c r="E109" i="5"/>
  <c r="D109" i="5"/>
  <c r="Y108" i="5"/>
  <c r="W108" i="5"/>
  <c r="X108" i="5" s="1"/>
  <c r="F108" i="5"/>
  <c r="E108" i="5"/>
  <c r="D108" i="5"/>
  <c r="Y107" i="5"/>
  <c r="W107" i="5"/>
  <c r="X107" i="5" s="1"/>
  <c r="F107" i="5"/>
  <c r="E107" i="5"/>
  <c r="D107" i="5"/>
  <c r="Y106" i="5"/>
  <c r="W106" i="5"/>
  <c r="X106" i="5" s="1"/>
  <c r="F106" i="5"/>
  <c r="E106" i="5"/>
  <c r="D106" i="5"/>
  <c r="Y105" i="5"/>
  <c r="W105" i="5"/>
  <c r="X105" i="5" s="1"/>
  <c r="F105" i="5"/>
  <c r="E105" i="5"/>
  <c r="D105" i="5"/>
  <c r="Y104" i="5"/>
  <c r="W104" i="5"/>
  <c r="X104" i="5" s="1"/>
  <c r="F104" i="5"/>
  <c r="E104" i="5"/>
  <c r="D104" i="5"/>
  <c r="Y103" i="5"/>
  <c r="W103" i="5"/>
  <c r="X103" i="5" s="1"/>
  <c r="F103" i="5"/>
  <c r="E103" i="5"/>
  <c r="D103" i="5"/>
  <c r="Y102" i="5"/>
  <c r="W102" i="5"/>
  <c r="X102" i="5" s="1"/>
  <c r="F102" i="5"/>
  <c r="E102" i="5"/>
  <c r="D102" i="5"/>
  <c r="Y101" i="5"/>
  <c r="W101" i="5"/>
  <c r="X101" i="5" s="1"/>
  <c r="F101" i="5"/>
  <c r="E101" i="5"/>
  <c r="D101" i="5"/>
  <c r="Y100" i="5"/>
  <c r="W100" i="5"/>
  <c r="X100" i="5" s="1"/>
  <c r="F100" i="5"/>
  <c r="E100" i="5"/>
  <c r="D100" i="5"/>
  <c r="Y99" i="5"/>
  <c r="W99" i="5"/>
  <c r="X99" i="5" s="1"/>
  <c r="F99" i="5"/>
  <c r="E99" i="5"/>
  <c r="D99" i="5"/>
  <c r="Y98" i="5"/>
  <c r="W98" i="5"/>
  <c r="X98" i="5" s="1"/>
  <c r="F98" i="5"/>
  <c r="E98" i="5"/>
  <c r="D98" i="5"/>
  <c r="Y97" i="5"/>
  <c r="W97" i="5"/>
  <c r="X97" i="5" s="1"/>
  <c r="F97" i="5"/>
  <c r="E97" i="5"/>
  <c r="D97" i="5"/>
  <c r="Y96" i="5"/>
  <c r="W96" i="5"/>
  <c r="X96" i="5" s="1"/>
  <c r="F96" i="5"/>
  <c r="E96" i="5"/>
  <c r="D96" i="5"/>
  <c r="Y95" i="5"/>
  <c r="W95" i="5"/>
  <c r="X95" i="5" s="1"/>
  <c r="F95" i="5"/>
  <c r="E95" i="5"/>
  <c r="D95" i="5"/>
  <c r="Y94" i="5"/>
  <c r="W94" i="5"/>
  <c r="X94" i="5" s="1"/>
  <c r="F94" i="5"/>
  <c r="E94" i="5"/>
  <c r="D94" i="5"/>
  <c r="Y93" i="5"/>
  <c r="W93" i="5"/>
  <c r="X93" i="5" s="1"/>
  <c r="F93" i="5"/>
  <c r="E93" i="5"/>
  <c r="D93" i="5"/>
  <c r="Y92" i="5"/>
  <c r="W92" i="5"/>
  <c r="X92" i="5" s="1"/>
  <c r="F92" i="5"/>
  <c r="E92" i="5"/>
  <c r="D92" i="5"/>
  <c r="Y91" i="5"/>
  <c r="W91" i="5"/>
  <c r="X91" i="5" s="1"/>
  <c r="F91" i="5"/>
  <c r="E91" i="5"/>
  <c r="D91" i="5"/>
  <c r="Y90" i="5"/>
  <c r="W90" i="5"/>
  <c r="X90" i="5" s="1"/>
  <c r="F90" i="5"/>
  <c r="E90" i="5"/>
  <c r="D90" i="5"/>
  <c r="Y89" i="5"/>
  <c r="W89" i="5"/>
  <c r="X89" i="5" s="1"/>
  <c r="F89" i="5"/>
  <c r="E89" i="5"/>
  <c r="D89" i="5"/>
  <c r="Y88" i="5"/>
  <c r="W88" i="5"/>
  <c r="X88" i="5" s="1"/>
  <c r="F88" i="5"/>
  <c r="E88" i="5"/>
  <c r="D88" i="5"/>
  <c r="Y87" i="5"/>
  <c r="W87" i="5"/>
  <c r="X87" i="5" s="1"/>
  <c r="F87" i="5"/>
  <c r="E87" i="5"/>
  <c r="D87" i="5"/>
  <c r="Y86" i="5"/>
  <c r="W86" i="5"/>
  <c r="X86" i="5" s="1"/>
  <c r="F86" i="5"/>
  <c r="E86" i="5"/>
  <c r="D86" i="5"/>
  <c r="Y85" i="5"/>
  <c r="W85" i="5"/>
  <c r="X85" i="5" s="1"/>
  <c r="F85" i="5"/>
  <c r="E85" i="5"/>
  <c r="D85" i="5"/>
  <c r="Y84" i="5"/>
  <c r="W84" i="5"/>
  <c r="X84" i="5" s="1"/>
  <c r="F84" i="5"/>
  <c r="E84" i="5"/>
  <c r="D84" i="5"/>
  <c r="Y83" i="5"/>
  <c r="W83" i="5"/>
  <c r="X83" i="5" s="1"/>
  <c r="F83" i="5"/>
  <c r="E83" i="5"/>
  <c r="D83" i="5"/>
  <c r="Y82" i="5"/>
  <c r="W82" i="5"/>
  <c r="X82" i="5" s="1"/>
  <c r="F82" i="5"/>
  <c r="E82" i="5"/>
  <c r="D82" i="5"/>
  <c r="Y81" i="5"/>
  <c r="W81" i="5"/>
  <c r="X81" i="5" s="1"/>
  <c r="F81" i="5"/>
  <c r="E81" i="5"/>
  <c r="D81" i="5"/>
  <c r="Y80" i="5"/>
  <c r="W80" i="5"/>
  <c r="X80" i="5" s="1"/>
  <c r="F80" i="5"/>
  <c r="E80" i="5"/>
  <c r="D80" i="5"/>
  <c r="Y79" i="5"/>
  <c r="W79" i="5"/>
  <c r="X79" i="5" s="1"/>
  <c r="F79" i="5"/>
  <c r="E79" i="5"/>
  <c r="D79" i="5"/>
  <c r="Y78" i="5"/>
  <c r="W78" i="5"/>
  <c r="X78" i="5" s="1"/>
  <c r="F78" i="5"/>
  <c r="E78" i="5"/>
  <c r="D78" i="5"/>
  <c r="Y77" i="5"/>
  <c r="W77" i="5"/>
  <c r="X77" i="5" s="1"/>
  <c r="F77" i="5"/>
  <c r="E77" i="5"/>
  <c r="D77" i="5"/>
  <c r="Y76" i="5"/>
  <c r="W76" i="5"/>
  <c r="X76" i="5" s="1"/>
  <c r="F76" i="5"/>
  <c r="E76" i="5"/>
  <c r="D76" i="5"/>
  <c r="Y75" i="5"/>
  <c r="W75" i="5"/>
  <c r="X75" i="5" s="1"/>
  <c r="F75" i="5"/>
  <c r="E75" i="5"/>
  <c r="D75" i="5"/>
  <c r="Y74" i="5"/>
  <c r="W74" i="5"/>
  <c r="X74" i="5" s="1"/>
  <c r="F74" i="5"/>
  <c r="E74" i="5"/>
  <c r="D74" i="5"/>
  <c r="Y73" i="5"/>
  <c r="W73" i="5"/>
  <c r="X73" i="5" s="1"/>
  <c r="F73" i="5"/>
  <c r="E73" i="5"/>
  <c r="D73" i="5"/>
  <c r="Y72" i="5"/>
  <c r="W72" i="5"/>
  <c r="X72" i="5" s="1"/>
  <c r="F72" i="5"/>
  <c r="E72" i="5"/>
  <c r="D72" i="5"/>
  <c r="Y71" i="5"/>
  <c r="W71" i="5"/>
  <c r="X71" i="5" s="1"/>
  <c r="F71" i="5"/>
  <c r="E71" i="5"/>
  <c r="D71" i="5"/>
  <c r="Y70" i="5"/>
  <c r="W70" i="5"/>
  <c r="X70" i="5" s="1"/>
  <c r="F70" i="5"/>
  <c r="E70" i="5"/>
  <c r="D70" i="5"/>
  <c r="Y69" i="5"/>
  <c r="W69" i="5"/>
  <c r="X69" i="5" s="1"/>
  <c r="F69" i="5"/>
  <c r="E69" i="5"/>
  <c r="D69" i="5"/>
  <c r="Y68" i="5"/>
  <c r="W68" i="5"/>
  <c r="X68" i="5" s="1"/>
  <c r="F68" i="5"/>
  <c r="E68" i="5"/>
  <c r="D68" i="5"/>
  <c r="Y67" i="5"/>
  <c r="W67" i="5"/>
  <c r="X67" i="5" s="1"/>
  <c r="F67" i="5"/>
  <c r="E67" i="5"/>
  <c r="D67" i="5"/>
  <c r="Y66" i="5"/>
  <c r="W66" i="5"/>
  <c r="X66" i="5" s="1"/>
  <c r="F66" i="5"/>
  <c r="E66" i="5"/>
  <c r="D66" i="5"/>
  <c r="Y65" i="5"/>
  <c r="W65" i="5"/>
  <c r="X65" i="5" s="1"/>
  <c r="F65" i="5"/>
  <c r="E65" i="5"/>
  <c r="D65" i="5"/>
  <c r="Y64" i="5"/>
  <c r="W64" i="5"/>
  <c r="X64" i="5" s="1"/>
  <c r="F64" i="5"/>
  <c r="E64" i="5"/>
  <c r="D64" i="5"/>
  <c r="Y63" i="5"/>
  <c r="W63" i="5"/>
  <c r="X63" i="5" s="1"/>
  <c r="F63" i="5"/>
  <c r="E63" i="5"/>
  <c r="D63" i="5"/>
  <c r="Y62" i="5"/>
  <c r="W62" i="5"/>
  <c r="X62" i="5" s="1"/>
  <c r="F62" i="5"/>
  <c r="E62" i="5"/>
  <c r="D62" i="5"/>
  <c r="Y61" i="5"/>
  <c r="W61" i="5"/>
  <c r="X61" i="5" s="1"/>
  <c r="F61" i="5"/>
  <c r="E61" i="5"/>
  <c r="D61" i="5"/>
  <c r="Y60" i="5"/>
  <c r="W60" i="5"/>
  <c r="X60" i="5" s="1"/>
  <c r="F60" i="5"/>
  <c r="E60" i="5"/>
  <c r="D60" i="5"/>
  <c r="Y59" i="5"/>
  <c r="W59" i="5"/>
  <c r="X59" i="5" s="1"/>
  <c r="F59" i="5"/>
  <c r="E59" i="5"/>
  <c r="D59" i="5"/>
  <c r="Y58" i="5"/>
  <c r="W58" i="5"/>
  <c r="X58" i="5" s="1"/>
  <c r="F58" i="5"/>
  <c r="E58" i="5"/>
  <c r="D58" i="5"/>
  <c r="Y57" i="5"/>
  <c r="W57" i="5"/>
  <c r="X57" i="5" s="1"/>
  <c r="F57" i="5"/>
  <c r="E57" i="5"/>
  <c r="D57" i="5"/>
  <c r="Y56" i="5"/>
  <c r="W56" i="5"/>
  <c r="X56" i="5" s="1"/>
  <c r="F56" i="5"/>
  <c r="E56" i="5"/>
  <c r="D56" i="5"/>
  <c r="Y55" i="5"/>
  <c r="W55" i="5"/>
  <c r="X55" i="5" s="1"/>
  <c r="F55" i="5"/>
  <c r="E55" i="5"/>
  <c r="D55" i="5"/>
  <c r="Y54" i="5"/>
  <c r="W54" i="5"/>
  <c r="X54" i="5" s="1"/>
  <c r="F54" i="5"/>
  <c r="E54" i="5"/>
  <c r="D54" i="5"/>
  <c r="Y53" i="5"/>
  <c r="W53" i="5"/>
  <c r="X53" i="5" s="1"/>
  <c r="F53" i="5"/>
  <c r="E53" i="5"/>
  <c r="D53" i="5"/>
  <c r="Y52" i="5"/>
  <c r="W52" i="5"/>
  <c r="X52" i="5" s="1"/>
  <c r="F52" i="5"/>
  <c r="E52" i="5"/>
  <c r="D52" i="5"/>
  <c r="Y51" i="5"/>
  <c r="W51" i="5"/>
  <c r="X51" i="5" s="1"/>
  <c r="F51" i="5"/>
  <c r="E51" i="5"/>
  <c r="D51" i="5"/>
  <c r="Y50" i="5"/>
  <c r="W50" i="5"/>
  <c r="X50" i="5" s="1"/>
  <c r="F50" i="5"/>
  <c r="E50" i="5"/>
  <c r="D50" i="5"/>
  <c r="Y49" i="5"/>
  <c r="W49" i="5"/>
  <c r="X49" i="5" s="1"/>
  <c r="F49" i="5"/>
  <c r="E49" i="5"/>
  <c r="D49" i="5"/>
  <c r="Y48" i="5"/>
  <c r="W48" i="5"/>
  <c r="X48" i="5" s="1"/>
  <c r="F48" i="5"/>
  <c r="E48" i="5"/>
  <c r="D48" i="5"/>
  <c r="Y47" i="5"/>
  <c r="W47" i="5"/>
  <c r="X47" i="5" s="1"/>
  <c r="F47" i="5"/>
  <c r="E47" i="5"/>
  <c r="D47" i="5"/>
  <c r="Y46" i="5"/>
  <c r="W46" i="5"/>
  <c r="X46" i="5" s="1"/>
  <c r="F46" i="5"/>
  <c r="E46" i="5"/>
  <c r="D46" i="5"/>
  <c r="Y45" i="5"/>
  <c r="W45" i="5"/>
  <c r="X45" i="5" s="1"/>
  <c r="F45" i="5"/>
  <c r="E45" i="5"/>
  <c r="D45" i="5"/>
  <c r="Y44" i="5"/>
  <c r="W44" i="5"/>
  <c r="X44" i="5" s="1"/>
  <c r="F44" i="5"/>
  <c r="E44" i="5"/>
  <c r="D44" i="5"/>
  <c r="Y43" i="5"/>
  <c r="W43" i="5"/>
  <c r="X43" i="5" s="1"/>
  <c r="F43" i="5"/>
  <c r="E43" i="5"/>
  <c r="D43" i="5"/>
  <c r="Y42" i="5"/>
  <c r="W42" i="5"/>
  <c r="X42" i="5" s="1"/>
  <c r="F42" i="5"/>
  <c r="E42" i="5"/>
  <c r="D42" i="5"/>
  <c r="Y41" i="5"/>
  <c r="W41" i="5"/>
  <c r="X41" i="5" s="1"/>
  <c r="F41" i="5"/>
  <c r="E41" i="5"/>
  <c r="D41" i="5"/>
  <c r="Y40" i="5"/>
  <c r="W40" i="5"/>
  <c r="X40" i="5" s="1"/>
  <c r="F40" i="5"/>
  <c r="E40" i="5"/>
  <c r="D40" i="5"/>
  <c r="Y39" i="5"/>
  <c r="W39" i="5"/>
  <c r="X39" i="5" s="1"/>
  <c r="F39" i="5"/>
  <c r="E39" i="5"/>
  <c r="D39" i="5"/>
  <c r="Y38" i="5"/>
  <c r="W38" i="5"/>
  <c r="X38" i="5" s="1"/>
  <c r="F38" i="5"/>
  <c r="E38" i="5"/>
  <c r="D38" i="5"/>
  <c r="Y37" i="5"/>
  <c r="W37" i="5"/>
  <c r="X37" i="5" s="1"/>
  <c r="F37" i="5"/>
  <c r="E37" i="5"/>
  <c r="D37" i="5"/>
  <c r="Y36" i="5"/>
  <c r="W36" i="5"/>
  <c r="X36" i="5" s="1"/>
  <c r="F36" i="5"/>
  <c r="E36" i="5"/>
  <c r="D36" i="5"/>
  <c r="Y35" i="5"/>
  <c r="W35" i="5"/>
  <c r="X35" i="5" s="1"/>
  <c r="F35" i="5"/>
  <c r="E35" i="5"/>
  <c r="D35" i="5"/>
  <c r="Y34" i="5"/>
  <c r="W34" i="5"/>
  <c r="X34" i="5" s="1"/>
  <c r="F34" i="5"/>
  <c r="E34" i="5"/>
  <c r="D34" i="5"/>
  <c r="Y33" i="5"/>
  <c r="W33" i="5"/>
  <c r="X33" i="5" s="1"/>
  <c r="F33" i="5"/>
  <c r="E33" i="5"/>
  <c r="D33" i="5"/>
  <c r="Y32" i="5"/>
  <c r="W32" i="5"/>
  <c r="X32" i="5" s="1"/>
  <c r="F32" i="5"/>
  <c r="E32" i="5"/>
  <c r="D32" i="5"/>
  <c r="Y31" i="5"/>
  <c r="W31" i="5"/>
  <c r="X31" i="5" s="1"/>
  <c r="F31" i="5"/>
  <c r="E31" i="5"/>
  <c r="D31" i="5"/>
  <c r="Y30" i="5"/>
  <c r="W30" i="5"/>
  <c r="X30" i="5" s="1"/>
  <c r="F30" i="5"/>
  <c r="E30" i="5"/>
  <c r="D30" i="5"/>
  <c r="Y29" i="5"/>
  <c r="W29" i="5"/>
  <c r="X29" i="5" s="1"/>
  <c r="F29" i="5"/>
  <c r="E29" i="5"/>
  <c r="D29" i="5"/>
  <c r="Y28" i="5"/>
  <c r="W28" i="5"/>
  <c r="X28" i="5" s="1"/>
  <c r="F28" i="5"/>
  <c r="E28" i="5"/>
  <c r="D28" i="5"/>
  <c r="Y27" i="5"/>
  <c r="W27" i="5"/>
  <c r="X27" i="5" s="1"/>
  <c r="F27" i="5"/>
  <c r="E27" i="5"/>
  <c r="D27" i="5"/>
  <c r="Y26" i="5"/>
  <c r="W26" i="5"/>
  <c r="X26" i="5" s="1"/>
  <c r="F26" i="5"/>
  <c r="E26" i="5"/>
  <c r="D26" i="5"/>
  <c r="Y25" i="5"/>
  <c r="W25" i="5"/>
  <c r="X25" i="5" s="1"/>
  <c r="F25" i="5"/>
  <c r="E25" i="5"/>
  <c r="D25" i="5"/>
  <c r="Y24" i="5"/>
  <c r="W24" i="5"/>
  <c r="X24" i="5" s="1"/>
  <c r="F24" i="5"/>
  <c r="E24" i="5"/>
  <c r="D24" i="5"/>
  <c r="Y23" i="5"/>
  <c r="W23" i="5"/>
  <c r="X23" i="5" s="1"/>
  <c r="F23" i="5"/>
  <c r="E23" i="5"/>
  <c r="D23" i="5"/>
  <c r="Y22" i="5"/>
  <c r="W22" i="5"/>
  <c r="X22" i="5" s="1"/>
  <c r="F22" i="5"/>
  <c r="E22" i="5"/>
  <c r="D22" i="5"/>
  <c r="Y21" i="5"/>
  <c r="W21" i="5"/>
  <c r="X21" i="5" s="1"/>
  <c r="F21" i="5"/>
  <c r="E21" i="5"/>
  <c r="D21" i="5"/>
  <c r="Y20" i="5"/>
  <c r="W20" i="5"/>
  <c r="X20" i="5" s="1"/>
  <c r="F20" i="5"/>
  <c r="E20" i="5"/>
  <c r="D20" i="5"/>
  <c r="Y19" i="5"/>
  <c r="W19" i="5"/>
  <c r="X19" i="5" s="1"/>
  <c r="F19" i="5"/>
  <c r="E19" i="5"/>
  <c r="D19" i="5"/>
  <c r="Y18" i="5"/>
  <c r="W18" i="5"/>
  <c r="X18" i="5" s="1"/>
  <c r="F18" i="5"/>
  <c r="E18" i="5"/>
  <c r="D18" i="5"/>
  <c r="Y17" i="5"/>
  <c r="W17" i="5"/>
  <c r="X17" i="5" s="1"/>
  <c r="F17" i="5"/>
  <c r="E17" i="5"/>
  <c r="D17" i="5"/>
  <c r="Y16" i="5"/>
  <c r="W16" i="5"/>
  <c r="X16" i="5" s="1"/>
  <c r="F16" i="5"/>
  <c r="E16" i="5"/>
  <c r="D16" i="5"/>
  <c r="Y15" i="5"/>
  <c r="W15" i="5"/>
  <c r="X15" i="5" s="1"/>
  <c r="F15" i="5"/>
  <c r="E15" i="5"/>
  <c r="D15" i="5"/>
  <c r="Y14" i="5"/>
  <c r="W14" i="5"/>
  <c r="X14" i="5" s="1"/>
  <c r="F14" i="5"/>
  <c r="E14" i="5"/>
  <c r="D14" i="5"/>
  <c r="Y13" i="5"/>
  <c r="W13" i="5"/>
  <c r="X13" i="5" s="1"/>
  <c r="F13" i="5"/>
  <c r="E13" i="5"/>
  <c r="D13" i="5"/>
  <c r="Y12" i="5"/>
  <c r="W12" i="5"/>
  <c r="X12" i="5" s="1"/>
  <c r="F12" i="5"/>
  <c r="E12" i="5"/>
  <c r="D12" i="5"/>
  <c r="Y11" i="5"/>
  <c r="W11" i="5"/>
  <c r="X11" i="5" s="1"/>
  <c r="F11" i="5"/>
  <c r="E11" i="5"/>
  <c r="D11" i="5"/>
  <c r="Y10" i="5"/>
  <c r="W10" i="5"/>
  <c r="X10" i="5" s="1"/>
  <c r="F10" i="5"/>
  <c r="E10" i="5"/>
  <c r="D10" i="5"/>
  <c r="Y9" i="5"/>
  <c r="W9" i="5"/>
  <c r="X9" i="5" s="1"/>
  <c r="F9" i="5"/>
  <c r="E9" i="5"/>
  <c r="D9" i="5"/>
  <c r="Y8" i="5"/>
  <c r="W8" i="5"/>
  <c r="X8" i="5" s="1"/>
  <c r="F8" i="5"/>
  <c r="E8" i="5"/>
  <c r="D8" i="5"/>
  <c r="Y7" i="5"/>
  <c r="W7" i="5"/>
  <c r="X7" i="5" s="1"/>
  <c r="F7" i="5"/>
  <c r="E7" i="5"/>
  <c r="D7" i="5"/>
  <c r="Y6" i="5"/>
  <c r="W6" i="5"/>
  <c r="X6" i="5" s="1"/>
  <c r="F6" i="5"/>
  <c r="E6" i="5"/>
  <c r="D6" i="5"/>
  <c r="Y5" i="5"/>
  <c r="W5" i="5"/>
  <c r="X5" i="5" s="1"/>
  <c r="F5" i="5"/>
  <c r="E5" i="5"/>
  <c r="D5" i="5"/>
  <c r="Y4" i="5"/>
  <c r="W4" i="5"/>
  <c r="X4" i="5" s="1"/>
  <c r="F4" i="5"/>
  <c r="E4" i="5"/>
  <c r="D4" i="5"/>
  <c r="E503" i="4"/>
  <c r="D503" i="4"/>
  <c r="E502" i="4"/>
  <c r="D502" i="4"/>
  <c r="E501" i="4"/>
  <c r="D501" i="4"/>
  <c r="E500" i="4"/>
  <c r="D500" i="4"/>
  <c r="E499" i="4"/>
  <c r="D499" i="4"/>
  <c r="E498" i="4"/>
  <c r="D498" i="4"/>
  <c r="E497" i="4"/>
  <c r="D497" i="4"/>
  <c r="E496" i="4"/>
  <c r="D496" i="4"/>
  <c r="E495" i="4"/>
  <c r="D495" i="4"/>
  <c r="E494" i="4"/>
  <c r="D494" i="4"/>
  <c r="E493" i="4"/>
  <c r="D493" i="4"/>
  <c r="E492" i="4"/>
  <c r="D492" i="4"/>
  <c r="E491" i="4"/>
  <c r="D491" i="4"/>
  <c r="E490" i="4"/>
  <c r="D490" i="4"/>
  <c r="E489" i="4"/>
  <c r="D489" i="4"/>
  <c r="E488" i="4"/>
  <c r="D488" i="4"/>
  <c r="E487" i="4"/>
  <c r="D487" i="4"/>
  <c r="E486" i="4"/>
  <c r="D486" i="4"/>
  <c r="E485" i="4"/>
  <c r="D485" i="4"/>
  <c r="E484" i="4"/>
  <c r="D484" i="4"/>
  <c r="E483" i="4"/>
  <c r="D483" i="4"/>
  <c r="E482" i="4"/>
  <c r="D482" i="4"/>
  <c r="E481" i="4"/>
  <c r="D481" i="4"/>
  <c r="E480" i="4"/>
  <c r="D480" i="4"/>
  <c r="E479" i="4"/>
  <c r="D479" i="4"/>
  <c r="E478" i="4"/>
  <c r="D478" i="4"/>
  <c r="E477" i="4"/>
  <c r="D477" i="4"/>
  <c r="E476" i="4"/>
  <c r="D476" i="4"/>
  <c r="E475" i="4"/>
  <c r="D475" i="4"/>
  <c r="E474" i="4"/>
  <c r="D474" i="4"/>
  <c r="E473" i="4"/>
  <c r="D473" i="4"/>
  <c r="E472" i="4"/>
  <c r="D472" i="4"/>
  <c r="E471" i="4"/>
  <c r="D471" i="4"/>
  <c r="E470" i="4"/>
  <c r="D470" i="4"/>
  <c r="E469" i="4"/>
  <c r="D469" i="4"/>
  <c r="E468" i="4"/>
  <c r="D468" i="4"/>
  <c r="E467" i="4"/>
  <c r="D467" i="4"/>
  <c r="E466" i="4"/>
  <c r="D466" i="4"/>
  <c r="E465" i="4"/>
  <c r="D465" i="4"/>
  <c r="E464" i="4"/>
  <c r="D464" i="4"/>
  <c r="E463" i="4"/>
  <c r="D463" i="4"/>
  <c r="E462" i="4"/>
  <c r="D462" i="4"/>
  <c r="E461" i="4"/>
  <c r="D461" i="4"/>
  <c r="E460" i="4"/>
  <c r="D460" i="4"/>
  <c r="E459" i="4"/>
  <c r="D459" i="4"/>
  <c r="E458" i="4"/>
  <c r="D458" i="4"/>
  <c r="E457" i="4"/>
  <c r="D457" i="4"/>
  <c r="E456" i="4"/>
  <c r="D456" i="4"/>
  <c r="E455" i="4"/>
  <c r="D455" i="4"/>
  <c r="E454" i="4"/>
  <c r="D454" i="4"/>
  <c r="E453" i="4"/>
  <c r="D453" i="4"/>
  <c r="E452" i="4"/>
  <c r="D452" i="4"/>
  <c r="E451" i="4"/>
  <c r="D451" i="4"/>
  <c r="E450" i="4"/>
  <c r="D450" i="4"/>
  <c r="E449" i="4"/>
  <c r="D449" i="4"/>
  <c r="E448" i="4"/>
  <c r="D448" i="4"/>
  <c r="E447" i="4"/>
  <c r="D447" i="4"/>
  <c r="E446" i="4"/>
  <c r="D446" i="4"/>
  <c r="E445" i="4"/>
  <c r="D445" i="4"/>
  <c r="E444" i="4"/>
  <c r="D444" i="4"/>
  <c r="E443" i="4"/>
  <c r="D443" i="4"/>
  <c r="E442" i="4"/>
  <c r="D442" i="4"/>
  <c r="E441" i="4"/>
  <c r="D441" i="4"/>
  <c r="E440" i="4"/>
  <c r="D440" i="4"/>
  <c r="E439" i="4"/>
  <c r="D439" i="4"/>
  <c r="E438" i="4"/>
  <c r="D438" i="4"/>
  <c r="E437" i="4"/>
  <c r="D437" i="4"/>
  <c r="E436" i="4"/>
  <c r="D436" i="4"/>
  <c r="E435" i="4"/>
  <c r="D435" i="4"/>
  <c r="E434" i="4"/>
  <c r="D434" i="4"/>
  <c r="E433" i="4"/>
  <c r="D433" i="4"/>
  <c r="E432" i="4"/>
  <c r="D432" i="4"/>
  <c r="E431" i="4"/>
  <c r="D431" i="4"/>
  <c r="E430" i="4"/>
  <c r="D430" i="4"/>
  <c r="E429" i="4"/>
  <c r="D429" i="4"/>
  <c r="E428" i="4"/>
  <c r="D428" i="4"/>
  <c r="E427" i="4"/>
  <c r="D427" i="4"/>
  <c r="E426" i="4"/>
  <c r="D426" i="4"/>
  <c r="E425" i="4"/>
  <c r="D425" i="4"/>
  <c r="E424" i="4"/>
  <c r="D424" i="4"/>
  <c r="E423" i="4"/>
  <c r="D423" i="4"/>
  <c r="E422" i="4"/>
  <c r="D422" i="4"/>
  <c r="E421" i="4"/>
  <c r="D421" i="4"/>
  <c r="E420" i="4"/>
  <c r="D420" i="4"/>
  <c r="E419" i="4"/>
  <c r="D419" i="4"/>
  <c r="E418" i="4"/>
  <c r="D418" i="4"/>
  <c r="E417" i="4"/>
  <c r="D417" i="4"/>
  <c r="E416" i="4"/>
  <c r="D416" i="4"/>
  <c r="E415" i="4"/>
  <c r="D415" i="4"/>
  <c r="E414" i="4"/>
  <c r="D414" i="4"/>
  <c r="E413" i="4"/>
  <c r="D413" i="4"/>
  <c r="E412" i="4"/>
  <c r="D412" i="4"/>
  <c r="E411" i="4"/>
  <c r="D411" i="4"/>
  <c r="E410" i="4"/>
  <c r="D410" i="4"/>
  <c r="E409" i="4"/>
  <c r="D409" i="4"/>
  <c r="E408" i="4"/>
  <c r="D408" i="4"/>
  <c r="E407" i="4"/>
  <c r="D407" i="4"/>
  <c r="E406" i="4"/>
  <c r="D406" i="4"/>
  <c r="E405" i="4"/>
  <c r="D405" i="4"/>
  <c r="E404" i="4"/>
  <c r="D404" i="4"/>
  <c r="E403" i="4"/>
  <c r="D403" i="4"/>
  <c r="E402" i="4"/>
  <c r="D402" i="4"/>
  <c r="E401" i="4"/>
  <c r="D401" i="4"/>
  <c r="E400" i="4"/>
  <c r="D400" i="4"/>
  <c r="E399" i="4"/>
  <c r="D399" i="4"/>
  <c r="E398" i="4"/>
  <c r="D398" i="4"/>
  <c r="E397" i="4"/>
  <c r="D397" i="4"/>
  <c r="E396" i="4"/>
  <c r="D396" i="4"/>
  <c r="E395" i="4"/>
  <c r="D395" i="4"/>
  <c r="E394" i="4"/>
  <c r="D394" i="4"/>
  <c r="E393" i="4"/>
  <c r="D393" i="4"/>
  <c r="E392" i="4"/>
  <c r="D392" i="4"/>
  <c r="E391" i="4"/>
  <c r="D391" i="4"/>
  <c r="E390" i="4"/>
  <c r="D390" i="4"/>
  <c r="E389" i="4"/>
  <c r="D389" i="4"/>
  <c r="E388" i="4"/>
  <c r="D388" i="4"/>
  <c r="E387" i="4"/>
  <c r="D387" i="4"/>
  <c r="E386" i="4"/>
  <c r="D386" i="4"/>
  <c r="E385" i="4"/>
  <c r="D385" i="4"/>
  <c r="E384" i="4"/>
  <c r="D384" i="4"/>
  <c r="E383" i="4"/>
  <c r="D383" i="4"/>
  <c r="E382" i="4"/>
  <c r="D382" i="4"/>
  <c r="E381" i="4"/>
  <c r="D381" i="4"/>
  <c r="E380" i="4"/>
  <c r="D380" i="4"/>
  <c r="E379" i="4"/>
  <c r="D379" i="4"/>
  <c r="E378" i="4"/>
  <c r="D378" i="4"/>
  <c r="E377" i="4"/>
  <c r="D377" i="4"/>
  <c r="E376" i="4"/>
  <c r="D376" i="4"/>
  <c r="E375" i="4"/>
  <c r="D375" i="4"/>
  <c r="E374" i="4"/>
  <c r="D374" i="4"/>
  <c r="E373" i="4"/>
  <c r="D373" i="4"/>
  <c r="E372" i="4"/>
  <c r="D372" i="4"/>
  <c r="E371" i="4"/>
  <c r="D371" i="4"/>
  <c r="E370" i="4"/>
  <c r="D370" i="4"/>
  <c r="E369" i="4"/>
  <c r="D369" i="4"/>
  <c r="E368" i="4"/>
  <c r="D368" i="4"/>
  <c r="E367" i="4"/>
  <c r="D367" i="4"/>
  <c r="E366" i="4"/>
  <c r="D366" i="4"/>
  <c r="E365" i="4"/>
  <c r="D365" i="4"/>
  <c r="E364" i="4"/>
  <c r="D364" i="4"/>
  <c r="E363" i="4"/>
  <c r="D363" i="4"/>
  <c r="E362" i="4"/>
  <c r="D362" i="4"/>
  <c r="E361" i="4"/>
  <c r="D361" i="4"/>
  <c r="E360" i="4"/>
  <c r="D360" i="4"/>
  <c r="E359" i="4"/>
  <c r="D359" i="4"/>
  <c r="E358" i="4"/>
  <c r="D358" i="4"/>
  <c r="E357" i="4"/>
  <c r="D357" i="4"/>
  <c r="E356" i="4"/>
  <c r="D356" i="4"/>
  <c r="E355" i="4"/>
  <c r="D355" i="4"/>
  <c r="E354" i="4"/>
  <c r="D354" i="4"/>
  <c r="E353" i="4"/>
  <c r="D353" i="4"/>
  <c r="E352" i="4"/>
  <c r="D352" i="4"/>
  <c r="E351" i="4"/>
  <c r="D351" i="4"/>
  <c r="E350" i="4"/>
  <c r="D350" i="4"/>
  <c r="E349" i="4"/>
  <c r="D349" i="4"/>
  <c r="E348" i="4"/>
  <c r="D348" i="4"/>
  <c r="E347" i="4"/>
  <c r="D347" i="4"/>
  <c r="E346" i="4"/>
  <c r="D346" i="4"/>
  <c r="E345" i="4"/>
  <c r="D345" i="4"/>
  <c r="E344" i="4"/>
  <c r="D344" i="4"/>
  <c r="E343" i="4"/>
  <c r="D343" i="4"/>
  <c r="E342" i="4"/>
  <c r="D342" i="4"/>
  <c r="E341" i="4"/>
  <c r="D341" i="4"/>
  <c r="E340" i="4"/>
  <c r="D340" i="4"/>
  <c r="E339" i="4"/>
  <c r="D339" i="4"/>
  <c r="E338" i="4"/>
  <c r="D338" i="4"/>
  <c r="E337" i="4"/>
  <c r="D337" i="4"/>
  <c r="E336" i="4"/>
  <c r="D336" i="4"/>
  <c r="E335" i="4"/>
  <c r="D335" i="4"/>
  <c r="E334" i="4"/>
  <c r="D334" i="4"/>
  <c r="E333" i="4"/>
  <c r="D333" i="4"/>
  <c r="E332" i="4"/>
  <c r="D332" i="4"/>
  <c r="E331" i="4"/>
  <c r="D331" i="4"/>
  <c r="E330" i="4"/>
  <c r="D330" i="4"/>
  <c r="E329" i="4"/>
  <c r="D329" i="4"/>
  <c r="E328" i="4"/>
  <c r="D328" i="4"/>
  <c r="E327" i="4"/>
  <c r="D327" i="4"/>
  <c r="E326" i="4"/>
  <c r="D326" i="4"/>
  <c r="E325" i="4"/>
  <c r="D325" i="4"/>
  <c r="E324" i="4"/>
  <c r="D324" i="4"/>
  <c r="E323" i="4"/>
  <c r="D323" i="4"/>
  <c r="E322" i="4"/>
  <c r="D322" i="4"/>
  <c r="E321" i="4"/>
  <c r="D321" i="4"/>
  <c r="E320" i="4"/>
  <c r="D320" i="4"/>
  <c r="E319" i="4"/>
  <c r="D319" i="4"/>
  <c r="E318" i="4"/>
  <c r="D318" i="4"/>
  <c r="E317" i="4"/>
  <c r="D317" i="4"/>
  <c r="E316" i="4"/>
  <c r="D316" i="4"/>
  <c r="E315" i="4"/>
  <c r="D315" i="4"/>
  <c r="E314" i="4"/>
  <c r="D314" i="4"/>
  <c r="E313" i="4"/>
  <c r="D313" i="4"/>
  <c r="E312" i="4"/>
  <c r="D312" i="4"/>
  <c r="E311" i="4"/>
  <c r="D311" i="4"/>
  <c r="E310" i="4"/>
  <c r="D310" i="4"/>
  <c r="E309" i="4"/>
  <c r="D309" i="4"/>
  <c r="E308" i="4"/>
  <c r="D308" i="4"/>
  <c r="E307" i="4"/>
  <c r="D307" i="4"/>
  <c r="E306" i="4"/>
  <c r="D306" i="4"/>
  <c r="E305" i="4"/>
  <c r="D305" i="4"/>
  <c r="E304" i="4"/>
  <c r="D304" i="4"/>
  <c r="E303" i="4"/>
  <c r="D303" i="4"/>
  <c r="E302" i="4"/>
  <c r="D302" i="4"/>
  <c r="E301" i="4"/>
  <c r="D301" i="4"/>
  <c r="E300" i="4"/>
  <c r="D300" i="4"/>
  <c r="E299" i="4"/>
  <c r="D299" i="4"/>
  <c r="E298" i="4"/>
  <c r="D298" i="4"/>
  <c r="E297" i="4"/>
  <c r="D297" i="4"/>
  <c r="E296" i="4"/>
  <c r="D296" i="4"/>
  <c r="E295" i="4"/>
  <c r="D295" i="4"/>
  <c r="E294" i="4"/>
  <c r="D294" i="4"/>
  <c r="E293" i="4"/>
  <c r="D293" i="4"/>
  <c r="E292" i="4"/>
  <c r="D292" i="4"/>
  <c r="E291" i="4"/>
  <c r="D291" i="4"/>
  <c r="E290" i="4"/>
  <c r="D290" i="4"/>
  <c r="E289" i="4"/>
  <c r="D289" i="4"/>
  <c r="E288" i="4"/>
  <c r="D288" i="4"/>
  <c r="E287" i="4"/>
  <c r="D287" i="4"/>
  <c r="E286" i="4"/>
  <c r="D286" i="4"/>
  <c r="E285" i="4"/>
  <c r="D285" i="4"/>
  <c r="E284" i="4"/>
  <c r="D284" i="4"/>
  <c r="E283" i="4"/>
  <c r="D283" i="4"/>
  <c r="E282" i="4"/>
  <c r="D282" i="4"/>
  <c r="E281" i="4"/>
  <c r="D281" i="4"/>
  <c r="E280" i="4"/>
  <c r="D280" i="4"/>
  <c r="E279" i="4"/>
  <c r="D279" i="4"/>
  <c r="E278" i="4"/>
  <c r="D278" i="4"/>
  <c r="E277" i="4"/>
  <c r="D277" i="4"/>
  <c r="E276" i="4"/>
  <c r="D276" i="4"/>
  <c r="E275" i="4"/>
  <c r="D275" i="4"/>
  <c r="E274" i="4"/>
  <c r="D274" i="4"/>
  <c r="E273" i="4"/>
  <c r="D273" i="4"/>
  <c r="E272" i="4"/>
  <c r="D272" i="4"/>
  <c r="E271" i="4"/>
  <c r="D271" i="4"/>
  <c r="E270" i="4"/>
  <c r="D270" i="4"/>
  <c r="E269" i="4"/>
  <c r="D269" i="4"/>
  <c r="E268" i="4"/>
  <c r="D268" i="4"/>
  <c r="E267" i="4"/>
  <c r="D267" i="4"/>
  <c r="E266" i="4"/>
  <c r="D266" i="4"/>
  <c r="E265" i="4"/>
  <c r="D265" i="4"/>
  <c r="E264" i="4"/>
  <c r="D264" i="4"/>
  <c r="E263" i="4"/>
  <c r="D263" i="4"/>
  <c r="E262" i="4"/>
  <c r="D262" i="4"/>
  <c r="E261" i="4"/>
  <c r="D261" i="4"/>
  <c r="E260" i="4"/>
  <c r="D260" i="4"/>
  <c r="E259" i="4"/>
  <c r="D259" i="4"/>
  <c r="E258" i="4"/>
  <c r="D258" i="4"/>
  <c r="E257" i="4"/>
  <c r="D257" i="4"/>
  <c r="E256" i="4"/>
  <c r="D256" i="4"/>
  <c r="E255" i="4"/>
  <c r="D255" i="4"/>
  <c r="E254" i="4"/>
  <c r="D254" i="4"/>
  <c r="E253" i="4"/>
  <c r="D253" i="4"/>
  <c r="E252" i="4"/>
  <c r="D252" i="4"/>
  <c r="E251" i="4"/>
  <c r="D251" i="4"/>
  <c r="E250" i="4"/>
  <c r="D250" i="4"/>
  <c r="E249" i="4"/>
  <c r="D249" i="4"/>
  <c r="E248" i="4"/>
  <c r="D248" i="4"/>
  <c r="E247" i="4"/>
  <c r="D247" i="4"/>
  <c r="E246" i="4"/>
  <c r="D246" i="4"/>
  <c r="E245" i="4"/>
  <c r="D245" i="4"/>
  <c r="E244" i="4"/>
  <c r="D244" i="4"/>
  <c r="E243" i="4"/>
  <c r="D243" i="4"/>
  <c r="E242" i="4"/>
  <c r="D242" i="4"/>
  <c r="E241" i="4"/>
  <c r="D241" i="4"/>
  <c r="E240" i="4"/>
  <c r="D240" i="4"/>
  <c r="E239" i="4"/>
  <c r="D239" i="4"/>
  <c r="E238" i="4"/>
  <c r="D238" i="4"/>
  <c r="E237" i="4"/>
  <c r="D237" i="4"/>
  <c r="E236" i="4"/>
  <c r="D236" i="4"/>
  <c r="E235" i="4"/>
  <c r="D235" i="4"/>
  <c r="E234" i="4"/>
  <c r="D234" i="4"/>
  <c r="E233" i="4"/>
  <c r="D233" i="4"/>
  <c r="E232" i="4"/>
  <c r="D232" i="4"/>
  <c r="E231" i="4"/>
  <c r="D231" i="4"/>
  <c r="E230" i="4"/>
  <c r="D230" i="4"/>
  <c r="E229" i="4"/>
  <c r="D229" i="4"/>
  <c r="E228" i="4"/>
  <c r="D228" i="4"/>
  <c r="E227" i="4"/>
  <c r="D227" i="4"/>
  <c r="E226" i="4"/>
  <c r="D226" i="4"/>
  <c r="E225" i="4"/>
  <c r="D225" i="4"/>
  <c r="E224" i="4"/>
  <c r="D224" i="4"/>
  <c r="E223" i="4"/>
  <c r="D223" i="4"/>
  <c r="E222" i="4"/>
  <c r="D222" i="4"/>
  <c r="E221" i="4"/>
  <c r="D221" i="4"/>
  <c r="E220" i="4"/>
  <c r="D220" i="4"/>
  <c r="E219" i="4"/>
  <c r="D219" i="4"/>
  <c r="E218" i="4"/>
  <c r="D218" i="4"/>
  <c r="E217" i="4"/>
  <c r="D217" i="4"/>
  <c r="E216" i="4"/>
  <c r="D216" i="4"/>
  <c r="E215" i="4"/>
  <c r="D215" i="4"/>
  <c r="E214" i="4"/>
  <c r="D214" i="4"/>
  <c r="E213" i="4"/>
  <c r="D213" i="4"/>
  <c r="E212" i="4"/>
  <c r="D212" i="4"/>
  <c r="E211" i="4"/>
  <c r="D211" i="4"/>
  <c r="E210" i="4"/>
  <c r="D210" i="4"/>
  <c r="E209" i="4"/>
  <c r="D209" i="4"/>
  <c r="E208" i="4"/>
  <c r="D208" i="4"/>
  <c r="E207" i="4"/>
  <c r="D207" i="4"/>
  <c r="E206" i="4"/>
  <c r="D206" i="4"/>
  <c r="E205" i="4"/>
  <c r="D205" i="4"/>
  <c r="E204" i="4"/>
  <c r="D204" i="4"/>
  <c r="E203" i="4"/>
  <c r="D203" i="4"/>
  <c r="E202" i="4"/>
  <c r="D202" i="4"/>
  <c r="E201" i="4"/>
  <c r="D201" i="4"/>
  <c r="E200" i="4"/>
  <c r="D200" i="4"/>
  <c r="E199" i="4"/>
  <c r="D199" i="4"/>
  <c r="E198" i="4"/>
  <c r="D198" i="4"/>
  <c r="E197" i="4"/>
  <c r="D197" i="4"/>
  <c r="E196" i="4"/>
  <c r="D196" i="4"/>
  <c r="E195" i="4"/>
  <c r="D195" i="4"/>
  <c r="E194" i="4"/>
  <c r="D194" i="4"/>
  <c r="E193" i="4"/>
  <c r="D193" i="4"/>
  <c r="E192" i="4"/>
  <c r="D192" i="4"/>
  <c r="E191" i="4"/>
  <c r="D191" i="4"/>
  <c r="E190" i="4"/>
  <c r="D190" i="4"/>
  <c r="E189" i="4"/>
  <c r="D189" i="4"/>
  <c r="E188" i="4"/>
  <c r="D188" i="4"/>
  <c r="E187" i="4"/>
  <c r="D187" i="4"/>
  <c r="E186" i="4"/>
  <c r="D186" i="4"/>
  <c r="E185" i="4"/>
  <c r="D185" i="4"/>
  <c r="E184" i="4"/>
  <c r="D184" i="4"/>
  <c r="E183" i="4"/>
  <c r="D183" i="4"/>
  <c r="E182" i="4"/>
  <c r="D182" i="4"/>
  <c r="E181" i="4"/>
  <c r="D181" i="4"/>
  <c r="E180" i="4"/>
  <c r="D180" i="4"/>
  <c r="E179" i="4"/>
  <c r="D179" i="4"/>
  <c r="E178" i="4"/>
  <c r="D178" i="4"/>
  <c r="E177" i="4"/>
  <c r="D177" i="4"/>
  <c r="E176" i="4"/>
  <c r="D176" i="4"/>
  <c r="E175" i="4"/>
  <c r="D175" i="4"/>
  <c r="E174" i="4"/>
  <c r="D174" i="4"/>
  <c r="E173" i="4"/>
  <c r="D173" i="4"/>
  <c r="E172" i="4"/>
  <c r="D172" i="4"/>
  <c r="E171" i="4"/>
  <c r="D171" i="4"/>
  <c r="E170" i="4"/>
  <c r="D170" i="4"/>
  <c r="E169" i="4"/>
  <c r="D169" i="4"/>
  <c r="E168" i="4"/>
  <c r="D168" i="4"/>
  <c r="E167" i="4"/>
  <c r="D167" i="4"/>
  <c r="E166" i="4"/>
  <c r="D166" i="4"/>
  <c r="E165" i="4"/>
  <c r="D165" i="4"/>
  <c r="E164" i="4"/>
  <c r="D164" i="4"/>
  <c r="E163" i="4"/>
  <c r="D163" i="4"/>
  <c r="E162" i="4"/>
  <c r="D162" i="4"/>
  <c r="E161" i="4"/>
  <c r="D161" i="4"/>
  <c r="E160" i="4"/>
  <c r="D160" i="4"/>
  <c r="E159" i="4"/>
  <c r="D159" i="4"/>
  <c r="E158" i="4"/>
  <c r="D158" i="4"/>
  <c r="E157" i="4"/>
  <c r="D157" i="4"/>
  <c r="E156" i="4"/>
  <c r="D156" i="4"/>
  <c r="E155" i="4"/>
  <c r="D155" i="4"/>
  <c r="E154" i="4"/>
  <c r="D154" i="4"/>
  <c r="E153" i="4"/>
  <c r="D153" i="4"/>
  <c r="E152" i="4"/>
  <c r="D152" i="4"/>
  <c r="E151" i="4"/>
  <c r="D151" i="4"/>
  <c r="E150" i="4"/>
  <c r="D150" i="4"/>
  <c r="E149" i="4"/>
  <c r="D149" i="4"/>
  <c r="E148" i="4"/>
  <c r="D148" i="4"/>
  <c r="E147" i="4"/>
  <c r="D147" i="4"/>
  <c r="E146" i="4"/>
  <c r="D146" i="4"/>
  <c r="E145" i="4"/>
  <c r="D145" i="4"/>
  <c r="E144" i="4"/>
  <c r="D144" i="4"/>
  <c r="E143" i="4"/>
  <c r="D143" i="4"/>
  <c r="E142" i="4"/>
  <c r="D142" i="4"/>
  <c r="E141" i="4"/>
  <c r="D141" i="4"/>
  <c r="E140" i="4"/>
  <c r="D140" i="4"/>
  <c r="E139" i="4"/>
  <c r="D139" i="4"/>
  <c r="E138" i="4"/>
  <c r="D138" i="4"/>
  <c r="E137" i="4"/>
  <c r="D137" i="4"/>
  <c r="E136" i="4"/>
  <c r="D136" i="4"/>
  <c r="E135" i="4"/>
  <c r="D135" i="4"/>
  <c r="E134" i="4"/>
  <c r="D134" i="4"/>
  <c r="E133" i="4"/>
  <c r="D133" i="4"/>
  <c r="E132" i="4"/>
  <c r="D132" i="4"/>
  <c r="E131" i="4"/>
  <c r="D131" i="4"/>
  <c r="E130" i="4"/>
  <c r="D130" i="4"/>
  <c r="E129" i="4"/>
  <c r="D129" i="4"/>
  <c r="E128" i="4"/>
  <c r="D128" i="4"/>
  <c r="E127" i="4"/>
  <c r="D127" i="4"/>
  <c r="E126" i="4"/>
  <c r="D126" i="4"/>
  <c r="E125" i="4"/>
  <c r="D125" i="4"/>
  <c r="E124" i="4"/>
  <c r="D124" i="4"/>
  <c r="E123" i="4"/>
  <c r="D123" i="4"/>
  <c r="E122" i="4"/>
  <c r="D122" i="4"/>
  <c r="E121" i="4"/>
  <c r="D121" i="4"/>
  <c r="E120" i="4"/>
  <c r="D120" i="4"/>
  <c r="E119" i="4"/>
  <c r="D119" i="4"/>
  <c r="E118" i="4"/>
  <c r="D118" i="4"/>
  <c r="E117" i="4"/>
  <c r="D117" i="4"/>
  <c r="E116" i="4"/>
  <c r="D116" i="4"/>
  <c r="E115" i="4"/>
  <c r="D115" i="4"/>
  <c r="E114" i="4"/>
  <c r="D114" i="4"/>
  <c r="E113" i="4"/>
  <c r="D113" i="4"/>
  <c r="E112" i="4"/>
  <c r="D112" i="4"/>
  <c r="E111" i="4"/>
  <c r="D111" i="4"/>
  <c r="E110" i="4"/>
  <c r="D110" i="4"/>
  <c r="E109" i="4"/>
  <c r="D109" i="4"/>
  <c r="E108" i="4"/>
  <c r="D108" i="4"/>
  <c r="E107" i="4"/>
  <c r="D107" i="4"/>
  <c r="E106" i="4"/>
  <c r="D106" i="4"/>
  <c r="E105" i="4"/>
  <c r="D105" i="4"/>
  <c r="E104" i="4"/>
  <c r="D104" i="4"/>
  <c r="E103" i="4"/>
  <c r="D103" i="4"/>
  <c r="E102" i="4"/>
  <c r="D102" i="4"/>
  <c r="E101" i="4"/>
  <c r="D101" i="4"/>
  <c r="E100" i="4"/>
  <c r="D100" i="4"/>
  <c r="E99" i="4"/>
  <c r="D99" i="4"/>
  <c r="E98" i="4"/>
  <c r="D98" i="4"/>
  <c r="E97" i="4"/>
  <c r="D97" i="4"/>
  <c r="E96" i="4"/>
  <c r="D96" i="4"/>
  <c r="E95" i="4"/>
  <c r="D95" i="4"/>
  <c r="E94" i="4"/>
  <c r="D94" i="4"/>
  <c r="E93" i="4"/>
  <c r="D93" i="4"/>
  <c r="E92" i="4"/>
  <c r="D92" i="4"/>
  <c r="E91" i="4"/>
  <c r="D91" i="4"/>
  <c r="E90" i="4"/>
  <c r="D90" i="4"/>
  <c r="E89" i="4"/>
  <c r="D89" i="4"/>
  <c r="E88" i="4"/>
  <c r="D88" i="4"/>
  <c r="E87" i="4"/>
  <c r="D87" i="4"/>
  <c r="E86" i="4"/>
  <c r="D86" i="4"/>
  <c r="E85" i="4"/>
  <c r="D85" i="4"/>
  <c r="E84" i="4"/>
  <c r="D84" i="4"/>
  <c r="E83" i="4"/>
  <c r="D83" i="4"/>
  <c r="E82" i="4"/>
  <c r="D82" i="4"/>
  <c r="E81" i="4"/>
  <c r="D81" i="4"/>
  <c r="E80" i="4"/>
  <c r="D80" i="4"/>
  <c r="E79" i="4"/>
  <c r="D79" i="4"/>
  <c r="E78" i="4"/>
  <c r="D78" i="4"/>
  <c r="E77" i="4"/>
  <c r="D77" i="4"/>
  <c r="E76" i="4"/>
  <c r="D76" i="4"/>
  <c r="E75" i="4"/>
  <c r="D75" i="4"/>
  <c r="E74" i="4"/>
  <c r="D74" i="4"/>
  <c r="E73" i="4"/>
  <c r="D73" i="4"/>
  <c r="E72" i="4"/>
  <c r="D72" i="4"/>
  <c r="E71" i="4"/>
  <c r="D71" i="4"/>
  <c r="E70" i="4"/>
  <c r="D70" i="4"/>
  <c r="E69" i="4"/>
  <c r="D69" i="4"/>
  <c r="E68" i="4"/>
  <c r="D68" i="4"/>
  <c r="E67" i="4"/>
  <c r="D67" i="4"/>
  <c r="E66" i="4"/>
  <c r="D66" i="4"/>
  <c r="E65" i="4"/>
  <c r="D65" i="4"/>
  <c r="E64" i="4"/>
  <c r="D64" i="4"/>
  <c r="E63" i="4"/>
  <c r="D63" i="4"/>
  <c r="E62" i="4"/>
  <c r="D62" i="4"/>
  <c r="E61" i="4"/>
  <c r="D61" i="4"/>
  <c r="E60" i="4"/>
  <c r="D60" i="4"/>
  <c r="E59" i="4"/>
  <c r="D59" i="4"/>
  <c r="E58" i="4"/>
  <c r="D58" i="4"/>
  <c r="E57" i="4"/>
  <c r="D57" i="4"/>
  <c r="E56" i="4"/>
  <c r="D56" i="4"/>
  <c r="E55" i="4"/>
  <c r="D55" i="4"/>
  <c r="E54" i="4"/>
  <c r="D54" i="4"/>
  <c r="E53" i="4"/>
  <c r="D53" i="4"/>
  <c r="E52" i="4"/>
  <c r="D52" i="4"/>
  <c r="E51" i="4"/>
  <c r="D51" i="4"/>
  <c r="E50" i="4"/>
  <c r="D50" i="4"/>
  <c r="E49" i="4"/>
  <c r="D49" i="4"/>
  <c r="E48" i="4"/>
  <c r="D48" i="4"/>
  <c r="E47" i="4"/>
  <c r="D47" i="4"/>
  <c r="E46" i="4"/>
  <c r="D46" i="4"/>
  <c r="E45" i="4"/>
  <c r="D45" i="4"/>
  <c r="E44" i="4"/>
  <c r="D44" i="4"/>
  <c r="E43" i="4"/>
  <c r="D43" i="4"/>
  <c r="E42" i="4"/>
  <c r="D42" i="4"/>
  <c r="E41" i="4"/>
  <c r="D41" i="4"/>
  <c r="E40" i="4"/>
  <c r="D40" i="4"/>
  <c r="E39" i="4"/>
  <c r="D39" i="4"/>
  <c r="E38" i="4"/>
  <c r="D38" i="4"/>
  <c r="E37" i="4"/>
  <c r="D37" i="4"/>
  <c r="E36" i="4"/>
  <c r="D36" i="4"/>
  <c r="E35" i="4"/>
  <c r="D35" i="4"/>
  <c r="E34" i="4"/>
  <c r="D34" i="4"/>
  <c r="E33" i="4"/>
  <c r="D33" i="4"/>
  <c r="E32" i="4"/>
  <c r="D32" i="4"/>
  <c r="E31" i="4"/>
  <c r="D31" i="4"/>
  <c r="E30" i="4"/>
  <c r="D30" i="4"/>
  <c r="E29" i="4"/>
  <c r="D29" i="4"/>
  <c r="E28" i="4"/>
  <c r="D28" i="4"/>
  <c r="E27" i="4"/>
  <c r="D27" i="4"/>
  <c r="E26" i="4"/>
  <c r="D26" i="4"/>
  <c r="E25" i="4"/>
  <c r="D25" i="4"/>
  <c r="E24" i="4"/>
  <c r="D24" i="4"/>
  <c r="E23" i="4"/>
  <c r="D23" i="4"/>
  <c r="E22" i="4"/>
  <c r="D22" i="4"/>
  <c r="E21" i="4"/>
  <c r="D21" i="4"/>
  <c r="E20" i="4"/>
  <c r="D20" i="4"/>
  <c r="E19" i="4"/>
  <c r="D19" i="4"/>
  <c r="E18" i="4"/>
  <c r="D18" i="4"/>
  <c r="E17" i="4"/>
  <c r="D17" i="4"/>
  <c r="E16" i="4"/>
  <c r="D16" i="4"/>
  <c r="E15" i="4"/>
  <c r="D15" i="4"/>
  <c r="E14" i="4"/>
  <c r="D14" i="4"/>
  <c r="E13" i="4"/>
  <c r="D13" i="4"/>
  <c r="E12" i="4"/>
  <c r="D12" i="4"/>
  <c r="E11" i="4"/>
  <c r="D11" i="4"/>
  <c r="E10" i="4"/>
  <c r="D10" i="4"/>
  <c r="E9" i="4"/>
  <c r="D9" i="4"/>
  <c r="E8" i="4"/>
  <c r="D8" i="4"/>
  <c r="E7" i="4"/>
  <c r="D7" i="4"/>
  <c r="E6" i="4"/>
  <c r="D6" i="4"/>
  <c r="E5" i="4"/>
  <c r="D5" i="4"/>
  <c r="E4" i="4"/>
  <c r="D4" i="4"/>
  <c r="U203" i="3"/>
  <c r="N203" i="3"/>
  <c r="W203" i="3" s="1"/>
  <c r="M203" i="3"/>
  <c r="L203" i="3"/>
  <c r="S203" i="3" s="1"/>
  <c r="E203" i="3"/>
  <c r="D203" i="3"/>
  <c r="C203" i="3"/>
  <c r="U202" i="3"/>
  <c r="N202" i="3"/>
  <c r="W202" i="3" s="1"/>
  <c r="M202" i="3"/>
  <c r="L202" i="3"/>
  <c r="S202" i="3" s="1"/>
  <c r="E202" i="3"/>
  <c r="D202" i="3"/>
  <c r="C202" i="3"/>
  <c r="U201" i="3"/>
  <c r="N201" i="3"/>
  <c r="W201" i="3" s="1"/>
  <c r="M201" i="3"/>
  <c r="L201" i="3"/>
  <c r="S201" i="3" s="1"/>
  <c r="E201" i="3"/>
  <c r="D201" i="3"/>
  <c r="C201" i="3"/>
  <c r="U200" i="3"/>
  <c r="N200" i="3"/>
  <c r="W200" i="3" s="1"/>
  <c r="M200" i="3"/>
  <c r="L200" i="3"/>
  <c r="S200" i="3" s="1"/>
  <c r="E200" i="3"/>
  <c r="D200" i="3"/>
  <c r="C200" i="3"/>
  <c r="U199" i="3"/>
  <c r="N199" i="3"/>
  <c r="W199" i="3" s="1"/>
  <c r="M199" i="3"/>
  <c r="L199" i="3"/>
  <c r="S199" i="3" s="1"/>
  <c r="E199" i="3"/>
  <c r="D199" i="3"/>
  <c r="C199" i="3"/>
  <c r="U198" i="3"/>
  <c r="N198" i="3"/>
  <c r="W198" i="3" s="1"/>
  <c r="M198" i="3"/>
  <c r="L198" i="3"/>
  <c r="S198" i="3" s="1"/>
  <c r="E198" i="3"/>
  <c r="D198" i="3"/>
  <c r="C198" i="3"/>
  <c r="U197" i="3"/>
  <c r="N197" i="3"/>
  <c r="W197" i="3" s="1"/>
  <c r="M197" i="3"/>
  <c r="L197" i="3"/>
  <c r="S197" i="3" s="1"/>
  <c r="E197" i="3"/>
  <c r="D197" i="3"/>
  <c r="C197" i="3"/>
  <c r="U196" i="3"/>
  <c r="N196" i="3"/>
  <c r="W196" i="3" s="1"/>
  <c r="M196" i="3"/>
  <c r="L196" i="3"/>
  <c r="S196" i="3" s="1"/>
  <c r="E196" i="3"/>
  <c r="D196" i="3"/>
  <c r="C196" i="3"/>
  <c r="U195" i="3"/>
  <c r="N195" i="3"/>
  <c r="W195" i="3" s="1"/>
  <c r="M195" i="3"/>
  <c r="L195" i="3"/>
  <c r="S195" i="3" s="1"/>
  <c r="E195" i="3"/>
  <c r="D195" i="3"/>
  <c r="C195" i="3"/>
  <c r="U194" i="3"/>
  <c r="N194" i="3"/>
  <c r="W194" i="3" s="1"/>
  <c r="M194" i="3"/>
  <c r="L194" i="3"/>
  <c r="S194" i="3" s="1"/>
  <c r="E194" i="3"/>
  <c r="D194" i="3"/>
  <c r="C194" i="3"/>
  <c r="U193" i="3"/>
  <c r="N193" i="3"/>
  <c r="W193" i="3" s="1"/>
  <c r="M193" i="3"/>
  <c r="L193" i="3"/>
  <c r="S193" i="3" s="1"/>
  <c r="E193" i="3"/>
  <c r="D193" i="3"/>
  <c r="C193" i="3"/>
  <c r="U192" i="3"/>
  <c r="N192" i="3"/>
  <c r="W192" i="3" s="1"/>
  <c r="M192" i="3"/>
  <c r="L192" i="3"/>
  <c r="S192" i="3" s="1"/>
  <c r="E192" i="3"/>
  <c r="D192" i="3"/>
  <c r="C192" i="3"/>
  <c r="U191" i="3"/>
  <c r="N191" i="3"/>
  <c r="W191" i="3" s="1"/>
  <c r="M191" i="3"/>
  <c r="L191" i="3"/>
  <c r="S191" i="3" s="1"/>
  <c r="E191" i="3"/>
  <c r="D191" i="3"/>
  <c r="C191" i="3"/>
  <c r="U190" i="3"/>
  <c r="N190" i="3"/>
  <c r="W190" i="3" s="1"/>
  <c r="M190" i="3"/>
  <c r="L190" i="3"/>
  <c r="S190" i="3" s="1"/>
  <c r="E190" i="3"/>
  <c r="D190" i="3"/>
  <c r="C190" i="3"/>
  <c r="U189" i="3"/>
  <c r="N189" i="3"/>
  <c r="W189" i="3" s="1"/>
  <c r="M189" i="3"/>
  <c r="L189" i="3"/>
  <c r="S189" i="3" s="1"/>
  <c r="E189" i="3"/>
  <c r="D189" i="3"/>
  <c r="C189" i="3"/>
  <c r="U188" i="3"/>
  <c r="N188" i="3"/>
  <c r="W188" i="3" s="1"/>
  <c r="M188" i="3"/>
  <c r="L188" i="3"/>
  <c r="S188" i="3" s="1"/>
  <c r="E188" i="3"/>
  <c r="D188" i="3"/>
  <c r="C188" i="3"/>
  <c r="U187" i="3"/>
  <c r="N187" i="3"/>
  <c r="W187" i="3" s="1"/>
  <c r="M187" i="3"/>
  <c r="L187" i="3"/>
  <c r="S187" i="3" s="1"/>
  <c r="E187" i="3"/>
  <c r="D187" i="3"/>
  <c r="C187" i="3"/>
  <c r="U186" i="3"/>
  <c r="N186" i="3"/>
  <c r="W186" i="3" s="1"/>
  <c r="M186" i="3"/>
  <c r="L186" i="3"/>
  <c r="S186" i="3" s="1"/>
  <c r="E186" i="3"/>
  <c r="D186" i="3"/>
  <c r="C186" i="3"/>
  <c r="U185" i="3"/>
  <c r="N185" i="3"/>
  <c r="W185" i="3" s="1"/>
  <c r="M185" i="3"/>
  <c r="L185" i="3"/>
  <c r="S185" i="3" s="1"/>
  <c r="E185" i="3"/>
  <c r="D185" i="3"/>
  <c r="C185" i="3"/>
  <c r="U184" i="3"/>
  <c r="N184" i="3"/>
  <c r="W184" i="3" s="1"/>
  <c r="M184" i="3"/>
  <c r="L184" i="3"/>
  <c r="S184" i="3" s="1"/>
  <c r="E184" i="3"/>
  <c r="D184" i="3"/>
  <c r="C184" i="3"/>
  <c r="U183" i="3"/>
  <c r="N183" i="3"/>
  <c r="W183" i="3" s="1"/>
  <c r="M183" i="3"/>
  <c r="L183" i="3"/>
  <c r="S183" i="3" s="1"/>
  <c r="E183" i="3"/>
  <c r="D183" i="3"/>
  <c r="C183" i="3"/>
  <c r="U182" i="3"/>
  <c r="N182" i="3"/>
  <c r="W182" i="3" s="1"/>
  <c r="M182" i="3"/>
  <c r="L182" i="3"/>
  <c r="S182" i="3" s="1"/>
  <c r="E182" i="3"/>
  <c r="D182" i="3"/>
  <c r="C182" i="3"/>
  <c r="U181" i="3"/>
  <c r="N181" i="3"/>
  <c r="W181" i="3" s="1"/>
  <c r="M181" i="3"/>
  <c r="L181" i="3"/>
  <c r="S181" i="3" s="1"/>
  <c r="E181" i="3"/>
  <c r="D181" i="3"/>
  <c r="C181" i="3"/>
  <c r="U180" i="3"/>
  <c r="N180" i="3"/>
  <c r="W180" i="3" s="1"/>
  <c r="M180" i="3"/>
  <c r="L180" i="3"/>
  <c r="S180" i="3" s="1"/>
  <c r="E180" i="3"/>
  <c r="D180" i="3"/>
  <c r="C180" i="3"/>
  <c r="U179" i="3"/>
  <c r="N179" i="3"/>
  <c r="W179" i="3" s="1"/>
  <c r="M179" i="3"/>
  <c r="L179" i="3"/>
  <c r="S179" i="3" s="1"/>
  <c r="E179" i="3"/>
  <c r="D179" i="3"/>
  <c r="C179" i="3"/>
  <c r="U178" i="3"/>
  <c r="N178" i="3"/>
  <c r="W178" i="3" s="1"/>
  <c r="M178" i="3"/>
  <c r="L178" i="3"/>
  <c r="S178" i="3" s="1"/>
  <c r="E178" i="3"/>
  <c r="D178" i="3"/>
  <c r="C178" i="3"/>
  <c r="U177" i="3"/>
  <c r="N177" i="3"/>
  <c r="W177" i="3" s="1"/>
  <c r="M177" i="3"/>
  <c r="L177" i="3"/>
  <c r="S177" i="3" s="1"/>
  <c r="E177" i="3"/>
  <c r="D177" i="3"/>
  <c r="C177" i="3"/>
  <c r="U176" i="3"/>
  <c r="N176" i="3"/>
  <c r="W176" i="3" s="1"/>
  <c r="M176" i="3"/>
  <c r="L176" i="3"/>
  <c r="S176" i="3" s="1"/>
  <c r="E176" i="3"/>
  <c r="D176" i="3"/>
  <c r="C176" i="3"/>
  <c r="U175" i="3"/>
  <c r="N175" i="3"/>
  <c r="W175" i="3" s="1"/>
  <c r="M175" i="3"/>
  <c r="L175" i="3"/>
  <c r="S175" i="3" s="1"/>
  <c r="E175" i="3"/>
  <c r="D175" i="3"/>
  <c r="C175" i="3"/>
  <c r="U174" i="3"/>
  <c r="N174" i="3"/>
  <c r="W174" i="3" s="1"/>
  <c r="M174" i="3"/>
  <c r="L174" i="3"/>
  <c r="S174" i="3" s="1"/>
  <c r="E174" i="3"/>
  <c r="D174" i="3"/>
  <c r="C174" i="3"/>
  <c r="U173" i="3"/>
  <c r="N173" i="3"/>
  <c r="W173" i="3" s="1"/>
  <c r="M173" i="3"/>
  <c r="L173" i="3"/>
  <c r="S173" i="3" s="1"/>
  <c r="E173" i="3"/>
  <c r="D173" i="3"/>
  <c r="C173" i="3"/>
  <c r="U172" i="3"/>
  <c r="N172" i="3"/>
  <c r="W172" i="3" s="1"/>
  <c r="M172" i="3"/>
  <c r="L172" i="3"/>
  <c r="S172" i="3" s="1"/>
  <c r="E172" i="3"/>
  <c r="D172" i="3"/>
  <c r="C172" i="3"/>
  <c r="U171" i="3"/>
  <c r="N171" i="3"/>
  <c r="W171" i="3" s="1"/>
  <c r="M171" i="3"/>
  <c r="L171" i="3"/>
  <c r="S171" i="3" s="1"/>
  <c r="E171" i="3"/>
  <c r="D171" i="3"/>
  <c r="C171" i="3"/>
  <c r="U170" i="3"/>
  <c r="N170" i="3"/>
  <c r="W170" i="3" s="1"/>
  <c r="M170" i="3"/>
  <c r="L170" i="3"/>
  <c r="S170" i="3" s="1"/>
  <c r="E170" i="3"/>
  <c r="D170" i="3"/>
  <c r="C170" i="3"/>
  <c r="U169" i="3"/>
  <c r="N169" i="3"/>
  <c r="W169" i="3" s="1"/>
  <c r="M169" i="3"/>
  <c r="L169" i="3"/>
  <c r="S169" i="3" s="1"/>
  <c r="E169" i="3"/>
  <c r="D169" i="3"/>
  <c r="C169" i="3"/>
  <c r="U168" i="3"/>
  <c r="N168" i="3"/>
  <c r="W168" i="3" s="1"/>
  <c r="M168" i="3"/>
  <c r="L168" i="3"/>
  <c r="S168" i="3" s="1"/>
  <c r="E168" i="3"/>
  <c r="D168" i="3"/>
  <c r="C168" i="3"/>
  <c r="U167" i="3"/>
  <c r="N167" i="3"/>
  <c r="W167" i="3" s="1"/>
  <c r="M167" i="3"/>
  <c r="L167" i="3"/>
  <c r="S167" i="3" s="1"/>
  <c r="E167" i="3"/>
  <c r="D167" i="3"/>
  <c r="C167" i="3"/>
  <c r="U166" i="3"/>
  <c r="N166" i="3"/>
  <c r="W166" i="3" s="1"/>
  <c r="M166" i="3"/>
  <c r="L166" i="3"/>
  <c r="S166" i="3" s="1"/>
  <c r="E166" i="3"/>
  <c r="D166" i="3"/>
  <c r="C166" i="3"/>
  <c r="U165" i="3"/>
  <c r="N165" i="3"/>
  <c r="W165" i="3" s="1"/>
  <c r="M165" i="3"/>
  <c r="L165" i="3"/>
  <c r="S165" i="3" s="1"/>
  <c r="E165" i="3"/>
  <c r="D165" i="3"/>
  <c r="C165" i="3"/>
  <c r="U164" i="3"/>
  <c r="N164" i="3"/>
  <c r="W164" i="3" s="1"/>
  <c r="M164" i="3"/>
  <c r="L164" i="3"/>
  <c r="S164" i="3" s="1"/>
  <c r="E164" i="3"/>
  <c r="D164" i="3"/>
  <c r="C164" i="3"/>
  <c r="U163" i="3"/>
  <c r="N163" i="3"/>
  <c r="W163" i="3" s="1"/>
  <c r="M163" i="3"/>
  <c r="L163" i="3"/>
  <c r="S163" i="3" s="1"/>
  <c r="E163" i="3"/>
  <c r="D163" i="3"/>
  <c r="C163" i="3"/>
  <c r="U162" i="3"/>
  <c r="N162" i="3"/>
  <c r="W162" i="3" s="1"/>
  <c r="M162" i="3"/>
  <c r="L162" i="3"/>
  <c r="S162" i="3" s="1"/>
  <c r="E162" i="3"/>
  <c r="D162" i="3"/>
  <c r="C162" i="3"/>
  <c r="U161" i="3"/>
  <c r="N161" i="3"/>
  <c r="W161" i="3" s="1"/>
  <c r="M161" i="3"/>
  <c r="L161" i="3"/>
  <c r="S161" i="3" s="1"/>
  <c r="E161" i="3"/>
  <c r="D161" i="3"/>
  <c r="C161" i="3"/>
  <c r="U160" i="3"/>
  <c r="N160" i="3"/>
  <c r="W160" i="3" s="1"/>
  <c r="M160" i="3"/>
  <c r="L160" i="3"/>
  <c r="S160" i="3" s="1"/>
  <c r="E160" i="3"/>
  <c r="D160" i="3"/>
  <c r="C160" i="3"/>
  <c r="U159" i="3"/>
  <c r="N159" i="3"/>
  <c r="W159" i="3" s="1"/>
  <c r="M159" i="3"/>
  <c r="L159" i="3"/>
  <c r="S159" i="3" s="1"/>
  <c r="E159" i="3"/>
  <c r="D159" i="3"/>
  <c r="C159" i="3"/>
  <c r="U158" i="3"/>
  <c r="N158" i="3"/>
  <c r="W158" i="3" s="1"/>
  <c r="M158" i="3"/>
  <c r="L158" i="3"/>
  <c r="S158" i="3" s="1"/>
  <c r="E158" i="3"/>
  <c r="D158" i="3"/>
  <c r="C158" i="3"/>
  <c r="U157" i="3"/>
  <c r="N157" i="3"/>
  <c r="W157" i="3" s="1"/>
  <c r="M157" i="3"/>
  <c r="L157" i="3"/>
  <c r="S157" i="3" s="1"/>
  <c r="E157" i="3"/>
  <c r="D157" i="3"/>
  <c r="C157" i="3"/>
  <c r="U156" i="3"/>
  <c r="N156" i="3"/>
  <c r="W156" i="3" s="1"/>
  <c r="M156" i="3"/>
  <c r="L156" i="3"/>
  <c r="S156" i="3" s="1"/>
  <c r="E156" i="3"/>
  <c r="D156" i="3"/>
  <c r="C156" i="3"/>
  <c r="U155" i="3"/>
  <c r="N155" i="3"/>
  <c r="W155" i="3" s="1"/>
  <c r="M155" i="3"/>
  <c r="L155" i="3"/>
  <c r="S155" i="3" s="1"/>
  <c r="E155" i="3"/>
  <c r="D155" i="3"/>
  <c r="C155" i="3"/>
  <c r="U154" i="3"/>
  <c r="N154" i="3"/>
  <c r="W154" i="3" s="1"/>
  <c r="M154" i="3"/>
  <c r="L154" i="3"/>
  <c r="S154" i="3" s="1"/>
  <c r="E154" i="3"/>
  <c r="D154" i="3"/>
  <c r="C154" i="3"/>
  <c r="U153" i="3"/>
  <c r="N153" i="3"/>
  <c r="W153" i="3" s="1"/>
  <c r="M153" i="3"/>
  <c r="L153" i="3"/>
  <c r="S153" i="3" s="1"/>
  <c r="E153" i="3"/>
  <c r="D153" i="3"/>
  <c r="C153" i="3"/>
  <c r="U152" i="3"/>
  <c r="N152" i="3"/>
  <c r="W152" i="3" s="1"/>
  <c r="M152" i="3"/>
  <c r="L152" i="3"/>
  <c r="S152" i="3" s="1"/>
  <c r="E152" i="3"/>
  <c r="D152" i="3"/>
  <c r="C152" i="3"/>
  <c r="U151" i="3"/>
  <c r="N151" i="3"/>
  <c r="W151" i="3" s="1"/>
  <c r="M151" i="3"/>
  <c r="L151" i="3"/>
  <c r="S151" i="3" s="1"/>
  <c r="E151" i="3"/>
  <c r="D151" i="3"/>
  <c r="C151" i="3"/>
  <c r="U150" i="3"/>
  <c r="N150" i="3"/>
  <c r="W150" i="3" s="1"/>
  <c r="M150" i="3"/>
  <c r="L150" i="3"/>
  <c r="S150" i="3" s="1"/>
  <c r="E150" i="3"/>
  <c r="D150" i="3"/>
  <c r="C150" i="3"/>
  <c r="U149" i="3"/>
  <c r="N149" i="3"/>
  <c r="W149" i="3" s="1"/>
  <c r="M149" i="3"/>
  <c r="L149" i="3"/>
  <c r="S149" i="3" s="1"/>
  <c r="E149" i="3"/>
  <c r="D149" i="3"/>
  <c r="C149" i="3"/>
  <c r="U148" i="3"/>
  <c r="N148" i="3"/>
  <c r="W148" i="3" s="1"/>
  <c r="M148" i="3"/>
  <c r="L148" i="3"/>
  <c r="S148" i="3" s="1"/>
  <c r="E148" i="3"/>
  <c r="D148" i="3"/>
  <c r="C148" i="3"/>
  <c r="U147" i="3"/>
  <c r="N147" i="3"/>
  <c r="W147" i="3" s="1"/>
  <c r="M147" i="3"/>
  <c r="L147" i="3"/>
  <c r="S147" i="3" s="1"/>
  <c r="E147" i="3"/>
  <c r="D147" i="3"/>
  <c r="C147" i="3"/>
  <c r="U146" i="3"/>
  <c r="N146" i="3"/>
  <c r="W146" i="3" s="1"/>
  <c r="M146" i="3"/>
  <c r="L146" i="3"/>
  <c r="S146" i="3" s="1"/>
  <c r="E146" i="3"/>
  <c r="D146" i="3"/>
  <c r="C146" i="3"/>
  <c r="U145" i="3"/>
  <c r="N145" i="3"/>
  <c r="W145" i="3" s="1"/>
  <c r="M145" i="3"/>
  <c r="L145" i="3"/>
  <c r="S145" i="3" s="1"/>
  <c r="E145" i="3"/>
  <c r="D145" i="3"/>
  <c r="C145" i="3"/>
  <c r="U144" i="3"/>
  <c r="N144" i="3"/>
  <c r="W144" i="3" s="1"/>
  <c r="M144" i="3"/>
  <c r="L144" i="3"/>
  <c r="S144" i="3" s="1"/>
  <c r="E144" i="3"/>
  <c r="D144" i="3"/>
  <c r="C144" i="3"/>
  <c r="U143" i="3"/>
  <c r="N143" i="3"/>
  <c r="W143" i="3" s="1"/>
  <c r="M143" i="3"/>
  <c r="L143" i="3"/>
  <c r="S143" i="3" s="1"/>
  <c r="E143" i="3"/>
  <c r="D143" i="3"/>
  <c r="C143" i="3"/>
  <c r="U142" i="3"/>
  <c r="N142" i="3"/>
  <c r="W142" i="3" s="1"/>
  <c r="M142" i="3"/>
  <c r="L142" i="3"/>
  <c r="S142" i="3" s="1"/>
  <c r="E142" i="3"/>
  <c r="D142" i="3"/>
  <c r="C142" i="3"/>
  <c r="U141" i="3"/>
  <c r="N141" i="3"/>
  <c r="W141" i="3" s="1"/>
  <c r="M141" i="3"/>
  <c r="L141" i="3"/>
  <c r="S141" i="3" s="1"/>
  <c r="E141" i="3"/>
  <c r="D141" i="3"/>
  <c r="C141" i="3"/>
  <c r="U140" i="3"/>
  <c r="N140" i="3"/>
  <c r="W140" i="3" s="1"/>
  <c r="M140" i="3"/>
  <c r="L140" i="3"/>
  <c r="S140" i="3" s="1"/>
  <c r="E140" i="3"/>
  <c r="D140" i="3"/>
  <c r="C140" i="3"/>
  <c r="U139" i="3"/>
  <c r="N139" i="3"/>
  <c r="W139" i="3" s="1"/>
  <c r="M139" i="3"/>
  <c r="L139" i="3"/>
  <c r="S139" i="3" s="1"/>
  <c r="E139" i="3"/>
  <c r="D139" i="3"/>
  <c r="C139" i="3"/>
  <c r="U138" i="3"/>
  <c r="N138" i="3"/>
  <c r="W138" i="3" s="1"/>
  <c r="M138" i="3"/>
  <c r="L138" i="3"/>
  <c r="S138" i="3" s="1"/>
  <c r="E138" i="3"/>
  <c r="D138" i="3"/>
  <c r="C138" i="3"/>
  <c r="U137" i="3"/>
  <c r="N137" i="3"/>
  <c r="W137" i="3" s="1"/>
  <c r="M137" i="3"/>
  <c r="L137" i="3"/>
  <c r="S137" i="3" s="1"/>
  <c r="E137" i="3"/>
  <c r="D137" i="3"/>
  <c r="C137" i="3"/>
  <c r="U136" i="3"/>
  <c r="N136" i="3"/>
  <c r="W136" i="3" s="1"/>
  <c r="M136" i="3"/>
  <c r="L136" i="3"/>
  <c r="S136" i="3" s="1"/>
  <c r="E136" i="3"/>
  <c r="D136" i="3"/>
  <c r="C136" i="3"/>
  <c r="U135" i="3"/>
  <c r="N135" i="3"/>
  <c r="W135" i="3" s="1"/>
  <c r="M135" i="3"/>
  <c r="L135" i="3"/>
  <c r="S135" i="3" s="1"/>
  <c r="E135" i="3"/>
  <c r="D135" i="3"/>
  <c r="C135" i="3"/>
  <c r="U134" i="3"/>
  <c r="N134" i="3"/>
  <c r="W134" i="3" s="1"/>
  <c r="M134" i="3"/>
  <c r="L134" i="3"/>
  <c r="S134" i="3" s="1"/>
  <c r="E134" i="3"/>
  <c r="D134" i="3"/>
  <c r="C134" i="3"/>
  <c r="U133" i="3"/>
  <c r="N133" i="3"/>
  <c r="W133" i="3" s="1"/>
  <c r="M133" i="3"/>
  <c r="L133" i="3"/>
  <c r="S133" i="3" s="1"/>
  <c r="E133" i="3"/>
  <c r="D133" i="3"/>
  <c r="C133" i="3"/>
  <c r="U132" i="3"/>
  <c r="N132" i="3"/>
  <c r="W132" i="3" s="1"/>
  <c r="M132" i="3"/>
  <c r="L132" i="3"/>
  <c r="S132" i="3" s="1"/>
  <c r="E132" i="3"/>
  <c r="D132" i="3"/>
  <c r="C132" i="3"/>
  <c r="U131" i="3"/>
  <c r="N131" i="3"/>
  <c r="W131" i="3" s="1"/>
  <c r="M131" i="3"/>
  <c r="L131" i="3"/>
  <c r="S131" i="3" s="1"/>
  <c r="E131" i="3"/>
  <c r="D131" i="3"/>
  <c r="C131" i="3"/>
  <c r="U130" i="3"/>
  <c r="N130" i="3"/>
  <c r="W130" i="3" s="1"/>
  <c r="M130" i="3"/>
  <c r="L130" i="3"/>
  <c r="S130" i="3" s="1"/>
  <c r="E130" i="3"/>
  <c r="D130" i="3"/>
  <c r="C130" i="3"/>
  <c r="U129" i="3"/>
  <c r="N129" i="3"/>
  <c r="W129" i="3" s="1"/>
  <c r="M129" i="3"/>
  <c r="L129" i="3"/>
  <c r="S129" i="3" s="1"/>
  <c r="E129" i="3"/>
  <c r="D129" i="3"/>
  <c r="C129" i="3"/>
  <c r="U128" i="3"/>
  <c r="N128" i="3"/>
  <c r="W128" i="3" s="1"/>
  <c r="M128" i="3"/>
  <c r="L128" i="3"/>
  <c r="S128" i="3" s="1"/>
  <c r="E128" i="3"/>
  <c r="D128" i="3"/>
  <c r="C128" i="3"/>
  <c r="U127" i="3"/>
  <c r="N127" i="3"/>
  <c r="W127" i="3" s="1"/>
  <c r="M127" i="3"/>
  <c r="L127" i="3"/>
  <c r="S127" i="3" s="1"/>
  <c r="E127" i="3"/>
  <c r="D127" i="3"/>
  <c r="C127" i="3"/>
  <c r="U126" i="3"/>
  <c r="N126" i="3"/>
  <c r="W126" i="3" s="1"/>
  <c r="M126" i="3"/>
  <c r="L126" i="3"/>
  <c r="S126" i="3" s="1"/>
  <c r="E126" i="3"/>
  <c r="D126" i="3"/>
  <c r="C126" i="3"/>
  <c r="U125" i="3"/>
  <c r="N125" i="3"/>
  <c r="W125" i="3" s="1"/>
  <c r="M125" i="3"/>
  <c r="L125" i="3"/>
  <c r="S125" i="3" s="1"/>
  <c r="E125" i="3"/>
  <c r="D125" i="3"/>
  <c r="C125" i="3"/>
  <c r="U124" i="3"/>
  <c r="N124" i="3"/>
  <c r="W124" i="3" s="1"/>
  <c r="M124" i="3"/>
  <c r="L124" i="3"/>
  <c r="S124" i="3" s="1"/>
  <c r="E124" i="3"/>
  <c r="D124" i="3"/>
  <c r="C124" i="3"/>
  <c r="U123" i="3"/>
  <c r="N123" i="3"/>
  <c r="W123" i="3" s="1"/>
  <c r="M123" i="3"/>
  <c r="L123" i="3"/>
  <c r="S123" i="3" s="1"/>
  <c r="E123" i="3"/>
  <c r="D123" i="3"/>
  <c r="C123" i="3"/>
  <c r="U122" i="3"/>
  <c r="N122" i="3"/>
  <c r="W122" i="3" s="1"/>
  <c r="M122" i="3"/>
  <c r="L122" i="3"/>
  <c r="S122" i="3" s="1"/>
  <c r="E122" i="3"/>
  <c r="D122" i="3"/>
  <c r="C122" i="3"/>
  <c r="U121" i="3"/>
  <c r="N121" i="3"/>
  <c r="W121" i="3" s="1"/>
  <c r="M121" i="3"/>
  <c r="L121" i="3"/>
  <c r="S121" i="3" s="1"/>
  <c r="E121" i="3"/>
  <c r="D121" i="3"/>
  <c r="C121" i="3"/>
  <c r="U120" i="3"/>
  <c r="N120" i="3"/>
  <c r="W120" i="3" s="1"/>
  <c r="M120" i="3"/>
  <c r="L120" i="3"/>
  <c r="S120" i="3" s="1"/>
  <c r="E120" i="3"/>
  <c r="D120" i="3"/>
  <c r="C120" i="3"/>
  <c r="U119" i="3"/>
  <c r="N119" i="3"/>
  <c r="W119" i="3" s="1"/>
  <c r="M119" i="3"/>
  <c r="L119" i="3"/>
  <c r="S119" i="3" s="1"/>
  <c r="E119" i="3"/>
  <c r="D119" i="3"/>
  <c r="C119" i="3"/>
  <c r="U118" i="3"/>
  <c r="N118" i="3"/>
  <c r="W118" i="3" s="1"/>
  <c r="M118" i="3"/>
  <c r="L118" i="3"/>
  <c r="S118" i="3" s="1"/>
  <c r="E118" i="3"/>
  <c r="D118" i="3"/>
  <c r="C118" i="3"/>
  <c r="U117" i="3"/>
  <c r="N117" i="3"/>
  <c r="W117" i="3" s="1"/>
  <c r="M117" i="3"/>
  <c r="L117" i="3"/>
  <c r="S117" i="3" s="1"/>
  <c r="E117" i="3"/>
  <c r="D117" i="3"/>
  <c r="C117" i="3"/>
  <c r="U116" i="3"/>
  <c r="N116" i="3"/>
  <c r="W116" i="3" s="1"/>
  <c r="M116" i="3"/>
  <c r="L116" i="3"/>
  <c r="S116" i="3" s="1"/>
  <c r="E116" i="3"/>
  <c r="D116" i="3"/>
  <c r="C116" i="3"/>
  <c r="U115" i="3"/>
  <c r="N115" i="3"/>
  <c r="W115" i="3" s="1"/>
  <c r="M115" i="3"/>
  <c r="L115" i="3"/>
  <c r="S115" i="3" s="1"/>
  <c r="E115" i="3"/>
  <c r="D115" i="3"/>
  <c r="C115" i="3"/>
  <c r="U114" i="3"/>
  <c r="N114" i="3"/>
  <c r="W114" i="3" s="1"/>
  <c r="M114" i="3"/>
  <c r="L114" i="3"/>
  <c r="S114" i="3" s="1"/>
  <c r="E114" i="3"/>
  <c r="D114" i="3"/>
  <c r="C114" i="3"/>
  <c r="U113" i="3"/>
  <c r="N113" i="3"/>
  <c r="W113" i="3" s="1"/>
  <c r="M113" i="3"/>
  <c r="L113" i="3"/>
  <c r="S113" i="3" s="1"/>
  <c r="E113" i="3"/>
  <c r="D113" i="3"/>
  <c r="C113" i="3"/>
  <c r="U112" i="3"/>
  <c r="N112" i="3"/>
  <c r="W112" i="3" s="1"/>
  <c r="M112" i="3"/>
  <c r="L112" i="3"/>
  <c r="S112" i="3" s="1"/>
  <c r="E112" i="3"/>
  <c r="D112" i="3"/>
  <c r="C112" i="3"/>
  <c r="U111" i="3"/>
  <c r="N111" i="3"/>
  <c r="W111" i="3" s="1"/>
  <c r="M111" i="3"/>
  <c r="L111" i="3"/>
  <c r="S111" i="3" s="1"/>
  <c r="E111" i="3"/>
  <c r="D111" i="3"/>
  <c r="C111" i="3"/>
  <c r="U110" i="3"/>
  <c r="N110" i="3"/>
  <c r="W110" i="3" s="1"/>
  <c r="M110" i="3"/>
  <c r="L110" i="3"/>
  <c r="S110" i="3" s="1"/>
  <c r="E110" i="3"/>
  <c r="D110" i="3"/>
  <c r="C110" i="3"/>
  <c r="U109" i="3"/>
  <c r="N109" i="3"/>
  <c r="W109" i="3" s="1"/>
  <c r="M109" i="3"/>
  <c r="L109" i="3"/>
  <c r="S109" i="3" s="1"/>
  <c r="E109" i="3"/>
  <c r="D109" i="3"/>
  <c r="C109" i="3"/>
  <c r="U108" i="3"/>
  <c r="N108" i="3"/>
  <c r="W108" i="3" s="1"/>
  <c r="M108" i="3"/>
  <c r="L108" i="3"/>
  <c r="S108" i="3" s="1"/>
  <c r="E108" i="3"/>
  <c r="D108" i="3"/>
  <c r="C108" i="3"/>
  <c r="U107" i="3"/>
  <c r="N107" i="3"/>
  <c r="W107" i="3" s="1"/>
  <c r="M107" i="3"/>
  <c r="L107" i="3"/>
  <c r="S107" i="3" s="1"/>
  <c r="E107" i="3"/>
  <c r="D107" i="3"/>
  <c r="C107" i="3"/>
  <c r="U106" i="3"/>
  <c r="N106" i="3"/>
  <c r="W106" i="3" s="1"/>
  <c r="M106" i="3"/>
  <c r="L106" i="3"/>
  <c r="S106" i="3" s="1"/>
  <c r="E106" i="3"/>
  <c r="D106" i="3"/>
  <c r="C106" i="3"/>
  <c r="U105" i="3"/>
  <c r="N105" i="3"/>
  <c r="W105" i="3" s="1"/>
  <c r="M105" i="3"/>
  <c r="L105" i="3"/>
  <c r="S105" i="3" s="1"/>
  <c r="E105" i="3"/>
  <c r="D105" i="3"/>
  <c r="C105" i="3"/>
  <c r="U104" i="3"/>
  <c r="N104" i="3"/>
  <c r="W104" i="3" s="1"/>
  <c r="M104" i="3"/>
  <c r="L104" i="3"/>
  <c r="S104" i="3" s="1"/>
  <c r="E104" i="3"/>
  <c r="D104" i="3"/>
  <c r="C104" i="3"/>
  <c r="U103" i="3"/>
  <c r="N103" i="3"/>
  <c r="W103" i="3" s="1"/>
  <c r="M103" i="3"/>
  <c r="L103" i="3"/>
  <c r="S103" i="3" s="1"/>
  <c r="E103" i="3"/>
  <c r="D103" i="3"/>
  <c r="C103" i="3"/>
  <c r="U102" i="3"/>
  <c r="N102" i="3"/>
  <c r="W102" i="3" s="1"/>
  <c r="M102" i="3"/>
  <c r="L102" i="3"/>
  <c r="S102" i="3" s="1"/>
  <c r="E102" i="3"/>
  <c r="D102" i="3"/>
  <c r="C102" i="3"/>
  <c r="U101" i="3"/>
  <c r="N101" i="3"/>
  <c r="W101" i="3" s="1"/>
  <c r="M101" i="3"/>
  <c r="L101" i="3"/>
  <c r="S101" i="3" s="1"/>
  <c r="E101" i="3"/>
  <c r="D101" i="3"/>
  <c r="C101" i="3"/>
  <c r="U100" i="3"/>
  <c r="N100" i="3"/>
  <c r="W100" i="3" s="1"/>
  <c r="M100" i="3"/>
  <c r="L100" i="3"/>
  <c r="S100" i="3" s="1"/>
  <c r="E100" i="3"/>
  <c r="D100" i="3"/>
  <c r="C100" i="3"/>
  <c r="U99" i="3"/>
  <c r="N99" i="3"/>
  <c r="W99" i="3" s="1"/>
  <c r="M99" i="3"/>
  <c r="L99" i="3"/>
  <c r="S99" i="3" s="1"/>
  <c r="E99" i="3"/>
  <c r="D99" i="3"/>
  <c r="C99" i="3"/>
  <c r="U98" i="3"/>
  <c r="N98" i="3"/>
  <c r="W98" i="3" s="1"/>
  <c r="M98" i="3"/>
  <c r="L98" i="3"/>
  <c r="S98" i="3" s="1"/>
  <c r="E98" i="3"/>
  <c r="D98" i="3"/>
  <c r="C98" i="3"/>
  <c r="U97" i="3"/>
  <c r="N97" i="3"/>
  <c r="W97" i="3" s="1"/>
  <c r="M97" i="3"/>
  <c r="L97" i="3"/>
  <c r="S97" i="3" s="1"/>
  <c r="E97" i="3"/>
  <c r="D97" i="3"/>
  <c r="C97" i="3"/>
  <c r="U96" i="3"/>
  <c r="N96" i="3"/>
  <c r="W96" i="3" s="1"/>
  <c r="M96" i="3"/>
  <c r="L96" i="3"/>
  <c r="S96" i="3" s="1"/>
  <c r="E96" i="3"/>
  <c r="D96" i="3"/>
  <c r="C96" i="3"/>
  <c r="U95" i="3"/>
  <c r="N95" i="3"/>
  <c r="W95" i="3" s="1"/>
  <c r="M95" i="3"/>
  <c r="L95" i="3"/>
  <c r="S95" i="3" s="1"/>
  <c r="E95" i="3"/>
  <c r="D95" i="3"/>
  <c r="C95" i="3"/>
  <c r="U94" i="3"/>
  <c r="N94" i="3"/>
  <c r="W94" i="3" s="1"/>
  <c r="M94" i="3"/>
  <c r="L94" i="3"/>
  <c r="S94" i="3" s="1"/>
  <c r="E94" i="3"/>
  <c r="D94" i="3"/>
  <c r="C94" i="3"/>
  <c r="U93" i="3"/>
  <c r="N93" i="3"/>
  <c r="W93" i="3" s="1"/>
  <c r="M93" i="3"/>
  <c r="L93" i="3"/>
  <c r="S93" i="3" s="1"/>
  <c r="E93" i="3"/>
  <c r="D93" i="3"/>
  <c r="C93" i="3"/>
  <c r="U92" i="3"/>
  <c r="N92" i="3"/>
  <c r="W92" i="3" s="1"/>
  <c r="M92" i="3"/>
  <c r="L92" i="3"/>
  <c r="S92" i="3" s="1"/>
  <c r="E92" i="3"/>
  <c r="D92" i="3"/>
  <c r="C92" i="3"/>
  <c r="U91" i="3"/>
  <c r="N91" i="3"/>
  <c r="W91" i="3" s="1"/>
  <c r="M91" i="3"/>
  <c r="L91" i="3"/>
  <c r="S91" i="3" s="1"/>
  <c r="E91" i="3"/>
  <c r="D91" i="3"/>
  <c r="C91" i="3"/>
  <c r="U90" i="3"/>
  <c r="N90" i="3"/>
  <c r="W90" i="3" s="1"/>
  <c r="M90" i="3"/>
  <c r="L90" i="3"/>
  <c r="S90" i="3" s="1"/>
  <c r="E90" i="3"/>
  <c r="D90" i="3"/>
  <c r="C90" i="3"/>
  <c r="U89" i="3"/>
  <c r="N89" i="3"/>
  <c r="W89" i="3" s="1"/>
  <c r="M89" i="3"/>
  <c r="L89" i="3"/>
  <c r="S89" i="3" s="1"/>
  <c r="E89" i="3"/>
  <c r="D89" i="3"/>
  <c r="C89" i="3"/>
  <c r="U88" i="3"/>
  <c r="N88" i="3"/>
  <c r="W88" i="3" s="1"/>
  <c r="M88" i="3"/>
  <c r="L88" i="3"/>
  <c r="S88" i="3" s="1"/>
  <c r="E88" i="3"/>
  <c r="D88" i="3"/>
  <c r="C88" i="3"/>
  <c r="U87" i="3"/>
  <c r="N87" i="3"/>
  <c r="W87" i="3" s="1"/>
  <c r="M87" i="3"/>
  <c r="L87" i="3"/>
  <c r="S87" i="3" s="1"/>
  <c r="E87" i="3"/>
  <c r="D87" i="3"/>
  <c r="C87" i="3"/>
  <c r="U86" i="3"/>
  <c r="N86" i="3"/>
  <c r="W86" i="3" s="1"/>
  <c r="M86" i="3"/>
  <c r="L86" i="3"/>
  <c r="S86" i="3" s="1"/>
  <c r="E86" i="3"/>
  <c r="D86" i="3"/>
  <c r="C86" i="3"/>
  <c r="U85" i="3"/>
  <c r="N85" i="3"/>
  <c r="W85" i="3" s="1"/>
  <c r="M85" i="3"/>
  <c r="L85" i="3"/>
  <c r="S85" i="3" s="1"/>
  <c r="E85" i="3"/>
  <c r="D85" i="3"/>
  <c r="C85" i="3"/>
  <c r="U84" i="3"/>
  <c r="N84" i="3"/>
  <c r="W84" i="3" s="1"/>
  <c r="M84" i="3"/>
  <c r="L84" i="3"/>
  <c r="S84" i="3" s="1"/>
  <c r="E84" i="3"/>
  <c r="D84" i="3"/>
  <c r="C84" i="3"/>
  <c r="U83" i="3"/>
  <c r="N83" i="3"/>
  <c r="W83" i="3" s="1"/>
  <c r="M83" i="3"/>
  <c r="L83" i="3"/>
  <c r="S83" i="3" s="1"/>
  <c r="E83" i="3"/>
  <c r="D83" i="3"/>
  <c r="C83" i="3"/>
  <c r="U82" i="3"/>
  <c r="N82" i="3"/>
  <c r="W82" i="3" s="1"/>
  <c r="M82" i="3"/>
  <c r="L82" i="3"/>
  <c r="S82" i="3" s="1"/>
  <c r="E82" i="3"/>
  <c r="D82" i="3"/>
  <c r="C82" i="3"/>
  <c r="U81" i="3"/>
  <c r="N81" i="3"/>
  <c r="W81" i="3" s="1"/>
  <c r="M81" i="3"/>
  <c r="L81" i="3"/>
  <c r="S81" i="3" s="1"/>
  <c r="E81" i="3"/>
  <c r="D81" i="3"/>
  <c r="C81" i="3"/>
  <c r="U80" i="3"/>
  <c r="N80" i="3"/>
  <c r="W80" i="3" s="1"/>
  <c r="M80" i="3"/>
  <c r="L80" i="3"/>
  <c r="S80" i="3" s="1"/>
  <c r="E80" i="3"/>
  <c r="D80" i="3"/>
  <c r="C80" i="3"/>
  <c r="U79" i="3"/>
  <c r="N79" i="3"/>
  <c r="W79" i="3" s="1"/>
  <c r="M79" i="3"/>
  <c r="L79" i="3"/>
  <c r="S79" i="3" s="1"/>
  <c r="E79" i="3"/>
  <c r="D79" i="3"/>
  <c r="C79" i="3"/>
  <c r="U78" i="3"/>
  <c r="N78" i="3"/>
  <c r="W78" i="3" s="1"/>
  <c r="M78" i="3"/>
  <c r="L78" i="3"/>
  <c r="S78" i="3" s="1"/>
  <c r="E78" i="3"/>
  <c r="D78" i="3"/>
  <c r="C78" i="3"/>
  <c r="U77" i="3"/>
  <c r="N77" i="3"/>
  <c r="W77" i="3" s="1"/>
  <c r="M77" i="3"/>
  <c r="L77" i="3"/>
  <c r="S77" i="3" s="1"/>
  <c r="E77" i="3"/>
  <c r="D77" i="3"/>
  <c r="C77" i="3"/>
  <c r="U76" i="3"/>
  <c r="N76" i="3"/>
  <c r="W76" i="3" s="1"/>
  <c r="M76" i="3"/>
  <c r="L76" i="3"/>
  <c r="S76" i="3" s="1"/>
  <c r="E76" i="3"/>
  <c r="D76" i="3"/>
  <c r="C76" i="3"/>
  <c r="U75" i="3"/>
  <c r="N75" i="3"/>
  <c r="W75" i="3" s="1"/>
  <c r="M75" i="3"/>
  <c r="L75" i="3"/>
  <c r="S75" i="3" s="1"/>
  <c r="E75" i="3"/>
  <c r="D75" i="3"/>
  <c r="C75" i="3"/>
  <c r="U74" i="3"/>
  <c r="N74" i="3"/>
  <c r="W74" i="3" s="1"/>
  <c r="M74" i="3"/>
  <c r="L74" i="3"/>
  <c r="S74" i="3" s="1"/>
  <c r="E74" i="3"/>
  <c r="D74" i="3"/>
  <c r="C74" i="3"/>
  <c r="U73" i="3"/>
  <c r="N73" i="3"/>
  <c r="W73" i="3" s="1"/>
  <c r="M73" i="3"/>
  <c r="L73" i="3"/>
  <c r="S73" i="3" s="1"/>
  <c r="E73" i="3"/>
  <c r="D73" i="3"/>
  <c r="C73" i="3"/>
  <c r="U72" i="3"/>
  <c r="N72" i="3"/>
  <c r="W72" i="3" s="1"/>
  <c r="M72" i="3"/>
  <c r="L72" i="3"/>
  <c r="S72" i="3" s="1"/>
  <c r="E72" i="3"/>
  <c r="D72" i="3"/>
  <c r="C72" i="3"/>
  <c r="U71" i="3"/>
  <c r="N71" i="3"/>
  <c r="W71" i="3" s="1"/>
  <c r="M71" i="3"/>
  <c r="L71" i="3"/>
  <c r="S71" i="3" s="1"/>
  <c r="E71" i="3"/>
  <c r="D71" i="3"/>
  <c r="C71" i="3"/>
  <c r="U70" i="3"/>
  <c r="N70" i="3"/>
  <c r="W70" i="3" s="1"/>
  <c r="M70" i="3"/>
  <c r="L70" i="3"/>
  <c r="S70" i="3" s="1"/>
  <c r="E70" i="3"/>
  <c r="D70" i="3"/>
  <c r="C70" i="3"/>
  <c r="U69" i="3"/>
  <c r="N69" i="3"/>
  <c r="W69" i="3" s="1"/>
  <c r="M69" i="3"/>
  <c r="L69" i="3"/>
  <c r="S69" i="3" s="1"/>
  <c r="E69" i="3"/>
  <c r="D69" i="3"/>
  <c r="C69" i="3"/>
  <c r="U68" i="3"/>
  <c r="N68" i="3"/>
  <c r="W68" i="3" s="1"/>
  <c r="M68" i="3"/>
  <c r="L68" i="3"/>
  <c r="S68" i="3" s="1"/>
  <c r="E68" i="3"/>
  <c r="D68" i="3"/>
  <c r="C68" i="3"/>
  <c r="U67" i="3"/>
  <c r="N67" i="3"/>
  <c r="W67" i="3" s="1"/>
  <c r="M67" i="3"/>
  <c r="L67" i="3"/>
  <c r="S67" i="3" s="1"/>
  <c r="E67" i="3"/>
  <c r="D67" i="3"/>
  <c r="C67" i="3"/>
  <c r="U66" i="3"/>
  <c r="N66" i="3"/>
  <c r="W66" i="3" s="1"/>
  <c r="M66" i="3"/>
  <c r="L66" i="3"/>
  <c r="S66" i="3" s="1"/>
  <c r="E66" i="3"/>
  <c r="D66" i="3"/>
  <c r="C66" i="3"/>
  <c r="U65" i="3"/>
  <c r="N65" i="3"/>
  <c r="W65" i="3" s="1"/>
  <c r="M65" i="3"/>
  <c r="L65" i="3"/>
  <c r="S65" i="3" s="1"/>
  <c r="E65" i="3"/>
  <c r="D65" i="3"/>
  <c r="C65" i="3"/>
  <c r="U64" i="3"/>
  <c r="N64" i="3"/>
  <c r="W64" i="3" s="1"/>
  <c r="M64" i="3"/>
  <c r="L64" i="3"/>
  <c r="S64" i="3" s="1"/>
  <c r="E64" i="3"/>
  <c r="D64" i="3"/>
  <c r="C64" i="3"/>
  <c r="U63" i="3"/>
  <c r="N63" i="3"/>
  <c r="W63" i="3" s="1"/>
  <c r="M63" i="3"/>
  <c r="L63" i="3"/>
  <c r="S63" i="3" s="1"/>
  <c r="E63" i="3"/>
  <c r="D63" i="3"/>
  <c r="C63" i="3"/>
  <c r="U62" i="3"/>
  <c r="N62" i="3"/>
  <c r="W62" i="3" s="1"/>
  <c r="M62" i="3"/>
  <c r="L62" i="3"/>
  <c r="S62" i="3" s="1"/>
  <c r="E62" i="3"/>
  <c r="D62" i="3"/>
  <c r="C62" i="3"/>
  <c r="U61" i="3"/>
  <c r="N61" i="3"/>
  <c r="W61" i="3" s="1"/>
  <c r="M61" i="3"/>
  <c r="L61" i="3"/>
  <c r="S61" i="3" s="1"/>
  <c r="E61" i="3"/>
  <c r="D61" i="3"/>
  <c r="C61" i="3"/>
  <c r="U60" i="3"/>
  <c r="N60" i="3"/>
  <c r="W60" i="3" s="1"/>
  <c r="M60" i="3"/>
  <c r="L60" i="3"/>
  <c r="S60" i="3" s="1"/>
  <c r="E60" i="3"/>
  <c r="D60" i="3"/>
  <c r="C60" i="3"/>
  <c r="U59" i="3"/>
  <c r="N59" i="3"/>
  <c r="W59" i="3" s="1"/>
  <c r="M59" i="3"/>
  <c r="L59" i="3"/>
  <c r="S59" i="3" s="1"/>
  <c r="E59" i="3"/>
  <c r="D59" i="3"/>
  <c r="C59" i="3"/>
  <c r="U58" i="3"/>
  <c r="N58" i="3"/>
  <c r="W58" i="3" s="1"/>
  <c r="M58" i="3"/>
  <c r="L58" i="3"/>
  <c r="S58" i="3" s="1"/>
  <c r="E58" i="3"/>
  <c r="D58" i="3"/>
  <c r="C58" i="3"/>
  <c r="U57" i="3"/>
  <c r="N57" i="3"/>
  <c r="W57" i="3" s="1"/>
  <c r="M57" i="3"/>
  <c r="L57" i="3"/>
  <c r="S57" i="3" s="1"/>
  <c r="E57" i="3"/>
  <c r="D57" i="3"/>
  <c r="C57" i="3"/>
  <c r="U56" i="3"/>
  <c r="N56" i="3"/>
  <c r="W56" i="3" s="1"/>
  <c r="M56" i="3"/>
  <c r="L56" i="3"/>
  <c r="S56" i="3" s="1"/>
  <c r="E56" i="3"/>
  <c r="D56" i="3"/>
  <c r="C56" i="3"/>
  <c r="U55" i="3"/>
  <c r="N55" i="3"/>
  <c r="W55" i="3" s="1"/>
  <c r="M55" i="3"/>
  <c r="L55" i="3"/>
  <c r="S55" i="3" s="1"/>
  <c r="E55" i="3"/>
  <c r="D55" i="3"/>
  <c r="C55" i="3"/>
  <c r="U54" i="3"/>
  <c r="N54" i="3"/>
  <c r="W54" i="3" s="1"/>
  <c r="M54" i="3"/>
  <c r="L54" i="3"/>
  <c r="S54" i="3" s="1"/>
  <c r="E54" i="3"/>
  <c r="D54" i="3"/>
  <c r="C54" i="3"/>
  <c r="U53" i="3"/>
  <c r="N53" i="3"/>
  <c r="W53" i="3" s="1"/>
  <c r="M53" i="3"/>
  <c r="L53" i="3"/>
  <c r="S53" i="3" s="1"/>
  <c r="E53" i="3"/>
  <c r="D53" i="3"/>
  <c r="C53" i="3"/>
  <c r="U52" i="3"/>
  <c r="N52" i="3"/>
  <c r="W52" i="3" s="1"/>
  <c r="M52" i="3"/>
  <c r="L52" i="3"/>
  <c r="S52" i="3" s="1"/>
  <c r="E52" i="3"/>
  <c r="D52" i="3"/>
  <c r="C52" i="3"/>
  <c r="U51" i="3"/>
  <c r="N51" i="3"/>
  <c r="W51" i="3" s="1"/>
  <c r="M51" i="3"/>
  <c r="L51" i="3"/>
  <c r="S51" i="3" s="1"/>
  <c r="E51" i="3"/>
  <c r="D51" i="3"/>
  <c r="C51" i="3"/>
  <c r="U50" i="3"/>
  <c r="N50" i="3"/>
  <c r="W50" i="3" s="1"/>
  <c r="M50" i="3"/>
  <c r="L50" i="3"/>
  <c r="S50" i="3" s="1"/>
  <c r="E50" i="3"/>
  <c r="D50" i="3"/>
  <c r="C50" i="3"/>
  <c r="U49" i="3"/>
  <c r="N49" i="3"/>
  <c r="W49" i="3" s="1"/>
  <c r="M49" i="3"/>
  <c r="L49" i="3"/>
  <c r="S49" i="3" s="1"/>
  <c r="E49" i="3"/>
  <c r="D49" i="3"/>
  <c r="C49" i="3"/>
  <c r="U48" i="3"/>
  <c r="N48" i="3"/>
  <c r="W48" i="3" s="1"/>
  <c r="M48" i="3"/>
  <c r="L48" i="3"/>
  <c r="S48" i="3" s="1"/>
  <c r="E48" i="3"/>
  <c r="D48" i="3"/>
  <c r="C48" i="3"/>
  <c r="U47" i="3"/>
  <c r="N47" i="3"/>
  <c r="W47" i="3" s="1"/>
  <c r="M47" i="3"/>
  <c r="L47" i="3"/>
  <c r="S47" i="3" s="1"/>
  <c r="E47" i="3"/>
  <c r="D47" i="3"/>
  <c r="C47" i="3"/>
  <c r="U46" i="3"/>
  <c r="N46" i="3"/>
  <c r="W46" i="3" s="1"/>
  <c r="M46" i="3"/>
  <c r="L46" i="3"/>
  <c r="S46" i="3" s="1"/>
  <c r="E46" i="3"/>
  <c r="D46" i="3"/>
  <c r="C46" i="3"/>
  <c r="U45" i="3"/>
  <c r="N45" i="3"/>
  <c r="W45" i="3" s="1"/>
  <c r="M45" i="3"/>
  <c r="L45" i="3"/>
  <c r="S45" i="3" s="1"/>
  <c r="E45" i="3"/>
  <c r="D45" i="3"/>
  <c r="C45" i="3"/>
  <c r="U44" i="3"/>
  <c r="N44" i="3"/>
  <c r="W44" i="3" s="1"/>
  <c r="M44" i="3"/>
  <c r="L44" i="3"/>
  <c r="S44" i="3" s="1"/>
  <c r="E44" i="3"/>
  <c r="D44" i="3"/>
  <c r="C44" i="3"/>
  <c r="U43" i="3"/>
  <c r="N43" i="3"/>
  <c r="W43" i="3" s="1"/>
  <c r="M43" i="3"/>
  <c r="L43" i="3"/>
  <c r="S43" i="3" s="1"/>
  <c r="E43" i="3"/>
  <c r="D43" i="3"/>
  <c r="C43" i="3"/>
  <c r="U42" i="3"/>
  <c r="N42" i="3"/>
  <c r="W42" i="3" s="1"/>
  <c r="M42" i="3"/>
  <c r="L42" i="3"/>
  <c r="S42" i="3" s="1"/>
  <c r="E42" i="3"/>
  <c r="D42" i="3"/>
  <c r="C42" i="3"/>
  <c r="U41" i="3"/>
  <c r="N41" i="3"/>
  <c r="W41" i="3" s="1"/>
  <c r="M41" i="3"/>
  <c r="L41" i="3"/>
  <c r="S41" i="3" s="1"/>
  <c r="E41" i="3"/>
  <c r="D41" i="3"/>
  <c r="C41" i="3"/>
  <c r="U40" i="3"/>
  <c r="N40" i="3"/>
  <c r="W40" i="3" s="1"/>
  <c r="M40" i="3"/>
  <c r="L40" i="3"/>
  <c r="S40" i="3" s="1"/>
  <c r="E40" i="3"/>
  <c r="D40" i="3"/>
  <c r="C40" i="3"/>
  <c r="U39" i="3"/>
  <c r="N39" i="3"/>
  <c r="W39" i="3" s="1"/>
  <c r="M39" i="3"/>
  <c r="L39" i="3"/>
  <c r="S39" i="3" s="1"/>
  <c r="E39" i="3"/>
  <c r="D39" i="3"/>
  <c r="C39" i="3"/>
  <c r="U38" i="3"/>
  <c r="N38" i="3"/>
  <c r="W38" i="3" s="1"/>
  <c r="M38" i="3"/>
  <c r="L38" i="3"/>
  <c r="S38" i="3" s="1"/>
  <c r="E38" i="3"/>
  <c r="D38" i="3"/>
  <c r="C38" i="3"/>
  <c r="U37" i="3"/>
  <c r="N37" i="3"/>
  <c r="W37" i="3" s="1"/>
  <c r="M37" i="3"/>
  <c r="L37" i="3"/>
  <c r="S37" i="3" s="1"/>
  <c r="E37" i="3"/>
  <c r="D37" i="3"/>
  <c r="C37" i="3"/>
  <c r="U36" i="3"/>
  <c r="N36" i="3"/>
  <c r="W36" i="3" s="1"/>
  <c r="M36" i="3"/>
  <c r="L36" i="3"/>
  <c r="S36" i="3" s="1"/>
  <c r="E36" i="3"/>
  <c r="D36" i="3"/>
  <c r="C36" i="3"/>
  <c r="U35" i="3"/>
  <c r="N35" i="3"/>
  <c r="W35" i="3" s="1"/>
  <c r="M35" i="3"/>
  <c r="L35" i="3"/>
  <c r="S35" i="3" s="1"/>
  <c r="E35" i="3"/>
  <c r="D35" i="3"/>
  <c r="C35" i="3"/>
  <c r="U34" i="3"/>
  <c r="N34" i="3"/>
  <c r="W34" i="3" s="1"/>
  <c r="M34" i="3"/>
  <c r="L34" i="3"/>
  <c r="S34" i="3" s="1"/>
  <c r="E34" i="3"/>
  <c r="D34" i="3"/>
  <c r="C34" i="3"/>
  <c r="U33" i="3"/>
  <c r="N33" i="3"/>
  <c r="W33" i="3" s="1"/>
  <c r="M33" i="3"/>
  <c r="L33" i="3"/>
  <c r="S33" i="3" s="1"/>
  <c r="E33" i="3"/>
  <c r="D33" i="3"/>
  <c r="C33" i="3"/>
  <c r="U32" i="3"/>
  <c r="N32" i="3"/>
  <c r="W32" i="3" s="1"/>
  <c r="M32" i="3"/>
  <c r="L32" i="3"/>
  <c r="S32" i="3" s="1"/>
  <c r="E32" i="3"/>
  <c r="D32" i="3"/>
  <c r="C32" i="3"/>
  <c r="U31" i="3"/>
  <c r="N31" i="3"/>
  <c r="W31" i="3" s="1"/>
  <c r="M31" i="3"/>
  <c r="L31" i="3"/>
  <c r="S31" i="3" s="1"/>
  <c r="E31" i="3"/>
  <c r="D31" i="3"/>
  <c r="C31" i="3"/>
  <c r="U30" i="3"/>
  <c r="N30" i="3"/>
  <c r="W30" i="3" s="1"/>
  <c r="M30" i="3"/>
  <c r="L30" i="3"/>
  <c r="S30" i="3" s="1"/>
  <c r="E30" i="3"/>
  <c r="D30" i="3"/>
  <c r="C30" i="3"/>
  <c r="U29" i="3"/>
  <c r="N29" i="3"/>
  <c r="W29" i="3" s="1"/>
  <c r="M29" i="3"/>
  <c r="L29" i="3"/>
  <c r="S29" i="3" s="1"/>
  <c r="E29" i="3"/>
  <c r="D29" i="3"/>
  <c r="C29" i="3"/>
  <c r="U28" i="3"/>
  <c r="N28" i="3"/>
  <c r="W28" i="3" s="1"/>
  <c r="M28" i="3"/>
  <c r="L28" i="3"/>
  <c r="S28" i="3" s="1"/>
  <c r="E28" i="3"/>
  <c r="D28" i="3"/>
  <c r="C28" i="3"/>
  <c r="U27" i="3"/>
  <c r="N27" i="3"/>
  <c r="W27" i="3" s="1"/>
  <c r="M27" i="3"/>
  <c r="L27" i="3"/>
  <c r="S27" i="3" s="1"/>
  <c r="E27" i="3"/>
  <c r="D27" i="3"/>
  <c r="C27" i="3"/>
  <c r="U26" i="3"/>
  <c r="N26" i="3"/>
  <c r="W26" i="3" s="1"/>
  <c r="M26" i="3"/>
  <c r="L26" i="3"/>
  <c r="S26" i="3" s="1"/>
  <c r="E26" i="3"/>
  <c r="D26" i="3"/>
  <c r="C26" i="3"/>
  <c r="U25" i="3"/>
  <c r="N25" i="3"/>
  <c r="W25" i="3" s="1"/>
  <c r="M25" i="3"/>
  <c r="L25" i="3"/>
  <c r="S25" i="3" s="1"/>
  <c r="E25" i="3"/>
  <c r="D25" i="3"/>
  <c r="C25" i="3"/>
  <c r="U24" i="3"/>
  <c r="N24" i="3"/>
  <c r="W24" i="3" s="1"/>
  <c r="M24" i="3"/>
  <c r="L24" i="3"/>
  <c r="S24" i="3" s="1"/>
  <c r="E24" i="3"/>
  <c r="D24" i="3"/>
  <c r="C24" i="3"/>
  <c r="U23" i="3"/>
  <c r="N23" i="3"/>
  <c r="W23" i="3" s="1"/>
  <c r="M23" i="3"/>
  <c r="L23" i="3"/>
  <c r="S23" i="3" s="1"/>
  <c r="E23" i="3"/>
  <c r="D23" i="3"/>
  <c r="C23" i="3"/>
  <c r="U22" i="3"/>
  <c r="N22" i="3"/>
  <c r="W22" i="3" s="1"/>
  <c r="M22" i="3"/>
  <c r="L22" i="3"/>
  <c r="S22" i="3" s="1"/>
  <c r="E22" i="3"/>
  <c r="D22" i="3"/>
  <c r="C22" i="3"/>
  <c r="U21" i="3"/>
  <c r="N21" i="3"/>
  <c r="W21" i="3" s="1"/>
  <c r="M21" i="3"/>
  <c r="L21" i="3"/>
  <c r="S21" i="3" s="1"/>
  <c r="E21" i="3"/>
  <c r="D21" i="3"/>
  <c r="C21" i="3"/>
  <c r="U20" i="3"/>
  <c r="N20" i="3"/>
  <c r="W20" i="3" s="1"/>
  <c r="M20" i="3"/>
  <c r="L20" i="3"/>
  <c r="S20" i="3" s="1"/>
  <c r="E20" i="3"/>
  <c r="D20" i="3"/>
  <c r="C20" i="3"/>
  <c r="U19" i="3"/>
  <c r="N19" i="3"/>
  <c r="W19" i="3" s="1"/>
  <c r="M19" i="3"/>
  <c r="L19" i="3"/>
  <c r="S19" i="3" s="1"/>
  <c r="E19" i="3"/>
  <c r="D19" i="3"/>
  <c r="C19" i="3"/>
  <c r="U18" i="3"/>
  <c r="N18" i="3"/>
  <c r="W18" i="3" s="1"/>
  <c r="M18" i="3"/>
  <c r="L18" i="3"/>
  <c r="S18" i="3" s="1"/>
  <c r="E18" i="3"/>
  <c r="D18" i="3"/>
  <c r="C18" i="3"/>
  <c r="U17" i="3"/>
  <c r="N17" i="3"/>
  <c r="W17" i="3" s="1"/>
  <c r="M17" i="3"/>
  <c r="L17" i="3"/>
  <c r="S17" i="3" s="1"/>
  <c r="E17" i="3"/>
  <c r="D17" i="3"/>
  <c r="C17" i="3"/>
  <c r="U16" i="3"/>
  <c r="N16" i="3"/>
  <c r="W16" i="3" s="1"/>
  <c r="M16" i="3"/>
  <c r="L16" i="3"/>
  <c r="S16" i="3" s="1"/>
  <c r="E16" i="3"/>
  <c r="D16" i="3"/>
  <c r="C16" i="3"/>
  <c r="U15" i="3"/>
  <c r="N15" i="3"/>
  <c r="W15" i="3" s="1"/>
  <c r="M15" i="3"/>
  <c r="L15" i="3"/>
  <c r="S15" i="3" s="1"/>
  <c r="E15" i="3"/>
  <c r="D15" i="3"/>
  <c r="C15" i="3"/>
  <c r="U14" i="3"/>
  <c r="N14" i="3"/>
  <c r="W14" i="3" s="1"/>
  <c r="M14" i="3"/>
  <c r="L14" i="3"/>
  <c r="S14" i="3" s="1"/>
  <c r="E14" i="3"/>
  <c r="D14" i="3"/>
  <c r="C14" i="3"/>
  <c r="U13" i="3"/>
  <c r="N13" i="3"/>
  <c r="W13" i="3" s="1"/>
  <c r="M13" i="3"/>
  <c r="L13" i="3"/>
  <c r="S13" i="3" s="1"/>
  <c r="E13" i="3"/>
  <c r="D13" i="3"/>
  <c r="C13" i="3"/>
  <c r="U12" i="3"/>
  <c r="N12" i="3"/>
  <c r="W12" i="3" s="1"/>
  <c r="M12" i="3"/>
  <c r="L12" i="3"/>
  <c r="S12" i="3" s="1"/>
  <c r="E12" i="3"/>
  <c r="D12" i="3"/>
  <c r="C12" i="3"/>
  <c r="U11" i="3"/>
  <c r="N11" i="3"/>
  <c r="W11" i="3" s="1"/>
  <c r="M11" i="3"/>
  <c r="L11" i="3"/>
  <c r="S11" i="3" s="1"/>
  <c r="E11" i="3"/>
  <c r="D11" i="3"/>
  <c r="C11" i="3"/>
  <c r="U10" i="3"/>
  <c r="N10" i="3"/>
  <c r="W10" i="3" s="1"/>
  <c r="M10" i="3"/>
  <c r="L10" i="3"/>
  <c r="S10" i="3" s="1"/>
  <c r="E10" i="3"/>
  <c r="D10" i="3"/>
  <c r="C10" i="3"/>
  <c r="U9" i="3"/>
  <c r="N9" i="3"/>
  <c r="W9" i="3" s="1"/>
  <c r="M9" i="3"/>
  <c r="L9" i="3"/>
  <c r="S9" i="3" s="1"/>
  <c r="E9" i="3"/>
  <c r="D9" i="3"/>
  <c r="C9" i="3"/>
  <c r="U8" i="3"/>
  <c r="N8" i="3"/>
  <c r="W8" i="3" s="1"/>
  <c r="M8" i="3"/>
  <c r="L8" i="3"/>
  <c r="S8" i="3" s="1"/>
  <c r="E8" i="3"/>
  <c r="D8" i="3"/>
  <c r="C8" i="3"/>
  <c r="U7" i="3"/>
  <c r="N7" i="3"/>
  <c r="W7" i="3" s="1"/>
  <c r="M7" i="3"/>
  <c r="L7" i="3"/>
  <c r="S7" i="3" s="1"/>
  <c r="E7" i="3"/>
  <c r="D7" i="3"/>
  <c r="C7" i="3"/>
  <c r="U6" i="3"/>
  <c r="N6" i="3"/>
  <c r="W6" i="3" s="1"/>
  <c r="M6" i="3"/>
  <c r="L6" i="3"/>
  <c r="S6" i="3" s="1"/>
  <c r="E6" i="3"/>
  <c r="D6" i="3"/>
  <c r="C6" i="3"/>
  <c r="U5" i="3"/>
  <c r="N5" i="3"/>
  <c r="W5" i="3" s="1"/>
  <c r="M5" i="3"/>
  <c r="L5" i="3"/>
  <c r="S5" i="3" s="1"/>
  <c r="E5" i="3"/>
  <c r="D5" i="3"/>
  <c r="C5" i="3"/>
  <c r="U4" i="3"/>
  <c r="N4" i="3"/>
  <c r="M4" i="3"/>
  <c r="L4" i="3"/>
  <c r="S4" i="3" s="1"/>
  <c r="B22" i="9" s="1"/>
  <c r="E4" i="3"/>
  <c r="D4" i="3"/>
  <c r="C4" i="3"/>
  <c r="S103" i="2"/>
  <c r="R103" i="2"/>
  <c r="Q103" i="2"/>
  <c r="P103" i="2"/>
  <c r="O103" i="2"/>
  <c r="N103" i="2"/>
  <c r="S102" i="2"/>
  <c r="R102" i="2"/>
  <c r="Q102" i="2"/>
  <c r="P102" i="2"/>
  <c r="O102" i="2"/>
  <c r="N102" i="2"/>
  <c r="S101" i="2"/>
  <c r="R101" i="2"/>
  <c r="Q101" i="2"/>
  <c r="P101" i="2"/>
  <c r="O101" i="2"/>
  <c r="N101" i="2"/>
  <c r="S100" i="2"/>
  <c r="R100" i="2"/>
  <c r="Q100" i="2"/>
  <c r="P100" i="2"/>
  <c r="O100" i="2"/>
  <c r="N100" i="2"/>
  <c r="S99" i="2"/>
  <c r="R99" i="2"/>
  <c r="Q99" i="2"/>
  <c r="P99" i="2"/>
  <c r="O99" i="2"/>
  <c r="N99" i="2"/>
  <c r="S98" i="2"/>
  <c r="R98" i="2"/>
  <c r="Q98" i="2"/>
  <c r="P98" i="2"/>
  <c r="O98" i="2"/>
  <c r="N98" i="2"/>
  <c r="S97" i="2"/>
  <c r="R97" i="2"/>
  <c r="Q97" i="2"/>
  <c r="P97" i="2"/>
  <c r="O97" i="2"/>
  <c r="N97" i="2"/>
  <c r="S96" i="2"/>
  <c r="R96" i="2"/>
  <c r="Q96" i="2"/>
  <c r="P96" i="2"/>
  <c r="O96" i="2"/>
  <c r="N96" i="2"/>
  <c r="S95" i="2"/>
  <c r="R95" i="2"/>
  <c r="Q95" i="2"/>
  <c r="P95" i="2"/>
  <c r="O95" i="2"/>
  <c r="N95" i="2"/>
  <c r="S94" i="2"/>
  <c r="R94" i="2"/>
  <c r="Q94" i="2"/>
  <c r="P94" i="2"/>
  <c r="O94" i="2"/>
  <c r="N94" i="2"/>
  <c r="S93" i="2"/>
  <c r="R93" i="2"/>
  <c r="Q93" i="2"/>
  <c r="P93" i="2"/>
  <c r="O93" i="2"/>
  <c r="N93" i="2"/>
  <c r="S92" i="2"/>
  <c r="R92" i="2"/>
  <c r="Q92" i="2"/>
  <c r="P92" i="2"/>
  <c r="O92" i="2"/>
  <c r="N92" i="2"/>
  <c r="S91" i="2"/>
  <c r="R91" i="2"/>
  <c r="Q91" i="2"/>
  <c r="P91" i="2"/>
  <c r="O91" i="2"/>
  <c r="N91" i="2"/>
  <c r="S90" i="2"/>
  <c r="R90" i="2"/>
  <c r="Q90" i="2"/>
  <c r="P90" i="2"/>
  <c r="O90" i="2"/>
  <c r="N90" i="2"/>
  <c r="S89" i="2"/>
  <c r="R89" i="2"/>
  <c r="Q89" i="2"/>
  <c r="P89" i="2"/>
  <c r="O89" i="2"/>
  <c r="N89" i="2"/>
  <c r="S88" i="2"/>
  <c r="R88" i="2"/>
  <c r="Q88" i="2"/>
  <c r="P88" i="2"/>
  <c r="O88" i="2"/>
  <c r="N88" i="2"/>
  <c r="S87" i="2"/>
  <c r="R87" i="2"/>
  <c r="Q87" i="2"/>
  <c r="P87" i="2"/>
  <c r="O87" i="2"/>
  <c r="N87" i="2"/>
  <c r="S86" i="2"/>
  <c r="R86" i="2"/>
  <c r="Q86" i="2"/>
  <c r="P86" i="2"/>
  <c r="O86" i="2"/>
  <c r="N86" i="2"/>
  <c r="S85" i="2"/>
  <c r="R85" i="2"/>
  <c r="Q85" i="2"/>
  <c r="P85" i="2"/>
  <c r="O85" i="2"/>
  <c r="N85" i="2"/>
  <c r="S84" i="2"/>
  <c r="R84" i="2"/>
  <c r="Q84" i="2"/>
  <c r="P84" i="2"/>
  <c r="O84" i="2"/>
  <c r="N84" i="2"/>
  <c r="S83" i="2"/>
  <c r="R83" i="2"/>
  <c r="Q83" i="2"/>
  <c r="P83" i="2"/>
  <c r="O83" i="2"/>
  <c r="N83" i="2"/>
  <c r="S82" i="2"/>
  <c r="R82" i="2"/>
  <c r="Q82" i="2"/>
  <c r="P82" i="2"/>
  <c r="O82" i="2"/>
  <c r="N82" i="2"/>
  <c r="S81" i="2"/>
  <c r="R81" i="2"/>
  <c r="Q81" i="2"/>
  <c r="P81" i="2"/>
  <c r="O81" i="2"/>
  <c r="N81" i="2"/>
  <c r="S80" i="2"/>
  <c r="R80" i="2"/>
  <c r="Q80" i="2"/>
  <c r="P80" i="2"/>
  <c r="O80" i="2"/>
  <c r="N80" i="2"/>
  <c r="S79" i="2"/>
  <c r="R79" i="2"/>
  <c r="Q79" i="2"/>
  <c r="P79" i="2"/>
  <c r="O79" i="2"/>
  <c r="N79" i="2"/>
  <c r="S78" i="2"/>
  <c r="R78" i="2"/>
  <c r="Q78" i="2"/>
  <c r="P78" i="2"/>
  <c r="O78" i="2"/>
  <c r="N78" i="2"/>
  <c r="S77" i="2"/>
  <c r="R77" i="2"/>
  <c r="Q77" i="2"/>
  <c r="P77" i="2"/>
  <c r="O77" i="2"/>
  <c r="N77" i="2"/>
  <c r="S76" i="2"/>
  <c r="R76" i="2"/>
  <c r="Q76" i="2"/>
  <c r="P76" i="2"/>
  <c r="O76" i="2"/>
  <c r="N76" i="2"/>
  <c r="S75" i="2"/>
  <c r="R75" i="2"/>
  <c r="Q75" i="2"/>
  <c r="P75" i="2"/>
  <c r="O75" i="2"/>
  <c r="N75" i="2"/>
  <c r="S74" i="2"/>
  <c r="R74" i="2"/>
  <c r="Q74" i="2"/>
  <c r="P74" i="2"/>
  <c r="O74" i="2"/>
  <c r="N74" i="2"/>
  <c r="S73" i="2"/>
  <c r="R73" i="2"/>
  <c r="Q73" i="2"/>
  <c r="P73" i="2"/>
  <c r="O73" i="2"/>
  <c r="N73" i="2"/>
  <c r="S72" i="2"/>
  <c r="R72" i="2"/>
  <c r="Q72" i="2"/>
  <c r="P72" i="2"/>
  <c r="O72" i="2"/>
  <c r="N72" i="2"/>
  <c r="S71" i="2"/>
  <c r="R71" i="2"/>
  <c r="Q71" i="2"/>
  <c r="P71" i="2"/>
  <c r="O71" i="2"/>
  <c r="N71" i="2"/>
  <c r="S70" i="2"/>
  <c r="R70" i="2"/>
  <c r="Q70" i="2"/>
  <c r="P70" i="2"/>
  <c r="O70" i="2"/>
  <c r="N70" i="2"/>
  <c r="S69" i="2"/>
  <c r="R69" i="2"/>
  <c r="Q69" i="2"/>
  <c r="P69" i="2"/>
  <c r="O69" i="2"/>
  <c r="N69" i="2"/>
  <c r="S68" i="2"/>
  <c r="R68" i="2"/>
  <c r="Q68" i="2"/>
  <c r="P68" i="2"/>
  <c r="O68" i="2"/>
  <c r="N68" i="2"/>
  <c r="S67" i="2"/>
  <c r="R67" i="2"/>
  <c r="Q67" i="2"/>
  <c r="P67" i="2"/>
  <c r="O67" i="2"/>
  <c r="N67" i="2"/>
  <c r="S66" i="2"/>
  <c r="R66" i="2"/>
  <c r="Q66" i="2"/>
  <c r="P66" i="2"/>
  <c r="O66" i="2"/>
  <c r="N66" i="2"/>
  <c r="S65" i="2"/>
  <c r="R65" i="2"/>
  <c r="Q65" i="2"/>
  <c r="P65" i="2"/>
  <c r="O65" i="2"/>
  <c r="N65" i="2"/>
  <c r="S64" i="2"/>
  <c r="R64" i="2"/>
  <c r="Q64" i="2"/>
  <c r="P64" i="2"/>
  <c r="O64" i="2"/>
  <c r="N64" i="2"/>
  <c r="S63" i="2"/>
  <c r="R63" i="2"/>
  <c r="Q63" i="2"/>
  <c r="P63" i="2"/>
  <c r="O63" i="2"/>
  <c r="N63" i="2"/>
  <c r="S62" i="2"/>
  <c r="R62" i="2"/>
  <c r="Q62" i="2"/>
  <c r="P62" i="2"/>
  <c r="O62" i="2"/>
  <c r="N62" i="2"/>
  <c r="S61" i="2"/>
  <c r="R61" i="2"/>
  <c r="Q61" i="2"/>
  <c r="P61" i="2"/>
  <c r="O61" i="2"/>
  <c r="N61" i="2"/>
  <c r="S60" i="2"/>
  <c r="R60" i="2"/>
  <c r="Q60" i="2"/>
  <c r="P60" i="2"/>
  <c r="O60" i="2"/>
  <c r="N60" i="2"/>
  <c r="S59" i="2"/>
  <c r="R59" i="2"/>
  <c r="Q59" i="2"/>
  <c r="P59" i="2"/>
  <c r="O59" i="2"/>
  <c r="N59" i="2"/>
  <c r="S58" i="2"/>
  <c r="R58" i="2"/>
  <c r="Q58" i="2"/>
  <c r="P58" i="2"/>
  <c r="O58" i="2"/>
  <c r="N58" i="2"/>
  <c r="S57" i="2"/>
  <c r="R57" i="2"/>
  <c r="Q57" i="2"/>
  <c r="P57" i="2"/>
  <c r="O57" i="2"/>
  <c r="N57" i="2"/>
  <c r="S56" i="2"/>
  <c r="R56" i="2"/>
  <c r="Q56" i="2"/>
  <c r="P56" i="2"/>
  <c r="O56" i="2"/>
  <c r="N56" i="2"/>
  <c r="S55" i="2"/>
  <c r="R55" i="2"/>
  <c r="Q55" i="2"/>
  <c r="P55" i="2"/>
  <c r="O55" i="2"/>
  <c r="N55" i="2"/>
  <c r="S54" i="2"/>
  <c r="R54" i="2"/>
  <c r="Q54" i="2"/>
  <c r="P54" i="2"/>
  <c r="O54" i="2"/>
  <c r="N54" i="2"/>
  <c r="S53" i="2"/>
  <c r="R53" i="2"/>
  <c r="Q53" i="2"/>
  <c r="P53" i="2"/>
  <c r="O53" i="2"/>
  <c r="N53" i="2"/>
  <c r="S52" i="2"/>
  <c r="R52" i="2"/>
  <c r="Q52" i="2"/>
  <c r="P52" i="2"/>
  <c r="O52" i="2"/>
  <c r="N52" i="2"/>
  <c r="S51" i="2"/>
  <c r="R51" i="2"/>
  <c r="Q51" i="2"/>
  <c r="P51" i="2"/>
  <c r="O51" i="2"/>
  <c r="N51" i="2"/>
  <c r="S50" i="2"/>
  <c r="R50" i="2"/>
  <c r="Q50" i="2"/>
  <c r="P50" i="2"/>
  <c r="O50" i="2"/>
  <c r="N50" i="2"/>
  <c r="S49" i="2"/>
  <c r="R49" i="2"/>
  <c r="Q49" i="2"/>
  <c r="P49" i="2"/>
  <c r="O49" i="2"/>
  <c r="N49" i="2"/>
  <c r="S48" i="2"/>
  <c r="R48" i="2"/>
  <c r="Q48" i="2"/>
  <c r="P48" i="2"/>
  <c r="O48" i="2"/>
  <c r="N48" i="2"/>
  <c r="S47" i="2"/>
  <c r="R47" i="2"/>
  <c r="Q47" i="2"/>
  <c r="P47" i="2"/>
  <c r="O47" i="2"/>
  <c r="N47" i="2"/>
  <c r="S46" i="2"/>
  <c r="R46" i="2"/>
  <c r="Q46" i="2"/>
  <c r="P46" i="2"/>
  <c r="O46" i="2"/>
  <c r="N46" i="2"/>
  <c r="S45" i="2"/>
  <c r="R45" i="2"/>
  <c r="Q45" i="2"/>
  <c r="P45" i="2"/>
  <c r="O45" i="2"/>
  <c r="N45" i="2"/>
  <c r="S44" i="2"/>
  <c r="R44" i="2"/>
  <c r="Q44" i="2"/>
  <c r="P44" i="2"/>
  <c r="O44" i="2"/>
  <c r="N44" i="2"/>
  <c r="S43" i="2"/>
  <c r="R43" i="2"/>
  <c r="Q43" i="2"/>
  <c r="P43" i="2"/>
  <c r="O43" i="2"/>
  <c r="N43" i="2"/>
  <c r="S42" i="2"/>
  <c r="R42" i="2"/>
  <c r="Q42" i="2"/>
  <c r="P42" i="2"/>
  <c r="O42" i="2"/>
  <c r="N42" i="2"/>
  <c r="S41" i="2"/>
  <c r="R41" i="2"/>
  <c r="Q41" i="2"/>
  <c r="P41" i="2"/>
  <c r="O41" i="2"/>
  <c r="N41" i="2"/>
  <c r="S40" i="2"/>
  <c r="R40" i="2"/>
  <c r="Q40" i="2"/>
  <c r="P40" i="2"/>
  <c r="O40" i="2"/>
  <c r="N40" i="2"/>
  <c r="S39" i="2"/>
  <c r="R39" i="2"/>
  <c r="Q39" i="2"/>
  <c r="P39" i="2"/>
  <c r="O39" i="2"/>
  <c r="N39" i="2"/>
  <c r="S38" i="2"/>
  <c r="R38" i="2"/>
  <c r="Q38" i="2"/>
  <c r="P38" i="2"/>
  <c r="O38" i="2"/>
  <c r="N38" i="2"/>
  <c r="S37" i="2"/>
  <c r="R37" i="2"/>
  <c r="Q37" i="2"/>
  <c r="P37" i="2"/>
  <c r="O37" i="2"/>
  <c r="N37" i="2"/>
  <c r="S36" i="2"/>
  <c r="R36" i="2"/>
  <c r="Q36" i="2"/>
  <c r="P36" i="2"/>
  <c r="O36" i="2"/>
  <c r="N36" i="2"/>
  <c r="S35" i="2"/>
  <c r="R35" i="2"/>
  <c r="Q35" i="2"/>
  <c r="P35" i="2"/>
  <c r="O35" i="2"/>
  <c r="N35" i="2"/>
  <c r="S34" i="2"/>
  <c r="R34" i="2"/>
  <c r="Q34" i="2"/>
  <c r="P34" i="2"/>
  <c r="O34" i="2"/>
  <c r="N34" i="2"/>
  <c r="S33" i="2"/>
  <c r="R33" i="2"/>
  <c r="Q33" i="2"/>
  <c r="P33" i="2"/>
  <c r="O33" i="2"/>
  <c r="N33" i="2"/>
  <c r="S32" i="2"/>
  <c r="R32" i="2"/>
  <c r="Q32" i="2"/>
  <c r="P32" i="2"/>
  <c r="O32" i="2"/>
  <c r="N32" i="2"/>
  <c r="S31" i="2"/>
  <c r="R31" i="2"/>
  <c r="Q31" i="2"/>
  <c r="P31" i="2"/>
  <c r="O31" i="2"/>
  <c r="N31" i="2"/>
  <c r="S30" i="2"/>
  <c r="R30" i="2"/>
  <c r="Q30" i="2"/>
  <c r="P30" i="2"/>
  <c r="O30" i="2"/>
  <c r="N30" i="2"/>
  <c r="S29" i="2"/>
  <c r="R29" i="2"/>
  <c r="Q29" i="2"/>
  <c r="P29" i="2"/>
  <c r="O29" i="2"/>
  <c r="N29" i="2"/>
  <c r="S28" i="2"/>
  <c r="R28" i="2"/>
  <c r="Q28" i="2"/>
  <c r="P28" i="2"/>
  <c r="O28" i="2"/>
  <c r="N28" i="2"/>
  <c r="S27" i="2"/>
  <c r="R27" i="2"/>
  <c r="Q27" i="2"/>
  <c r="P27" i="2"/>
  <c r="O27" i="2"/>
  <c r="N27" i="2"/>
  <c r="S26" i="2"/>
  <c r="R26" i="2"/>
  <c r="Q26" i="2"/>
  <c r="P26" i="2"/>
  <c r="O26" i="2"/>
  <c r="N26" i="2"/>
  <c r="S25" i="2"/>
  <c r="R25" i="2"/>
  <c r="Q25" i="2"/>
  <c r="P25" i="2"/>
  <c r="O25" i="2"/>
  <c r="N25" i="2"/>
  <c r="S24" i="2"/>
  <c r="R24" i="2"/>
  <c r="Q24" i="2"/>
  <c r="P24" i="2"/>
  <c r="O24" i="2"/>
  <c r="N24" i="2"/>
  <c r="S23" i="2"/>
  <c r="R23" i="2"/>
  <c r="Q23" i="2"/>
  <c r="P23" i="2"/>
  <c r="O23" i="2"/>
  <c r="N23" i="2"/>
  <c r="S22" i="2"/>
  <c r="R22" i="2"/>
  <c r="Q22" i="2"/>
  <c r="P22" i="2"/>
  <c r="O22" i="2"/>
  <c r="N22" i="2"/>
  <c r="S21" i="2"/>
  <c r="R21" i="2"/>
  <c r="Q21" i="2"/>
  <c r="P21" i="2"/>
  <c r="O21" i="2"/>
  <c r="N21" i="2"/>
  <c r="S20" i="2"/>
  <c r="R20" i="2"/>
  <c r="Q20" i="2"/>
  <c r="P20" i="2"/>
  <c r="O20" i="2"/>
  <c r="N20" i="2"/>
  <c r="S19" i="2"/>
  <c r="R19" i="2"/>
  <c r="Q19" i="2"/>
  <c r="P19" i="2"/>
  <c r="O19" i="2"/>
  <c r="N19" i="2"/>
  <c r="S18" i="2"/>
  <c r="R18" i="2"/>
  <c r="Q18" i="2"/>
  <c r="P18" i="2"/>
  <c r="O18" i="2"/>
  <c r="N18" i="2"/>
  <c r="S17" i="2"/>
  <c r="R17" i="2"/>
  <c r="Q17" i="2"/>
  <c r="P17" i="2"/>
  <c r="O17" i="2"/>
  <c r="N17" i="2"/>
  <c r="S16" i="2"/>
  <c r="R16" i="2"/>
  <c r="Q16" i="2"/>
  <c r="P16" i="2"/>
  <c r="O16" i="2"/>
  <c r="N16" i="2"/>
  <c r="S15" i="2"/>
  <c r="R15" i="2"/>
  <c r="Q15" i="2"/>
  <c r="P15" i="2"/>
  <c r="O15" i="2"/>
  <c r="N15" i="2"/>
  <c r="S14" i="2"/>
  <c r="R14" i="2"/>
  <c r="Q14" i="2"/>
  <c r="P14" i="2"/>
  <c r="O14" i="2"/>
  <c r="N14" i="2"/>
  <c r="S13" i="2"/>
  <c r="R13" i="2"/>
  <c r="Q13" i="2"/>
  <c r="P13" i="2"/>
  <c r="O13" i="2"/>
  <c r="N13" i="2"/>
  <c r="S12" i="2"/>
  <c r="R12" i="2"/>
  <c r="Q12" i="2"/>
  <c r="P12" i="2"/>
  <c r="O12" i="2"/>
  <c r="N12" i="2"/>
  <c r="S11" i="2"/>
  <c r="R11" i="2"/>
  <c r="Q11" i="2"/>
  <c r="P11" i="2"/>
  <c r="O11" i="2"/>
  <c r="N11" i="2"/>
  <c r="S10" i="2"/>
  <c r="R10" i="2"/>
  <c r="Q10" i="2"/>
  <c r="P10" i="2"/>
  <c r="O10" i="2"/>
  <c r="N10" i="2"/>
  <c r="S9" i="2"/>
  <c r="R9" i="2"/>
  <c r="Q9" i="2"/>
  <c r="P9" i="2"/>
  <c r="O9" i="2"/>
  <c r="N9" i="2"/>
  <c r="S8" i="2"/>
  <c r="R8" i="2"/>
  <c r="Q8" i="2"/>
  <c r="P8" i="2"/>
  <c r="O8" i="2"/>
  <c r="N8" i="2"/>
  <c r="S7" i="2"/>
  <c r="R7" i="2"/>
  <c r="Q7" i="2"/>
  <c r="P7" i="2"/>
  <c r="O7" i="2"/>
  <c r="N7" i="2"/>
  <c r="S6" i="2"/>
  <c r="R6" i="2"/>
  <c r="Q6" i="2"/>
  <c r="P6" i="2"/>
  <c r="O6" i="2"/>
  <c r="N6" i="2"/>
  <c r="S5" i="2"/>
  <c r="R5" i="2"/>
  <c r="Q5" i="2"/>
  <c r="P5" i="2"/>
  <c r="O5" i="2"/>
  <c r="N5" i="2"/>
  <c r="S4" i="2"/>
  <c r="R4" i="2"/>
  <c r="Q4" i="2"/>
  <c r="P4" i="2"/>
  <c r="B5" i="9" s="1"/>
  <c r="O4" i="2"/>
  <c r="N4" i="2"/>
  <c r="B7" i="9" s="1"/>
  <c r="B27" i="9" l="1"/>
  <c r="B28" i="9"/>
  <c r="B10" i="9"/>
  <c r="B11" i="9"/>
  <c r="B12" i="9"/>
  <c r="W4" i="3"/>
  <c r="A5" i="10" l="1"/>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B5" i="10" l="1"/>
  <c r="C5" i="10"/>
  <c r="D5" i="10"/>
  <c r="E5" i="10" s="1"/>
  <c r="F5" i="10"/>
  <c r="G5" i="10"/>
  <c r="B6" i="10"/>
  <c r="C6" i="10"/>
  <c r="D6" i="10"/>
  <c r="E6" i="10" s="1"/>
  <c r="F6" i="10"/>
  <c r="G6" i="10"/>
  <c r="B7" i="10"/>
  <c r="C7" i="10"/>
  <c r="D7" i="10"/>
  <c r="E7" i="10" s="1"/>
  <c r="F7" i="10"/>
  <c r="G7" i="10"/>
  <c r="B8" i="10"/>
  <c r="C8" i="10"/>
  <c r="D8" i="10"/>
  <c r="E8" i="10" s="1"/>
  <c r="F8" i="10"/>
  <c r="G8" i="10"/>
  <c r="B9" i="10"/>
  <c r="C9" i="10"/>
  <c r="D9" i="10"/>
  <c r="E9" i="10" s="1"/>
  <c r="F9" i="10"/>
  <c r="G9" i="10"/>
  <c r="B10" i="10"/>
  <c r="C10" i="10"/>
  <c r="D10" i="10"/>
  <c r="E10" i="10" s="1"/>
  <c r="F10" i="10"/>
  <c r="G10" i="10"/>
  <c r="B11" i="10"/>
  <c r="C11" i="10"/>
  <c r="D11" i="10"/>
  <c r="E11" i="10" s="1"/>
  <c r="F11" i="10"/>
  <c r="G11" i="10"/>
  <c r="B12" i="10"/>
  <c r="C12" i="10"/>
  <c r="D12" i="10"/>
  <c r="E12" i="10" s="1"/>
  <c r="F12" i="10"/>
  <c r="G12" i="10"/>
  <c r="B13" i="10"/>
  <c r="C13" i="10"/>
  <c r="D13" i="10"/>
  <c r="E13" i="10" s="1"/>
  <c r="F13" i="10"/>
  <c r="G13" i="10"/>
  <c r="B14" i="10"/>
  <c r="C14" i="10"/>
  <c r="D14" i="10"/>
  <c r="E14" i="10" s="1"/>
  <c r="F14" i="10"/>
  <c r="G14" i="10"/>
  <c r="B15" i="10"/>
  <c r="C15" i="10"/>
  <c r="D15" i="10"/>
  <c r="E15" i="10" s="1"/>
  <c r="F15" i="10"/>
  <c r="G15" i="10"/>
  <c r="B16" i="10"/>
  <c r="C16" i="10"/>
  <c r="D16" i="10"/>
  <c r="E16" i="10" s="1"/>
  <c r="F16" i="10"/>
  <c r="G16" i="10"/>
  <c r="B17" i="10"/>
  <c r="C17" i="10"/>
  <c r="D17" i="10"/>
  <c r="E17" i="10" s="1"/>
  <c r="F17" i="10"/>
  <c r="G17" i="10"/>
  <c r="B18" i="10"/>
  <c r="C18" i="10"/>
  <c r="D18" i="10"/>
  <c r="E18" i="10" s="1"/>
  <c r="F18" i="10"/>
  <c r="G18" i="10"/>
  <c r="B19" i="10"/>
  <c r="C19" i="10"/>
  <c r="D19" i="10"/>
  <c r="E19" i="10" s="1"/>
  <c r="F19" i="10"/>
  <c r="G19" i="10"/>
  <c r="B20" i="10"/>
  <c r="C20" i="10"/>
  <c r="D20" i="10"/>
  <c r="E20" i="10" s="1"/>
  <c r="F20" i="10"/>
  <c r="G20" i="10"/>
  <c r="B21" i="10"/>
  <c r="C21" i="10"/>
  <c r="D21" i="10"/>
  <c r="E21" i="10" s="1"/>
  <c r="F21" i="10"/>
  <c r="G21" i="10"/>
  <c r="B22" i="10"/>
  <c r="C22" i="10"/>
  <c r="D22" i="10"/>
  <c r="E22" i="10" s="1"/>
  <c r="F22" i="10"/>
  <c r="G22" i="10"/>
  <c r="B23" i="10"/>
  <c r="C23" i="10"/>
  <c r="D23" i="10"/>
  <c r="E23" i="10" s="1"/>
  <c r="F23" i="10"/>
  <c r="G23" i="10"/>
  <c r="B24" i="10"/>
  <c r="C24" i="10"/>
  <c r="D24" i="10"/>
  <c r="E24" i="10" s="1"/>
  <c r="F24" i="10"/>
  <c r="G24" i="10"/>
  <c r="B25" i="10"/>
  <c r="C25" i="10"/>
  <c r="D25" i="10"/>
  <c r="E25" i="10" s="1"/>
  <c r="F25" i="10"/>
  <c r="G25" i="10"/>
  <c r="B26" i="10"/>
  <c r="C26" i="10"/>
  <c r="D26" i="10"/>
  <c r="E26" i="10" s="1"/>
  <c r="F26" i="10"/>
  <c r="G26" i="10"/>
  <c r="B27" i="10"/>
  <c r="C27" i="10"/>
  <c r="D27" i="10"/>
  <c r="E27" i="10" s="1"/>
  <c r="F27" i="10"/>
  <c r="G27" i="10"/>
  <c r="B28" i="10"/>
  <c r="C28" i="10"/>
  <c r="D28" i="10"/>
  <c r="E28" i="10" s="1"/>
  <c r="F28" i="10"/>
  <c r="G28" i="10"/>
  <c r="B29" i="10"/>
  <c r="C29" i="10"/>
  <c r="D29" i="10"/>
  <c r="E29" i="10" s="1"/>
  <c r="F29" i="10"/>
  <c r="G29" i="10"/>
  <c r="B30" i="10"/>
  <c r="C30" i="10"/>
  <c r="D30" i="10"/>
  <c r="E30" i="10" s="1"/>
  <c r="F30" i="10"/>
  <c r="G30" i="10"/>
  <c r="B31" i="10"/>
  <c r="C31" i="10"/>
  <c r="D31" i="10"/>
  <c r="E31" i="10" s="1"/>
  <c r="F31" i="10"/>
  <c r="G31" i="10"/>
  <c r="B32" i="10"/>
  <c r="C32" i="10"/>
  <c r="D32" i="10"/>
  <c r="E32" i="10" s="1"/>
  <c r="F32" i="10"/>
  <c r="G32" i="10"/>
  <c r="B33" i="10"/>
  <c r="C33" i="10"/>
  <c r="D33" i="10"/>
  <c r="E33" i="10" s="1"/>
  <c r="F33" i="10"/>
  <c r="G33" i="10"/>
  <c r="B34" i="10"/>
  <c r="C34" i="10"/>
  <c r="D34" i="10"/>
  <c r="E34" i="10" s="1"/>
  <c r="F34" i="10"/>
  <c r="G34" i="10"/>
  <c r="B35" i="10"/>
  <c r="C35" i="10"/>
  <c r="D35" i="10"/>
  <c r="E35" i="10" s="1"/>
  <c r="F35" i="10"/>
  <c r="G35" i="10"/>
  <c r="B36" i="10"/>
  <c r="C36" i="10"/>
  <c r="D36" i="10"/>
  <c r="E36" i="10" s="1"/>
  <c r="F36" i="10"/>
  <c r="G36" i="10"/>
  <c r="B37" i="10"/>
  <c r="C37" i="10"/>
  <c r="D37" i="10"/>
  <c r="E37" i="10" s="1"/>
  <c r="F37" i="10"/>
  <c r="G37" i="10"/>
  <c r="B38" i="10"/>
  <c r="C38" i="10"/>
  <c r="D38" i="10"/>
  <c r="E38" i="10" s="1"/>
  <c r="F38" i="10"/>
  <c r="G38" i="10"/>
  <c r="B39" i="10"/>
  <c r="C39" i="10"/>
  <c r="D39" i="10"/>
  <c r="E39" i="10" s="1"/>
  <c r="F39" i="10"/>
  <c r="G39" i="10"/>
  <c r="B40" i="10"/>
  <c r="C40" i="10"/>
  <c r="D40" i="10"/>
  <c r="E40" i="10" s="1"/>
  <c r="F40" i="10"/>
  <c r="G40" i="10"/>
  <c r="B41" i="10"/>
  <c r="C41" i="10"/>
  <c r="D41" i="10"/>
  <c r="E41" i="10" s="1"/>
  <c r="F41" i="10"/>
  <c r="G41" i="10"/>
  <c r="B42" i="10"/>
  <c r="C42" i="10"/>
  <c r="D42" i="10"/>
  <c r="E42" i="10" s="1"/>
  <c r="F42" i="10"/>
  <c r="G42" i="10"/>
  <c r="B43" i="10"/>
  <c r="C43" i="10"/>
  <c r="D43" i="10"/>
  <c r="E43" i="10" s="1"/>
  <c r="F43" i="10"/>
  <c r="G43" i="10"/>
  <c r="B44" i="10"/>
  <c r="C44" i="10"/>
  <c r="D44" i="10"/>
  <c r="E44" i="10" s="1"/>
  <c r="F44" i="10"/>
  <c r="G44" i="10"/>
  <c r="B45" i="10"/>
  <c r="C45" i="10"/>
  <c r="D45" i="10"/>
  <c r="E45" i="10" s="1"/>
  <c r="F45" i="10"/>
  <c r="G45" i="10"/>
  <c r="B46" i="10"/>
  <c r="C46" i="10"/>
  <c r="D46" i="10"/>
  <c r="E46" i="10" s="1"/>
  <c r="F46" i="10"/>
  <c r="G46" i="10"/>
  <c r="B47" i="10"/>
  <c r="C47" i="10"/>
  <c r="D47" i="10"/>
  <c r="E47" i="10" s="1"/>
  <c r="F47" i="10"/>
  <c r="G47" i="10"/>
  <c r="B48" i="10"/>
  <c r="C48" i="10"/>
  <c r="D48" i="10"/>
  <c r="E48" i="10" s="1"/>
  <c r="F48" i="10"/>
  <c r="G48" i="10"/>
  <c r="B49" i="10"/>
  <c r="C49" i="10"/>
  <c r="D49" i="10"/>
  <c r="E49" i="10" s="1"/>
  <c r="F49" i="10"/>
  <c r="G49" i="10"/>
  <c r="B50" i="10"/>
  <c r="C50" i="10"/>
  <c r="D50" i="10"/>
  <c r="E50" i="10" s="1"/>
  <c r="F50" i="10"/>
  <c r="G50" i="10"/>
  <c r="B51" i="10"/>
  <c r="C51" i="10"/>
  <c r="D51" i="10"/>
  <c r="E51" i="10" s="1"/>
  <c r="F51" i="10"/>
  <c r="G51" i="10"/>
  <c r="B52" i="10"/>
  <c r="C52" i="10"/>
  <c r="D52" i="10"/>
  <c r="E52" i="10" s="1"/>
  <c r="F52" i="10"/>
  <c r="G52" i="10"/>
  <c r="B53" i="10"/>
  <c r="C53" i="10"/>
  <c r="D53" i="10"/>
  <c r="E53" i="10" s="1"/>
  <c r="F53" i="10"/>
  <c r="G53" i="10"/>
  <c r="B54" i="10"/>
  <c r="C54" i="10"/>
  <c r="D54" i="10"/>
  <c r="E54" i="10" s="1"/>
  <c r="F54" i="10"/>
  <c r="G54" i="10"/>
</calcChain>
</file>

<file path=xl/sharedStrings.xml><?xml version="1.0" encoding="utf-8"?>
<sst xmlns="http://schemas.openxmlformats.org/spreadsheetml/2006/main" count="643" uniqueCount="535">
  <si>
    <t>ISS Engagement &amp; Intervention Tracker — Texas Edition</t>
  </si>
  <si>
    <t>Clear Path Education Group, LLC   ·   clearpathedgroup.com</t>
  </si>
  <si>
    <t>Built for Texas campus administrators, counselors, and behavior coordinators.</t>
  </si>
  <si>
    <t>ISS works when it changes behavior — not just removes students from class. This tracker makes every day of ISS count by logging interventions, measuring engagement, and requiring a structured re-entry process before students return.</t>
  </si>
  <si>
    <t>▸  DISTRICT &amp; CAMPUS INFORMATION</t>
  </si>
  <si>
    <t>District Name</t>
  </si>
  <si>
    <t>Campus Name</t>
  </si>
  <si>
    <t>Department / Team</t>
  </si>
  <si>
    <t>Coordinator</t>
  </si>
  <si>
    <t>School Year</t>
  </si>
  <si>
    <t>2025–2026</t>
  </si>
  <si>
    <t>Prepared By</t>
  </si>
  <si>
    <t>▸  HOW TO USE THIS TRACKER</t>
  </si>
  <si>
    <t xml:space="preserve">  1.  Student Roster</t>
  </si>
  <si>
    <t>Add every student placed in ISS. Root cause, risk tier, SPED flags, and cumulative stats calculate automatically.</t>
  </si>
  <si>
    <t xml:space="preserve">  2.  ISS Placements</t>
  </si>
  <si>
    <t>One row per placement. Offense tier, assigned days, intervention track, and 10-day SPED flag all tracked here.</t>
  </si>
  <si>
    <t xml:space="preserve">  3.  Daily Activity Log</t>
  </si>
  <si>
    <t>Log every intervention session daily. Engagement level, completion, staff observations. This is the heart of the tracker.</t>
  </si>
  <si>
    <t xml:space="preserve">  4.  Re-Entry Checklist</t>
  </si>
  <si>
    <t>8 required steps before a student returns to class. All steps must be complete before the student leaves ISS.</t>
  </si>
  <si>
    <t xml:space="preserve">  5.  Intervention Library</t>
  </si>
  <si>
    <t>Reference table: offense tier + root cause → recommended intervention track. No guesswork for staff.</t>
  </si>
  <si>
    <t xml:space="preserve">  6.  Outcome Tracker</t>
  </si>
  <si>
    <t>Before/after incident counts per student. See which interventions actually reduce recidivism over time.</t>
  </si>
  <si>
    <t xml:space="preserve">  7.  Dashboard</t>
  </si>
  <si>
    <t>Campus-wide summary. Active placements, re-entry readiness, intervention completion rates, recidivism flags.</t>
  </si>
  <si>
    <t xml:space="preserve">  8.  🔄 Re-Entry Board</t>
  </si>
  <si>
    <t>Print this tab every Monday. Shows all students returning within 7 days and their re-entry checklist status.</t>
  </si>
  <si>
    <t>⚠  FOR ORGANIZATIONAL USE ONLY — Not legal advice. Consult district counsel for all placement and consequence decisions.</t>
  </si>
  <si>
    <t>🚀  Ready to scale?  Visit clearpathedgroup.com to upgrade to the full platform</t>
  </si>
  <si>
    <t>ISS Student Roster — Texas Edition</t>
  </si>
  <si>
    <t>⚙ Auto-calculated fields are shaded gray and locked. Enter data in white cells only.</t>
  </si>
  <si>
    <t>Student ID</t>
  </si>
  <si>
    <t>Last Name</t>
  </si>
  <si>
    <t>First Name</t>
  </si>
  <si>
    <t>Grade</t>
  </si>
  <si>
    <t>Campus</t>
  </si>
  <si>
    <t>Counselor Assigned</t>
  </si>
  <si>
    <t>Primary Root Cause</t>
  </si>
  <si>
    <t>Secondary Root Cause</t>
  </si>
  <si>
    <t>SPED?</t>
  </si>
  <si>
    <t>504?</t>
  </si>
  <si>
    <t>SPED Code</t>
  </si>
  <si>
    <t>ELL?</t>
  </si>
  <si>
    <t>At-Risk?</t>
  </si>
  <si>
    <t>⚙ Total ISS Placements</t>
  </si>
  <si>
    <t>⚙ Total ISS Days</t>
  </si>
  <si>
    <t>⚙ Active Placement?</t>
  </si>
  <si>
    <t>⚙ Incidents This Year</t>
  </si>
  <si>
    <t>⚙ Last Placement Date</t>
  </si>
  <si>
    <t>⚙ Re-Entry Complete?</t>
  </si>
  <si>
    <t>Risk Tier</t>
  </si>
  <si>
    <t>Notes</t>
  </si>
  <si>
    <t>🚀  Upgrade to the full platform  ·  clearpathedgroup.com  ·  Clear Path Education Group, LLC</t>
  </si>
  <si>
    <t>ISS Placements — Texas Edition</t>
  </si>
  <si>
    <t>⚠  Texas law counts SCHOOL days for suspension limits. Assigned days here are CALENDAR days — adjust accordingly.</t>
  </si>
  <si>
    <t>Placement ID</t>
  </si>
  <si>
    <t>⚙ Last Name</t>
  </si>
  <si>
    <t>⚙ First Name</t>
  </si>
  <si>
    <t>⚙ Grade</t>
  </si>
  <si>
    <t>Offense Description</t>
  </si>
  <si>
    <t>TEC Reference</t>
  </si>
  <si>
    <t>Offense Tier</t>
  </si>
  <si>
    <t>Placement Start</t>
  </si>
  <si>
    <t>Assigned Days</t>
  </si>
  <si>
    <t>⚙ Days in ISS</t>
  </si>
  <si>
    <t>⚙ Days Remaining</t>
  </si>
  <si>
    <t>⚙ Projected End</t>
  </si>
  <si>
    <t>Actual End Date</t>
  </si>
  <si>
    <t>Exit Reason</t>
  </si>
  <si>
    <t>Intervention Track</t>
  </si>
  <si>
    <t>⚙ 10-Day SPED Flag</t>
  </si>
  <si>
    <t>Re-Entry Complete?</t>
  </si>
  <si>
    <t>Compliance Status</t>
  </si>
  <si>
    <t>⚙ Board Index (do not edit)</t>
  </si>
  <si>
    <t>Daily Activity Log — ISS Intervention Tracker</t>
  </si>
  <si>
    <t>Log EVERY intervention session. This data drives the Outcome Tracker — the more you log, the more you can measure.</t>
  </si>
  <si>
    <t>Log ID</t>
  </si>
  <si>
    <t>Log Date</t>
  </si>
  <si>
    <t>Day # of Placement</t>
  </si>
  <si>
    <t>Intervention Type</t>
  </si>
  <si>
    <t>Intervention Name</t>
  </si>
  <si>
    <t>Duration (mins)</t>
  </si>
  <si>
    <t>Completion Status</t>
  </si>
  <si>
    <t>Staff Member</t>
  </si>
  <si>
    <t>Student Engagement</t>
  </si>
  <si>
    <t>Behavior During Session</t>
  </si>
  <si>
    <t>Key Observation / Notes</t>
  </si>
  <si>
    <t>Follow-Up Needed?</t>
  </si>
  <si>
    <t>Follow-Up Notes</t>
  </si>
  <si>
    <t>Re-Entry Checklist — ISS Intervention Tracker</t>
  </si>
  <si>
    <t>ALL 8 steps must be complete before a student returns to class. ⚙ 'Ready to Return?' auto-calculates when all steps are marked Yes.</t>
  </si>
  <si>
    <t>Checklist ID</t>
  </si>
  <si>
    <t>⚙ Return Date</t>
  </si>
  <si>
    <t>Step 1: Written Reflection?</t>
  </si>
  <si>
    <t>Step 1 Date</t>
  </si>
  <si>
    <t>Step 2: Restorative Conversation?</t>
  </si>
  <si>
    <t>Step 2 Date</t>
  </si>
  <si>
    <t>Step 3: Parent Summary Sent?</t>
  </si>
  <si>
    <t>Step 3 Date</t>
  </si>
  <si>
    <t>Step 4: Counselor Sign-Off?</t>
  </si>
  <si>
    <t>Step 4 Date</t>
  </si>
  <si>
    <t>Step 5: Behavior Plan Updated?</t>
  </si>
  <si>
    <t>Step 5 Date</t>
  </si>
  <si>
    <t>Step 6: Teacher Notified?</t>
  </si>
  <si>
    <t>Step 6 Date</t>
  </si>
  <si>
    <t>Step 7: Academic Plan in Place?</t>
  </si>
  <si>
    <t>Step 7 Date</t>
  </si>
  <si>
    <t>Step 8: CBC Final Approval?</t>
  </si>
  <si>
    <t>Step 8 Date</t>
  </si>
  <si>
    <t>⚙ Steps Complete</t>
  </si>
  <si>
    <t>⚙ Steps Remaining</t>
  </si>
  <si>
    <t>⚙ Ready to Return?</t>
  </si>
  <si>
    <t>Re-Entry Notes</t>
  </si>
  <si>
    <t>Intervention Library — Tier-Matched Tracks by Root Cause &amp; Offense Tier</t>
  </si>
  <si>
    <t>Use this table to match the right intervention to the right student. Assign the track in the ISS Placements tab.</t>
  </si>
  <si>
    <t>Track</t>
  </si>
  <si>
    <t>Track Name</t>
  </si>
  <si>
    <t>Best For (Root Cause)</t>
  </si>
  <si>
    <t>Best For (Offense Tier)</t>
  </si>
  <si>
    <t>Duration</t>
  </si>
  <si>
    <t>Facilitator</t>
  </si>
  <si>
    <t>Description</t>
  </si>
  <si>
    <t>Research Basis</t>
  </si>
  <si>
    <t>Track A</t>
  </si>
  <si>
    <t>Reflection &amp; Journaling</t>
  </si>
  <si>
    <t>Emotional Dysregulation, Impulsivity / ADHD, Trauma Response</t>
  </si>
  <si>
    <t>Tier 1 — Minor, Tier 2 — Moderate</t>
  </si>
  <si>
    <t>30–45 min/day</t>
  </si>
  <si>
    <t>Counselor or ISS Monitor</t>
  </si>
  <si>
    <t>Student completes structured daily journal with prompts: What happened? How did I feel? Who was affected? What would I do differently? What support do I need? Prompts escalate in depth over multi-day placements.</t>
  </si>
  <si>
    <t>Expressive writing shown to reduce cortisol and improve self-regulation (Pennebaker &amp; Beall, 1986; Smyth, 1998).</t>
  </si>
  <si>
    <t>Track B</t>
  </si>
  <si>
    <t>Restorative Practices</t>
  </si>
  <si>
    <t>Peer Conflict, Bullying (Perpetrator), Bullying (Victim)</t>
  </si>
  <si>
    <t>Tier 2 — Moderate, Tier 3 — Serious</t>
  </si>
  <si>
    <t>45–60 min total + conference</t>
  </si>
  <si>
    <t>Counselor + CBC</t>
  </si>
  <si>
    <t>Day 1: Student writes their account of the incident. Day 2: Student completes empathy mapping (how did the other person feel?). Day 3: Prepare for a facilitated restorative conversation. Day 4+: Conference with affected party. Written repair agreement produced.</t>
  </si>
  <si>
    <t>Restorative justice reduces repeat offenses by 44% vs. suspension alone (Smith et al., 2019; IIRP Research).</t>
  </si>
  <si>
    <t>Track C</t>
  </si>
  <si>
    <t>Social-Emotional Learning (SEL)</t>
  </si>
  <si>
    <t>Impulsivity / ADHD, Emotional Dysregulation, Academic Frustration</t>
  </si>
  <si>
    <t>ISS Monitor (scripted modules)</t>
  </si>
  <si>
    <t>CASEL-aligned modules: Zones of Regulation (emotional awareness), Growth Mindset (effort vs. fixed), and self-management skills. Modules are self-paced with reflection questions. No special training required.</t>
  </si>
  <si>
    <t>CASEL meta-analysis: SEL programs improve academics 11% and reduce behavior incidents 25% (Durlak et al., 2011).</t>
  </si>
  <si>
    <t>Track D</t>
  </si>
  <si>
    <t>Conflict Resolution Skills</t>
  </si>
  <si>
    <t>Peer Conflict, Bullying (Perpetrator)</t>
  </si>
  <si>
    <t>45 min/day</t>
  </si>
  <si>
    <t>Counselor</t>
  </si>
  <si>
    <t>Structured conflict resolution curriculum: identifying triggers, de-escalation language, active listening, negotiation. Student role-plays scenarios. Culminates in a written conflict resolution plan for common trigger situations.</t>
  </si>
  <si>
    <t>Conflict resolution training reduces aggressive behavior by 38% in middle school settings (Johnson &amp; Johnson, 2009).</t>
  </si>
  <si>
    <t>Track E</t>
  </si>
  <si>
    <t>Academic Support + Mentoring</t>
  </si>
  <si>
    <t>Academic Frustration, Family Crisis</t>
  </si>
  <si>
    <t>60 min/day + daily teacher check-in</t>
  </si>
  <si>
    <t>Subject teachers + mentor</t>
  </si>
  <si>
    <t>Student receives academic catch-up assignments from each teacher. Mentor (admin, counselor, or teacher) meets for 15 min daily: goals for today, one positive observation, one area to strengthen. Prevents academic disengagement from widening during placement.</t>
  </si>
  <si>
    <t>Mentoring during ISS prevents academic gaps that drive future disengagement (Balfanz et al., 2014).</t>
  </si>
  <si>
    <t>Track F</t>
  </si>
  <si>
    <t>Behavioral Skills Building</t>
  </si>
  <si>
    <t>Impulsivity / ADHD, Emotional Dysregulation, Substance-Related</t>
  </si>
  <si>
    <t>Tier 2 — Moderate, Tier 3 — Serious, Tier 4 — Severe</t>
  </si>
  <si>
    <t>45–60 min/day</t>
  </si>
  <si>
    <t>Counselor (SPED-trained preferred)</t>
  </si>
  <si>
    <t>Structured skill-building: identifying personal behavior triggers, building a personal de-escalation toolkit, drafting a behavior contract with measurable goals. For SPED students: coordinates with existing BIP. Produces updated behavior plan on final day.</t>
  </si>
  <si>
    <t>Explicit behavioral skills instruction is core to PBIS Tier 2/3 framework (Sugai &amp; Horner, 2002).</t>
  </si>
  <si>
    <t>Track G</t>
  </si>
  <si>
    <t>Family Engagement</t>
  </si>
  <si>
    <t>Family Crisis, Trauma Response, Gang-Related</t>
  </si>
  <si>
    <t>Parent meeting + daily check-in</t>
  </si>
  <si>
    <t>CBC + Counselor</t>
  </si>
  <si>
    <t>Parent/guardian conference on Day 1 to build shared plan. Daily 5-min phone/text update to family. Student writes a letter to parent describing what they are learning and what will change. Family receives written re-entry plan before student returns.</t>
  </si>
  <si>
    <t>Family involvement is the single strongest predictor of behavior improvement in school settings (Epstein, 2011).</t>
  </si>
  <si>
    <t>Track H</t>
  </si>
  <si>
    <t>Crisis Support (Counselor-Led)</t>
  </si>
  <si>
    <t>Trauma Response, Family Crisis, Substance-Related, Bullying (Victim)</t>
  </si>
  <si>
    <t>Tier 3 — Serious, Tier 4 — Severe</t>
  </si>
  <si>
    <t>Variable — counselor-directed</t>
  </si>
  <si>
    <t>Licensed Counselor only</t>
  </si>
  <si>
    <t>Counselor-led individual sessions. Student may not be ready for group or structured activities. Focus on stabilization, safety planning, and basic coping skills. Coordinates with SPED team, social worker, or outside supports as needed. Document all sessions. This track may require referral to DAEP or outside agency.</t>
  </si>
  <si>
    <t>Trauma-informed care approaches in schools improve attendance, behavior, and academic outcomes (Cole et al., 2005).</t>
  </si>
  <si>
    <t>Student Activity Plans — What Students DO in ISS by Offense Type</t>
  </si>
  <si>
    <t>Assign activities from this reference when logging a placement. Each offense has a default activity track with specific daily tasks for the student.</t>
  </si>
  <si>
    <t>📋  PRINT OR SHARE: Give the student their Day 1 activity on their first morning in ISS. Do not wait.</t>
  </si>
  <si>
    <t>Offense / Placement Reason</t>
  </si>
  <si>
    <t>Recommended Track</t>
  </si>
  <si>
    <t>Day 1 — Student Activity</t>
  </si>
  <si>
    <t>Day 2 — Student Activity</t>
  </si>
  <si>
    <t>Day 3 — Student Activity</t>
  </si>
  <si>
    <t>Day 4+ / Extended — Student Activity</t>
  </si>
  <si>
    <t>Re-Entry Requirement (before return)</t>
  </si>
  <si>
    <t xml:space="preserve">  ▸  Fighting / Physical Altercation</t>
  </si>
  <si>
    <t xml:space="preserve">  Recommended: Track B — Restorative Practices</t>
  </si>
  <si>
    <t>DAY 1</t>
  </si>
  <si>
    <t>DAY 2</t>
  </si>
  <si>
    <t>DAY 3</t>
  </si>
  <si>
    <t>DAY 4+ / EXTENDED</t>
  </si>
  <si>
    <t>RE-ENTRY REQUIREMENT</t>
  </si>
  <si>
    <t>↑ Track B — Restorative Practices</t>
  </si>
  <si>
    <t>Write a full account of what happened: What did YOU do? What could you have done differently at each step? (Minimum 1 page — be honest, not just what sounds good.)</t>
  </si>
  <si>
    <t>Empathy mapping: Draw the other person's perspective. What were they feeling at each point in the conflict? What do you think they need from you now?</t>
  </si>
  <si>
    <t>Conflict response planning: List your top 3 personal conflict triggers. For each trigger, write 2 strategies you can use INSTEAD of fighting. Practice saying them out loud.</t>
  </si>
  <si>
    <t>Prepare for restorative conversation: Write what you want to say to the other person. What will you acknowledge? What will you commit to? Practice with ISS monitor.</t>
  </si>
  <si>
    <t>Restorative conversation with affected party (counselor-facilitated). Signed repair agreement on file before return to class.</t>
  </si>
  <si>
    <t xml:space="preserve">  ▸  Defiance / Insubordination</t>
  </si>
  <si>
    <t xml:space="preserve">  Recommended: Track F — Behavioral Skills Building</t>
  </si>
  <si>
    <t>↑ Track F — Behavioral Skills Building</t>
  </si>
  <si>
    <t>Reflection journal: Describe the specific moment you made the choice to defy the adult. What were you feeling? What did you WANT to happen? What actually happened?</t>
  </si>
  <si>
    <t>Authority relationships worksheet: List 5 adults at school. For each, write: (1) What do they need from me? (2) What do I need from them? (3) What gets in the way?</t>
  </si>
  <si>
    <t>Behavior contract drafting: Write your own behavior contract. Choose 3 specific, realistic goals. Use 'I WILL' statements — not 'I will try.' Share draft with counselor for feedback.</t>
  </si>
  <si>
    <t>Practice scenarios: ISS monitor gives you 3 situations where you might get frustrated. You write out and say aloud your positive response to each. Log what felt hard.</t>
  </si>
  <si>
    <t>Signed behavior contract with 3 goals. One adult (mentor or counselor) assigned for daily 5-minute check-in for 30 days after return.</t>
  </si>
  <si>
    <t xml:space="preserve">  ▸  Disruption of Class</t>
  </si>
  <si>
    <t xml:space="preserve">  Recommended: Track C — Social-Emotional Learning</t>
  </si>
  <si>
    <t>↑ Track C — Social-Emotional Learning</t>
  </si>
  <si>
    <t>Reflection journal: What specifically did you do that was disruptive? What was happening in your body right before? Draw or describe your emotions at that moment.</t>
  </si>
  <si>
    <t>Zones of Regulation module: Complete the assigned SEL worksheet on identifying your zone and choosing your response. Identify which zone you were in during the incident.</t>
  </si>
  <si>
    <t>Impact analysis: Write a letter to the class (you do not have to deliver it). Describe how your behavior affected the class's ability to learn. What would you want them to know?</t>
  </si>
  <si>
    <t>Goal-setting: Write 3 specific goals for how you will manage your energy and attention in the classroom. For each, identify one adult who will help you stay on track.</t>
  </si>
  <si>
    <t>Written goals shared with homeroom teacher before return. Teacher confirms re-entry conversation has occurred.</t>
  </si>
  <si>
    <t xml:space="preserve">  ▸  Bullying / Cyberbullying</t>
  </si>
  <si>
    <t xml:space="preserve">  Recommended: Track B — Restorative Practices + Track C — SEL</t>
  </si>
  <si>
    <t>↑ Track B — Restorative Practices + Track C — SEL</t>
  </si>
  <si>
    <t>Accountability writing: Describe every specific act of bullying you participated in. Be exact and honest. This is not shared publicly — it is for you to face what you did.</t>
  </si>
  <si>
    <t>Empathy deep-dive: Research the effects of bullying on targets (use provided articles or teacher-supplied reading). Write: What did the other person experience? What do I now understand that I didn't before?</t>
  </si>
  <si>
    <t>Power and belonging worksheet: Why did you bully? What were you getting from it? What need were you meeting? What other ways can you meet that need without harming someone?</t>
  </si>
  <si>
    <t>Repair plan: Write 3 specific things you will do to make things right. These must be actions, not just apologies. Share with counselor for review.</t>
  </si>
  <si>
    <t>Mediated conversation or written apology delivered. Counselor sign-off. No retaliation agreement signed by student.</t>
  </si>
  <si>
    <t xml:space="preserve">  ▸  Controlled Substance — Possession</t>
  </si>
  <si>
    <t xml:space="preserve">  Recommended: Track H — Crisis Support + Substance Education</t>
  </si>
  <si>
    <t>↑ Track H — Crisis Support + Substance Education</t>
  </si>
  <si>
    <t>Honest reflection (confidential with counselor): What was happening in your life that led to this? What need were you trying to meet? No judgment — this is about understanding.</t>
  </si>
  <si>
    <t>Substance education: Complete assigned reading or module on how the substance affects brain development in teenagers. Write 3 things that surprised you.</t>
  </si>
  <si>
    <t>Risk and consequence mapping: Draw your personal web of consequences from this incident — for you, your family, your future. What is at stake?</t>
  </si>
  <si>
    <t>Support planning: What support do you need to make sure this doesn't happen again? Who are your safe people? What will you do when you feel pressure?</t>
  </si>
  <si>
    <t>Parent conference with student present. Student presents their support plan. Counselor referral completed.</t>
  </si>
  <si>
    <t xml:space="preserve">  ▸  Theft / Vandalism</t>
  </si>
  <si>
    <t xml:space="preserve">  Recommended: Track B — Restorative Practices + Community Service</t>
  </si>
  <si>
    <t>↑ Track B — Restorative Practices + Community Service</t>
  </si>
  <si>
    <t>Accountability writing: Describe exactly what you did. What was your reason in the moment? What were you telling yourself to justify it?</t>
  </si>
  <si>
    <t>Impact analysis: Who was affected by what you did? List every person (victim, staff who had to respond, classmates who witnessed it). Write what each person experienced.</t>
  </si>
  <si>
    <t>Restitution planning: What can you do to make this right? Write a realistic plan — it may include repair, replacement, apology, or service. Present to CBC.</t>
  </si>
  <si>
    <t>Community service: Perform assigned campus service (connected to the harm where possible). Write daily reflection: What did I do? What did I contribute? How does this change how I see this school?</t>
  </si>
  <si>
    <t>Signed restitution agreement completed. Service log on file. Written apology delivered if victim agreed.</t>
  </si>
  <si>
    <t xml:space="preserve">  ▸  Harassment / Sexual Harassment</t>
  </si>
  <si>
    <t xml:space="preserve">  Recommended: Track B — Restorative + Track F — Behavioral Skills</t>
  </si>
  <si>
    <t>↑ Track B — Restorative + Track F — Behavioral Skills</t>
  </si>
  <si>
    <t>Accountability writing (reviewed by counselor): Describe what you did. Label it accurately. This is non-negotiable — calling it 'just joking' is not acceptable.</t>
  </si>
  <si>
    <t>Boundary and consent education: Complete assigned reading or video module. Write: What is consent? What is harassment? Where is the line and how do I know?</t>
  </si>
  <si>
    <t>Impact reflection: Write from the perspective of the person you harassed. What did they experience? What do they now feel when they see you? What did you take from them?</t>
  </si>
  <si>
    <t>Behavior commitment: Write 5 specific ways you will show respect to people at school. These are observable — things others can see you doing.</t>
  </si>
  <si>
    <t>Title IX coordinator sign-off. Behavior commitment shared with counselor and CBC. Separate-class plan in place if needed.</t>
  </si>
  <si>
    <t xml:space="preserve">  ▸  Assault — Threat / Fear of Injury</t>
  </si>
  <si>
    <t xml:space="preserve">  Recommended: Track H — Crisis Support + Threat Assessment</t>
  </si>
  <si>
    <t>↑ Track H — Crisis Support + Threat Assessment</t>
  </si>
  <si>
    <t>Threat Assessment conversation with counselor (Day 1 priority — before any written activity). Safety confirmed. Counselor determines if student is ready for self-directed work.</t>
  </si>
  <si>
    <t>If cleared: Write what happened from your perspective. What triggered you? What were you experiencing in your body? What was your goal?</t>
  </si>
  <si>
    <t>De-escalation skills: Learn and practice 3 personal de-escalation strategies (breathing, walking away, requesting a break). Write when you will use each.</t>
  </si>
  <si>
    <t>Safety planning: Write a personal safety plan — the adults you will go to, the signals that you're escalating, the steps you will take before you get to that point.</t>
  </si>
  <si>
    <t>Safety plan signed and shared with counselor, CBC, and parent. One trusted adult confirmed as ongoing contact.</t>
  </si>
  <si>
    <t xml:space="preserve">  ▸  Repeated Misconduct (same violation)</t>
  </si>
  <si>
    <t xml:space="preserve">  Recommended: Track G — Family Engagement + Track F — Behavioral Skills</t>
  </si>
  <si>
    <t>↑ Track G — Family Engagement + Track F — Behavioral Skills</t>
  </si>
  <si>
    <t>Pattern analysis: List every incident of this type this year. For each: What was happening that day? What triggered it? What was the same across incidents?</t>
  </si>
  <si>
    <t>Why has it not changed? Write honestly: What has been tried before? Why didn't it work? What do you need that hasn't been provided? What have you not tried?</t>
  </si>
  <si>
    <t>Goal setting with stakes: Write 3 goals that are different from anything you've tried before. For each, name the specific adult who will hold you accountable and how.</t>
  </si>
  <si>
    <t>Family letter: Write to your parent/guardian. Tell them what you understand about your pattern, what you are committing to change, and what you need from them.</t>
  </si>
  <si>
    <t>Family conference with student's letter shared. New behavior plan co-created with family, student, and counselor. Outside referral completed if appropriate.</t>
  </si>
  <si>
    <t xml:space="preserve">  ▸  Truancy / Attendance</t>
  </si>
  <si>
    <t xml:space="preserve">  Recommended: Track E — Academic Support + Track G — Family Engagement</t>
  </si>
  <si>
    <t>↑ Track E — Academic Support + Track G — Family Engagement</t>
  </si>
  <si>
    <t>Honest attendance reflection: List every day you have missed or been late this year. For each, write the real reason (not just 'sick'). What patterns do you see?</t>
  </si>
  <si>
    <t>Barrier mapping: What are the real obstacles to coming to school? List everything — transportation, safety, home situation, relationships, mental health, not seeing the point.</t>
  </si>
  <si>
    <t>What would help? Write specifically what the school could do differently to make it easier for you to come. What do you need to feel safe and welcomed here?</t>
  </si>
  <si>
    <t>Connection building: Identify one adult at school you trust (or could trust). Write why. Make a plan to check in with that person every morning for 30 days.</t>
  </si>
  <si>
    <t>Attendance Improvement Plan signed. Mentoring assignment in place. Family contact completed. One trusted adult confirmed.</t>
  </si>
  <si>
    <t xml:space="preserve">  ▸  Tobacco / E-Cigarette</t>
  </si>
  <si>
    <t xml:space="preserve">  Recommended: Track C — SEL + Substance Education</t>
  </si>
  <si>
    <t>↑ Track C — SEL + Substance Education</t>
  </si>
  <si>
    <t>Reflection: Why were you using at school? What were you getting from it? When do you feel the urge most strongly?</t>
  </si>
  <si>
    <t>Health education: Complete assigned module on vaping/tobacco and brain/lung development. Write 3 facts that were surprising or concerning to you.</t>
  </si>
  <si>
    <t>Peer pressure and decision-making: Write about the social dynamics around vaping at your school. What would it cost you to say no? What would it gain you?</t>
  </si>
  <si>
    <t>Personal commitment plan: Write your specific plan for avoiding use on campus. Who will support you? What will you do instead when you feel the urge?</t>
  </si>
  <si>
    <t>Parent conference. Commitment plan shared with counselor. Referral to community support if pattern or addiction indicators present.</t>
  </si>
  <si>
    <t xml:space="preserve">  ▸  Disrespect / Language Violation</t>
  </si>
  <si>
    <t xml:space="preserve">  Recommended: Track A — Reflection + Track C — SEL</t>
  </si>
  <si>
    <t>↑ Track A — Reflection + Track C — SEL</t>
  </si>
  <si>
    <t>Reflection journal: What exactly did you say or do? Who was in the room? What were you feeling right before? What were you hoping would happen?</t>
  </si>
  <si>
    <t>Impact on relationships: How did that language affect the person it was directed at? How did it affect the others in the room? How does it affect how people see you?</t>
  </si>
  <si>
    <t>Communication skills: Write out 3 situations that make you angry at school. For each, write 2 ways to express that feeling without disrespectful language.</t>
  </si>
  <si>
    <t>Apology letter (to deliver or not — student's choice after counselor review): Acknowledge what you said, why it was wrong, and what you will do differently.</t>
  </si>
  <si>
    <t>Apology reviewed by counselor. One specific communication goal written and shared with teacher.</t>
  </si>
  <si>
    <t>Outcome Tracker — ISS Intervention Effectiveness</t>
  </si>
  <si>
    <t>Fill in incidents before/after each placement. Over time this shows which interventions actually reduce repeat incidents.</t>
  </si>
  <si>
    <t>Intervention Track Used</t>
  </si>
  <si>
    <t>Placement End</t>
  </si>
  <si>
    <t>Incidents 30 Days BEFORE</t>
  </si>
  <si>
    <t>Incidents 30 Days AFTER</t>
  </si>
  <si>
    <t>⚙ Incident Change</t>
  </si>
  <si>
    <t>⚙ Reduction %</t>
  </si>
  <si>
    <t>⚙ Effective?</t>
  </si>
  <si>
    <t>Recidivism w/in 30 Days?</t>
  </si>
  <si>
    <t>Recidivism w/in 90 Days?</t>
  </si>
  <si>
    <t>ISS Intervention Tracker — Campus Dashboard</t>
  </si>
  <si>
    <t>PLACEMENT OVERVIEW</t>
  </si>
  <si>
    <t>Students on Roster</t>
  </si>
  <si>
    <t>Active ISS Placements</t>
  </si>
  <si>
    <t>Total Placements This Year</t>
  </si>
  <si>
    <t>Students with 3+ Placements</t>
  </si>
  <si>
    <t>RE-ENTRY STATUS</t>
  </si>
  <si>
    <t>Re-Entry Ready (all 8 steps)</t>
  </si>
  <si>
    <t>Re-Entry Incomplete — Overdue</t>
  </si>
  <si>
    <t>Re-Entry Due Within 2 Days</t>
  </si>
  <si>
    <t>INTERVENTION DATA</t>
  </si>
  <si>
    <t>Activity Sessions Logged</t>
  </si>
  <si>
    <t>Sessions Completed</t>
  </si>
  <si>
    <t>Sessions Refused</t>
  </si>
  <si>
    <t>Follow-Ups Needed</t>
  </si>
  <si>
    <t>SPED &amp; COMPLIANCE</t>
  </si>
  <si>
    <t>SPED Students in ISS</t>
  </si>
  <si>
    <t>⚠ Approaching 10-Day Limit</t>
  </si>
  <si>
    <t>Tier 3 Risk Students</t>
  </si>
  <si>
    <t>OUTCOME SUMMARY</t>
  </si>
  <si>
    <t>Interventions Tracked</t>
  </si>
  <si>
    <t>Effective (Incidents Reduced)</t>
  </si>
  <si>
    <t>Not Effective</t>
  </si>
  <si>
    <t>Recidivism Within 30 Days</t>
  </si>
  <si>
    <t>🚀  Ready to automate this?  Visit clearpathedgroup.com/navigator  ·  Clear Path Education Group, LLC</t>
  </si>
  <si>
    <t>🔄  WEEKLY RE-ENTRY BOARD — Students Returning Within 7 Days</t>
  </si>
  <si>
    <t>STUDENTS RETURNING WITHIN 7 DAYS</t>
  </si>
  <si>
    <t>Return Date</t>
  </si>
  <si>
    <t>Days Until Return</t>
  </si>
  <si>
    <t>Steps Complete</t>
  </si>
  <si>
    <t>Ready?</t>
  </si>
  <si>
    <t>Reference — Root Cause Framework, Research Basis &amp; ISS Best Practices</t>
  </si>
  <si>
    <t>Clear Path Education Group, LLC  ·  For organizational use only — not legal advice</t>
  </si>
  <si>
    <t>ROOT CAUSE FRAMEWORK</t>
  </si>
  <si>
    <t>Emotional Dysregulation</t>
  </si>
  <si>
    <t>Student cannot manage strong feelings in the moment. Triggers: perceived disrespect, sudden changes, sensory overload. Intervention: Track A, Track H.</t>
  </si>
  <si>
    <t>Peer Conflict</t>
  </si>
  <si>
    <t>Ongoing interpersonal conflict driving misbehavior. May involve history of bullying, romantic conflict, or group dynamics. Intervention: Track B, Track D.</t>
  </si>
  <si>
    <t>Academic Frustration</t>
  </si>
  <si>
    <t>Behavior is a response to academic failure or perceived inability. Often misread as defiance. Intervention: Track E. Check for unidentified LD.</t>
  </si>
  <si>
    <t>Trauma Response</t>
  </si>
  <si>
    <t>Fight/flight/freeze response. May not be connected to immediate event. Requires trauma-informed approach. Intervention: Track H. Coordinate with counselor.</t>
  </si>
  <si>
    <t>Impulsivity / ADHD</t>
  </si>
  <si>
    <t>Executive function deficit — acts before thinking. Not defiance. Needs structure, breaks, and behavioral skills practice. Intervention: Track C, Track F.</t>
  </si>
  <si>
    <t>Bullying (Perpetrator)</t>
  </si>
  <si>
    <t>Pattern of targeting peers. Requires accountability + empathy work. Restorative practices essential. Intervention: Track B, Track D.</t>
  </si>
  <si>
    <t>Family Crisis</t>
  </si>
  <si>
    <t>Home instability driving dysregulation at school. Suspension worsens outcomes. Prioritize family contact and support. Intervention: Track G, Track H.</t>
  </si>
  <si>
    <t>ISS RESEARCH SUMMARY</t>
  </si>
  <si>
    <t>ISS Effectiveness</t>
  </si>
  <si>
    <t>Traditional ISS (seat time only) shows no reduction in repeat incidents (Skiba &amp; Losen, 2016). Structured intervention during ISS reduces recidivism by 30-44%.</t>
  </si>
  <si>
    <t>Schools using restorative approaches report 44% reduction in ISS/OSS usage and significant improvement in school climate (Gonzalez, 2012).</t>
  </si>
  <si>
    <t>Re-Entry Planning</t>
  </si>
  <si>
    <t>Students returning without a re-entry plan re-offend within 30 days at 3x the rate of students with structured re-entry (Balfanz et al., 2014).</t>
  </si>
  <si>
    <t>SPED Considerations</t>
  </si>
  <si>
    <t>SPED students removed from placement 10+ days trigger IDEA change-of-placement rules. MDR required. FAPE must continue during any removal.</t>
  </si>
  <si>
    <t>PBIS Framework</t>
  </si>
  <si>
    <t>ISS should function as a Tier 2 intervention, not a default punishment. All placements should include documented intervention and outcome measurement.</t>
  </si>
  <si>
    <t>10-DAY RULE — SPED STUDENTS</t>
  </si>
  <si>
    <t>Rule Summary</t>
  </si>
  <si>
    <t>Under IDEA, if a student with a disability is removed from their educational placement for more than 10 school days in a school year, the district must provide FAPE services.</t>
  </si>
  <si>
    <t>MDR Trigger</t>
  </si>
  <si>
    <t>If a removal constitutes a change of placement (10+ consecutive days OR a series of removals constituting a pattern), a Manifestation Determination Review (MDR) must be held within 10 school days.</t>
  </si>
  <si>
    <t>ISS Impact</t>
  </si>
  <si>
    <t>ISS days count toward the 10-day total if the student is not receiving FAPE-compliant services during ISS. Structure your ISS program to provide meaningful educational benefit.</t>
  </si>
  <si>
    <t>CBC Responsibility</t>
  </si>
  <si>
    <t>The Campus Behavior Coordinator (TEC §37.0012) must track cumulative removal days for SPED students and coordinate with the SPED coordinator when approaching the limit.</t>
  </si>
  <si>
    <t>↑ Upgrade to Navigator — Full Behavior &amp; Intervention Platform</t>
  </si>
  <si>
    <t>Clear Path Education Group, LLC  ·  clearpathedgroup.com/navigator</t>
  </si>
  <si>
    <t>This tracker gives you structure. Navigator gives you automation.</t>
  </si>
  <si>
    <t>Feature</t>
  </si>
  <si>
    <t>This Tracker (Free)</t>
  </si>
  <si>
    <t>Navigator Platform</t>
  </si>
  <si>
    <t>Student Tracking</t>
  </si>
  <si>
    <t>✅ Manual entry</t>
  </si>
  <si>
    <t>✅ Cloud, real-time</t>
  </si>
  <si>
    <t>Multi-Campus</t>
  </si>
  <si>
    <t>❌ One campus per file</t>
  </si>
  <si>
    <t>✅ District-wide</t>
  </si>
  <si>
    <t>Automated Re-Entry Alerts</t>
  </si>
  <si>
    <t>❌ Manual review</t>
  </si>
  <si>
    <t>✅ Email + SMS alerts</t>
  </si>
  <si>
    <t>Intervention Assignment</t>
  </si>
  <si>
    <t>✅ Manual lookup</t>
  </si>
  <si>
    <t>✅ AI-suggested by root cause</t>
  </si>
  <si>
    <t>Outcome Measurement</t>
  </si>
  <si>
    <t>✅ Auto-calculated, visual</t>
  </si>
  <si>
    <t>Staff Collaboration</t>
  </si>
  <si>
    <t>❌ Single user</t>
  </si>
  <si>
    <t>✅ Role-based access</t>
  </si>
  <si>
    <t>SPED 10-Day Tracking</t>
  </si>
  <si>
    <t>⚠ Manual flag</t>
  </si>
  <si>
    <t>✅ Automated alert at day 7</t>
  </si>
  <si>
    <t>Parent Communication Log</t>
  </si>
  <si>
    <t>❌ Notes only</t>
  </si>
  <si>
    <t>✅ Full communication portal</t>
  </si>
  <si>
    <t>Reporting for Admin</t>
  </si>
  <si>
    <t>✅ This dashboard</t>
  </si>
  <si>
    <t>✅ Interactive live reports</t>
  </si>
  <si>
    <t>Data Security</t>
  </si>
  <si>
    <t>❌ Local file</t>
  </si>
  <si>
    <t>✅ SOC 2, encrypted</t>
  </si>
  <si>
    <t>🚀  Request a Free Demo  →  clearpathedgroup.com/navigator</t>
  </si>
  <si>
    <t>Grades</t>
  </si>
  <si>
    <t>RootCauses</t>
  </si>
  <si>
    <t>OffenseTiers</t>
  </si>
  <si>
    <t>InterventionTracks</t>
  </si>
  <si>
    <t>InterventionNames</t>
  </si>
  <si>
    <t>EngagementLevels</t>
  </si>
  <si>
    <t>CompletionStatus</t>
  </si>
  <si>
    <t>YesNo</t>
  </si>
  <si>
    <t>YesNoNA</t>
  </si>
  <si>
    <t>ExitReasons</t>
  </si>
  <si>
    <t>RiskTiers</t>
  </si>
  <si>
    <t>SpedCodes</t>
  </si>
  <si>
    <t>ComplianceStatus</t>
  </si>
  <si>
    <t>BehaviorStatus</t>
  </si>
  <si>
    <t>TecRefsISS</t>
  </si>
  <si>
    <t>NotificationMethods</t>
  </si>
  <si>
    <t>PK</t>
  </si>
  <si>
    <t>Tier 1 — Minor (dress code, language, disruption)</t>
  </si>
  <si>
    <t>Track A — Reflection &amp; Journaling</t>
  </si>
  <si>
    <t>Guided Reflection Journal</t>
  </si>
  <si>
    <t>High — Fully engaged</t>
  </si>
  <si>
    <t>Complete</t>
  </si>
  <si>
    <t>Yes</t>
  </si>
  <si>
    <t>Completed Placement</t>
  </si>
  <si>
    <t>Tier 1 — Universal (first/isolated incident)</t>
  </si>
  <si>
    <t>None</t>
  </si>
  <si>
    <t>Calm and cooperative</t>
  </si>
  <si>
    <t>TEC §37.002 — Teacher Removal</t>
  </si>
  <si>
    <t>Phone Call</t>
  </si>
  <si>
    <t>KG</t>
  </si>
  <si>
    <t>Tier 2 — Moderate (defiance, repeated violations, minor physical)</t>
  </si>
  <si>
    <t>Track B — Restorative Practices</t>
  </si>
  <si>
    <t>Restorative Circle Prep</t>
  </si>
  <si>
    <t>Medium — Partially engaged</t>
  </si>
  <si>
    <t>In Progress</t>
  </si>
  <si>
    <t>No</t>
  </si>
  <si>
    <t>Returned Early — Administrative</t>
  </si>
  <si>
    <t>Tier 2 — Targeted (pattern emerging, 2-3 incidents)</t>
  </si>
  <si>
    <t>IEP — IDEA</t>
  </si>
  <si>
    <t>Minor disruption</t>
  </si>
  <si>
    <t>TEC §37.005 — Suspension (ISS)</t>
  </si>
  <si>
    <t>Email</t>
  </si>
  <si>
    <t>1</t>
  </si>
  <si>
    <t>Tier 3 — Serious (fighting, threat, bullying, weapons-adjacent)</t>
  </si>
  <si>
    <t>Track C — Social-Emotional Learning</t>
  </si>
  <si>
    <t>Empathy Mapping Exercise</t>
  </si>
  <si>
    <t>Low — Minimal effort</t>
  </si>
  <si>
    <t>Not Started</t>
  </si>
  <si>
    <t>N/A</t>
  </si>
  <si>
    <t>Returned Early — Medical</t>
  </si>
  <si>
    <t>Tier 3 — Intensive (chronic, 4+ incidents or severe offense)</t>
  </si>
  <si>
    <t>504 Plan</t>
  </si>
  <si>
    <t>Moderate disruption</t>
  </si>
  <si>
    <t>TEC §37.006 — Mandatory DAEP (ISS as step-down)</t>
  </si>
  <si>
    <t>Written Notice</t>
  </si>
  <si>
    <t>2</t>
  </si>
  <si>
    <t>Tier 4 — Severe (assault, weapon, controlled substance)</t>
  </si>
  <si>
    <t>Track D — Conflict Resolution</t>
  </si>
  <si>
    <t>Conflict Resolution Worksheet</t>
  </si>
  <si>
    <t>Refused — Did not participate</t>
  </si>
  <si>
    <t>Refused</t>
  </si>
  <si>
    <t>Transferred</t>
  </si>
  <si>
    <t>ARD Required</t>
  </si>
  <si>
    <t>Overdue</t>
  </si>
  <si>
    <t>Escalated — required redirection</t>
  </si>
  <si>
    <t>TEC §37.007 — Discretionary</t>
  </si>
  <si>
    <t>In-Person Meeting</t>
  </si>
  <si>
    <t>3</t>
  </si>
  <si>
    <t>Track E — Academic Support + Mentoring</t>
  </si>
  <si>
    <t>SEL Module — Zones of Regulation</t>
  </si>
  <si>
    <t>Excused</t>
  </si>
  <si>
    <t>Escalated to DAEP</t>
  </si>
  <si>
    <t>FBA/BIP Active</t>
  </si>
  <si>
    <t>Crisis — required intervention</t>
  </si>
  <si>
    <t>Campus Policy — Level 1</t>
  </si>
  <si>
    <t>Portal Message</t>
  </si>
  <si>
    <t>4</t>
  </si>
  <si>
    <t>Track F — Behavioral Skills Building</t>
  </si>
  <si>
    <t>SEL Module — Growth Mindset</t>
  </si>
  <si>
    <t>Other</t>
  </si>
  <si>
    <t>MDR Required</t>
  </si>
  <si>
    <t>Campus Policy — Level 2</t>
  </si>
  <si>
    <t>5</t>
  </si>
  <si>
    <t>Bullying (Victim)</t>
  </si>
  <si>
    <t>Track G — Family Engagement</t>
  </si>
  <si>
    <t>Anger Management Skills Practice</t>
  </si>
  <si>
    <t>6</t>
  </si>
  <si>
    <t>Substance-Related</t>
  </si>
  <si>
    <t>Track H — Crisis Support (counselor-led)</t>
  </si>
  <si>
    <t>Goal-Setting &amp; Accountability Plan</t>
  </si>
  <si>
    <t>7</t>
  </si>
  <si>
    <t>Behavior Contract Drafting</t>
  </si>
  <si>
    <t>8</t>
  </si>
  <si>
    <t>Gang-Related</t>
  </si>
  <si>
    <t>Peer Mediation Preparation</t>
  </si>
  <si>
    <t>9</t>
  </si>
  <si>
    <t>Academic Catch-Up with Teacher Check-In</t>
  </si>
  <si>
    <t>10</t>
  </si>
  <si>
    <t>Mentor Meeting</t>
  </si>
  <si>
    <t>11</t>
  </si>
  <si>
    <t>Parent Video/Phone Conference</t>
  </si>
  <si>
    <t>12</t>
  </si>
  <si>
    <t>Community Service Activity</t>
  </si>
  <si>
    <t>Re-Entry Role Play</t>
  </si>
  <si>
    <t>Mindfulness &amp; De-escalation Practice</t>
  </si>
  <si>
    <t>Reading / Independent Study</t>
  </si>
  <si>
    <t>Counselor Individual Session</t>
  </si>
  <si>
    <t>↑  UPGRADE TO WAYPOINT</t>
  </si>
  <si>
    <t>Clear Path Education Group, LLC  ·  clearpathedgroup.com/waypoint</t>
  </si>
  <si>
    <t>Scale your ISS intervention system campus and district-wide.</t>
  </si>
  <si>
    <t>Waypoint by Clear Path brings structured ISS intervention, student activity plans, and re-entry tracking to every campus simultaneously — with district-level dashboards that show what's working.</t>
  </si>
  <si>
    <t>THIS SPREADSHEET  vs.  WAYPOINT</t>
  </si>
  <si>
    <t>📋  One campus at a time</t>
  </si>
  <si>
    <t>🚀  One campus or every campus — your scale</t>
  </si>
  <si>
    <t>📋  Manual data entry</t>
  </si>
  <si>
    <t>🚀  Auto-pulls from your SIS</t>
  </si>
  <si>
    <t>📋  Download &amp; open a file</t>
  </si>
  <si>
    <t>🚀  Live web dashboard — always current</t>
  </si>
  <si>
    <t>📋  You calculate compliance status</t>
  </si>
  <si>
    <t>🚀  Automatic alerts at every threshold</t>
  </si>
  <si>
    <t>📋  Email files between staff</t>
  </si>
  <si>
    <t>🚀  Role-based access for every team member</t>
  </si>
  <si>
    <t>📋  This tool: included</t>
  </si>
  <si>
    <t>🚀  Waypoint: request a demo for pricing</t>
  </si>
  <si>
    <t>Request a Free Demo  →  clearpathedgroup.com/waypoint</t>
  </si>
  <si>
    <t>Also find us on TpT  →  teacherspayteachers.com/kimberly-culley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</si>
</sst>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4" x14ac:knownFonts="1">
    <font>
      <sz val="11"/>
      <color theme="1"/>
      <name val="Calibri"/>
      <family val="2"/>
      <scheme val="minor"/>
    </font>
    <font>
      <sz val="11"/>
      <color theme="1"/>
      <name val="Calibri"/>
      <family val="2"/>
      <charset val="1"/>
    </font>
    <font>
      <b/>
      <sz val="22"/>
      <color rgb="FFFFFFFF"/>
      <name val="Calibri"/>
      <charset val="1"/>
    </font>
    <font>
      <sz val="10"/>
      <color rgb="FFFFFFFF"/>
      <name val="Calibri"/>
      <charset val="1"/>
    </font>
    <font>
      <b/>
      <sz val="13"/>
      <color rgb="FF4B2D7F"/>
      <name val="Calibri"/>
      <charset val="1"/>
    </font>
    <font>
      <sz val="10"/>
      <color rgb="FF444444"/>
      <name val="Calibri"/>
      <charset val="1"/>
    </font>
    <font>
      <b/>
      <sz val="11"/>
      <color rgb="FFFFFFFF"/>
      <name val="Calibri"/>
      <charset val="1"/>
    </font>
    <font>
      <b/>
      <sz val="10"/>
      <color rgb="FF4B2D7F"/>
      <name val="Calibri"/>
      <charset val="1"/>
    </font>
    <font>
      <sz val="10"/>
      <color rgb="FF1A1A2E"/>
      <name val="Calibri"/>
      <charset val="1"/>
    </font>
    <font>
      <b/>
      <sz val="9"/>
      <color rgb="FFFFFFFF"/>
      <name val="Calibri"/>
      <charset val="1"/>
    </font>
    <font>
      <sz val="9"/>
      <color rgb="FF1A1A2E"/>
      <name val="Calibri"/>
      <charset val="1"/>
    </font>
    <font>
      <b/>
      <sz val="14"/>
      <color rgb="FFFFFFFF"/>
      <name val="Calibri"/>
      <charset val="1"/>
    </font>
    <font>
      <sz val="9"/>
      <color rgb="FF4B2D7F"/>
      <name val="Calibri"/>
      <charset val="1"/>
    </font>
    <font>
      <i/>
      <sz val="9"/>
      <color rgb="FF888888"/>
      <name val="Calibri"/>
      <charset val="1"/>
    </font>
    <font>
      <b/>
      <sz val="10"/>
      <color rgb="FFFFFFFF"/>
      <name val="Calibri"/>
      <charset val="1"/>
    </font>
    <font>
      <b/>
      <sz val="9"/>
      <color rgb="FF1A1A2E"/>
      <name val="Calibri"/>
      <charset val="1"/>
    </font>
    <font>
      <b/>
      <sz val="9"/>
      <color rgb="FFE8650A"/>
      <name val="Calibri"/>
      <charset val="1"/>
    </font>
    <font>
      <b/>
      <sz val="8"/>
      <color rgb="FFFFFFFF"/>
      <name val="Calibri"/>
      <charset val="1"/>
    </font>
    <font>
      <i/>
      <sz val="8"/>
      <color rgb="FFE8650A"/>
      <name val="Calibri"/>
      <charset val="1"/>
    </font>
    <font>
      <b/>
      <sz val="9"/>
      <color rgb="FF1E8449"/>
      <name val="Calibri"/>
      <charset val="1"/>
    </font>
    <font>
      <b/>
      <sz val="18"/>
      <color rgb="FFFFFFFF"/>
      <name val="Calibri"/>
      <charset val="1"/>
    </font>
    <font>
      <i/>
      <sz val="10"/>
      <color rgb="FF4B2D7F"/>
      <name val="Calibri"/>
      <charset val="1"/>
    </font>
    <font>
      <sz val="11"/>
      <color rgb="FF1A1A2E"/>
      <name val="Calibri"/>
      <charset val="1"/>
    </font>
    <font>
      <b/>
      <sz val="16"/>
      <color rgb="FF4B2D7F"/>
      <name val="Calibri"/>
      <charset val="1"/>
    </font>
    <font>
      <b/>
      <sz val="16"/>
      <color rgb="FFE8650A"/>
      <name val="Calibri"/>
      <charset val="1"/>
    </font>
    <font>
      <b/>
      <sz val="16"/>
      <color rgb="FF0E7490"/>
      <name val="Calibri"/>
      <charset val="1"/>
    </font>
    <font>
      <b/>
      <sz val="16"/>
      <color rgb="FFC0392B"/>
      <name val="Calibri"/>
      <charset val="1"/>
    </font>
    <font>
      <b/>
      <sz val="16"/>
      <color rgb="FF1E8449"/>
      <name val="Calibri"/>
      <charset val="1"/>
    </font>
    <font>
      <sz val="10"/>
      <color rgb="FF4B2D7F"/>
      <name val="Calibri"/>
      <charset val="1"/>
    </font>
    <font>
      <b/>
      <sz val="13"/>
      <color rgb="FFFFFFFF"/>
      <name val="Calibri"/>
      <charset val="1"/>
    </font>
    <font>
      <b/>
      <sz val="9"/>
      <color rgb="FF4B2D7F"/>
      <name val="Calibri"/>
      <charset val="1"/>
    </font>
    <font>
      <b/>
      <sz val="16"/>
      <color rgb="FFFFFFFF"/>
      <name val="Calibri"/>
      <charset val="1"/>
    </font>
    <font>
      <sz val="11"/>
      <color rgb="FFFFFFFF"/>
      <name val="Calibri"/>
      <charset val="1"/>
    </font>
    <font>
      <b/>
      <sz val="12"/>
      <color rgb="FF4B2D7F"/>
      <name val="Calibri"/>
      <charset val="1"/>
    </font>
    <font>
      <sz val="10"/>
      <color rgb="FF222222"/>
      <name val="Calibri"/>
      <charset val="1"/>
    </font>
    <font>
      <sz val="10"/>
      <color rgb="FF1E8449"/>
      <name val="Calibri"/>
      <charset val="1"/>
    </font>
    <font>
      <sz val="10"/>
      <color rgb="FFC0392B"/>
      <name val="Calibri"/>
      <charset val="1"/>
    </font>
    <font>
      <b/>
      <sz val="14"/>
      <color rgb="FFFFFFFF"/>
      <name val="Calibri"/>
    </font>
    <font>
      <sz val="11"/>
      <color rgb="FFFFFFFF"/>
      <name val="Calibri"/>
    </font>
    <font>
      <b/>
      <sz val="14"/>
      <color rgb="FF4B2D7F"/>
      <name val="Calibri"/>
    </font>
    <font>
      <sz val="11"/>
      <color rgb="FF444444"/>
      <name val="Calibri"/>
    </font>
    <font>
      <b/>
      <sz val="11"/>
      <color rgb="FFFFFFFF"/>
      <name val="Calibri"/>
    </font>
    <font>
      <b/>
      <sz val="11"/>
      <color rgb="FF4B2D7F"/>
      <name val="Calibri"/>
    </font>
    <font>
      <b/>
      <sz val="13"/>
      <color rgb="FFFFFFFF"/>
      <name val="Calibri"/>
    </font>
  </fonts>
  <fills count="20">
    <fill>
      <patternFill patternType="none"/>
    </fill>
    <fill>
      <patternFill patternType="gray125"/>
    </fill>
    <fill>
      <patternFill patternType="none"/>
    </fill>
    <fill>
      <patternFill patternType="solid">
        <fgColor rgb="FF4B2D7F"/>
        <bgColor rgb="FF444444"/>
      </patternFill>
    </fill>
    <fill>
      <patternFill patternType="solid">
        <fgColor rgb="FFE8650A"/>
        <bgColor rgb="FFC0392B"/>
      </patternFill>
    </fill>
    <fill>
      <patternFill patternType="solid">
        <fgColor rgb="FFEDE7F6"/>
        <bgColor rgb="FFF0F0F0"/>
      </patternFill>
    </fill>
    <fill>
      <patternFill patternType="solid">
        <fgColor rgb="FFFAFAFA"/>
        <bgColor rgb="FFFFFFFF"/>
      </patternFill>
    </fill>
    <fill>
      <patternFill patternType="solid">
        <fgColor rgb="FFFFFFFF"/>
        <bgColor rgb="FFFAFAFA"/>
      </patternFill>
    </fill>
    <fill>
      <patternFill patternType="solid">
        <fgColor rgb="FF6B4BA1"/>
        <bgColor rgb="FF4B2D7F"/>
      </patternFill>
    </fill>
    <fill>
      <patternFill patternType="solid">
        <fgColor rgb="FFC0392B"/>
        <bgColor rgb="FF993366"/>
      </patternFill>
    </fill>
    <fill>
      <patternFill patternType="solid">
        <fgColor rgb="FFFDE8D8"/>
        <bgColor rgb="FFF0F0F0"/>
      </patternFill>
    </fill>
    <fill>
      <patternFill patternType="solid">
        <fgColor rgb="FFF0F0F0"/>
        <bgColor rgb="FFE9F7EF"/>
      </patternFill>
    </fill>
    <fill>
      <patternFill patternType="solid">
        <fgColor rgb="FF0E7490"/>
        <bgColor rgb="FF008080"/>
      </patternFill>
    </fill>
    <fill>
      <patternFill patternType="solid">
        <fgColor rgb="FF1E8449"/>
        <bgColor rgb="FF008080"/>
      </patternFill>
    </fill>
    <fill>
      <patternFill patternType="solid">
        <fgColor rgb="FFE9F7EF"/>
        <bgColor rgb="FFE0F7FA"/>
      </patternFill>
    </fill>
    <fill>
      <patternFill patternType="solid">
        <fgColor rgb="FF4B2D7F"/>
      </patternFill>
    </fill>
    <fill>
      <patternFill patternType="solid">
        <fgColor rgb="FFE8650A"/>
      </patternFill>
    </fill>
    <fill>
      <patternFill patternType="solid">
        <fgColor rgb="FFEDE7F6"/>
      </patternFill>
    </fill>
    <fill>
      <patternFill patternType="solid">
        <fgColor rgb="FFFFFFFF"/>
      </patternFill>
    </fill>
    <fill>
      <patternFill patternType="solid">
        <fgColor rgb="FF6B4BA1"/>
      </patternFill>
    </fill>
  </fills>
  <borders count="5">
    <border>
      <left/>
      <right/>
      <top/>
      <bottom/>
      <diagonal/>
    </border>
    <border>
      <left style="thin">
        <color rgb="FFD4C8F0"/>
      </left>
      <right style="thin">
        <color rgb="FFD4C8F0"/>
      </right>
      <top style="thin">
        <color rgb="FFD4C8F0"/>
      </top>
      <bottom style="thin">
        <color rgb="FFD4C8F0"/>
      </bottom>
      <diagonal/>
    </border>
    <border>
      <left style="thin">
        <color rgb="FFD4C8F0"/>
      </left>
      <right style="thin">
        <color rgb="FFD4C8F0"/>
      </right>
      <top/>
      <bottom style="medium">
        <color rgb="FF4B2D7F"/>
      </bottom>
      <diagonal/>
    </border>
    <border>
      <left style="thin">
        <color rgb="FF4B2D7F"/>
      </left>
      <right style="thin">
        <color rgb="FF4B2D7F"/>
      </right>
      <top style="thin">
        <color rgb="FF4B2D7F"/>
      </top>
      <bottom style="thin">
        <color rgb="FF4B2D7F"/>
      </bottom>
      <diagonal/>
    </border>
    <border>
      <left style="thin">
        <color rgb="FFD4C8F0"/>
      </left>
      <right style="thin">
        <color rgb="FFD4C8F0"/>
      </right>
      <top style="thin">
        <color rgb="FFD4C8F0"/>
      </top>
      <bottom style="thin">
        <color rgb="FFD4C8F0"/>
      </bottom>
      <diagonal/>
    </border>
  </borders>
  <cellStyleXfs count="1">
    <xf numFmtId="0" fontId="0" fillId="2" borderId="0"/>
  </cellStyleXfs>
  <cellXfs count="94">
    <xf numFmtId="0" fontId="0" fillId="0" borderId="0" xfId="0" applyFill="1"/>
    <xf numFmtId="0" fontId="1" fillId="2" borderId="0" xfId="0" applyFont="1"/>
    <xf numFmtId="0" fontId="7" fillId="5" borderId="1" xfId="0" applyFont="1" applyFill="1" applyBorder="1" applyAlignment="1">
      <alignment horizontal="left" vertical="center" wrapText="1"/>
    </xf>
    <xf numFmtId="0" fontId="8" fillId="7" borderId="2" xfId="0" applyFont="1" applyFill="1" applyBorder="1" applyAlignment="1">
      <alignment horizontal="left" vertical="center" wrapText="1"/>
    </xf>
    <xf numFmtId="0" fontId="9" fillId="8" borderId="3" xfId="0" applyFont="1" applyFill="1" applyBorder="1" applyAlignment="1">
      <alignment horizontal="left" vertical="center" wrapText="1"/>
    </xf>
    <xf numFmtId="164" fontId="10" fillId="7" borderId="1" xfId="0" applyNumberFormat="1" applyFont="1" applyFill="1" applyBorder="1" applyAlignment="1">
      <alignment horizontal="left" vertical="center" wrapText="1"/>
    </xf>
    <xf numFmtId="0" fontId="9" fillId="3" borderId="3" xfId="0" applyFont="1" applyFill="1" applyBorder="1" applyAlignment="1">
      <alignment horizontal="left" vertical="center" wrapText="1"/>
    </xf>
    <xf numFmtId="164" fontId="10" fillId="5" borderId="1" xfId="0" applyNumberFormat="1" applyFont="1" applyFill="1" applyBorder="1" applyAlignment="1">
      <alignment horizontal="left" vertical="center" wrapText="1"/>
    </xf>
    <xf numFmtId="0" fontId="9" fillId="3" borderId="3" xfId="0" applyFont="1" applyFill="1" applyBorder="1" applyAlignment="1">
      <alignment horizontal="center" vertical="center" wrapText="1"/>
    </xf>
    <xf numFmtId="0" fontId="13" fillId="11" borderId="1" xfId="0" applyFont="1" applyFill="1" applyBorder="1" applyAlignment="1">
      <alignment horizontal="left" vertical="center" wrapText="1"/>
    </xf>
    <xf numFmtId="164" fontId="13" fillId="11" borderId="1" xfId="0" applyNumberFormat="1" applyFont="1" applyFill="1" applyBorder="1" applyAlignment="1">
      <alignment horizontal="left" vertical="center" wrapText="1"/>
    </xf>
    <xf numFmtId="1" fontId="13" fillId="11" borderId="1" xfId="0" applyNumberFormat="1" applyFont="1" applyFill="1" applyBorder="1" applyAlignment="1">
      <alignment horizontal="left" vertical="center" wrapText="1"/>
    </xf>
    <xf numFmtId="0" fontId="14" fillId="8" borderId="1" xfId="0" applyFont="1" applyFill="1" applyBorder="1" applyAlignment="1">
      <alignment horizontal="center" vertical="center" wrapText="1"/>
    </xf>
    <xf numFmtId="0" fontId="15" fillId="5" borderId="1" xfId="0" applyFont="1" applyFill="1" applyBorder="1" applyAlignment="1">
      <alignment horizontal="left" vertical="center" wrapText="1"/>
    </xf>
    <xf numFmtId="0" fontId="15" fillId="7" borderId="1" xfId="0" applyFont="1" applyFill="1" applyBorder="1" applyAlignment="1">
      <alignment horizontal="left" vertical="center" wrapText="1"/>
    </xf>
    <xf numFmtId="0" fontId="1" fillId="4" borderId="0" xfId="0" applyFont="1" applyFill="1"/>
    <xf numFmtId="0" fontId="1" fillId="3" borderId="0" xfId="0" applyFont="1" applyFill="1"/>
    <xf numFmtId="0" fontId="17" fillId="12" borderId="3" xfId="0" applyFont="1" applyFill="1" applyBorder="1" applyAlignment="1">
      <alignment horizontal="center" vertical="center" wrapText="1"/>
    </xf>
    <xf numFmtId="0" fontId="17" fillId="13" borderId="3"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8" fillId="10" borderId="1" xfId="0" applyFont="1" applyFill="1" applyBorder="1" applyAlignment="1">
      <alignment horizontal="left" vertical="center" wrapText="1"/>
    </xf>
    <xf numFmtId="0" fontId="10" fillId="5" borderId="1" xfId="0" applyFont="1" applyFill="1" applyBorder="1" applyAlignment="1">
      <alignment horizontal="left" vertical="top" wrapText="1"/>
    </xf>
    <xf numFmtId="0" fontId="19" fillId="14" borderId="1" xfId="0" applyFont="1" applyFill="1" applyBorder="1" applyAlignment="1">
      <alignment horizontal="left" vertical="top" wrapText="1"/>
    </xf>
    <xf numFmtId="0" fontId="1" fillId="5" borderId="0" xfId="0" applyFont="1" applyFill="1"/>
    <xf numFmtId="0" fontId="22" fillId="5" borderId="1" xfId="0" applyFont="1" applyFill="1" applyBorder="1" applyAlignment="1">
      <alignment horizontal="left" vertical="center" wrapText="1"/>
    </xf>
    <xf numFmtId="1" fontId="23" fillId="5" borderId="1" xfId="0" applyNumberFormat="1" applyFont="1" applyFill="1" applyBorder="1" applyAlignment="1">
      <alignment horizontal="center" vertical="center" wrapText="1"/>
    </xf>
    <xf numFmtId="0" fontId="1" fillId="5" borderId="1" xfId="0" applyFont="1" applyFill="1" applyBorder="1"/>
    <xf numFmtId="0" fontId="22" fillId="7" borderId="1" xfId="0" applyFont="1" applyFill="1" applyBorder="1" applyAlignment="1">
      <alignment horizontal="left" vertical="center" wrapText="1"/>
    </xf>
    <xf numFmtId="1" fontId="23" fillId="7" borderId="1" xfId="0" applyNumberFormat="1" applyFont="1" applyFill="1" applyBorder="1" applyAlignment="1">
      <alignment horizontal="center" vertical="center" wrapText="1"/>
    </xf>
    <xf numFmtId="0" fontId="1" fillId="7" borderId="1" xfId="0" applyFont="1" applyFill="1" applyBorder="1"/>
    <xf numFmtId="1" fontId="24" fillId="5" borderId="1" xfId="0" applyNumberFormat="1" applyFont="1" applyFill="1" applyBorder="1" applyAlignment="1">
      <alignment horizontal="center" vertical="center" wrapText="1"/>
    </xf>
    <xf numFmtId="1" fontId="24" fillId="7" borderId="1" xfId="0" applyNumberFormat="1" applyFont="1" applyFill="1" applyBorder="1" applyAlignment="1">
      <alignment horizontal="center" vertical="center" wrapText="1"/>
    </xf>
    <xf numFmtId="1" fontId="25" fillId="7" borderId="1" xfId="0" applyNumberFormat="1" applyFont="1" applyFill="1" applyBorder="1" applyAlignment="1">
      <alignment horizontal="center" vertical="center" wrapText="1"/>
    </xf>
    <xf numFmtId="1" fontId="25" fillId="5" borderId="1" xfId="0" applyNumberFormat="1" applyFont="1" applyFill="1" applyBorder="1" applyAlignment="1">
      <alignment horizontal="center" vertical="center" wrapText="1"/>
    </xf>
    <xf numFmtId="1" fontId="26" fillId="7" borderId="1" xfId="0" applyNumberFormat="1" applyFont="1" applyFill="1" applyBorder="1" applyAlignment="1">
      <alignment horizontal="center" vertical="center" wrapText="1"/>
    </xf>
    <xf numFmtId="1" fontId="26" fillId="5" borderId="1" xfId="0" applyNumberFormat="1" applyFont="1" applyFill="1" applyBorder="1" applyAlignment="1">
      <alignment horizontal="center" vertical="center" wrapText="1"/>
    </xf>
    <xf numFmtId="1" fontId="27" fillId="5" borderId="1" xfId="0" applyNumberFormat="1" applyFont="1" applyFill="1" applyBorder="1" applyAlignment="1">
      <alignment horizontal="center" vertical="center" wrapText="1"/>
    </xf>
    <xf numFmtId="1" fontId="27" fillId="7" borderId="1" xfId="0" applyNumberFormat="1" applyFont="1" applyFill="1" applyBorder="1" applyAlignment="1">
      <alignment horizontal="center" vertical="center" wrapText="1"/>
    </xf>
    <xf numFmtId="0" fontId="8" fillId="7" borderId="1" xfId="0" applyFont="1" applyFill="1" applyBorder="1" applyAlignment="1">
      <alignment horizontal="left" vertical="center" wrapText="1"/>
    </xf>
    <xf numFmtId="164" fontId="8" fillId="7" borderId="1" xfId="0" applyNumberFormat="1" applyFont="1" applyFill="1" applyBorder="1" applyAlignment="1">
      <alignment horizontal="left" vertical="center" wrapText="1"/>
    </xf>
    <xf numFmtId="1" fontId="8" fillId="7" borderId="1" xfId="0" applyNumberFormat="1" applyFont="1" applyFill="1" applyBorder="1" applyAlignment="1">
      <alignment horizontal="left" vertical="center" wrapText="1"/>
    </xf>
    <xf numFmtId="0" fontId="8" fillId="5" borderId="1" xfId="0" applyFont="1" applyFill="1" applyBorder="1" applyAlignment="1">
      <alignment horizontal="left" vertical="center" wrapText="1"/>
    </xf>
    <xf numFmtId="164" fontId="8" fillId="5" borderId="1" xfId="0" applyNumberFormat="1" applyFont="1" applyFill="1" applyBorder="1" applyAlignment="1">
      <alignment horizontal="left" vertical="center" wrapText="1"/>
    </xf>
    <xf numFmtId="1" fontId="8" fillId="5" borderId="1" xfId="0" applyNumberFormat="1" applyFont="1" applyFill="1" applyBorder="1" applyAlignment="1">
      <alignment horizontal="left" vertical="center" wrapText="1"/>
    </xf>
    <xf numFmtId="0" fontId="30" fillId="5" borderId="1" xfId="0" applyFont="1" applyFill="1" applyBorder="1" applyAlignment="1">
      <alignment horizontal="left" vertical="center" wrapText="1"/>
    </xf>
    <xf numFmtId="0" fontId="30" fillId="7"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4" fillId="3" borderId="1" xfId="0" applyFont="1" applyFill="1" applyBorder="1" applyAlignment="1">
      <alignment horizontal="center" vertical="center" wrapText="1"/>
    </xf>
    <xf numFmtId="0" fontId="34" fillId="5" borderId="1" xfId="0" applyFont="1" applyFill="1" applyBorder="1" applyAlignment="1">
      <alignment horizontal="left" vertical="center" wrapText="1"/>
    </xf>
    <xf numFmtId="0" fontId="35" fillId="5" borderId="1" xfId="0" applyFont="1" applyFill="1" applyBorder="1" applyAlignment="1">
      <alignment horizontal="center" vertical="center" wrapText="1"/>
    </xf>
    <xf numFmtId="0" fontId="35" fillId="10" borderId="1" xfId="0" applyFont="1" applyFill="1" applyBorder="1" applyAlignment="1">
      <alignment horizontal="center" vertical="center" wrapText="1"/>
    </xf>
    <xf numFmtId="0" fontId="34" fillId="7" borderId="1" xfId="0" applyFont="1" applyFill="1" applyBorder="1" applyAlignment="1">
      <alignment horizontal="left" vertical="center" wrapText="1"/>
    </xf>
    <xf numFmtId="0" fontId="36" fillId="7" borderId="1" xfId="0" applyFont="1" applyFill="1" applyBorder="1" applyAlignment="1">
      <alignment horizontal="center" vertical="center" wrapText="1"/>
    </xf>
    <xf numFmtId="0" fontId="36" fillId="5" borderId="1" xfId="0" applyFont="1" applyFill="1" applyBorder="1" applyAlignment="1">
      <alignment horizontal="center" vertical="center" wrapText="1"/>
    </xf>
    <xf numFmtId="0" fontId="35" fillId="7" borderId="1" xfId="0" applyFont="1" applyFill="1" applyBorder="1" applyAlignment="1">
      <alignment horizontal="center" vertical="center" wrapText="1"/>
    </xf>
    <xf numFmtId="0" fontId="28" fillId="5" borderId="1" xfId="0" applyFont="1" applyFill="1" applyBorder="1" applyAlignment="1">
      <alignment horizontal="center" vertical="center" wrapText="1"/>
    </xf>
    <xf numFmtId="0" fontId="9" fillId="3" borderId="0" xfId="0" applyFont="1" applyFill="1" applyAlignment="1">
      <alignment horizontal="center" vertical="center" wrapText="1"/>
    </xf>
    <xf numFmtId="0" fontId="39" fillId="17" borderId="4" xfId="0" applyFont="1" applyFill="1" applyBorder="1" applyAlignment="1">
      <alignment horizontal="left" vertical="top" wrapText="1"/>
    </xf>
    <xf numFmtId="0" fontId="40" fillId="18" borderId="4" xfId="0" applyFont="1" applyFill="1" applyBorder="1" applyAlignment="1">
      <alignment horizontal="left" vertical="top" wrapText="1"/>
    </xf>
    <xf numFmtId="0" fontId="40" fillId="17" borderId="4" xfId="0" applyFont="1" applyFill="1" applyBorder="1" applyAlignment="1">
      <alignment horizontal="left" vertical="center"/>
    </xf>
    <xf numFmtId="0" fontId="42" fillId="17" borderId="4" xfId="0" applyFont="1" applyFill="1" applyBorder="1" applyAlignment="1">
      <alignment horizontal="left" vertical="center"/>
    </xf>
    <xf numFmtId="0" fontId="40" fillId="18" borderId="4" xfId="0" applyFont="1" applyFill="1" applyBorder="1" applyAlignment="1">
      <alignment horizontal="left" vertical="center"/>
    </xf>
    <xf numFmtId="0" fontId="42" fillId="18" borderId="4" xfId="0" applyFont="1" applyFill="1" applyBorder="1" applyAlignment="1">
      <alignment horizontal="left" vertical="center"/>
    </xf>
    <xf numFmtId="0" fontId="2" fillId="3" borderId="0" xfId="0" applyFont="1" applyFill="1" applyAlignment="1">
      <alignment horizontal="center" vertical="center" wrapText="1"/>
    </xf>
    <xf numFmtId="0" fontId="1" fillId="2" borderId="0" xfId="0" applyFont="1"/>
    <xf numFmtId="0" fontId="6" fillId="3" borderId="0" xfId="0" applyFont="1" applyFill="1" applyAlignment="1">
      <alignment horizontal="center" vertical="center" wrapText="1"/>
    </xf>
    <xf numFmtId="0" fontId="5" fillId="6" borderId="0" xfId="0" applyFont="1" applyFill="1" applyAlignment="1">
      <alignment horizontal="center" vertical="center" wrapText="1"/>
    </xf>
    <xf numFmtId="0" fontId="6" fillId="4" borderId="0" xfId="0" applyFont="1" applyFill="1" applyAlignment="1">
      <alignment horizontal="center" vertical="center" wrapText="1"/>
    </xf>
    <xf numFmtId="0" fontId="4" fillId="5" borderId="0" xfId="0" applyFont="1" applyFill="1" applyAlignment="1">
      <alignment horizontal="center" vertical="center" wrapText="1"/>
    </xf>
    <xf numFmtId="0" fontId="9" fillId="9" borderId="0" xfId="0" applyFont="1" applyFill="1" applyAlignment="1">
      <alignment horizontal="center" vertical="center" wrapText="1"/>
    </xf>
    <xf numFmtId="0" fontId="3" fillId="4" borderId="0" xfId="0" applyFont="1" applyFill="1" applyAlignment="1">
      <alignment horizontal="center" vertical="center" wrapText="1"/>
    </xf>
    <xf numFmtId="0" fontId="6" fillId="8" borderId="0" xfId="0" applyFont="1" applyFill="1" applyAlignment="1">
      <alignment horizontal="center" vertical="center" wrapText="1"/>
    </xf>
    <xf numFmtId="0" fontId="11" fillId="3" borderId="0" xfId="0" applyFont="1" applyFill="1" applyAlignment="1">
      <alignment horizontal="center" vertical="center" wrapText="1"/>
    </xf>
    <xf numFmtId="0" fontId="9" fillId="4" borderId="0" xfId="0" applyFont="1" applyFill="1" applyAlignment="1">
      <alignment horizontal="center" vertical="center" wrapText="1"/>
    </xf>
    <xf numFmtId="0" fontId="12" fillId="10" borderId="0" xfId="0" applyFont="1" applyFill="1" applyAlignment="1">
      <alignment horizontal="center" vertical="center" wrapText="1"/>
    </xf>
    <xf numFmtId="0" fontId="6" fillId="3" borderId="0" xfId="0" applyFont="1" applyFill="1" applyAlignment="1">
      <alignment horizontal="left" vertical="center" wrapText="1"/>
    </xf>
    <xf numFmtId="0" fontId="16" fillId="10" borderId="0" xfId="0" applyFont="1" applyFill="1" applyAlignment="1">
      <alignment horizontal="left" vertical="center" wrapText="1"/>
    </xf>
    <xf numFmtId="0" fontId="9" fillId="12" borderId="0" xfId="0" applyFont="1" applyFill="1" applyAlignment="1">
      <alignment horizontal="center" vertical="center" wrapText="1"/>
    </xf>
    <xf numFmtId="0" fontId="20" fillId="3" borderId="0" xfId="0" applyFont="1" applyFill="1" applyAlignment="1">
      <alignment horizontal="center" vertical="center" wrapText="1"/>
    </xf>
    <xf numFmtId="0" fontId="6" fillId="9" borderId="0" xfId="0" applyFont="1" applyFill="1" applyAlignment="1">
      <alignment horizontal="center" vertical="center" wrapText="1"/>
    </xf>
    <xf numFmtId="0" fontId="6" fillId="13" borderId="0" xfId="0" applyFont="1" applyFill="1" applyAlignment="1">
      <alignment horizontal="center" vertical="center" wrapText="1"/>
    </xf>
    <xf numFmtId="0" fontId="21" fillId="5" borderId="0" xfId="0" applyFont="1" applyFill="1" applyAlignment="1">
      <alignment horizontal="center" vertical="center" wrapText="1"/>
    </xf>
    <xf numFmtId="0" fontId="6" fillId="12" borderId="0" xfId="0" applyFont="1" applyFill="1" applyAlignment="1">
      <alignment horizontal="center" vertical="center" wrapText="1"/>
    </xf>
    <xf numFmtId="0" fontId="28" fillId="10" borderId="0" xfId="0" applyFont="1" applyFill="1" applyAlignment="1">
      <alignment horizontal="center" vertical="center" wrapText="1"/>
    </xf>
    <xf numFmtId="0" fontId="29" fillId="3" borderId="0" xfId="0" applyFont="1" applyFill="1" applyAlignment="1">
      <alignment horizontal="center" vertical="center" wrapText="1"/>
    </xf>
    <xf numFmtId="0" fontId="31" fillId="3" borderId="0" xfId="0" applyFont="1" applyFill="1" applyAlignment="1">
      <alignment horizontal="center" vertical="center" wrapText="1"/>
    </xf>
    <xf numFmtId="0" fontId="29" fillId="4" borderId="0" xfId="0" applyFont="1" applyFill="1" applyAlignment="1">
      <alignment horizontal="center" vertical="center" wrapText="1"/>
    </xf>
    <xf numFmtId="0" fontId="33" fillId="5" borderId="0" xfId="0" applyFont="1" applyFill="1" applyAlignment="1">
      <alignment horizontal="center" vertical="center" wrapText="1"/>
    </xf>
    <xf numFmtId="0" fontId="32" fillId="4" borderId="0" xfId="0" applyFont="1" applyFill="1" applyAlignment="1">
      <alignment horizontal="center" vertical="center" wrapText="1"/>
    </xf>
    <xf numFmtId="0" fontId="38" fillId="16" borderId="0" xfId="0" applyFont="1" applyFill="1" applyAlignment="1">
      <alignment horizontal="center" vertical="center" wrapText="1"/>
    </xf>
    <xf numFmtId="0" fontId="41" fillId="19" borderId="0" xfId="0" applyFont="1" applyFill="1" applyAlignment="1">
      <alignment horizontal="center" vertical="center" wrapText="1"/>
    </xf>
    <xf numFmtId="0" fontId="38" fillId="15" borderId="0" xfId="0" applyFont="1" applyFill="1" applyAlignment="1">
      <alignment horizontal="center" vertical="center" wrapText="1"/>
    </xf>
    <xf numFmtId="0" fontId="37" fillId="15" borderId="0" xfId="0" applyFont="1" applyFill="1" applyAlignment="1">
      <alignment horizontal="center" vertical="center" wrapText="1"/>
    </xf>
    <xf numFmtId="0" fontId="43" fillId="16" borderId="0" xfId="0" applyFont="1" applyFill="1" applyAlignment="1">
      <alignment horizontal="center" vertical="center" wrapText="1"/>
    </xf>
  </cellXfs>
  <cellStyles count="1">
    <cellStyle name="Normal" xfId="0" builtinId="0"/>
  </cellStyles>
  <dxfs count="21">
    <dxf>
      <font>
        <b/>
        <color rgb="FF4B2D7F"/>
      </font>
      <fill>
        <patternFill>
          <bgColor rgb="FFF4A620"/>
        </patternFill>
      </fill>
    </dxf>
    <dxf>
      <font>
        <b/>
        <color rgb="FFFFFFFF"/>
      </font>
      <fill>
        <patternFill>
          <bgColor rgb="FFC0392B"/>
        </patternFill>
      </fill>
    </dxf>
    <dxf>
      <font>
        <b/>
        <color rgb="FFFFFFFF"/>
      </font>
      <fill>
        <patternFill>
          <bgColor rgb="FF1E8449"/>
        </patternFill>
      </fill>
    </dxf>
    <dxf>
      <font>
        <b/>
        <color rgb="FF4B2D7F"/>
      </font>
      <fill>
        <patternFill>
          <bgColor rgb="FFF4A620"/>
        </patternFill>
      </fill>
    </dxf>
    <dxf>
      <font>
        <b/>
        <color rgb="FFFFFFFF"/>
      </font>
      <fill>
        <patternFill>
          <bgColor rgb="FFC0392B"/>
        </patternFill>
      </fill>
    </dxf>
    <dxf>
      <font>
        <b/>
        <color rgb="FFFFFFFF"/>
      </font>
      <fill>
        <patternFill>
          <bgColor rgb="FF1E8449"/>
        </patternFill>
      </fill>
    </dxf>
    <dxf>
      <font>
        <b/>
        <color rgb="FF4B2D7F"/>
      </font>
      <fill>
        <patternFill>
          <bgColor rgb="FFF4A620"/>
        </patternFill>
      </fill>
    </dxf>
    <dxf>
      <font>
        <b/>
        <color rgb="FFFFFFFF"/>
      </font>
      <fill>
        <patternFill>
          <bgColor rgb="FFC0392B"/>
        </patternFill>
      </fill>
    </dxf>
    <dxf>
      <font>
        <b/>
        <color rgb="FFFFFFFF"/>
      </font>
      <fill>
        <patternFill>
          <bgColor rgb="FF1E8449"/>
        </patternFill>
      </fill>
    </dxf>
    <dxf>
      <font>
        <b/>
        <color rgb="FF4B2D7F"/>
      </font>
      <fill>
        <patternFill>
          <bgColor rgb="FFF4A620"/>
        </patternFill>
      </fill>
    </dxf>
    <dxf>
      <font>
        <color rgb="FF0E7490"/>
      </font>
      <fill>
        <patternFill>
          <bgColor rgb="FFE0F7FA"/>
        </patternFill>
      </fill>
    </dxf>
    <dxf>
      <font>
        <color rgb="FFFFFFFF"/>
      </font>
      <fill>
        <patternFill>
          <bgColor rgb="FF1E8449"/>
        </patternFill>
      </fill>
    </dxf>
    <dxf>
      <font>
        <b/>
        <color rgb="FFFFFFFF"/>
      </font>
      <fill>
        <patternFill>
          <bgColor rgb="FFC0392B"/>
        </patternFill>
      </fill>
    </dxf>
    <dxf>
      <font>
        <b/>
        <color rgb="FF4B2D7F"/>
      </font>
      <fill>
        <patternFill>
          <bgColor rgb="FFF4A620"/>
        </patternFill>
      </fill>
    </dxf>
    <dxf>
      <font>
        <color rgb="FF888888"/>
      </font>
      <fill>
        <patternFill>
          <bgColor rgb="FFF0F0F0"/>
        </patternFill>
      </fill>
    </dxf>
    <dxf>
      <font>
        <b/>
        <color rgb="FF4B2D7F"/>
      </font>
      <fill>
        <patternFill>
          <bgColor rgb="FFF4A620"/>
        </patternFill>
      </fill>
    </dxf>
    <dxf>
      <font>
        <b/>
        <color rgb="FFFFFFFF"/>
      </font>
      <fill>
        <patternFill>
          <bgColor rgb="FFC0392B"/>
        </patternFill>
      </fill>
    </dxf>
    <dxf>
      <font>
        <b/>
        <color rgb="FFFFFFFF"/>
      </font>
      <fill>
        <patternFill>
          <bgColor rgb="FFC0392B"/>
        </patternFill>
      </fill>
    </dxf>
    <dxf>
      <font>
        <b/>
        <color rgb="FFFFFFFF"/>
      </font>
      <fill>
        <patternFill>
          <bgColor rgb="FFE8650A"/>
        </patternFill>
      </fill>
    </dxf>
    <dxf>
      <font>
        <b/>
        <color rgb="FF4B2D7F"/>
      </font>
      <fill>
        <patternFill>
          <bgColor rgb="FFF4A620"/>
        </patternFill>
      </fill>
    </dxf>
    <dxf>
      <font>
        <b/>
        <color rgb="FFFFFFFF"/>
      </font>
      <fill>
        <patternFill>
          <bgColor rgb="FFC0392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8650A"/>
  </sheetPr>
  <dimension ref="A1:D26"/>
  <sheetViews>
    <sheetView tabSelected="1" zoomScaleNormal="100" workbookViewId="0">
      <selection sqref="A1:D1"/>
    </sheetView>
  </sheetViews>
  <sheetFormatPr defaultColWidth="8.6640625" defaultRowHeight="14.25" x14ac:dyDescent="0.45"/>
  <cols>
    <col min="1" max="1" width="3" style="1" customWidth="1"/>
    <col min="2" max="3" width="34" style="1" customWidth="1"/>
    <col min="4" max="4" width="3" style="1" customWidth="1"/>
  </cols>
  <sheetData>
    <row r="1" spans="1:4" s="1" customFormat="1" ht="57.75" customHeight="1" x14ac:dyDescent="0.45">
      <c r="A1" s="63" t="s">
        <v>0</v>
      </c>
      <c r="B1" s="64"/>
      <c r="C1" s="64"/>
      <c r="D1" s="64"/>
    </row>
    <row r="2" spans="1:4" s="1" customFormat="1" ht="24" customHeight="1" x14ac:dyDescent="0.45">
      <c r="A2" s="70" t="s">
        <v>1</v>
      </c>
      <c r="B2" s="64"/>
      <c r="C2" s="64"/>
      <c r="D2" s="64"/>
    </row>
    <row r="3" spans="1:4" s="1" customFormat="1" ht="36" customHeight="1" x14ac:dyDescent="0.45">
      <c r="A3" s="68" t="s">
        <v>2</v>
      </c>
      <c r="B3" s="64"/>
      <c r="C3" s="64"/>
      <c r="D3" s="64"/>
    </row>
    <row r="4" spans="1:4" s="1" customFormat="1" ht="51.75" customHeight="1" x14ac:dyDescent="0.45">
      <c r="A4" s="66" t="s">
        <v>3</v>
      </c>
      <c r="B4" s="64"/>
      <c r="C4" s="64"/>
      <c r="D4" s="64"/>
    </row>
    <row r="5" spans="1:4" s="1" customFormat="1" ht="7.5" customHeight="1" x14ac:dyDescent="0.45"/>
    <row r="6" spans="1:4" s="1" customFormat="1" ht="25.5" customHeight="1" x14ac:dyDescent="0.45">
      <c r="A6" s="65" t="s">
        <v>4</v>
      </c>
      <c r="B6" s="64"/>
      <c r="C6" s="64"/>
      <c r="D6" s="64"/>
    </row>
    <row r="7" spans="1:4" s="1" customFormat="1" ht="21.75" customHeight="1" x14ac:dyDescent="0.45">
      <c r="B7" s="2" t="s">
        <v>5</v>
      </c>
      <c r="C7" s="3"/>
    </row>
    <row r="8" spans="1:4" s="1" customFormat="1" ht="21.75" customHeight="1" x14ac:dyDescent="0.45">
      <c r="B8" s="2" t="s">
        <v>6</v>
      </c>
      <c r="C8" s="3"/>
    </row>
    <row r="9" spans="1:4" s="1" customFormat="1" ht="21.75" customHeight="1" x14ac:dyDescent="0.45">
      <c r="B9" s="2" t="s">
        <v>7</v>
      </c>
      <c r="C9" s="3"/>
    </row>
    <row r="10" spans="1:4" s="1" customFormat="1" ht="21.75" customHeight="1" x14ac:dyDescent="0.45">
      <c r="B10" s="2" t="s">
        <v>8</v>
      </c>
      <c r="C10" s="3"/>
    </row>
    <row r="11" spans="1:4" s="1" customFormat="1" ht="21.75" customHeight="1" x14ac:dyDescent="0.45">
      <c r="B11" s="2" t="s">
        <v>9</v>
      </c>
      <c r="C11" s="3" t="s">
        <v>10</v>
      </c>
    </row>
    <row r="12" spans="1:4" s="1" customFormat="1" ht="21.75" customHeight="1" x14ac:dyDescent="0.45">
      <c r="B12" s="2" t="s">
        <v>11</v>
      </c>
      <c r="C12" s="3"/>
    </row>
    <row r="13" spans="1:4" s="1" customFormat="1" ht="7.5" customHeight="1" x14ac:dyDescent="0.45"/>
    <row r="14" spans="1:4" s="1" customFormat="1" ht="25.5" customHeight="1" x14ac:dyDescent="0.45">
      <c r="A14" s="71" t="s">
        <v>12</v>
      </c>
      <c r="B14" s="64"/>
      <c r="C14" s="64"/>
      <c r="D14" s="64"/>
    </row>
    <row r="15" spans="1:4" s="1" customFormat="1" ht="37.5" customHeight="1" x14ac:dyDescent="0.45">
      <c r="B15" s="4" t="s">
        <v>13</v>
      </c>
      <c r="C15" s="5" t="s">
        <v>14</v>
      </c>
    </row>
    <row r="16" spans="1:4" s="1" customFormat="1" ht="37.5" customHeight="1" x14ac:dyDescent="0.45">
      <c r="B16" s="6" t="s">
        <v>15</v>
      </c>
      <c r="C16" s="7" t="s">
        <v>16</v>
      </c>
    </row>
    <row r="17" spans="1:4" s="1" customFormat="1" ht="37.5" customHeight="1" x14ac:dyDescent="0.45">
      <c r="B17" s="4" t="s">
        <v>17</v>
      </c>
      <c r="C17" s="5" t="s">
        <v>18</v>
      </c>
    </row>
    <row r="18" spans="1:4" s="1" customFormat="1" ht="37.5" customHeight="1" x14ac:dyDescent="0.45">
      <c r="B18" s="6" t="s">
        <v>19</v>
      </c>
      <c r="C18" s="7" t="s">
        <v>20</v>
      </c>
    </row>
    <row r="19" spans="1:4" s="1" customFormat="1" ht="37.5" customHeight="1" x14ac:dyDescent="0.45">
      <c r="B19" s="4" t="s">
        <v>21</v>
      </c>
      <c r="C19" s="5" t="s">
        <v>22</v>
      </c>
    </row>
    <row r="20" spans="1:4" s="1" customFormat="1" ht="37.5" customHeight="1" x14ac:dyDescent="0.45">
      <c r="B20" s="6" t="s">
        <v>23</v>
      </c>
      <c r="C20" s="7" t="s">
        <v>24</v>
      </c>
    </row>
    <row r="21" spans="1:4" s="1" customFormat="1" ht="37.5" customHeight="1" x14ac:dyDescent="0.45">
      <c r="B21" s="4" t="s">
        <v>25</v>
      </c>
      <c r="C21" s="5" t="s">
        <v>26</v>
      </c>
    </row>
    <row r="22" spans="1:4" s="1" customFormat="1" ht="37.5" customHeight="1" x14ac:dyDescent="0.45">
      <c r="B22" s="6" t="s">
        <v>27</v>
      </c>
      <c r="C22" s="7" t="s">
        <v>28</v>
      </c>
    </row>
    <row r="23" spans="1:4" s="1" customFormat="1" ht="7.5" customHeight="1" x14ac:dyDescent="0.45"/>
    <row r="24" spans="1:4" s="1" customFormat="1" ht="31.5" customHeight="1" x14ac:dyDescent="0.45">
      <c r="A24" s="69" t="s">
        <v>29</v>
      </c>
      <c r="B24" s="64"/>
      <c r="C24" s="64"/>
      <c r="D24" s="64"/>
    </row>
    <row r="26" spans="1:4" s="1" customFormat="1" ht="31.5" customHeight="1" x14ac:dyDescent="0.45">
      <c r="A26" s="67" t="s">
        <v>30</v>
      </c>
      <c r="B26" s="64"/>
      <c r="C26" s="64"/>
      <c r="D26" s="64"/>
    </row>
  </sheetData>
  <mergeCells count="8">
    <mergeCell ref="A1:D1"/>
    <mergeCell ref="A6:D6"/>
    <mergeCell ref="A4:D4"/>
    <mergeCell ref="A26:D26"/>
    <mergeCell ref="A3:D3"/>
    <mergeCell ref="A24:D24"/>
    <mergeCell ref="A2:D2"/>
    <mergeCell ref="A14:D14"/>
  </mergeCells>
  <pageMargins left="0.75" right="0.75" top="1" bottom="1" header="0.511811023622047" footer="0.511811023622047"/>
  <pageSetup paperSize="9" orientation="portrait" useFirstPageNumber="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B2D7F"/>
    <pageSetUpPr fitToPage="1"/>
  </sheetPr>
  <dimension ref="A1:U104"/>
  <sheetViews>
    <sheetView zoomScaleNormal="100" workbookViewId="0">
      <pane ySplit="3" topLeftCell="A4" activePane="bottomLeft" state="frozen"/>
      <selection pane="bottomLeft"/>
    </sheetView>
  </sheetViews>
  <sheetFormatPr defaultColWidth="8.6640625" defaultRowHeight="14.25" x14ac:dyDescent="0.45"/>
  <cols>
    <col min="1" max="1" width="14" style="1" customWidth="1"/>
    <col min="2" max="2" width="16" style="1" customWidth="1"/>
    <col min="3" max="3" width="14" style="1" customWidth="1"/>
    <col min="4" max="4" width="8" style="1" customWidth="1"/>
    <col min="5" max="6" width="20" style="1" customWidth="1"/>
    <col min="7" max="8" width="26" style="1" customWidth="1"/>
    <col min="9" max="10" width="8" style="1" customWidth="1"/>
    <col min="11" max="11" width="18" style="1" customWidth="1"/>
    <col min="12" max="12" width="7" style="1" customWidth="1"/>
    <col min="13" max="13" width="9" style="1" customWidth="1"/>
    <col min="14" max="14" width="14" style="1" customWidth="1"/>
    <col min="15" max="15" width="12" style="1" customWidth="1"/>
    <col min="16" max="16" width="16" style="1" customWidth="1"/>
    <col min="17" max="17" width="14" style="1" customWidth="1"/>
    <col min="18" max="18" width="18" style="1" customWidth="1"/>
    <col min="19" max="19" width="16" style="1" customWidth="1"/>
    <col min="20" max="20" width="34" style="1" customWidth="1"/>
    <col min="21" max="21" width="28" style="1" customWidth="1"/>
  </cols>
  <sheetData>
    <row r="1" spans="1:21" s="1" customFormat="1" ht="43.5" customHeight="1" x14ac:dyDescent="0.45">
      <c r="A1" s="72" t="s">
        <v>31</v>
      </c>
      <c r="B1" s="64"/>
      <c r="C1" s="64"/>
      <c r="D1" s="64"/>
      <c r="E1" s="64"/>
      <c r="F1" s="64"/>
      <c r="G1" s="64"/>
      <c r="H1" s="64"/>
      <c r="I1" s="64"/>
      <c r="J1" s="64"/>
      <c r="K1" s="64"/>
      <c r="L1" s="64"/>
      <c r="M1" s="64"/>
      <c r="N1" s="64"/>
      <c r="O1" s="64"/>
      <c r="P1" s="64"/>
      <c r="Q1" s="64"/>
      <c r="R1" s="64"/>
      <c r="S1" s="64"/>
      <c r="T1" s="64"/>
      <c r="U1" s="64"/>
    </row>
    <row r="2" spans="1:21" s="1" customFormat="1" ht="19.5" customHeight="1" x14ac:dyDescent="0.45">
      <c r="A2" s="74" t="s">
        <v>32</v>
      </c>
      <c r="B2" s="64"/>
      <c r="C2" s="64"/>
      <c r="D2" s="64"/>
      <c r="E2" s="64"/>
      <c r="F2" s="64"/>
      <c r="G2" s="64"/>
      <c r="H2" s="64"/>
      <c r="I2" s="64"/>
      <c r="J2" s="64"/>
      <c r="K2" s="64"/>
      <c r="L2" s="64"/>
      <c r="M2" s="64"/>
      <c r="N2" s="64"/>
      <c r="O2" s="64"/>
      <c r="P2" s="64"/>
      <c r="Q2" s="64"/>
      <c r="R2" s="64"/>
      <c r="S2" s="64"/>
      <c r="T2" s="64"/>
      <c r="U2" s="64"/>
    </row>
    <row r="3" spans="1:21" s="1" customFormat="1" ht="36" customHeight="1" x14ac:dyDescent="0.45">
      <c r="A3" s="8" t="s">
        <v>33</v>
      </c>
      <c r="B3" s="8" t="s">
        <v>34</v>
      </c>
      <c r="C3" s="8" t="s">
        <v>35</v>
      </c>
      <c r="D3" s="8" t="s">
        <v>36</v>
      </c>
      <c r="E3" s="8" t="s">
        <v>37</v>
      </c>
      <c r="F3" s="8" t="s">
        <v>38</v>
      </c>
      <c r="G3" s="8" t="s">
        <v>39</v>
      </c>
      <c r="H3" s="8" t="s">
        <v>40</v>
      </c>
      <c r="I3" s="8" t="s">
        <v>41</v>
      </c>
      <c r="J3" s="8" t="s">
        <v>42</v>
      </c>
      <c r="K3" s="8" t="s">
        <v>43</v>
      </c>
      <c r="L3" s="8" t="s">
        <v>44</v>
      </c>
      <c r="M3" s="8" t="s">
        <v>45</v>
      </c>
      <c r="N3" s="8" t="s">
        <v>46</v>
      </c>
      <c r="O3" s="8" t="s">
        <v>47</v>
      </c>
      <c r="P3" s="8" t="s">
        <v>48</v>
      </c>
      <c r="Q3" s="8" t="s">
        <v>49</v>
      </c>
      <c r="R3" s="8" t="s">
        <v>50</v>
      </c>
      <c r="S3" s="8" t="s">
        <v>51</v>
      </c>
      <c r="T3" s="8" t="s">
        <v>52</v>
      </c>
      <c r="U3" s="8" t="s">
        <v>53</v>
      </c>
    </row>
    <row r="4" spans="1:21" s="1" customFormat="1" ht="18" customHeight="1" x14ac:dyDescent="0.45">
      <c r="A4" s="7"/>
      <c r="B4" s="7"/>
      <c r="C4" s="7"/>
      <c r="D4" s="7"/>
      <c r="E4" s="7"/>
      <c r="F4" s="7"/>
      <c r="G4" s="7"/>
      <c r="H4" s="7"/>
      <c r="I4" s="7"/>
      <c r="J4" s="7"/>
      <c r="K4" s="7"/>
      <c r="L4" s="7"/>
      <c r="M4" s="7"/>
      <c r="N4" s="9">
        <f>COUNTIF('ISS Placements'!B:B,A4)</f>
        <v>0</v>
      </c>
      <c r="O4" s="9">
        <f>SUMIF('ISS Placements'!B$4:B$203,A4,'ISS Placements'!L$4:L$203)</f>
        <v>0</v>
      </c>
      <c r="P4" s="9" t="str">
        <f>IF(COUNTIFS('ISS Placements'!B:B,A4,'ISS Placements'!O:O,"")&gt;0,"YES","No")</f>
        <v>No</v>
      </c>
      <c r="Q4" s="9">
        <f>COUNTIF('ISS Placements'!B:B,A4)</f>
        <v>0</v>
      </c>
      <c r="R4" s="10" t="str">
        <f>IF(COUNTIF('ISS Placements'!B:B,A4)&gt;0,_xludf.MAXIFS('ISS Placements'!J:J,'ISS Placements'!B:B,A4),"")</f>
        <v/>
      </c>
      <c r="S4" s="9" t="str">
        <f>IF(A4="","",IF(COUNTIFS('Re-Entry Checklist'!C:C,A4,'Re-Entry Checklist'!Y:Y,"✅ READY")&gt;0,"Yes","No"))</f>
        <v/>
      </c>
      <c r="T4" s="7"/>
      <c r="U4" s="7"/>
    </row>
    <row r="5" spans="1:21" s="1" customFormat="1" ht="18" customHeight="1" x14ac:dyDescent="0.45">
      <c r="A5" s="5"/>
      <c r="B5" s="5"/>
      <c r="C5" s="5"/>
      <c r="D5" s="5"/>
      <c r="E5" s="5"/>
      <c r="F5" s="5"/>
      <c r="G5" s="5"/>
      <c r="H5" s="5"/>
      <c r="I5" s="5"/>
      <c r="J5" s="5"/>
      <c r="K5" s="5"/>
      <c r="L5" s="5"/>
      <c r="M5" s="5"/>
      <c r="N5" s="9">
        <f>COUNTIF('ISS Placements'!B:B,A5)</f>
        <v>0</v>
      </c>
      <c r="O5" s="9">
        <f>SUMIF('ISS Placements'!B$4:B$203,A5,'ISS Placements'!L$4:L$203)</f>
        <v>0</v>
      </c>
      <c r="P5" s="9" t="str">
        <f>IF(COUNTIFS('ISS Placements'!B:B,A5,'ISS Placements'!O:O,"")&gt;0,"YES","No")</f>
        <v>No</v>
      </c>
      <c r="Q5" s="9">
        <f>COUNTIF('ISS Placements'!B:B,A5)</f>
        <v>0</v>
      </c>
      <c r="R5" s="10" t="str">
        <f>IF(COUNTIF('ISS Placements'!B:B,A5)&gt;0,_xludf.MAXIFS('ISS Placements'!J:J,'ISS Placements'!B:B,A5),"")</f>
        <v/>
      </c>
      <c r="S5" s="9" t="str">
        <f>IF(A5="","",IF(COUNTIFS('Re-Entry Checklist'!C:C,A5,'Re-Entry Checklist'!Y:Y,"✅ READY")&gt;0,"Yes","No"))</f>
        <v/>
      </c>
      <c r="T5" s="5"/>
      <c r="U5" s="5"/>
    </row>
    <row r="6" spans="1:21" s="1" customFormat="1" ht="18" customHeight="1" x14ac:dyDescent="0.45">
      <c r="A6" s="7"/>
      <c r="B6" s="7"/>
      <c r="C6" s="7"/>
      <c r="D6" s="7"/>
      <c r="E6" s="7"/>
      <c r="F6" s="7"/>
      <c r="G6" s="7"/>
      <c r="H6" s="7"/>
      <c r="I6" s="7"/>
      <c r="J6" s="7"/>
      <c r="K6" s="7"/>
      <c r="L6" s="7"/>
      <c r="M6" s="7"/>
      <c r="N6" s="9">
        <f>COUNTIF('ISS Placements'!B:B,A6)</f>
        <v>0</v>
      </c>
      <c r="O6" s="9">
        <f>SUMIF('ISS Placements'!B$4:B$203,A6,'ISS Placements'!L$4:L$203)</f>
        <v>0</v>
      </c>
      <c r="P6" s="9" t="str">
        <f>IF(COUNTIFS('ISS Placements'!B:B,A6,'ISS Placements'!O:O,"")&gt;0,"YES","No")</f>
        <v>No</v>
      </c>
      <c r="Q6" s="9">
        <f>COUNTIF('ISS Placements'!B:B,A6)</f>
        <v>0</v>
      </c>
      <c r="R6" s="10" t="str">
        <f>IF(COUNTIF('ISS Placements'!B:B,A6)&gt;0,_xludf.MAXIFS('ISS Placements'!J:J,'ISS Placements'!B:B,A6),"")</f>
        <v/>
      </c>
      <c r="S6" s="9" t="str">
        <f>IF(A6="","",IF(COUNTIFS('Re-Entry Checklist'!C:C,A6,'Re-Entry Checklist'!Y:Y,"✅ READY")&gt;0,"Yes","No"))</f>
        <v/>
      </c>
      <c r="T6" s="7"/>
      <c r="U6" s="7"/>
    </row>
    <row r="7" spans="1:21" s="1" customFormat="1" ht="18" customHeight="1" x14ac:dyDescent="0.45">
      <c r="A7" s="5"/>
      <c r="B7" s="5"/>
      <c r="C7" s="5"/>
      <c r="D7" s="5"/>
      <c r="E7" s="5"/>
      <c r="F7" s="5"/>
      <c r="G7" s="5"/>
      <c r="H7" s="5"/>
      <c r="I7" s="5"/>
      <c r="J7" s="5"/>
      <c r="K7" s="5"/>
      <c r="L7" s="5"/>
      <c r="M7" s="5"/>
      <c r="N7" s="9">
        <f>COUNTIF('ISS Placements'!B:B,A7)</f>
        <v>0</v>
      </c>
      <c r="O7" s="9">
        <f>SUMIF('ISS Placements'!B$4:B$203,A7,'ISS Placements'!L$4:L$203)</f>
        <v>0</v>
      </c>
      <c r="P7" s="9" t="str">
        <f>IF(COUNTIFS('ISS Placements'!B:B,A7,'ISS Placements'!O:O,"")&gt;0,"YES","No")</f>
        <v>No</v>
      </c>
      <c r="Q7" s="9">
        <f>COUNTIF('ISS Placements'!B:B,A7)</f>
        <v>0</v>
      </c>
      <c r="R7" s="10" t="str">
        <f>IF(COUNTIF('ISS Placements'!B:B,A7)&gt;0,_xludf.MAXIFS('ISS Placements'!J:J,'ISS Placements'!B:B,A7),"")</f>
        <v/>
      </c>
      <c r="S7" s="9" t="str">
        <f>IF(A7="","",IF(COUNTIFS('Re-Entry Checklist'!C:C,A7,'Re-Entry Checklist'!Y:Y,"✅ READY")&gt;0,"Yes","No"))</f>
        <v/>
      </c>
      <c r="T7" s="5"/>
      <c r="U7" s="5"/>
    </row>
    <row r="8" spans="1:21" s="1" customFormat="1" ht="18" customHeight="1" x14ac:dyDescent="0.45">
      <c r="A8" s="7"/>
      <c r="B8" s="7"/>
      <c r="C8" s="7"/>
      <c r="D8" s="7"/>
      <c r="E8" s="7"/>
      <c r="F8" s="7"/>
      <c r="G8" s="7"/>
      <c r="H8" s="7"/>
      <c r="I8" s="7"/>
      <c r="J8" s="7"/>
      <c r="K8" s="7"/>
      <c r="L8" s="7"/>
      <c r="M8" s="7"/>
      <c r="N8" s="9">
        <f>COUNTIF('ISS Placements'!B:B,A8)</f>
        <v>0</v>
      </c>
      <c r="O8" s="9">
        <f>SUMIF('ISS Placements'!B$4:B$203,A8,'ISS Placements'!L$4:L$203)</f>
        <v>0</v>
      </c>
      <c r="P8" s="9" t="str">
        <f>IF(COUNTIFS('ISS Placements'!B:B,A8,'ISS Placements'!O:O,"")&gt;0,"YES","No")</f>
        <v>No</v>
      </c>
      <c r="Q8" s="9">
        <f>COUNTIF('ISS Placements'!B:B,A8)</f>
        <v>0</v>
      </c>
      <c r="R8" s="10" t="str">
        <f>IF(COUNTIF('ISS Placements'!B:B,A8)&gt;0,_xludf.MAXIFS('ISS Placements'!J:J,'ISS Placements'!B:B,A8),"")</f>
        <v/>
      </c>
      <c r="S8" s="9" t="str">
        <f>IF(A8="","",IF(COUNTIFS('Re-Entry Checklist'!C:C,A8,'Re-Entry Checklist'!Y:Y,"✅ READY")&gt;0,"Yes","No"))</f>
        <v/>
      </c>
      <c r="T8" s="7"/>
      <c r="U8" s="7"/>
    </row>
    <row r="9" spans="1:21" s="1" customFormat="1" ht="18" customHeight="1" x14ac:dyDescent="0.45">
      <c r="A9" s="5"/>
      <c r="B9" s="5"/>
      <c r="C9" s="5"/>
      <c r="D9" s="5"/>
      <c r="E9" s="5"/>
      <c r="F9" s="5"/>
      <c r="G9" s="5"/>
      <c r="H9" s="5"/>
      <c r="I9" s="5"/>
      <c r="J9" s="5"/>
      <c r="K9" s="5"/>
      <c r="L9" s="5"/>
      <c r="M9" s="5"/>
      <c r="N9" s="9">
        <f>COUNTIF('ISS Placements'!B:B,A9)</f>
        <v>0</v>
      </c>
      <c r="O9" s="9">
        <f>SUMIF('ISS Placements'!B$4:B$203,A9,'ISS Placements'!L$4:L$203)</f>
        <v>0</v>
      </c>
      <c r="P9" s="9" t="str">
        <f>IF(COUNTIFS('ISS Placements'!B:B,A9,'ISS Placements'!O:O,"")&gt;0,"YES","No")</f>
        <v>No</v>
      </c>
      <c r="Q9" s="9">
        <f>COUNTIF('ISS Placements'!B:B,A9)</f>
        <v>0</v>
      </c>
      <c r="R9" s="10" t="str">
        <f>IF(COUNTIF('ISS Placements'!B:B,A9)&gt;0,_xludf.MAXIFS('ISS Placements'!J:J,'ISS Placements'!B:B,A9),"")</f>
        <v/>
      </c>
      <c r="S9" s="9" t="str">
        <f>IF(A9="","",IF(COUNTIFS('Re-Entry Checklist'!C:C,A9,'Re-Entry Checklist'!Y:Y,"✅ READY")&gt;0,"Yes","No"))</f>
        <v/>
      </c>
      <c r="T9" s="5"/>
      <c r="U9" s="5"/>
    </row>
    <row r="10" spans="1:21" s="1" customFormat="1" ht="18" customHeight="1" x14ac:dyDescent="0.45">
      <c r="A10" s="7"/>
      <c r="B10" s="7"/>
      <c r="C10" s="7"/>
      <c r="D10" s="7"/>
      <c r="E10" s="7"/>
      <c r="F10" s="7"/>
      <c r="G10" s="7"/>
      <c r="H10" s="7"/>
      <c r="I10" s="7"/>
      <c r="J10" s="7"/>
      <c r="K10" s="7"/>
      <c r="L10" s="7"/>
      <c r="M10" s="7"/>
      <c r="N10" s="9">
        <f>COUNTIF('ISS Placements'!B:B,A10)</f>
        <v>0</v>
      </c>
      <c r="O10" s="9">
        <f>SUMIF('ISS Placements'!B$4:B$203,A10,'ISS Placements'!L$4:L$203)</f>
        <v>0</v>
      </c>
      <c r="P10" s="9" t="str">
        <f>IF(COUNTIFS('ISS Placements'!B:B,A10,'ISS Placements'!O:O,"")&gt;0,"YES","No")</f>
        <v>No</v>
      </c>
      <c r="Q10" s="9">
        <f>COUNTIF('ISS Placements'!B:B,A10)</f>
        <v>0</v>
      </c>
      <c r="R10" s="10" t="str">
        <f>IF(COUNTIF('ISS Placements'!B:B,A10)&gt;0,_xludf.MAXIFS('ISS Placements'!J:J,'ISS Placements'!B:B,A10),"")</f>
        <v/>
      </c>
      <c r="S10" s="9" t="str">
        <f>IF(A10="","",IF(COUNTIFS('Re-Entry Checklist'!C:C,A10,'Re-Entry Checklist'!Y:Y,"✅ READY")&gt;0,"Yes","No"))</f>
        <v/>
      </c>
      <c r="T10" s="7"/>
      <c r="U10" s="7"/>
    </row>
    <row r="11" spans="1:21" s="1" customFormat="1" ht="18" customHeight="1" x14ac:dyDescent="0.45">
      <c r="A11" s="5"/>
      <c r="B11" s="5"/>
      <c r="C11" s="5"/>
      <c r="D11" s="5"/>
      <c r="E11" s="5"/>
      <c r="F11" s="5"/>
      <c r="G11" s="5"/>
      <c r="H11" s="5"/>
      <c r="I11" s="5"/>
      <c r="J11" s="5"/>
      <c r="K11" s="5"/>
      <c r="L11" s="5"/>
      <c r="M11" s="5"/>
      <c r="N11" s="9">
        <f>COUNTIF('ISS Placements'!B:B,A11)</f>
        <v>0</v>
      </c>
      <c r="O11" s="9">
        <f>SUMIF('ISS Placements'!B$4:B$203,A11,'ISS Placements'!L$4:L$203)</f>
        <v>0</v>
      </c>
      <c r="P11" s="9" t="str">
        <f>IF(COUNTIFS('ISS Placements'!B:B,A11,'ISS Placements'!O:O,"")&gt;0,"YES","No")</f>
        <v>No</v>
      </c>
      <c r="Q11" s="9">
        <f>COUNTIF('ISS Placements'!B:B,A11)</f>
        <v>0</v>
      </c>
      <c r="R11" s="10" t="str">
        <f>IF(COUNTIF('ISS Placements'!B:B,A11)&gt;0,_xludf.MAXIFS('ISS Placements'!J:J,'ISS Placements'!B:B,A11),"")</f>
        <v/>
      </c>
      <c r="S11" s="9" t="str">
        <f>IF(A11="","",IF(COUNTIFS('Re-Entry Checklist'!C:C,A11,'Re-Entry Checklist'!Y:Y,"✅ READY")&gt;0,"Yes","No"))</f>
        <v/>
      </c>
      <c r="T11" s="5"/>
      <c r="U11" s="5"/>
    </row>
    <row r="12" spans="1:21" s="1" customFormat="1" ht="18" customHeight="1" x14ac:dyDescent="0.45">
      <c r="A12" s="7"/>
      <c r="B12" s="7"/>
      <c r="C12" s="7"/>
      <c r="D12" s="7"/>
      <c r="E12" s="7"/>
      <c r="F12" s="7"/>
      <c r="G12" s="7"/>
      <c r="H12" s="7"/>
      <c r="I12" s="7"/>
      <c r="J12" s="7"/>
      <c r="K12" s="7"/>
      <c r="L12" s="7"/>
      <c r="M12" s="7"/>
      <c r="N12" s="9">
        <f>COUNTIF('ISS Placements'!B:B,A12)</f>
        <v>0</v>
      </c>
      <c r="O12" s="9">
        <f>SUMIF('ISS Placements'!B$4:B$203,A12,'ISS Placements'!L$4:L$203)</f>
        <v>0</v>
      </c>
      <c r="P12" s="9" t="str">
        <f>IF(COUNTIFS('ISS Placements'!B:B,A12,'ISS Placements'!O:O,"")&gt;0,"YES","No")</f>
        <v>No</v>
      </c>
      <c r="Q12" s="9">
        <f>COUNTIF('ISS Placements'!B:B,A12)</f>
        <v>0</v>
      </c>
      <c r="R12" s="10" t="str">
        <f>IF(COUNTIF('ISS Placements'!B:B,A12)&gt;0,_xludf.MAXIFS('ISS Placements'!J:J,'ISS Placements'!B:B,A12),"")</f>
        <v/>
      </c>
      <c r="S12" s="9" t="str">
        <f>IF(A12="","",IF(COUNTIFS('Re-Entry Checklist'!C:C,A12,'Re-Entry Checklist'!Y:Y,"✅ READY")&gt;0,"Yes","No"))</f>
        <v/>
      </c>
      <c r="T12" s="7"/>
      <c r="U12" s="7"/>
    </row>
    <row r="13" spans="1:21" s="1" customFormat="1" ht="18" customHeight="1" x14ac:dyDescent="0.45">
      <c r="A13" s="5"/>
      <c r="B13" s="5"/>
      <c r="C13" s="5"/>
      <c r="D13" s="5"/>
      <c r="E13" s="5"/>
      <c r="F13" s="5"/>
      <c r="G13" s="5"/>
      <c r="H13" s="5"/>
      <c r="I13" s="5"/>
      <c r="J13" s="5"/>
      <c r="K13" s="5"/>
      <c r="L13" s="5"/>
      <c r="M13" s="5"/>
      <c r="N13" s="9">
        <f>COUNTIF('ISS Placements'!B:B,A13)</f>
        <v>0</v>
      </c>
      <c r="O13" s="9">
        <f>SUMIF('ISS Placements'!B$4:B$203,A13,'ISS Placements'!L$4:L$203)</f>
        <v>0</v>
      </c>
      <c r="P13" s="9" t="str">
        <f>IF(COUNTIFS('ISS Placements'!B:B,A13,'ISS Placements'!O:O,"")&gt;0,"YES","No")</f>
        <v>No</v>
      </c>
      <c r="Q13" s="9">
        <f>COUNTIF('ISS Placements'!B:B,A13)</f>
        <v>0</v>
      </c>
      <c r="R13" s="10" t="str">
        <f>IF(COUNTIF('ISS Placements'!B:B,A13)&gt;0,_xludf.MAXIFS('ISS Placements'!J:J,'ISS Placements'!B:B,A13),"")</f>
        <v/>
      </c>
      <c r="S13" s="9" t="str">
        <f>IF(A13="","",IF(COUNTIFS('Re-Entry Checklist'!C:C,A13,'Re-Entry Checklist'!Y:Y,"✅ READY")&gt;0,"Yes","No"))</f>
        <v/>
      </c>
      <c r="T13" s="5"/>
      <c r="U13" s="5"/>
    </row>
    <row r="14" spans="1:21" s="1" customFormat="1" ht="18" customHeight="1" x14ac:dyDescent="0.45">
      <c r="A14" s="7"/>
      <c r="B14" s="7"/>
      <c r="C14" s="7"/>
      <c r="D14" s="7"/>
      <c r="E14" s="7"/>
      <c r="F14" s="7"/>
      <c r="G14" s="7"/>
      <c r="H14" s="7"/>
      <c r="I14" s="7"/>
      <c r="J14" s="7"/>
      <c r="K14" s="7"/>
      <c r="L14" s="7"/>
      <c r="M14" s="7"/>
      <c r="N14" s="9">
        <f>COUNTIF('ISS Placements'!B:B,A14)</f>
        <v>0</v>
      </c>
      <c r="O14" s="9">
        <f>SUMIF('ISS Placements'!B$4:B$203,A14,'ISS Placements'!L$4:L$203)</f>
        <v>0</v>
      </c>
      <c r="P14" s="9" t="str">
        <f>IF(COUNTIFS('ISS Placements'!B:B,A14,'ISS Placements'!O:O,"")&gt;0,"YES","No")</f>
        <v>No</v>
      </c>
      <c r="Q14" s="9">
        <f>COUNTIF('ISS Placements'!B:B,A14)</f>
        <v>0</v>
      </c>
      <c r="R14" s="10" t="str">
        <f>IF(COUNTIF('ISS Placements'!B:B,A14)&gt;0,_xludf.MAXIFS('ISS Placements'!J:J,'ISS Placements'!B:B,A14),"")</f>
        <v/>
      </c>
      <c r="S14" s="9" t="str">
        <f>IF(A14="","",IF(COUNTIFS('Re-Entry Checklist'!C:C,A14,'Re-Entry Checklist'!Y:Y,"✅ READY")&gt;0,"Yes","No"))</f>
        <v/>
      </c>
      <c r="T14" s="7"/>
      <c r="U14" s="7"/>
    </row>
    <row r="15" spans="1:21" s="1" customFormat="1" ht="18" customHeight="1" x14ac:dyDescent="0.45">
      <c r="A15" s="5"/>
      <c r="B15" s="5"/>
      <c r="C15" s="5"/>
      <c r="D15" s="5"/>
      <c r="E15" s="5"/>
      <c r="F15" s="5"/>
      <c r="G15" s="5"/>
      <c r="H15" s="5"/>
      <c r="I15" s="5"/>
      <c r="J15" s="5"/>
      <c r="K15" s="5"/>
      <c r="L15" s="5"/>
      <c r="M15" s="5"/>
      <c r="N15" s="9">
        <f>COUNTIF('ISS Placements'!B:B,A15)</f>
        <v>0</v>
      </c>
      <c r="O15" s="9">
        <f>SUMIF('ISS Placements'!B$4:B$203,A15,'ISS Placements'!L$4:L$203)</f>
        <v>0</v>
      </c>
      <c r="P15" s="9" t="str">
        <f>IF(COUNTIFS('ISS Placements'!B:B,A15,'ISS Placements'!O:O,"")&gt;0,"YES","No")</f>
        <v>No</v>
      </c>
      <c r="Q15" s="9">
        <f>COUNTIF('ISS Placements'!B:B,A15)</f>
        <v>0</v>
      </c>
      <c r="R15" s="10" t="str">
        <f>IF(COUNTIF('ISS Placements'!B:B,A15)&gt;0,_xludf.MAXIFS('ISS Placements'!J:J,'ISS Placements'!B:B,A15),"")</f>
        <v/>
      </c>
      <c r="S15" s="9" t="str">
        <f>IF(A15="","",IF(COUNTIFS('Re-Entry Checklist'!C:C,A15,'Re-Entry Checklist'!Y:Y,"✅ READY")&gt;0,"Yes","No"))</f>
        <v/>
      </c>
      <c r="T15" s="5"/>
      <c r="U15" s="5"/>
    </row>
    <row r="16" spans="1:21" s="1" customFormat="1" ht="18" customHeight="1" x14ac:dyDescent="0.45">
      <c r="A16" s="7"/>
      <c r="B16" s="7"/>
      <c r="C16" s="7"/>
      <c r="D16" s="7"/>
      <c r="E16" s="7"/>
      <c r="F16" s="7"/>
      <c r="G16" s="7"/>
      <c r="H16" s="7"/>
      <c r="I16" s="7"/>
      <c r="J16" s="7"/>
      <c r="K16" s="7"/>
      <c r="L16" s="7"/>
      <c r="M16" s="7"/>
      <c r="N16" s="9">
        <f>COUNTIF('ISS Placements'!B:B,A16)</f>
        <v>0</v>
      </c>
      <c r="O16" s="9">
        <f>SUMIF('ISS Placements'!B$4:B$203,A16,'ISS Placements'!L$4:L$203)</f>
        <v>0</v>
      </c>
      <c r="P16" s="9" t="str">
        <f>IF(COUNTIFS('ISS Placements'!B:B,A16,'ISS Placements'!O:O,"")&gt;0,"YES","No")</f>
        <v>No</v>
      </c>
      <c r="Q16" s="9">
        <f>COUNTIF('ISS Placements'!B:B,A16)</f>
        <v>0</v>
      </c>
      <c r="R16" s="10" t="str">
        <f>IF(COUNTIF('ISS Placements'!B:B,A16)&gt;0,_xludf.MAXIFS('ISS Placements'!J:J,'ISS Placements'!B:B,A16),"")</f>
        <v/>
      </c>
      <c r="S16" s="9" t="str">
        <f>IF(A16="","",IF(COUNTIFS('Re-Entry Checklist'!C:C,A16,'Re-Entry Checklist'!Y:Y,"✅ READY")&gt;0,"Yes","No"))</f>
        <v/>
      </c>
      <c r="T16" s="7"/>
      <c r="U16" s="7"/>
    </row>
    <row r="17" spans="1:21" s="1" customFormat="1" ht="18" customHeight="1" x14ac:dyDescent="0.45">
      <c r="A17" s="5"/>
      <c r="B17" s="5"/>
      <c r="C17" s="5"/>
      <c r="D17" s="5"/>
      <c r="E17" s="5"/>
      <c r="F17" s="5"/>
      <c r="G17" s="5"/>
      <c r="H17" s="5"/>
      <c r="I17" s="5"/>
      <c r="J17" s="5"/>
      <c r="K17" s="5"/>
      <c r="L17" s="5"/>
      <c r="M17" s="5"/>
      <c r="N17" s="9">
        <f>COUNTIF('ISS Placements'!B:B,A17)</f>
        <v>0</v>
      </c>
      <c r="O17" s="9">
        <f>SUMIF('ISS Placements'!B$4:B$203,A17,'ISS Placements'!L$4:L$203)</f>
        <v>0</v>
      </c>
      <c r="P17" s="9" t="str">
        <f>IF(COUNTIFS('ISS Placements'!B:B,A17,'ISS Placements'!O:O,"")&gt;0,"YES","No")</f>
        <v>No</v>
      </c>
      <c r="Q17" s="9">
        <f>COUNTIF('ISS Placements'!B:B,A17)</f>
        <v>0</v>
      </c>
      <c r="R17" s="10" t="str">
        <f>IF(COUNTIF('ISS Placements'!B:B,A17)&gt;0,_xludf.MAXIFS('ISS Placements'!J:J,'ISS Placements'!B:B,A17),"")</f>
        <v/>
      </c>
      <c r="S17" s="9" t="str">
        <f>IF(A17="","",IF(COUNTIFS('Re-Entry Checklist'!C:C,A17,'Re-Entry Checklist'!Y:Y,"✅ READY")&gt;0,"Yes","No"))</f>
        <v/>
      </c>
      <c r="T17" s="5"/>
      <c r="U17" s="5"/>
    </row>
    <row r="18" spans="1:21" s="1" customFormat="1" ht="18" customHeight="1" x14ac:dyDescent="0.45">
      <c r="A18" s="7"/>
      <c r="B18" s="7"/>
      <c r="C18" s="7"/>
      <c r="D18" s="7"/>
      <c r="E18" s="7"/>
      <c r="F18" s="7"/>
      <c r="G18" s="7"/>
      <c r="H18" s="7"/>
      <c r="I18" s="7"/>
      <c r="J18" s="7"/>
      <c r="K18" s="7"/>
      <c r="L18" s="7"/>
      <c r="M18" s="7"/>
      <c r="N18" s="9">
        <f>COUNTIF('ISS Placements'!B:B,A18)</f>
        <v>0</v>
      </c>
      <c r="O18" s="9">
        <f>SUMIF('ISS Placements'!B$4:B$203,A18,'ISS Placements'!L$4:L$203)</f>
        <v>0</v>
      </c>
      <c r="P18" s="9" t="str">
        <f>IF(COUNTIFS('ISS Placements'!B:B,A18,'ISS Placements'!O:O,"")&gt;0,"YES","No")</f>
        <v>No</v>
      </c>
      <c r="Q18" s="9">
        <f>COUNTIF('ISS Placements'!B:B,A18)</f>
        <v>0</v>
      </c>
      <c r="R18" s="10" t="str">
        <f>IF(COUNTIF('ISS Placements'!B:B,A18)&gt;0,_xludf.MAXIFS('ISS Placements'!J:J,'ISS Placements'!B:B,A18),"")</f>
        <v/>
      </c>
      <c r="S18" s="9" t="str">
        <f>IF(A18="","",IF(COUNTIFS('Re-Entry Checklist'!C:C,A18,'Re-Entry Checklist'!Y:Y,"✅ READY")&gt;0,"Yes","No"))</f>
        <v/>
      </c>
      <c r="T18" s="7"/>
      <c r="U18" s="7"/>
    </row>
    <row r="19" spans="1:21" s="1" customFormat="1" ht="18" customHeight="1" x14ac:dyDescent="0.45">
      <c r="A19" s="5"/>
      <c r="B19" s="5"/>
      <c r="C19" s="5"/>
      <c r="D19" s="5"/>
      <c r="E19" s="5"/>
      <c r="F19" s="5"/>
      <c r="G19" s="5"/>
      <c r="H19" s="5"/>
      <c r="I19" s="5"/>
      <c r="J19" s="5"/>
      <c r="K19" s="5"/>
      <c r="L19" s="5"/>
      <c r="M19" s="5"/>
      <c r="N19" s="9">
        <f>COUNTIF('ISS Placements'!B:B,A19)</f>
        <v>0</v>
      </c>
      <c r="O19" s="9">
        <f>SUMIF('ISS Placements'!B$4:B$203,A19,'ISS Placements'!L$4:L$203)</f>
        <v>0</v>
      </c>
      <c r="P19" s="9" t="str">
        <f>IF(COUNTIFS('ISS Placements'!B:B,A19,'ISS Placements'!O:O,"")&gt;0,"YES","No")</f>
        <v>No</v>
      </c>
      <c r="Q19" s="9">
        <f>COUNTIF('ISS Placements'!B:B,A19)</f>
        <v>0</v>
      </c>
      <c r="R19" s="10" t="str">
        <f>IF(COUNTIF('ISS Placements'!B:B,A19)&gt;0,_xludf.MAXIFS('ISS Placements'!J:J,'ISS Placements'!B:B,A19),"")</f>
        <v/>
      </c>
      <c r="S19" s="9" t="str">
        <f>IF(A19="","",IF(COUNTIFS('Re-Entry Checklist'!C:C,A19,'Re-Entry Checklist'!Y:Y,"✅ READY")&gt;0,"Yes","No"))</f>
        <v/>
      </c>
      <c r="T19" s="5"/>
      <c r="U19" s="5"/>
    </row>
    <row r="20" spans="1:21" s="1" customFormat="1" ht="18" customHeight="1" x14ac:dyDescent="0.45">
      <c r="A20" s="7"/>
      <c r="B20" s="7"/>
      <c r="C20" s="7"/>
      <c r="D20" s="7"/>
      <c r="E20" s="7"/>
      <c r="F20" s="7"/>
      <c r="G20" s="7"/>
      <c r="H20" s="7"/>
      <c r="I20" s="7"/>
      <c r="J20" s="7"/>
      <c r="K20" s="7"/>
      <c r="L20" s="7"/>
      <c r="M20" s="7"/>
      <c r="N20" s="9">
        <f>COUNTIF('ISS Placements'!B:B,A20)</f>
        <v>0</v>
      </c>
      <c r="O20" s="9">
        <f>SUMIF('ISS Placements'!B$4:B$203,A20,'ISS Placements'!L$4:L$203)</f>
        <v>0</v>
      </c>
      <c r="P20" s="9" t="str">
        <f>IF(COUNTIFS('ISS Placements'!B:B,A20,'ISS Placements'!O:O,"")&gt;0,"YES","No")</f>
        <v>No</v>
      </c>
      <c r="Q20" s="9">
        <f>COUNTIF('ISS Placements'!B:B,A20)</f>
        <v>0</v>
      </c>
      <c r="R20" s="10" t="str">
        <f>IF(COUNTIF('ISS Placements'!B:B,A20)&gt;0,_xludf.MAXIFS('ISS Placements'!J:J,'ISS Placements'!B:B,A20),"")</f>
        <v/>
      </c>
      <c r="S20" s="9" t="str">
        <f>IF(A20="","",IF(COUNTIFS('Re-Entry Checklist'!C:C,A20,'Re-Entry Checklist'!Y:Y,"✅ READY")&gt;0,"Yes","No"))</f>
        <v/>
      </c>
      <c r="T20" s="7"/>
      <c r="U20" s="7"/>
    </row>
    <row r="21" spans="1:21" s="1" customFormat="1" ht="18" customHeight="1" x14ac:dyDescent="0.45">
      <c r="A21" s="5"/>
      <c r="B21" s="5"/>
      <c r="C21" s="5"/>
      <c r="D21" s="5"/>
      <c r="E21" s="5"/>
      <c r="F21" s="5"/>
      <c r="G21" s="5"/>
      <c r="H21" s="5"/>
      <c r="I21" s="5"/>
      <c r="J21" s="5"/>
      <c r="K21" s="5"/>
      <c r="L21" s="5"/>
      <c r="M21" s="5"/>
      <c r="N21" s="9">
        <f>COUNTIF('ISS Placements'!B:B,A21)</f>
        <v>0</v>
      </c>
      <c r="O21" s="9">
        <f>SUMIF('ISS Placements'!B$4:B$203,A21,'ISS Placements'!L$4:L$203)</f>
        <v>0</v>
      </c>
      <c r="P21" s="9" t="str">
        <f>IF(COUNTIFS('ISS Placements'!B:B,A21,'ISS Placements'!O:O,"")&gt;0,"YES","No")</f>
        <v>No</v>
      </c>
      <c r="Q21" s="9">
        <f>COUNTIF('ISS Placements'!B:B,A21)</f>
        <v>0</v>
      </c>
      <c r="R21" s="10" t="str">
        <f>IF(COUNTIF('ISS Placements'!B:B,A21)&gt;0,_xludf.MAXIFS('ISS Placements'!J:J,'ISS Placements'!B:B,A21),"")</f>
        <v/>
      </c>
      <c r="S21" s="9" t="str">
        <f>IF(A21="","",IF(COUNTIFS('Re-Entry Checklist'!C:C,A21,'Re-Entry Checklist'!Y:Y,"✅ READY")&gt;0,"Yes","No"))</f>
        <v/>
      </c>
      <c r="T21" s="5"/>
      <c r="U21" s="5"/>
    </row>
    <row r="22" spans="1:21" s="1" customFormat="1" ht="18" customHeight="1" x14ac:dyDescent="0.45">
      <c r="A22" s="7"/>
      <c r="B22" s="7"/>
      <c r="C22" s="7"/>
      <c r="D22" s="7"/>
      <c r="E22" s="7"/>
      <c r="F22" s="7"/>
      <c r="G22" s="7"/>
      <c r="H22" s="7"/>
      <c r="I22" s="7"/>
      <c r="J22" s="7"/>
      <c r="K22" s="7"/>
      <c r="L22" s="7"/>
      <c r="M22" s="7"/>
      <c r="N22" s="9">
        <f>COUNTIF('ISS Placements'!B:B,A22)</f>
        <v>0</v>
      </c>
      <c r="O22" s="9">
        <f>SUMIF('ISS Placements'!B$4:B$203,A22,'ISS Placements'!L$4:L$203)</f>
        <v>0</v>
      </c>
      <c r="P22" s="9" t="str">
        <f>IF(COUNTIFS('ISS Placements'!B:B,A22,'ISS Placements'!O:O,"")&gt;0,"YES","No")</f>
        <v>No</v>
      </c>
      <c r="Q22" s="9">
        <f>COUNTIF('ISS Placements'!B:B,A22)</f>
        <v>0</v>
      </c>
      <c r="R22" s="10" t="str">
        <f>IF(COUNTIF('ISS Placements'!B:B,A22)&gt;0,_xludf.MAXIFS('ISS Placements'!J:J,'ISS Placements'!B:B,A22),"")</f>
        <v/>
      </c>
      <c r="S22" s="9" t="str">
        <f>IF(A22="","",IF(COUNTIFS('Re-Entry Checklist'!C:C,A22,'Re-Entry Checklist'!Y:Y,"✅ READY")&gt;0,"Yes","No"))</f>
        <v/>
      </c>
      <c r="T22" s="7"/>
      <c r="U22" s="7"/>
    </row>
    <row r="23" spans="1:21" s="1" customFormat="1" ht="18" customHeight="1" x14ac:dyDescent="0.45">
      <c r="A23" s="5"/>
      <c r="B23" s="5"/>
      <c r="C23" s="5"/>
      <c r="D23" s="5"/>
      <c r="E23" s="5"/>
      <c r="F23" s="5"/>
      <c r="G23" s="5"/>
      <c r="H23" s="5"/>
      <c r="I23" s="5"/>
      <c r="J23" s="5"/>
      <c r="K23" s="5"/>
      <c r="L23" s="5"/>
      <c r="M23" s="5"/>
      <c r="N23" s="9">
        <f>COUNTIF('ISS Placements'!B:B,A23)</f>
        <v>0</v>
      </c>
      <c r="O23" s="9">
        <f>SUMIF('ISS Placements'!B$4:B$203,A23,'ISS Placements'!L$4:L$203)</f>
        <v>0</v>
      </c>
      <c r="P23" s="9" t="str">
        <f>IF(COUNTIFS('ISS Placements'!B:B,A23,'ISS Placements'!O:O,"")&gt;0,"YES","No")</f>
        <v>No</v>
      </c>
      <c r="Q23" s="9">
        <f>COUNTIF('ISS Placements'!B:B,A23)</f>
        <v>0</v>
      </c>
      <c r="R23" s="10" t="str">
        <f>IF(COUNTIF('ISS Placements'!B:B,A23)&gt;0,_xludf.MAXIFS('ISS Placements'!J:J,'ISS Placements'!B:B,A23),"")</f>
        <v/>
      </c>
      <c r="S23" s="9" t="str">
        <f>IF(A23="","",IF(COUNTIFS('Re-Entry Checklist'!C:C,A23,'Re-Entry Checklist'!Y:Y,"✅ READY")&gt;0,"Yes","No"))</f>
        <v/>
      </c>
      <c r="T23" s="5"/>
      <c r="U23" s="5"/>
    </row>
    <row r="24" spans="1:21" s="1" customFormat="1" ht="18" customHeight="1" x14ac:dyDescent="0.45">
      <c r="A24" s="7"/>
      <c r="B24" s="7"/>
      <c r="C24" s="7"/>
      <c r="D24" s="7"/>
      <c r="E24" s="7"/>
      <c r="F24" s="7"/>
      <c r="G24" s="7"/>
      <c r="H24" s="7"/>
      <c r="I24" s="7"/>
      <c r="J24" s="7"/>
      <c r="K24" s="7"/>
      <c r="L24" s="7"/>
      <c r="M24" s="7"/>
      <c r="N24" s="9">
        <f>COUNTIF('ISS Placements'!B:B,A24)</f>
        <v>0</v>
      </c>
      <c r="O24" s="9">
        <f>SUMIF('ISS Placements'!B$4:B$203,A24,'ISS Placements'!L$4:L$203)</f>
        <v>0</v>
      </c>
      <c r="P24" s="9" t="str">
        <f>IF(COUNTIFS('ISS Placements'!B:B,A24,'ISS Placements'!O:O,"")&gt;0,"YES","No")</f>
        <v>No</v>
      </c>
      <c r="Q24" s="9">
        <f>COUNTIF('ISS Placements'!B:B,A24)</f>
        <v>0</v>
      </c>
      <c r="R24" s="10" t="str">
        <f>IF(COUNTIF('ISS Placements'!B:B,A24)&gt;0,_xludf.MAXIFS('ISS Placements'!J:J,'ISS Placements'!B:B,A24),"")</f>
        <v/>
      </c>
      <c r="S24" s="9" t="str">
        <f>IF(A24="","",IF(COUNTIFS('Re-Entry Checklist'!C:C,A24,'Re-Entry Checklist'!Y:Y,"✅ READY")&gt;0,"Yes","No"))</f>
        <v/>
      </c>
      <c r="T24" s="7"/>
      <c r="U24" s="7"/>
    </row>
    <row r="25" spans="1:21" s="1" customFormat="1" ht="18" customHeight="1" x14ac:dyDescent="0.45">
      <c r="A25" s="5"/>
      <c r="B25" s="5"/>
      <c r="C25" s="5"/>
      <c r="D25" s="5"/>
      <c r="E25" s="5"/>
      <c r="F25" s="5"/>
      <c r="G25" s="5"/>
      <c r="H25" s="5"/>
      <c r="I25" s="5"/>
      <c r="J25" s="5"/>
      <c r="K25" s="5"/>
      <c r="L25" s="5"/>
      <c r="M25" s="5"/>
      <c r="N25" s="9">
        <f>COUNTIF('ISS Placements'!B:B,A25)</f>
        <v>0</v>
      </c>
      <c r="O25" s="9">
        <f>SUMIF('ISS Placements'!B$4:B$203,A25,'ISS Placements'!L$4:L$203)</f>
        <v>0</v>
      </c>
      <c r="P25" s="9" t="str">
        <f>IF(COUNTIFS('ISS Placements'!B:B,A25,'ISS Placements'!O:O,"")&gt;0,"YES","No")</f>
        <v>No</v>
      </c>
      <c r="Q25" s="9">
        <f>COUNTIF('ISS Placements'!B:B,A25)</f>
        <v>0</v>
      </c>
      <c r="R25" s="10" t="str">
        <f>IF(COUNTIF('ISS Placements'!B:B,A25)&gt;0,_xludf.MAXIFS('ISS Placements'!J:J,'ISS Placements'!B:B,A25),"")</f>
        <v/>
      </c>
      <c r="S25" s="9" t="str">
        <f>IF(A25="","",IF(COUNTIFS('Re-Entry Checklist'!C:C,A25,'Re-Entry Checklist'!Y:Y,"✅ READY")&gt;0,"Yes","No"))</f>
        <v/>
      </c>
      <c r="T25" s="5"/>
      <c r="U25" s="5"/>
    </row>
    <row r="26" spans="1:21" s="1" customFormat="1" ht="18" customHeight="1" x14ac:dyDescent="0.45">
      <c r="A26" s="7"/>
      <c r="B26" s="7"/>
      <c r="C26" s="7"/>
      <c r="D26" s="7"/>
      <c r="E26" s="7"/>
      <c r="F26" s="7"/>
      <c r="G26" s="7"/>
      <c r="H26" s="7"/>
      <c r="I26" s="7"/>
      <c r="J26" s="7"/>
      <c r="K26" s="7"/>
      <c r="L26" s="7"/>
      <c r="M26" s="7"/>
      <c r="N26" s="9">
        <f>COUNTIF('ISS Placements'!B:B,A26)</f>
        <v>0</v>
      </c>
      <c r="O26" s="9">
        <f>SUMIF('ISS Placements'!B$4:B$203,A26,'ISS Placements'!L$4:L$203)</f>
        <v>0</v>
      </c>
      <c r="P26" s="9" t="str">
        <f>IF(COUNTIFS('ISS Placements'!B:B,A26,'ISS Placements'!O:O,"")&gt;0,"YES","No")</f>
        <v>No</v>
      </c>
      <c r="Q26" s="9">
        <f>COUNTIF('ISS Placements'!B:B,A26)</f>
        <v>0</v>
      </c>
      <c r="R26" s="10" t="str">
        <f>IF(COUNTIF('ISS Placements'!B:B,A26)&gt;0,_xludf.MAXIFS('ISS Placements'!J:J,'ISS Placements'!B:B,A26),"")</f>
        <v/>
      </c>
      <c r="S26" s="9" t="str">
        <f>IF(A26="","",IF(COUNTIFS('Re-Entry Checklist'!C:C,A26,'Re-Entry Checklist'!Y:Y,"✅ READY")&gt;0,"Yes","No"))</f>
        <v/>
      </c>
      <c r="T26" s="7"/>
      <c r="U26" s="7"/>
    </row>
    <row r="27" spans="1:21" s="1" customFormat="1" ht="18" customHeight="1" x14ac:dyDescent="0.45">
      <c r="A27" s="5"/>
      <c r="B27" s="5"/>
      <c r="C27" s="5"/>
      <c r="D27" s="5"/>
      <c r="E27" s="5"/>
      <c r="F27" s="5"/>
      <c r="G27" s="5"/>
      <c r="H27" s="5"/>
      <c r="I27" s="5"/>
      <c r="J27" s="5"/>
      <c r="K27" s="5"/>
      <c r="L27" s="5"/>
      <c r="M27" s="5"/>
      <c r="N27" s="9">
        <f>COUNTIF('ISS Placements'!B:B,A27)</f>
        <v>0</v>
      </c>
      <c r="O27" s="9">
        <f>SUMIF('ISS Placements'!B$4:B$203,A27,'ISS Placements'!L$4:L$203)</f>
        <v>0</v>
      </c>
      <c r="P27" s="9" t="str">
        <f>IF(COUNTIFS('ISS Placements'!B:B,A27,'ISS Placements'!O:O,"")&gt;0,"YES","No")</f>
        <v>No</v>
      </c>
      <c r="Q27" s="9">
        <f>COUNTIF('ISS Placements'!B:B,A27)</f>
        <v>0</v>
      </c>
      <c r="R27" s="10" t="str">
        <f>IF(COUNTIF('ISS Placements'!B:B,A27)&gt;0,_xludf.MAXIFS('ISS Placements'!J:J,'ISS Placements'!B:B,A27),"")</f>
        <v/>
      </c>
      <c r="S27" s="9" t="str">
        <f>IF(A27="","",IF(COUNTIFS('Re-Entry Checklist'!C:C,A27,'Re-Entry Checklist'!Y:Y,"✅ READY")&gt;0,"Yes","No"))</f>
        <v/>
      </c>
      <c r="T27" s="5"/>
      <c r="U27" s="5"/>
    </row>
    <row r="28" spans="1:21" s="1" customFormat="1" ht="18" customHeight="1" x14ac:dyDescent="0.45">
      <c r="A28" s="7"/>
      <c r="B28" s="7"/>
      <c r="C28" s="7"/>
      <c r="D28" s="7"/>
      <c r="E28" s="7"/>
      <c r="F28" s="7"/>
      <c r="G28" s="7"/>
      <c r="H28" s="7"/>
      <c r="I28" s="7"/>
      <c r="J28" s="7"/>
      <c r="K28" s="7"/>
      <c r="L28" s="7"/>
      <c r="M28" s="7"/>
      <c r="N28" s="9">
        <f>COUNTIF('ISS Placements'!B:B,A28)</f>
        <v>0</v>
      </c>
      <c r="O28" s="9">
        <f>SUMIF('ISS Placements'!B$4:B$203,A28,'ISS Placements'!L$4:L$203)</f>
        <v>0</v>
      </c>
      <c r="P28" s="9" t="str">
        <f>IF(COUNTIFS('ISS Placements'!B:B,A28,'ISS Placements'!O:O,"")&gt;0,"YES","No")</f>
        <v>No</v>
      </c>
      <c r="Q28" s="9">
        <f>COUNTIF('ISS Placements'!B:B,A28)</f>
        <v>0</v>
      </c>
      <c r="R28" s="10" t="str">
        <f>IF(COUNTIF('ISS Placements'!B:B,A28)&gt;0,_xludf.MAXIFS('ISS Placements'!J:J,'ISS Placements'!B:B,A28),"")</f>
        <v/>
      </c>
      <c r="S28" s="9" t="str">
        <f>IF(A28="","",IF(COUNTIFS('Re-Entry Checklist'!C:C,A28,'Re-Entry Checklist'!Y:Y,"✅ READY")&gt;0,"Yes","No"))</f>
        <v/>
      </c>
      <c r="T28" s="7"/>
      <c r="U28" s="7"/>
    </row>
    <row r="29" spans="1:21" s="1" customFormat="1" ht="18" customHeight="1" x14ac:dyDescent="0.45">
      <c r="A29" s="5"/>
      <c r="B29" s="5"/>
      <c r="C29" s="5"/>
      <c r="D29" s="5"/>
      <c r="E29" s="5"/>
      <c r="F29" s="5"/>
      <c r="G29" s="5"/>
      <c r="H29" s="5"/>
      <c r="I29" s="5"/>
      <c r="J29" s="5"/>
      <c r="K29" s="5"/>
      <c r="L29" s="5"/>
      <c r="M29" s="5"/>
      <c r="N29" s="9">
        <f>COUNTIF('ISS Placements'!B:B,A29)</f>
        <v>0</v>
      </c>
      <c r="O29" s="9">
        <f>SUMIF('ISS Placements'!B$4:B$203,A29,'ISS Placements'!L$4:L$203)</f>
        <v>0</v>
      </c>
      <c r="P29" s="9" t="str">
        <f>IF(COUNTIFS('ISS Placements'!B:B,A29,'ISS Placements'!O:O,"")&gt;0,"YES","No")</f>
        <v>No</v>
      </c>
      <c r="Q29" s="9">
        <f>COUNTIF('ISS Placements'!B:B,A29)</f>
        <v>0</v>
      </c>
      <c r="R29" s="10" t="str">
        <f>IF(COUNTIF('ISS Placements'!B:B,A29)&gt;0,_xludf.MAXIFS('ISS Placements'!J:J,'ISS Placements'!B:B,A29),"")</f>
        <v/>
      </c>
      <c r="S29" s="9" t="str">
        <f>IF(A29="","",IF(COUNTIFS('Re-Entry Checklist'!C:C,A29,'Re-Entry Checklist'!Y:Y,"✅ READY")&gt;0,"Yes","No"))</f>
        <v/>
      </c>
      <c r="T29" s="5"/>
      <c r="U29" s="5"/>
    </row>
    <row r="30" spans="1:21" s="1" customFormat="1" ht="18" customHeight="1" x14ac:dyDescent="0.45">
      <c r="A30" s="7"/>
      <c r="B30" s="7"/>
      <c r="C30" s="7"/>
      <c r="D30" s="7"/>
      <c r="E30" s="7"/>
      <c r="F30" s="7"/>
      <c r="G30" s="7"/>
      <c r="H30" s="7"/>
      <c r="I30" s="7"/>
      <c r="J30" s="7"/>
      <c r="K30" s="7"/>
      <c r="L30" s="7"/>
      <c r="M30" s="7"/>
      <c r="N30" s="9">
        <f>COUNTIF('ISS Placements'!B:B,A30)</f>
        <v>0</v>
      </c>
      <c r="O30" s="9">
        <f>SUMIF('ISS Placements'!B$4:B$203,A30,'ISS Placements'!L$4:L$203)</f>
        <v>0</v>
      </c>
      <c r="P30" s="9" t="str">
        <f>IF(COUNTIFS('ISS Placements'!B:B,A30,'ISS Placements'!O:O,"")&gt;0,"YES","No")</f>
        <v>No</v>
      </c>
      <c r="Q30" s="9">
        <f>COUNTIF('ISS Placements'!B:B,A30)</f>
        <v>0</v>
      </c>
      <c r="R30" s="10" t="str">
        <f>IF(COUNTIF('ISS Placements'!B:B,A30)&gt;0,_xludf.MAXIFS('ISS Placements'!J:J,'ISS Placements'!B:B,A30),"")</f>
        <v/>
      </c>
      <c r="S30" s="9" t="str">
        <f>IF(A30="","",IF(COUNTIFS('Re-Entry Checklist'!C:C,A30,'Re-Entry Checklist'!Y:Y,"✅ READY")&gt;0,"Yes","No"))</f>
        <v/>
      </c>
      <c r="T30" s="7"/>
      <c r="U30" s="7"/>
    </row>
    <row r="31" spans="1:21" s="1" customFormat="1" ht="18" customHeight="1" x14ac:dyDescent="0.45">
      <c r="A31" s="5"/>
      <c r="B31" s="5"/>
      <c r="C31" s="5"/>
      <c r="D31" s="5"/>
      <c r="E31" s="5"/>
      <c r="F31" s="5"/>
      <c r="G31" s="5"/>
      <c r="H31" s="5"/>
      <c r="I31" s="5"/>
      <c r="J31" s="5"/>
      <c r="K31" s="5"/>
      <c r="L31" s="5"/>
      <c r="M31" s="5"/>
      <c r="N31" s="9">
        <f>COUNTIF('ISS Placements'!B:B,A31)</f>
        <v>0</v>
      </c>
      <c r="O31" s="9">
        <f>SUMIF('ISS Placements'!B$4:B$203,A31,'ISS Placements'!L$4:L$203)</f>
        <v>0</v>
      </c>
      <c r="P31" s="9" t="str">
        <f>IF(COUNTIFS('ISS Placements'!B:B,A31,'ISS Placements'!O:O,"")&gt;0,"YES","No")</f>
        <v>No</v>
      </c>
      <c r="Q31" s="9">
        <f>COUNTIF('ISS Placements'!B:B,A31)</f>
        <v>0</v>
      </c>
      <c r="R31" s="10" t="str">
        <f>IF(COUNTIF('ISS Placements'!B:B,A31)&gt;0,_xludf.MAXIFS('ISS Placements'!J:J,'ISS Placements'!B:B,A31),"")</f>
        <v/>
      </c>
      <c r="S31" s="9" t="str">
        <f>IF(A31="","",IF(COUNTIFS('Re-Entry Checklist'!C:C,A31,'Re-Entry Checklist'!Y:Y,"✅ READY")&gt;0,"Yes","No"))</f>
        <v/>
      </c>
      <c r="T31" s="5"/>
      <c r="U31" s="5"/>
    </row>
    <row r="32" spans="1:21" s="1" customFormat="1" ht="18" customHeight="1" x14ac:dyDescent="0.45">
      <c r="A32" s="7"/>
      <c r="B32" s="7"/>
      <c r="C32" s="7"/>
      <c r="D32" s="7"/>
      <c r="E32" s="7"/>
      <c r="F32" s="7"/>
      <c r="G32" s="7"/>
      <c r="H32" s="7"/>
      <c r="I32" s="7"/>
      <c r="J32" s="7"/>
      <c r="K32" s="7"/>
      <c r="L32" s="7"/>
      <c r="M32" s="7"/>
      <c r="N32" s="9">
        <f>COUNTIF('ISS Placements'!B:B,A32)</f>
        <v>0</v>
      </c>
      <c r="O32" s="9">
        <f>SUMIF('ISS Placements'!B$4:B$203,A32,'ISS Placements'!L$4:L$203)</f>
        <v>0</v>
      </c>
      <c r="P32" s="9" t="str">
        <f>IF(COUNTIFS('ISS Placements'!B:B,A32,'ISS Placements'!O:O,"")&gt;0,"YES","No")</f>
        <v>No</v>
      </c>
      <c r="Q32" s="9">
        <f>COUNTIF('ISS Placements'!B:B,A32)</f>
        <v>0</v>
      </c>
      <c r="R32" s="10" t="str">
        <f>IF(COUNTIF('ISS Placements'!B:B,A32)&gt;0,_xludf.MAXIFS('ISS Placements'!J:J,'ISS Placements'!B:B,A32),"")</f>
        <v/>
      </c>
      <c r="S32" s="9" t="str">
        <f>IF(A32="","",IF(COUNTIFS('Re-Entry Checklist'!C:C,A32,'Re-Entry Checklist'!Y:Y,"✅ READY")&gt;0,"Yes","No"))</f>
        <v/>
      </c>
      <c r="T32" s="7"/>
      <c r="U32" s="7"/>
    </row>
    <row r="33" spans="1:21" s="1" customFormat="1" ht="18" customHeight="1" x14ac:dyDescent="0.45">
      <c r="A33" s="5"/>
      <c r="B33" s="5"/>
      <c r="C33" s="5"/>
      <c r="D33" s="5"/>
      <c r="E33" s="5"/>
      <c r="F33" s="5"/>
      <c r="G33" s="5"/>
      <c r="H33" s="5"/>
      <c r="I33" s="5"/>
      <c r="J33" s="5"/>
      <c r="K33" s="5"/>
      <c r="L33" s="5"/>
      <c r="M33" s="5"/>
      <c r="N33" s="9">
        <f>COUNTIF('ISS Placements'!B:B,A33)</f>
        <v>0</v>
      </c>
      <c r="O33" s="9">
        <f>SUMIF('ISS Placements'!B$4:B$203,A33,'ISS Placements'!L$4:L$203)</f>
        <v>0</v>
      </c>
      <c r="P33" s="9" t="str">
        <f>IF(COUNTIFS('ISS Placements'!B:B,A33,'ISS Placements'!O:O,"")&gt;0,"YES","No")</f>
        <v>No</v>
      </c>
      <c r="Q33" s="9">
        <f>COUNTIF('ISS Placements'!B:B,A33)</f>
        <v>0</v>
      </c>
      <c r="R33" s="10" t="str">
        <f>IF(COUNTIF('ISS Placements'!B:B,A33)&gt;0,_xludf.MAXIFS('ISS Placements'!J:J,'ISS Placements'!B:B,A33),"")</f>
        <v/>
      </c>
      <c r="S33" s="9" t="str">
        <f>IF(A33="","",IF(COUNTIFS('Re-Entry Checklist'!C:C,A33,'Re-Entry Checklist'!Y:Y,"✅ READY")&gt;0,"Yes","No"))</f>
        <v/>
      </c>
      <c r="T33" s="5"/>
      <c r="U33" s="5"/>
    </row>
    <row r="34" spans="1:21" s="1" customFormat="1" ht="18" customHeight="1" x14ac:dyDescent="0.45">
      <c r="A34" s="7"/>
      <c r="B34" s="7"/>
      <c r="C34" s="7"/>
      <c r="D34" s="7"/>
      <c r="E34" s="7"/>
      <c r="F34" s="7"/>
      <c r="G34" s="7"/>
      <c r="H34" s="7"/>
      <c r="I34" s="7"/>
      <c r="J34" s="7"/>
      <c r="K34" s="7"/>
      <c r="L34" s="7"/>
      <c r="M34" s="7"/>
      <c r="N34" s="9">
        <f>COUNTIF('ISS Placements'!B:B,A34)</f>
        <v>0</v>
      </c>
      <c r="O34" s="9">
        <f>SUMIF('ISS Placements'!B$4:B$203,A34,'ISS Placements'!L$4:L$203)</f>
        <v>0</v>
      </c>
      <c r="P34" s="9" t="str">
        <f>IF(COUNTIFS('ISS Placements'!B:B,A34,'ISS Placements'!O:O,"")&gt;0,"YES","No")</f>
        <v>No</v>
      </c>
      <c r="Q34" s="9">
        <f>COUNTIF('ISS Placements'!B:B,A34)</f>
        <v>0</v>
      </c>
      <c r="R34" s="10" t="str">
        <f>IF(COUNTIF('ISS Placements'!B:B,A34)&gt;0,_xludf.MAXIFS('ISS Placements'!J:J,'ISS Placements'!B:B,A34),"")</f>
        <v/>
      </c>
      <c r="S34" s="9" t="str">
        <f>IF(A34="","",IF(COUNTIFS('Re-Entry Checklist'!C:C,A34,'Re-Entry Checklist'!Y:Y,"✅ READY")&gt;0,"Yes","No"))</f>
        <v/>
      </c>
      <c r="T34" s="7"/>
      <c r="U34" s="7"/>
    </row>
    <row r="35" spans="1:21" s="1" customFormat="1" ht="18" customHeight="1" x14ac:dyDescent="0.45">
      <c r="A35" s="5"/>
      <c r="B35" s="5"/>
      <c r="C35" s="5"/>
      <c r="D35" s="5"/>
      <c r="E35" s="5"/>
      <c r="F35" s="5"/>
      <c r="G35" s="5"/>
      <c r="H35" s="5"/>
      <c r="I35" s="5"/>
      <c r="J35" s="5"/>
      <c r="K35" s="5"/>
      <c r="L35" s="5"/>
      <c r="M35" s="5"/>
      <c r="N35" s="9">
        <f>COUNTIF('ISS Placements'!B:B,A35)</f>
        <v>0</v>
      </c>
      <c r="O35" s="9">
        <f>SUMIF('ISS Placements'!B$4:B$203,A35,'ISS Placements'!L$4:L$203)</f>
        <v>0</v>
      </c>
      <c r="P35" s="9" t="str">
        <f>IF(COUNTIFS('ISS Placements'!B:B,A35,'ISS Placements'!O:O,"")&gt;0,"YES","No")</f>
        <v>No</v>
      </c>
      <c r="Q35" s="9">
        <f>COUNTIF('ISS Placements'!B:B,A35)</f>
        <v>0</v>
      </c>
      <c r="R35" s="10" t="str">
        <f>IF(COUNTIF('ISS Placements'!B:B,A35)&gt;0,_xludf.MAXIFS('ISS Placements'!J:J,'ISS Placements'!B:B,A35),"")</f>
        <v/>
      </c>
      <c r="S35" s="9" t="str">
        <f>IF(A35="","",IF(COUNTIFS('Re-Entry Checklist'!C:C,A35,'Re-Entry Checklist'!Y:Y,"✅ READY")&gt;0,"Yes","No"))</f>
        <v/>
      </c>
      <c r="T35" s="5"/>
      <c r="U35" s="5"/>
    </row>
    <row r="36" spans="1:21" s="1" customFormat="1" ht="18" customHeight="1" x14ac:dyDescent="0.45">
      <c r="A36" s="7"/>
      <c r="B36" s="7"/>
      <c r="C36" s="7"/>
      <c r="D36" s="7"/>
      <c r="E36" s="7"/>
      <c r="F36" s="7"/>
      <c r="G36" s="7"/>
      <c r="H36" s="7"/>
      <c r="I36" s="7"/>
      <c r="J36" s="7"/>
      <c r="K36" s="7"/>
      <c r="L36" s="7"/>
      <c r="M36" s="7"/>
      <c r="N36" s="9">
        <f>COUNTIF('ISS Placements'!B:B,A36)</f>
        <v>0</v>
      </c>
      <c r="O36" s="9">
        <f>SUMIF('ISS Placements'!B$4:B$203,A36,'ISS Placements'!L$4:L$203)</f>
        <v>0</v>
      </c>
      <c r="P36" s="9" t="str">
        <f>IF(COUNTIFS('ISS Placements'!B:B,A36,'ISS Placements'!O:O,"")&gt;0,"YES","No")</f>
        <v>No</v>
      </c>
      <c r="Q36" s="9">
        <f>COUNTIF('ISS Placements'!B:B,A36)</f>
        <v>0</v>
      </c>
      <c r="R36" s="10" t="str">
        <f>IF(COUNTIF('ISS Placements'!B:B,A36)&gt;0,_xludf.MAXIFS('ISS Placements'!J:J,'ISS Placements'!B:B,A36),"")</f>
        <v/>
      </c>
      <c r="S36" s="9" t="str">
        <f>IF(A36="","",IF(COUNTIFS('Re-Entry Checklist'!C:C,A36,'Re-Entry Checklist'!Y:Y,"✅ READY")&gt;0,"Yes","No"))</f>
        <v/>
      </c>
      <c r="T36" s="7"/>
      <c r="U36" s="7"/>
    </row>
    <row r="37" spans="1:21" s="1" customFormat="1" ht="18" customHeight="1" x14ac:dyDescent="0.45">
      <c r="A37" s="5"/>
      <c r="B37" s="5"/>
      <c r="C37" s="5"/>
      <c r="D37" s="5"/>
      <c r="E37" s="5"/>
      <c r="F37" s="5"/>
      <c r="G37" s="5"/>
      <c r="H37" s="5"/>
      <c r="I37" s="5"/>
      <c r="J37" s="5"/>
      <c r="K37" s="5"/>
      <c r="L37" s="5"/>
      <c r="M37" s="5"/>
      <c r="N37" s="9">
        <f>COUNTIF('ISS Placements'!B:B,A37)</f>
        <v>0</v>
      </c>
      <c r="O37" s="9">
        <f>SUMIF('ISS Placements'!B$4:B$203,A37,'ISS Placements'!L$4:L$203)</f>
        <v>0</v>
      </c>
      <c r="P37" s="9" t="str">
        <f>IF(COUNTIFS('ISS Placements'!B:B,A37,'ISS Placements'!O:O,"")&gt;0,"YES","No")</f>
        <v>No</v>
      </c>
      <c r="Q37" s="9">
        <f>COUNTIF('ISS Placements'!B:B,A37)</f>
        <v>0</v>
      </c>
      <c r="R37" s="10" t="str">
        <f>IF(COUNTIF('ISS Placements'!B:B,A37)&gt;0,_xludf.MAXIFS('ISS Placements'!J:J,'ISS Placements'!B:B,A37),"")</f>
        <v/>
      </c>
      <c r="S37" s="9" t="str">
        <f>IF(A37="","",IF(COUNTIFS('Re-Entry Checklist'!C:C,A37,'Re-Entry Checklist'!Y:Y,"✅ READY")&gt;0,"Yes","No"))</f>
        <v/>
      </c>
      <c r="T37" s="5"/>
      <c r="U37" s="5"/>
    </row>
    <row r="38" spans="1:21" s="1" customFormat="1" ht="18" customHeight="1" x14ac:dyDescent="0.45">
      <c r="A38" s="7"/>
      <c r="B38" s="7"/>
      <c r="C38" s="7"/>
      <c r="D38" s="7"/>
      <c r="E38" s="7"/>
      <c r="F38" s="7"/>
      <c r="G38" s="7"/>
      <c r="H38" s="7"/>
      <c r="I38" s="7"/>
      <c r="J38" s="7"/>
      <c r="K38" s="7"/>
      <c r="L38" s="7"/>
      <c r="M38" s="7"/>
      <c r="N38" s="9">
        <f>COUNTIF('ISS Placements'!B:B,A38)</f>
        <v>0</v>
      </c>
      <c r="O38" s="9">
        <f>SUMIF('ISS Placements'!B$4:B$203,A38,'ISS Placements'!L$4:L$203)</f>
        <v>0</v>
      </c>
      <c r="P38" s="9" t="str">
        <f>IF(COUNTIFS('ISS Placements'!B:B,A38,'ISS Placements'!O:O,"")&gt;0,"YES","No")</f>
        <v>No</v>
      </c>
      <c r="Q38" s="9">
        <f>COUNTIF('ISS Placements'!B:B,A38)</f>
        <v>0</v>
      </c>
      <c r="R38" s="10" t="str">
        <f>IF(COUNTIF('ISS Placements'!B:B,A38)&gt;0,_xludf.MAXIFS('ISS Placements'!J:J,'ISS Placements'!B:B,A38),"")</f>
        <v/>
      </c>
      <c r="S38" s="9" t="str">
        <f>IF(A38="","",IF(COUNTIFS('Re-Entry Checklist'!C:C,A38,'Re-Entry Checklist'!Y:Y,"✅ READY")&gt;0,"Yes","No"))</f>
        <v/>
      </c>
      <c r="T38" s="7"/>
      <c r="U38" s="7"/>
    </row>
    <row r="39" spans="1:21" s="1" customFormat="1" ht="18" customHeight="1" x14ac:dyDescent="0.45">
      <c r="A39" s="5"/>
      <c r="B39" s="5"/>
      <c r="C39" s="5"/>
      <c r="D39" s="5"/>
      <c r="E39" s="5"/>
      <c r="F39" s="5"/>
      <c r="G39" s="5"/>
      <c r="H39" s="5"/>
      <c r="I39" s="5"/>
      <c r="J39" s="5"/>
      <c r="K39" s="5"/>
      <c r="L39" s="5"/>
      <c r="M39" s="5"/>
      <c r="N39" s="9">
        <f>COUNTIF('ISS Placements'!B:B,A39)</f>
        <v>0</v>
      </c>
      <c r="O39" s="9">
        <f>SUMIF('ISS Placements'!B$4:B$203,A39,'ISS Placements'!L$4:L$203)</f>
        <v>0</v>
      </c>
      <c r="P39" s="9" t="str">
        <f>IF(COUNTIFS('ISS Placements'!B:B,A39,'ISS Placements'!O:O,"")&gt;0,"YES","No")</f>
        <v>No</v>
      </c>
      <c r="Q39" s="9">
        <f>COUNTIF('ISS Placements'!B:B,A39)</f>
        <v>0</v>
      </c>
      <c r="R39" s="10" t="str">
        <f>IF(COUNTIF('ISS Placements'!B:B,A39)&gt;0,_xludf.MAXIFS('ISS Placements'!J:J,'ISS Placements'!B:B,A39),"")</f>
        <v/>
      </c>
      <c r="S39" s="9" t="str">
        <f>IF(A39="","",IF(COUNTIFS('Re-Entry Checklist'!C:C,A39,'Re-Entry Checklist'!Y:Y,"✅ READY")&gt;0,"Yes","No"))</f>
        <v/>
      </c>
      <c r="T39" s="5"/>
      <c r="U39" s="5"/>
    </row>
    <row r="40" spans="1:21" s="1" customFormat="1" ht="18" customHeight="1" x14ac:dyDescent="0.45">
      <c r="A40" s="7"/>
      <c r="B40" s="7"/>
      <c r="C40" s="7"/>
      <c r="D40" s="7"/>
      <c r="E40" s="7"/>
      <c r="F40" s="7"/>
      <c r="G40" s="7"/>
      <c r="H40" s="7"/>
      <c r="I40" s="7"/>
      <c r="J40" s="7"/>
      <c r="K40" s="7"/>
      <c r="L40" s="7"/>
      <c r="M40" s="7"/>
      <c r="N40" s="9">
        <f>COUNTIF('ISS Placements'!B:B,A40)</f>
        <v>0</v>
      </c>
      <c r="O40" s="9">
        <f>SUMIF('ISS Placements'!B$4:B$203,A40,'ISS Placements'!L$4:L$203)</f>
        <v>0</v>
      </c>
      <c r="P40" s="9" t="str">
        <f>IF(COUNTIFS('ISS Placements'!B:B,A40,'ISS Placements'!O:O,"")&gt;0,"YES","No")</f>
        <v>No</v>
      </c>
      <c r="Q40" s="9">
        <f>COUNTIF('ISS Placements'!B:B,A40)</f>
        <v>0</v>
      </c>
      <c r="R40" s="10" t="str">
        <f>IF(COUNTIF('ISS Placements'!B:B,A40)&gt;0,_xludf.MAXIFS('ISS Placements'!J:J,'ISS Placements'!B:B,A40),"")</f>
        <v/>
      </c>
      <c r="S40" s="9" t="str">
        <f>IF(A40="","",IF(COUNTIFS('Re-Entry Checklist'!C:C,A40,'Re-Entry Checklist'!Y:Y,"✅ READY")&gt;0,"Yes","No"))</f>
        <v/>
      </c>
      <c r="T40" s="7"/>
      <c r="U40" s="7"/>
    </row>
    <row r="41" spans="1:21" s="1" customFormat="1" ht="18" customHeight="1" x14ac:dyDescent="0.45">
      <c r="A41" s="5"/>
      <c r="B41" s="5"/>
      <c r="C41" s="5"/>
      <c r="D41" s="5"/>
      <c r="E41" s="5"/>
      <c r="F41" s="5"/>
      <c r="G41" s="5"/>
      <c r="H41" s="5"/>
      <c r="I41" s="5"/>
      <c r="J41" s="5"/>
      <c r="K41" s="5"/>
      <c r="L41" s="5"/>
      <c r="M41" s="5"/>
      <c r="N41" s="9">
        <f>COUNTIF('ISS Placements'!B:B,A41)</f>
        <v>0</v>
      </c>
      <c r="O41" s="9">
        <f>SUMIF('ISS Placements'!B$4:B$203,A41,'ISS Placements'!L$4:L$203)</f>
        <v>0</v>
      </c>
      <c r="P41" s="9" t="str">
        <f>IF(COUNTIFS('ISS Placements'!B:B,A41,'ISS Placements'!O:O,"")&gt;0,"YES","No")</f>
        <v>No</v>
      </c>
      <c r="Q41" s="9">
        <f>COUNTIF('ISS Placements'!B:B,A41)</f>
        <v>0</v>
      </c>
      <c r="R41" s="10" t="str">
        <f>IF(COUNTIF('ISS Placements'!B:B,A41)&gt;0,_xludf.MAXIFS('ISS Placements'!J:J,'ISS Placements'!B:B,A41),"")</f>
        <v/>
      </c>
      <c r="S41" s="9" t="str">
        <f>IF(A41="","",IF(COUNTIFS('Re-Entry Checklist'!C:C,A41,'Re-Entry Checklist'!Y:Y,"✅ READY")&gt;0,"Yes","No"))</f>
        <v/>
      </c>
      <c r="T41" s="5"/>
      <c r="U41" s="5"/>
    </row>
    <row r="42" spans="1:21" s="1" customFormat="1" ht="18" customHeight="1" x14ac:dyDescent="0.45">
      <c r="A42" s="7"/>
      <c r="B42" s="7"/>
      <c r="C42" s="7"/>
      <c r="D42" s="7"/>
      <c r="E42" s="7"/>
      <c r="F42" s="7"/>
      <c r="G42" s="7"/>
      <c r="H42" s="7"/>
      <c r="I42" s="7"/>
      <c r="J42" s="7"/>
      <c r="K42" s="7"/>
      <c r="L42" s="7"/>
      <c r="M42" s="7"/>
      <c r="N42" s="9">
        <f>COUNTIF('ISS Placements'!B:B,A42)</f>
        <v>0</v>
      </c>
      <c r="O42" s="9">
        <f>SUMIF('ISS Placements'!B$4:B$203,A42,'ISS Placements'!L$4:L$203)</f>
        <v>0</v>
      </c>
      <c r="P42" s="9" t="str">
        <f>IF(COUNTIFS('ISS Placements'!B:B,A42,'ISS Placements'!O:O,"")&gt;0,"YES","No")</f>
        <v>No</v>
      </c>
      <c r="Q42" s="9">
        <f>COUNTIF('ISS Placements'!B:B,A42)</f>
        <v>0</v>
      </c>
      <c r="R42" s="10" t="str">
        <f>IF(COUNTIF('ISS Placements'!B:B,A42)&gt;0,_xludf.MAXIFS('ISS Placements'!J:J,'ISS Placements'!B:B,A42),"")</f>
        <v/>
      </c>
      <c r="S42" s="9" t="str">
        <f>IF(A42="","",IF(COUNTIFS('Re-Entry Checklist'!C:C,A42,'Re-Entry Checklist'!Y:Y,"✅ READY")&gt;0,"Yes","No"))</f>
        <v/>
      </c>
      <c r="T42" s="7"/>
      <c r="U42" s="7"/>
    </row>
    <row r="43" spans="1:21" s="1" customFormat="1" ht="18" customHeight="1" x14ac:dyDescent="0.45">
      <c r="A43" s="5"/>
      <c r="B43" s="5"/>
      <c r="C43" s="5"/>
      <c r="D43" s="5"/>
      <c r="E43" s="5"/>
      <c r="F43" s="5"/>
      <c r="G43" s="5"/>
      <c r="H43" s="5"/>
      <c r="I43" s="5"/>
      <c r="J43" s="5"/>
      <c r="K43" s="5"/>
      <c r="L43" s="5"/>
      <c r="M43" s="5"/>
      <c r="N43" s="9">
        <f>COUNTIF('ISS Placements'!B:B,A43)</f>
        <v>0</v>
      </c>
      <c r="O43" s="9">
        <f>SUMIF('ISS Placements'!B$4:B$203,A43,'ISS Placements'!L$4:L$203)</f>
        <v>0</v>
      </c>
      <c r="P43" s="9" t="str">
        <f>IF(COUNTIFS('ISS Placements'!B:B,A43,'ISS Placements'!O:O,"")&gt;0,"YES","No")</f>
        <v>No</v>
      </c>
      <c r="Q43" s="9">
        <f>COUNTIF('ISS Placements'!B:B,A43)</f>
        <v>0</v>
      </c>
      <c r="R43" s="10" t="str">
        <f>IF(COUNTIF('ISS Placements'!B:B,A43)&gt;0,_xludf.MAXIFS('ISS Placements'!J:J,'ISS Placements'!B:B,A43),"")</f>
        <v/>
      </c>
      <c r="S43" s="9" t="str">
        <f>IF(A43="","",IF(COUNTIFS('Re-Entry Checklist'!C:C,A43,'Re-Entry Checklist'!Y:Y,"✅ READY")&gt;0,"Yes","No"))</f>
        <v/>
      </c>
      <c r="T43" s="5"/>
      <c r="U43" s="5"/>
    </row>
    <row r="44" spans="1:21" s="1" customFormat="1" ht="18" customHeight="1" x14ac:dyDescent="0.45">
      <c r="A44" s="7"/>
      <c r="B44" s="7"/>
      <c r="C44" s="7"/>
      <c r="D44" s="7"/>
      <c r="E44" s="7"/>
      <c r="F44" s="7"/>
      <c r="G44" s="7"/>
      <c r="H44" s="7"/>
      <c r="I44" s="7"/>
      <c r="J44" s="7"/>
      <c r="K44" s="7"/>
      <c r="L44" s="7"/>
      <c r="M44" s="7"/>
      <c r="N44" s="9">
        <f>COUNTIF('ISS Placements'!B:B,A44)</f>
        <v>0</v>
      </c>
      <c r="O44" s="9">
        <f>SUMIF('ISS Placements'!B$4:B$203,A44,'ISS Placements'!L$4:L$203)</f>
        <v>0</v>
      </c>
      <c r="P44" s="9" t="str">
        <f>IF(COUNTIFS('ISS Placements'!B:B,A44,'ISS Placements'!O:O,"")&gt;0,"YES","No")</f>
        <v>No</v>
      </c>
      <c r="Q44" s="9">
        <f>COUNTIF('ISS Placements'!B:B,A44)</f>
        <v>0</v>
      </c>
      <c r="R44" s="10" t="str">
        <f>IF(COUNTIF('ISS Placements'!B:B,A44)&gt;0,_xludf.MAXIFS('ISS Placements'!J:J,'ISS Placements'!B:B,A44),"")</f>
        <v/>
      </c>
      <c r="S44" s="9" t="str">
        <f>IF(A44="","",IF(COUNTIFS('Re-Entry Checklist'!C:C,A44,'Re-Entry Checklist'!Y:Y,"✅ READY")&gt;0,"Yes","No"))</f>
        <v/>
      </c>
      <c r="T44" s="7"/>
      <c r="U44" s="7"/>
    </row>
    <row r="45" spans="1:21" s="1" customFormat="1" ht="18" customHeight="1" x14ac:dyDescent="0.45">
      <c r="A45" s="5"/>
      <c r="B45" s="5"/>
      <c r="C45" s="5"/>
      <c r="D45" s="5"/>
      <c r="E45" s="5"/>
      <c r="F45" s="5"/>
      <c r="G45" s="5"/>
      <c r="H45" s="5"/>
      <c r="I45" s="5"/>
      <c r="J45" s="5"/>
      <c r="K45" s="5"/>
      <c r="L45" s="5"/>
      <c r="M45" s="5"/>
      <c r="N45" s="9">
        <f>COUNTIF('ISS Placements'!B:B,A45)</f>
        <v>0</v>
      </c>
      <c r="O45" s="9">
        <f>SUMIF('ISS Placements'!B$4:B$203,A45,'ISS Placements'!L$4:L$203)</f>
        <v>0</v>
      </c>
      <c r="P45" s="9" t="str">
        <f>IF(COUNTIFS('ISS Placements'!B:B,A45,'ISS Placements'!O:O,"")&gt;0,"YES","No")</f>
        <v>No</v>
      </c>
      <c r="Q45" s="9">
        <f>COUNTIF('ISS Placements'!B:B,A45)</f>
        <v>0</v>
      </c>
      <c r="R45" s="10" t="str">
        <f>IF(COUNTIF('ISS Placements'!B:B,A45)&gt;0,_xludf.MAXIFS('ISS Placements'!J:J,'ISS Placements'!B:B,A45),"")</f>
        <v/>
      </c>
      <c r="S45" s="9" t="str">
        <f>IF(A45="","",IF(COUNTIFS('Re-Entry Checklist'!C:C,A45,'Re-Entry Checklist'!Y:Y,"✅ READY")&gt;0,"Yes","No"))</f>
        <v/>
      </c>
      <c r="T45" s="5"/>
      <c r="U45" s="5"/>
    </row>
    <row r="46" spans="1:21" s="1" customFormat="1" ht="18" customHeight="1" x14ac:dyDescent="0.45">
      <c r="A46" s="7"/>
      <c r="B46" s="7"/>
      <c r="C46" s="7"/>
      <c r="D46" s="7"/>
      <c r="E46" s="7"/>
      <c r="F46" s="7"/>
      <c r="G46" s="7"/>
      <c r="H46" s="7"/>
      <c r="I46" s="7"/>
      <c r="J46" s="7"/>
      <c r="K46" s="7"/>
      <c r="L46" s="7"/>
      <c r="M46" s="7"/>
      <c r="N46" s="9">
        <f>COUNTIF('ISS Placements'!B:B,A46)</f>
        <v>0</v>
      </c>
      <c r="O46" s="9">
        <f>SUMIF('ISS Placements'!B$4:B$203,A46,'ISS Placements'!L$4:L$203)</f>
        <v>0</v>
      </c>
      <c r="P46" s="9" t="str">
        <f>IF(COUNTIFS('ISS Placements'!B:B,A46,'ISS Placements'!O:O,"")&gt;0,"YES","No")</f>
        <v>No</v>
      </c>
      <c r="Q46" s="9">
        <f>COUNTIF('ISS Placements'!B:B,A46)</f>
        <v>0</v>
      </c>
      <c r="R46" s="10" t="str">
        <f>IF(COUNTIF('ISS Placements'!B:B,A46)&gt;0,_xludf.MAXIFS('ISS Placements'!J:J,'ISS Placements'!B:B,A46),"")</f>
        <v/>
      </c>
      <c r="S46" s="9" t="str">
        <f>IF(A46="","",IF(COUNTIFS('Re-Entry Checklist'!C:C,A46,'Re-Entry Checklist'!Y:Y,"✅ READY")&gt;0,"Yes","No"))</f>
        <v/>
      </c>
      <c r="T46" s="7"/>
      <c r="U46" s="7"/>
    </row>
    <row r="47" spans="1:21" s="1" customFormat="1" ht="18" customHeight="1" x14ac:dyDescent="0.45">
      <c r="A47" s="5"/>
      <c r="B47" s="5"/>
      <c r="C47" s="5"/>
      <c r="D47" s="5"/>
      <c r="E47" s="5"/>
      <c r="F47" s="5"/>
      <c r="G47" s="5"/>
      <c r="H47" s="5"/>
      <c r="I47" s="5"/>
      <c r="J47" s="5"/>
      <c r="K47" s="5"/>
      <c r="L47" s="5"/>
      <c r="M47" s="5"/>
      <c r="N47" s="9">
        <f>COUNTIF('ISS Placements'!B:B,A47)</f>
        <v>0</v>
      </c>
      <c r="O47" s="9">
        <f>SUMIF('ISS Placements'!B$4:B$203,A47,'ISS Placements'!L$4:L$203)</f>
        <v>0</v>
      </c>
      <c r="P47" s="9" t="str">
        <f>IF(COUNTIFS('ISS Placements'!B:B,A47,'ISS Placements'!O:O,"")&gt;0,"YES","No")</f>
        <v>No</v>
      </c>
      <c r="Q47" s="9">
        <f>COUNTIF('ISS Placements'!B:B,A47)</f>
        <v>0</v>
      </c>
      <c r="R47" s="10" t="str">
        <f>IF(COUNTIF('ISS Placements'!B:B,A47)&gt;0,_xludf.MAXIFS('ISS Placements'!J:J,'ISS Placements'!B:B,A47),"")</f>
        <v/>
      </c>
      <c r="S47" s="9" t="str">
        <f>IF(A47="","",IF(COUNTIFS('Re-Entry Checklist'!C:C,A47,'Re-Entry Checklist'!Y:Y,"✅ READY")&gt;0,"Yes","No"))</f>
        <v/>
      </c>
      <c r="T47" s="5"/>
      <c r="U47" s="5"/>
    </row>
    <row r="48" spans="1:21" s="1" customFormat="1" ht="18" customHeight="1" x14ac:dyDescent="0.45">
      <c r="A48" s="7"/>
      <c r="B48" s="7"/>
      <c r="C48" s="7"/>
      <c r="D48" s="7"/>
      <c r="E48" s="7"/>
      <c r="F48" s="7"/>
      <c r="G48" s="7"/>
      <c r="H48" s="7"/>
      <c r="I48" s="7"/>
      <c r="J48" s="7"/>
      <c r="K48" s="7"/>
      <c r="L48" s="7"/>
      <c r="M48" s="7"/>
      <c r="N48" s="9">
        <f>COUNTIF('ISS Placements'!B:B,A48)</f>
        <v>0</v>
      </c>
      <c r="O48" s="9">
        <f>SUMIF('ISS Placements'!B$4:B$203,A48,'ISS Placements'!L$4:L$203)</f>
        <v>0</v>
      </c>
      <c r="P48" s="9" t="str">
        <f>IF(COUNTIFS('ISS Placements'!B:B,A48,'ISS Placements'!O:O,"")&gt;0,"YES","No")</f>
        <v>No</v>
      </c>
      <c r="Q48" s="9">
        <f>COUNTIF('ISS Placements'!B:B,A48)</f>
        <v>0</v>
      </c>
      <c r="R48" s="10" t="str">
        <f>IF(COUNTIF('ISS Placements'!B:B,A48)&gt;0,_xludf.MAXIFS('ISS Placements'!J:J,'ISS Placements'!B:B,A48),"")</f>
        <v/>
      </c>
      <c r="S48" s="9" t="str">
        <f>IF(A48="","",IF(COUNTIFS('Re-Entry Checklist'!C:C,A48,'Re-Entry Checklist'!Y:Y,"✅ READY")&gt;0,"Yes","No"))</f>
        <v/>
      </c>
      <c r="T48" s="7"/>
      <c r="U48" s="7"/>
    </row>
    <row r="49" spans="1:21" s="1" customFormat="1" ht="18" customHeight="1" x14ac:dyDescent="0.45">
      <c r="A49" s="5"/>
      <c r="B49" s="5"/>
      <c r="C49" s="5"/>
      <c r="D49" s="5"/>
      <c r="E49" s="5"/>
      <c r="F49" s="5"/>
      <c r="G49" s="5"/>
      <c r="H49" s="5"/>
      <c r="I49" s="5"/>
      <c r="J49" s="5"/>
      <c r="K49" s="5"/>
      <c r="L49" s="5"/>
      <c r="M49" s="5"/>
      <c r="N49" s="9">
        <f>COUNTIF('ISS Placements'!B:B,A49)</f>
        <v>0</v>
      </c>
      <c r="O49" s="9">
        <f>SUMIF('ISS Placements'!B$4:B$203,A49,'ISS Placements'!L$4:L$203)</f>
        <v>0</v>
      </c>
      <c r="P49" s="9" t="str">
        <f>IF(COUNTIFS('ISS Placements'!B:B,A49,'ISS Placements'!O:O,"")&gt;0,"YES","No")</f>
        <v>No</v>
      </c>
      <c r="Q49" s="9">
        <f>COUNTIF('ISS Placements'!B:B,A49)</f>
        <v>0</v>
      </c>
      <c r="R49" s="10" t="str">
        <f>IF(COUNTIF('ISS Placements'!B:B,A49)&gt;0,_xludf.MAXIFS('ISS Placements'!J:J,'ISS Placements'!B:B,A49),"")</f>
        <v/>
      </c>
      <c r="S49" s="9" t="str">
        <f>IF(A49="","",IF(COUNTIFS('Re-Entry Checklist'!C:C,A49,'Re-Entry Checklist'!Y:Y,"✅ READY")&gt;0,"Yes","No"))</f>
        <v/>
      </c>
      <c r="T49" s="5"/>
      <c r="U49" s="5"/>
    </row>
    <row r="50" spans="1:21" s="1" customFormat="1" ht="18" customHeight="1" x14ac:dyDescent="0.45">
      <c r="A50" s="7"/>
      <c r="B50" s="7"/>
      <c r="C50" s="7"/>
      <c r="D50" s="7"/>
      <c r="E50" s="7"/>
      <c r="F50" s="7"/>
      <c r="G50" s="7"/>
      <c r="H50" s="7"/>
      <c r="I50" s="7"/>
      <c r="J50" s="7"/>
      <c r="K50" s="7"/>
      <c r="L50" s="7"/>
      <c r="M50" s="7"/>
      <c r="N50" s="9">
        <f>COUNTIF('ISS Placements'!B:B,A50)</f>
        <v>0</v>
      </c>
      <c r="O50" s="9">
        <f>SUMIF('ISS Placements'!B$4:B$203,A50,'ISS Placements'!L$4:L$203)</f>
        <v>0</v>
      </c>
      <c r="P50" s="9" t="str">
        <f>IF(COUNTIFS('ISS Placements'!B:B,A50,'ISS Placements'!O:O,"")&gt;0,"YES","No")</f>
        <v>No</v>
      </c>
      <c r="Q50" s="9">
        <f>COUNTIF('ISS Placements'!B:B,A50)</f>
        <v>0</v>
      </c>
      <c r="R50" s="10" t="str">
        <f>IF(COUNTIF('ISS Placements'!B:B,A50)&gt;0,_xludf.MAXIFS('ISS Placements'!J:J,'ISS Placements'!B:B,A50),"")</f>
        <v/>
      </c>
      <c r="S50" s="9" t="str">
        <f>IF(A50="","",IF(COUNTIFS('Re-Entry Checklist'!C:C,A50,'Re-Entry Checklist'!Y:Y,"✅ READY")&gt;0,"Yes","No"))</f>
        <v/>
      </c>
      <c r="T50" s="7"/>
      <c r="U50" s="7"/>
    </row>
    <row r="51" spans="1:21" s="1" customFormat="1" ht="18" customHeight="1" x14ac:dyDescent="0.45">
      <c r="A51" s="5"/>
      <c r="B51" s="5"/>
      <c r="C51" s="5"/>
      <c r="D51" s="5"/>
      <c r="E51" s="5"/>
      <c r="F51" s="5"/>
      <c r="G51" s="5"/>
      <c r="H51" s="5"/>
      <c r="I51" s="5"/>
      <c r="J51" s="5"/>
      <c r="K51" s="5"/>
      <c r="L51" s="5"/>
      <c r="M51" s="5"/>
      <c r="N51" s="9">
        <f>COUNTIF('ISS Placements'!B:B,A51)</f>
        <v>0</v>
      </c>
      <c r="O51" s="9">
        <f>SUMIF('ISS Placements'!B$4:B$203,A51,'ISS Placements'!L$4:L$203)</f>
        <v>0</v>
      </c>
      <c r="P51" s="9" t="str">
        <f>IF(COUNTIFS('ISS Placements'!B:B,A51,'ISS Placements'!O:O,"")&gt;0,"YES","No")</f>
        <v>No</v>
      </c>
      <c r="Q51" s="9">
        <f>COUNTIF('ISS Placements'!B:B,A51)</f>
        <v>0</v>
      </c>
      <c r="R51" s="10" t="str">
        <f>IF(COUNTIF('ISS Placements'!B:B,A51)&gt;0,_xludf.MAXIFS('ISS Placements'!J:J,'ISS Placements'!B:B,A51),"")</f>
        <v/>
      </c>
      <c r="S51" s="9" t="str">
        <f>IF(A51="","",IF(COUNTIFS('Re-Entry Checklist'!C:C,A51,'Re-Entry Checklist'!Y:Y,"✅ READY")&gt;0,"Yes","No"))</f>
        <v/>
      </c>
      <c r="T51" s="5"/>
      <c r="U51" s="5"/>
    </row>
    <row r="52" spans="1:21" s="1" customFormat="1" ht="18" customHeight="1" x14ac:dyDescent="0.45">
      <c r="A52" s="7"/>
      <c r="B52" s="7"/>
      <c r="C52" s="7"/>
      <c r="D52" s="7"/>
      <c r="E52" s="7"/>
      <c r="F52" s="7"/>
      <c r="G52" s="7"/>
      <c r="H52" s="7"/>
      <c r="I52" s="7"/>
      <c r="J52" s="7"/>
      <c r="K52" s="7"/>
      <c r="L52" s="7"/>
      <c r="M52" s="7"/>
      <c r="N52" s="9">
        <f>COUNTIF('ISS Placements'!B:B,A52)</f>
        <v>0</v>
      </c>
      <c r="O52" s="9">
        <f>SUMIF('ISS Placements'!B$4:B$203,A52,'ISS Placements'!L$4:L$203)</f>
        <v>0</v>
      </c>
      <c r="P52" s="9" t="str">
        <f>IF(COUNTIFS('ISS Placements'!B:B,A52,'ISS Placements'!O:O,"")&gt;0,"YES","No")</f>
        <v>No</v>
      </c>
      <c r="Q52" s="9">
        <f>COUNTIF('ISS Placements'!B:B,A52)</f>
        <v>0</v>
      </c>
      <c r="R52" s="10" t="str">
        <f>IF(COUNTIF('ISS Placements'!B:B,A52)&gt;0,_xludf.MAXIFS('ISS Placements'!J:J,'ISS Placements'!B:B,A52),"")</f>
        <v/>
      </c>
      <c r="S52" s="9" t="str">
        <f>IF(A52="","",IF(COUNTIFS('Re-Entry Checklist'!C:C,A52,'Re-Entry Checklist'!Y:Y,"✅ READY")&gt;0,"Yes","No"))</f>
        <v/>
      </c>
      <c r="T52" s="7"/>
      <c r="U52" s="7"/>
    </row>
    <row r="53" spans="1:21" s="1" customFormat="1" ht="18" customHeight="1" x14ac:dyDescent="0.45">
      <c r="A53" s="5"/>
      <c r="B53" s="5"/>
      <c r="C53" s="5"/>
      <c r="D53" s="5"/>
      <c r="E53" s="5"/>
      <c r="F53" s="5"/>
      <c r="G53" s="5"/>
      <c r="H53" s="5"/>
      <c r="I53" s="5"/>
      <c r="J53" s="5"/>
      <c r="K53" s="5"/>
      <c r="L53" s="5"/>
      <c r="M53" s="5"/>
      <c r="N53" s="9">
        <f>COUNTIF('ISS Placements'!B:B,A53)</f>
        <v>0</v>
      </c>
      <c r="O53" s="9">
        <f>SUMIF('ISS Placements'!B$4:B$203,A53,'ISS Placements'!L$4:L$203)</f>
        <v>0</v>
      </c>
      <c r="P53" s="9" t="str">
        <f>IF(COUNTIFS('ISS Placements'!B:B,A53,'ISS Placements'!O:O,"")&gt;0,"YES","No")</f>
        <v>No</v>
      </c>
      <c r="Q53" s="9">
        <f>COUNTIF('ISS Placements'!B:B,A53)</f>
        <v>0</v>
      </c>
      <c r="R53" s="10" t="str">
        <f>IF(COUNTIF('ISS Placements'!B:B,A53)&gt;0,_xludf.MAXIFS('ISS Placements'!J:J,'ISS Placements'!B:B,A53),"")</f>
        <v/>
      </c>
      <c r="S53" s="9" t="str">
        <f>IF(A53="","",IF(COUNTIFS('Re-Entry Checklist'!C:C,A53,'Re-Entry Checklist'!Y:Y,"✅ READY")&gt;0,"Yes","No"))</f>
        <v/>
      </c>
      <c r="T53" s="5"/>
      <c r="U53" s="5"/>
    </row>
    <row r="54" spans="1:21" s="1" customFormat="1" ht="18" customHeight="1" x14ac:dyDescent="0.45">
      <c r="A54" s="7"/>
      <c r="B54" s="7"/>
      <c r="C54" s="7"/>
      <c r="D54" s="7"/>
      <c r="E54" s="7"/>
      <c r="F54" s="7"/>
      <c r="G54" s="7"/>
      <c r="H54" s="7"/>
      <c r="I54" s="7"/>
      <c r="J54" s="7"/>
      <c r="K54" s="7"/>
      <c r="L54" s="7"/>
      <c r="M54" s="7"/>
      <c r="N54" s="9">
        <f>COUNTIF('ISS Placements'!B:B,A54)</f>
        <v>0</v>
      </c>
      <c r="O54" s="9">
        <f>SUMIF('ISS Placements'!B$4:B$203,A54,'ISS Placements'!L$4:L$203)</f>
        <v>0</v>
      </c>
      <c r="P54" s="9" t="str">
        <f>IF(COUNTIFS('ISS Placements'!B:B,A54,'ISS Placements'!O:O,"")&gt;0,"YES","No")</f>
        <v>No</v>
      </c>
      <c r="Q54" s="9">
        <f>COUNTIF('ISS Placements'!B:B,A54)</f>
        <v>0</v>
      </c>
      <c r="R54" s="10" t="str">
        <f>IF(COUNTIF('ISS Placements'!B:B,A54)&gt;0,_xludf.MAXIFS('ISS Placements'!J:J,'ISS Placements'!B:B,A54),"")</f>
        <v/>
      </c>
      <c r="S54" s="9" t="str">
        <f>IF(A54="","",IF(COUNTIFS('Re-Entry Checklist'!C:C,A54,'Re-Entry Checklist'!Y:Y,"✅ READY")&gt;0,"Yes","No"))</f>
        <v/>
      </c>
      <c r="T54" s="7"/>
      <c r="U54" s="7"/>
    </row>
    <row r="55" spans="1:21" s="1" customFormat="1" ht="18" customHeight="1" x14ac:dyDescent="0.45">
      <c r="A55" s="5"/>
      <c r="B55" s="5"/>
      <c r="C55" s="5"/>
      <c r="D55" s="5"/>
      <c r="E55" s="5"/>
      <c r="F55" s="5"/>
      <c r="G55" s="5"/>
      <c r="H55" s="5"/>
      <c r="I55" s="5"/>
      <c r="J55" s="5"/>
      <c r="K55" s="5"/>
      <c r="L55" s="5"/>
      <c r="M55" s="5"/>
      <c r="N55" s="9">
        <f>COUNTIF('ISS Placements'!B:B,A55)</f>
        <v>0</v>
      </c>
      <c r="O55" s="9">
        <f>SUMIF('ISS Placements'!B$4:B$203,A55,'ISS Placements'!L$4:L$203)</f>
        <v>0</v>
      </c>
      <c r="P55" s="9" t="str">
        <f>IF(COUNTIFS('ISS Placements'!B:B,A55,'ISS Placements'!O:O,"")&gt;0,"YES","No")</f>
        <v>No</v>
      </c>
      <c r="Q55" s="9">
        <f>COUNTIF('ISS Placements'!B:B,A55)</f>
        <v>0</v>
      </c>
      <c r="R55" s="10" t="str">
        <f>IF(COUNTIF('ISS Placements'!B:B,A55)&gt;0,_xludf.MAXIFS('ISS Placements'!J:J,'ISS Placements'!B:B,A55),"")</f>
        <v/>
      </c>
      <c r="S55" s="9" t="str">
        <f>IF(A55="","",IF(COUNTIFS('Re-Entry Checklist'!C:C,A55,'Re-Entry Checklist'!Y:Y,"✅ READY")&gt;0,"Yes","No"))</f>
        <v/>
      </c>
      <c r="T55" s="5"/>
      <c r="U55" s="5"/>
    </row>
    <row r="56" spans="1:21" s="1" customFormat="1" ht="18" customHeight="1" x14ac:dyDescent="0.45">
      <c r="A56" s="7"/>
      <c r="B56" s="7"/>
      <c r="C56" s="7"/>
      <c r="D56" s="7"/>
      <c r="E56" s="7"/>
      <c r="F56" s="7"/>
      <c r="G56" s="7"/>
      <c r="H56" s="7"/>
      <c r="I56" s="7"/>
      <c r="J56" s="7"/>
      <c r="K56" s="7"/>
      <c r="L56" s="7"/>
      <c r="M56" s="7"/>
      <c r="N56" s="9">
        <f>COUNTIF('ISS Placements'!B:B,A56)</f>
        <v>0</v>
      </c>
      <c r="O56" s="9">
        <f>SUMIF('ISS Placements'!B$4:B$203,A56,'ISS Placements'!L$4:L$203)</f>
        <v>0</v>
      </c>
      <c r="P56" s="9" t="str">
        <f>IF(COUNTIFS('ISS Placements'!B:B,A56,'ISS Placements'!O:O,"")&gt;0,"YES","No")</f>
        <v>No</v>
      </c>
      <c r="Q56" s="9">
        <f>COUNTIF('ISS Placements'!B:B,A56)</f>
        <v>0</v>
      </c>
      <c r="R56" s="10" t="str">
        <f>IF(COUNTIF('ISS Placements'!B:B,A56)&gt;0,_xludf.MAXIFS('ISS Placements'!J:J,'ISS Placements'!B:B,A56),"")</f>
        <v/>
      </c>
      <c r="S56" s="9" t="str">
        <f>IF(A56="","",IF(COUNTIFS('Re-Entry Checklist'!C:C,A56,'Re-Entry Checklist'!Y:Y,"✅ READY")&gt;0,"Yes","No"))</f>
        <v/>
      </c>
      <c r="T56" s="7"/>
      <c r="U56" s="7"/>
    </row>
    <row r="57" spans="1:21" s="1" customFormat="1" ht="18" customHeight="1" x14ac:dyDescent="0.45">
      <c r="A57" s="5"/>
      <c r="B57" s="5"/>
      <c r="C57" s="5"/>
      <c r="D57" s="5"/>
      <c r="E57" s="5"/>
      <c r="F57" s="5"/>
      <c r="G57" s="5"/>
      <c r="H57" s="5"/>
      <c r="I57" s="5"/>
      <c r="J57" s="5"/>
      <c r="K57" s="5"/>
      <c r="L57" s="5"/>
      <c r="M57" s="5"/>
      <c r="N57" s="9">
        <f>COUNTIF('ISS Placements'!B:B,A57)</f>
        <v>0</v>
      </c>
      <c r="O57" s="9">
        <f>SUMIF('ISS Placements'!B$4:B$203,A57,'ISS Placements'!L$4:L$203)</f>
        <v>0</v>
      </c>
      <c r="P57" s="9" t="str">
        <f>IF(COUNTIFS('ISS Placements'!B:B,A57,'ISS Placements'!O:O,"")&gt;0,"YES","No")</f>
        <v>No</v>
      </c>
      <c r="Q57" s="9">
        <f>COUNTIF('ISS Placements'!B:B,A57)</f>
        <v>0</v>
      </c>
      <c r="R57" s="10" t="str">
        <f>IF(COUNTIF('ISS Placements'!B:B,A57)&gt;0,_xludf.MAXIFS('ISS Placements'!J:J,'ISS Placements'!B:B,A57),"")</f>
        <v/>
      </c>
      <c r="S57" s="9" t="str">
        <f>IF(A57="","",IF(COUNTIFS('Re-Entry Checklist'!C:C,A57,'Re-Entry Checklist'!Y:Y,"✅ READY")&gt;0,"Yes","No"))</f>
        <v/>
      </c>
      <c r="T57" s="5"/>
      <c r="U57" s="5"/>
    </row>
    <row r="58" spans="1:21" s="1" customFormat="1" ht="18" customHeight="1" x14ac:dyDescent="0.45">
      <c r="A58" s="7"/>
      <c r="B58" s="7"/>
      <c r="C58" s="7"/>
      <c r="D58" s="7"/>
      <c r="E58" s="7"/>
      <c r="F58" s="7"/>
      <c r="G58" s="7"/>
      <c r="H58" s="7"/>
      <c r="I58" s="7"/>
      <c r="J58" s="7"/>
      <c r="K58" s="7"/>
      <c r="L58" s="7"/>
      <c r="M58" s="7"/>
      <c r="N58" s="9">
        <f>COUNTIF('ISS Placements'!B:B,A58)</f>
        <v>0</v>
      </c>
      <c r="O58" s="9">
        <f>SUMIF('ISS Placements'!B$4:B$203,A58,'ISS Placements'!L$4:L$203)</f>
        <v>0</v>
      </c>
      <c r="P58" s="9" t="str">
        <f>IF(COUNTIFS('ISS Placements'!B:B,A58,'ISS Placements'!O:O,"")&gt;0,"YES","No")</f>
        <v>No</v>
      </c>
      <c r="Q58" s="9">
        <f>COUNTIF('ISS Placements'!B:B,A58)</f>
        <v>0</v>
      </c>
      <c r="R58" s="10" t="str">
        <f>IF(COUNTIF('ISS Placements'!B:B,A58)&gt;0,_xludf.MAXIFS('ISS Placements'!J:J,'ISS Placements'!B:B,A58),"")</f>
        <v/>
      </c>
      <c r="S58" s="9" t="str">
        <f>IF(A58="","",IF(COUNTIFS('Re-Entry Checklist'!C:C,A58,'Re-Entry Checklist'!Y:Y,"✅ READY")&gt;0,"Yes","No"))</f>
        <v/>
      </c>
      <c r="T58" s="7"/>
      <c r="U58" s="7"/>
    </row>
    <row r="59" spans="1:21" s="1" customFormat="1" ht="18" customHeight="1" x14ac:dyDescent="0.45">
      <c r="A59" s="5"/>
      <c r="B59" s="5"/>
      <c r="C59" s="5"/>
      <c r="D59" s="5"/>
      <c r="E59" s="5"/>
      <c r="F59" s="5"/>
      <c r="G59" s="5"/>
      <c r="H59" s="5"/>
      <c r="I59" s="5"/>
      <c r="J59" s="5"/>
      <c r="K59" s="5"/>
      <c r="L59" s="5"/>
      <c r="M59" s="5"/>
      <c r="N59" s="9">
        <f>COUNTIF('ISS Placements'!B:B,A59)</f>
        <v>0</v>
      </c>
      <c r="O59" s="9">
        <f>SUMIF('ISS Placements'!B$4:B$203,A59,'ISS Placements'!L$4:L$203)</f>
        <v>0</v>
      </c>
      <c r="P59" s="9" t="str">
        <f>IF(COUNTIFS('ISS Placements'!B:B,A59,'ISS Placements'!O:O,"")&gt;0,"YES","No")</f>
        <v>No</v>
      </c>
      <c r="Q59" s="9">
        <f>COUNTIF('ISS Placements'!B:B,A59)</f>
        <v>0</v>
      </c>
      <c r="R59" s="10" t="str">
        <f>IF(COUNTIF('ISS Placements'!B:B,A59)&gt;0,_xludf.MAXIFS('ISS Placements'!J:J,'ISS Placements'!B:B,A59),"")</f>
        <v/>
      </c>
      <c r="S59" s="9" t="str">
        <f>IF(A59="","",IF(COUNTIFS('Re-Entry Checklist'!C:C,A59,'Re-Entry Checklist'!Y:Y,"✅ READY")&gt;0,"Yes","No"))</f>
        <v/>
      </c>
      <c r="T59" s="5"/>
      <c r="U59" s="5"/>
    </row>
    <row r="60" spans="1:21" s="1" customFormat="1" ht="18" customHeight="1" x14ac:dyDescent="0.45">
      <c r="A60" s="7"/>
      <c r="B60" s="7"/>
      <c r="C60" s="7"/>
      <c r="D60" s="7"/>
      <c r="E60" s="7"/>
      <c r="F60" s="7"/>
      <c r="G60" s="7"/>
      <c r="H60" s="7"/>
      <c r="I60" s="7"/>
      <c r="J60" s="7"/>
      <c r="K60" s="7"/>
      <c r="L60" s="7"/>
      <c r="M60" s="7"/>
      <c r="N60" s="9">
        <f>COUNTIF('ISS Placements'!B:B,A60)</f>
        <v>0</v>
      </c>
      <c r="O60" s="9">
        <f>SUMIF('ISS Placements'!B$4:B$203,A60,'ISS Placements'!L$4:L$203)</f>
        <v>0</v>
      </c>
      <c r="P60" s="9" t="str">
        <f>IF(COUNTIFS('ISS Placements'!B:B,A60,'ISS Placements'!O:O,"")&gt;0,"YES","No")</f>
        <v>No</v>
      </c>
      <c r="Q60" s="9">
        <f>COUNTIF('ISS Placements'!B:B,A60)</f>
        <v>0</v>
      </c>
      <c r="R60" s="10" t="str">
        <f>IF(COUNTIF('ISS Placements'!B:B,A60)&gt;0,_xludf.MAXIFS('ISS Placements'!J:J,'ISS Placements'!B:B,A60),"")</f>
        <v/>
      </c>
      <c r="S60" s="9" t="str">
        <f>IF(A60="","",IF(COUNTIFS('Re-Entry Checklist'!C:C,A60,'Re-Entry Checklist'!Y:Y,"✅ READY")&gt;0,"Yes","No"))</f>
        <v/>
      </c>
      <c r="T60" s="7"/>
      <c r="U60" s="7"/>
    </row>
    <row r="61" spans="1:21" s="1" customFormat="1" ht="18" customHeight="1" x14ac:dyDescent="0.45">
      <c r="A61" s="5"/>
      <c r="B61" s="5"/>
      <c r="C61" s="5"/>
      <c r="D61" s="5"/>
      <c r="E61" s="5"/>
      <c r="F61" s="5"/>
      <c r="G61" s="5"/>
      <c r="H61" s="5"/>
      <c r="I61" s="5"/>
      <c r="J61" s="5"/>
      <c r="K61" s="5"/>
      <c r="L61" s="5"/>
      <c r="M61" s="5"/>
      <c r="N61" s="9">
        <f>COUNTIF('ISS Placements'!B:B,A61)</f>
        <v>0</v>
      </c>
      <c r="O61" s="9">
        <f>SUMIF('ISS Placements'!B$4:B$203,A61,'ISS Placements'!L$4:L$203)</f>
        <v>0</v>
      </c>
      <c r="P61" s="9" t="str">
        <f>IF(COUNTIFS('ISS Placements'!B:B,A61,'ISS Placements'!O:O,"")&gt;0,"YES","No")</f>
        <v>No</v>
      </c>
      <c r="Q61" s="9">
        <f>COUNTIF('ISS Placements'!B:B,A61)</f>
        <v>0</v>
      </c>
      <c r="R61" s="10" t="str">
        <f>IF(COUNTIF('ISS Placements'!B:B,A61)&gt;0,_xludf.MAXIFS('ISS Placements'!J:J,'ISS Placements'!B:B,A61),"")</f>
        <v/>
      </c>
      <c r="S61" s="9" t="str">
        <f>IF(A61="","",IF(COUNTIFS('Re-Entry Checklist'!C:C,A61,'Re-Entry Checklist'!Y:Y,"✅ READY")&gt;0,"Yes","No"))</f>
        <v/>
      </c>
      <c r="T61" s="5"/>
      <c r="U61" s="5"/>
    </row>
    <row r="62" spans="1:21" s="1" customFormat="1" ht="18" customHeight="1" x14ac:dyDescent="0.45">
      <c r="A62" s="7"/>
      <c r="B62" s="7"/>
      <c r="C62" s="7"/>
      <c r="D62" s="7"/>
      <c r="E62" s="7"/>
      <c r="F62" s="7"/>
      <c r="G62" s="7"/>
      <c r="H62" s="7"/>
      <c r="I62" s="7"/>
      <c r="J62" s="7"/>
      <c r="K62" s="7"/>
      <c r="L62" s="7"/>
      <c r="M62" s="7"/>
      <c r="N62" s="9">
        <f>COUNTIF('ISS Placements'!B:B,A62)</f>
        <v>0</v>
      </c>
      <c r="O62" s="9">
        <f>SUMIF('ISS Placements'!B$4:B$203,A62,'ISS Placements'!L$4:L$203)</f>
        <v>0</v>
      </c>
      <c r="P62" s="9" t="str">
        <f>IF(COUNTIFS('ISS Placements'!B:B,A62,'ISS Placements'!O:O,"")&gt;0,"YES","No")</f>
        <v>No</v>
      </c>
      <c r="Q62" s="9">
        <f>COUNTIF('ISS Placements'!B:B,A62)</f>
        <v>0</v>
      </c>
      <c r="R62" s="10" t="str">
        <f>IF(COUNTIF('ISS Placements'!B:B,A62)&gt;0,_xludf.MAXIFS('ISS Placements'!J:J,'ISS Placements'!B:B,A62),"")</f>
        <v/>
      </c>
      <c r="S62" s="9" t="str">
        <f>IF(A62="","",IF(COUNTIFS('Re-Entry Checklist'!C:C,A62,'Re-Entry Checklist'!Y:Y,"✅ READY")&gt;0,"Yes","No"))</f>
        <v/>
      </c>
      <c r="T62" s="7"/>
      <c r="U62" s="7"/>
    </row>
    <row r="63" spans="1:21" s="1" customFormat="1" ht="18" customHeight="1" x14ac:dyDescent="0.45">
      <c r="A63" s="5"/>
      <c r="B63" s="5"/>
      <c r="C63" s="5"/>
      <c r="D63" s="5"/>
      <c r="E63" s="5"/>
      <c r="F63" s="5"/>
      <c r="G63" s="5"/>
      <c r="H63" s="5"/>
      <c r="I63" s="5"/>
      <c r="J63" s="5"/>
      <c r="K63" s="5"/>
      <c r="L63" s="5"/>
      <c r="M63" s="5"/>
      <c r="N63" s="9">
        <f>COUNTIF('ISS Placements'!B:B,A63)</f>
        <v>0</v>
      </c>
      <c r="O63" s="9">
        <f>SUMIF('ISS Placements'!B$4:B$203,A63,'ISS Placements'!L$4:L$203)</f>
        <v>0</v>
      </c>
      <c r="P63" s="9" t="str">
        <f>IF(COUNTIFS('ISS Placements'!B:B,A63,'ISS Placements'!O:O,"")&gt;0,"YES","No")</f>
        <v>No</v>
      </c>
      <c r="Q63" s="9">
        <f>COUNTIF('ISS Placements'!B:B,A63)</f>
        <v>0</v>
      </c>
      <c r="R63" s="10" t="str">
        <f>IF(COUNTIF('ISS Placements'!B:B,A63)&gt;0,_xludf.MAXIFS('ISS Placements'!J:J,'ISS Placements'!B:B,A63),"")</f>
        <v/>
      </c>
      <c r="S63" s="9" t="str">
        <f>IF(A63="","",IF(COUNTIFS('Re-Entry Checklist'!C:C,A63,'Re-Entry Checklist'!Y:Y,"✅ READY")&gt;0,"Yes","No"))</f>
        <v/>
      </c>
      <c r="T63" s="5"/>
      <c r="U63" s="5"/>
    </row>
    <row r="64" spans="1:21" s="1" customFormat="1" ht="18" customHeight="1" x14ac:dyDescent="0.45">
      <c r="A64" s="7"/>
      <c r="B64" s="7"/>
      <c r="C64" s="7"/>
      <c r="D64" s="7"/>
      <c r="E64" s="7"/>
      <c r="F64" s="7"/>
      <c r="G64" s="7"/>
      <c r="H64" s="7"/>
      <c r="I64" s="7"/>
      <c r="J64" s="7"/>
      <c r="K64" s="7"/>
      <c r="L64" s="7"/>
      <c r="M64" s="7"/>
      <c r="N64" s="9">
        <f>COUNTIF('ISS Placements'!B:B,A64)</f>
        <v>0</v>
      </c>
      <c r="O64" s="9">
        <f>SUMIF('ISS Placements'!B$4:B$203,A64,'ISS Placements'!L$4:L$203)</f>
        <v>0</v>
      </c>
      <c r="P64" s="9" t="str">
        <f>IF(COUNTIFS('ISS Placements'!B:B,A64,'ISS Placements'!O:O,"")&gt;0,"YES","No")</f>
        <v>No</v>
      </c>
      <c r="Q64" s="9">
        <f>COUNTIF('ISS Placements'!B:B,A64)</f>
        <v>0</v>
      </c>
      <c r="R64" s="10" t="str">
        <f>IF(COUNTIF('ISS Placements'!B:B,A64)&gt;0,_xludf.MAXIFS('ISS Placements'!J:J,'ISS Placements'!B:B,A64),"")</f>
        <v/>
      </c>
      <c r="S64" s="9" t="str">
        <f>IF(A64="","",IF(COUNTIFS('Re-Entry Checklist'!C:C,A64,'Re-Entry Checklist'!Y:Y,"✅ READY")&gt;0,"Yes","No"))</f>
        <v/>
      </c>
      <c r="T64" s="7"/>
      <c r="U64" s="7"/>
    </row>
    <row r="65" spans="1:21" s="1" customFormat="1" ht="18" customHeight="1" x14ac:dyDescent="0.45">
      <c r="A65" s="5"/>
      <c r="B65" s="5"/>
      <c r="C65" s="5"/>
      <c r="D65" s="5"/>
      <c r="E65" s="5"/>
      <c r="F65" s="5"/>
      <c r="G65" s="5"/>
      <c r="H65" s="5"/>
      <c r="I65" s="5"/>
      <c r="J65" s="5"/>
      <c r="K65" s="5"/>
      <c r="L65" s="5"/>
      <c r="M65" s="5"/>
      <c r="N65" s="9">
        <f>COUNTIF('ISS Placements'!B:B,A65)</f>
        <v>0</v>
      </c>
      <c r="O65" s="9">
        <f>SUMIF('ISS Placements'!B$4:B$203,A65,'ISS Placements'!L$4:L$203)</f>
        <v>0</v>
      </c>
      <c r="P65" s="9" t="str">
        <f>IF(COUNTIFS('ISS Placements'!B:B,A65,'ISS Placements'!O:O,"")&gt;0,"YES","No")</f>
        <v>No</v>
      </c>
      <c r="Q65" s="9">
        <f>COUNTIF('ISS Placements'!B:B,A65)</f>
        <v>0</v>
      </c>
      <c r="R65" s="10" t="str">
        <f>IF(COUNTIF('ISS Placements'!B:B,A65)&gt;0,_xludf.MAXIFS('ISS Placements'!J:J,'ISS Placements'!B:B,A65),"")</f>
        <v/>
      </c>
      <c r="S65" s="9" t="str">
        <f>IF(A65="","",IF(COUNTIFS('Re-Entry Checklist'!C:C,A65,'Re-Entry Checklist'!Y:Y,"✅ READY")&gt;0,"Yes","No"))</f>
        <v/>
      </c>
      <c r="T65" s="5"/>
      <c r="U65" s="5"/>
    </row>
    <row r="66" spans="1:21" s="1" customFormat="1" ht="18" customHeight="1" x14ac:dyDescent="0.45">
      <c r="A66" s="7"/>
      <c r="B66" s="7"/>
      <c r="C66" s="7"/>
      <c r="D66" s="7"/>
      <c r="E66" s="7"/>
      <c r="F66" s="7"/>
      <c r="G66" s="7"/>
      <c r="H66" s="7"/>
      <c r="I66" s="7"/>
      <c r="J66" s="7"/>
      <c r="K66" s="7"/>
      <c r="L66" s="7"/>
      <c r="M66" s="7"/>
      <c r="N66" s="9">
        <f>COUNTIF('ISS Placements'!B:B,A66)</f>
        <v>0</v>
      </c>
      <c r="O66" s="9">
        <f>SUMIF('ISS Placements'!B$4:B$203,A66,'ISS Placements'!L$4:L$203)</f>
        <v>0</v>
      </c>
      <c r="P66" s="9" t="str">
        <f>IF(COUNTIFS('ISS Placements'!B:B,A66,'ISS Placements'!O:O,"")&gt;0,"YES","No")</f>
        <v>No</v>
      </c>
      <c r="Q66" s="9">
        <f>COUNTIF('ISS Placements'!B:B,A66)</f>
        <v>0</v>
      </c>
      <c r="R66" s="10" t="str">
        <f>IF(COUNTIF('ISS Placements'!B:B,A66)&gt;0,_xludf.MAXIFS('ISS Placements'!J:J,'ISS Placements'!B:B,A66),"")</f>
        <v/>
      </c>
      <c r="S66" s="9" t="str">
        <f>IF(A66="","",IF(COUNTIFS('Re-Entry Checklist'!C:C,A66,'Re-Entry Checklist'!Y:Y,"✅ READY")&gt;0,"Yes","No"))</f>
        <v/>
      </c>
      <c r="T66" s="7"/>
      <c r="U66" s="7"/>
    </row>
    <row r="67" spans="1:21" s="1" customFormat="1" ht="18" customHeight="1" x14ac:dyDescent="0.45">
      <c r="A67" s="5"/>
      <c r="B67" s="5"/>
      <c r="C67" s="5"/>
      <c r="D67" s="5"/>
      <c r="E67" s="5"/>
      <c r="F67" s="5"/>
      <c r="G67" s="5"/>
      <c r="H67" s="5"/>
      <c r="I67" s="5"/>
      <c r="J67" s="5"/>
      <c r="K67" s="5"/>
      <c r="L67" s="5"/>
      <c r="M67" s="5"/>
      <c r="N67" s="9">
        <f>COUNTIF('ISS Placements'!B:B,A67)</f>
        <v>0</v>
      </c>
      <c r="O67" s="9">
        <f>SUMIF('ISS Placements'!B$4:B$203,A67,'ISS Placements'!L$4:L$203)</f>
        <v>0</v>
      </c>
      <c r="P67" s="9" t="str">
        <f>IF(COUNTIFS('ISS Placements'!B:B,A67,'ISS Placements'!O:O,"")&gt;0,"YES","No")</f>
        <v>No</v>
      </c>
      <c r="Q67" s="9">
        <f>COUNTIF('ISS Placements'!B:B,A67)</f>
        <v>0</v>
      </c>
      <c r="R67" s="10" t="str">
        <f>IF(COUNTIF('ISS Placements'!B:B,A67)&gt;0,_xludf.MAXIFS('ISS Placements'!J:J,'ISS Placements'!B:B,A67),"")</f>
        <v/>
      </c>
      <c r="S67" s="9" t="str">
        <f>IF(A67="","",IF(COUNTIFS('Re-Entry Checklist'!C:C,A67,'Re-Entry Checklist'!Y:Y,"✅ READY")&gt;0,"Yes","No"))</f>
        <v/>
      </c>
      <c r="T67" s="5"/>
      <c r="U67" s="5"/>
    </row>
    <row r="68" spans="1:21" s="1" customFormat="1" ht="18" customHeight="1" x14ac:dyDescent="0.45">
      <c r="A68" s="7"/>
      <c r="B68" s="7"/>
      <c r="C68" s="7"/>
      <c r="D68" s="7"/>
      <c r="E68" s="7"/>
      <c r="F68" s="7"/>
      <c r="G68" s="7"/>
      <c r="H68" s="7"/>
      <c r="I68" s="7"/>
      <c r="J68" s="7"/>
      <c r="K68" s="7"/>
      <c r="L68" s="7"/>
      <c r="M68" s="7"/>
      <c r="N68" s="9">
        <f>COUNTIF('ISS Placements'!B:B,A68)</f>
        <v>0</v>
      </c>
      <c r="O68" s="9">
        <f>SUMIF('ISS Placements'!B$4:B$203,A68,'ISS Placements'!L$4:L$203)</f>
        <v>0</v>
      </c>
      <c r="P68" s="9" t="str">
        <f>IF(COUNTIFS('ISS Placements'!B:B,A68,'ISS Placements'!O:O,"")&gt;0,"YES","No")</f>
        <v>No</v>
      </c>
      <c r="Q68" s="9">
        <f>COUNTIF('ISS Placements'!B:B,A68)</f>
        <v>0</v>
      </c>
      <c r="R68" s="10" t="str">
        <f>IF(COUNTIF('ISS Placements'!B:B,A68)&gt;0,_xludf.MAXIFS('ISS Placements'!J:J,'ISS Placements'!B:B,A68),"")</f>
        <v/>
      </c>
      <c r="S68" s="9" t="str">
        <f>IF(A68="","",IF(COUNTIFS('Re-Entry Checklist'!C:C,A68,'Re-Entry Checklist'!Y:Y,"✅ READY")&gt;0,"Yes","No"))</f>
        <v/>
      </c>
      <c r="T68" s="7"/>
      <c r="U68" s="7"/>
    </row>
    <row r="69" spans="1:21" s="1" customFormat="1" ht="18" customHeight="1" x14ac:dyDescent="0.45">
      <c r="A69" s="5"/>
      <c r="B69" s="5"/>
      <c r="C69" s="5"/>
      <c r="D69" s="5"/>
      <c r="E69" s="5"/>
      <c r="F69" s="5"/>
      <c r="G69" s="5"/>
      <c r="H69" s="5"/>
      <c r="I69" s="5"/>
      <c r="J69" s="5"/>
      <c r="K69" s="5"/>
      <c r="L69" s="5"/>
      <c r="M69" s="5"/>
      <c r="N69" s="9">
        <f>COUNTIF('ISS Placements'!B:B,A69)</f>
        <v>0</v>
      </c>
      <c r="O69" s="9">
        <f>SUMIF('ISS Placements'!B$4:B$203,A69,'ISS Placements'!L$4:L$203)</f>
        <v>0</v>
      </c>
      <c r="P69" s="9" t="str">
        <f>IF(COUNTIFS('ISS Placements'!B:B,A69,'ISS Placements'!O:O,"")&gt;0,"YES","No")</f>
        <v>No</v>
      </c>
      <c r="Q69" s="9">
        <f>COUNTIF('ISS Placements'!B:B,A69)</f>
        <v>0</v>
      </c>
      <c r="R69" s="10" t="str">
        <f>IF(COUNTIF('ISS Placements'!B:B,A69)&gt;0,_xludf.MAXIFS('ISS Placements'!J:J,'ISS Placements'!B:B,A69),"")</f>
        <v/>
      </c>
      <c r="S69" s="9" t="str">
        <f>IF(A69="","",IF(COUNTIFS('Re-Entry Checklist'!C:C,A69,'Re-Entry Checklist'!Y:Y,"✅ READY")&gt;0,"Yes","No"))</f>
        <v/>
      </c>
      <c r="T69" s="5"/>
      <c r="U69" s="5"/>
    </row>
    <row r="70" spans="1:21" s="1" customFormat="1" ht="18" customHeight="1" x14ac:dyDescent="0.45">
      <c r="A70" s="7"/>
      <c r="B70" s="7"/>
      <c r="C70" s="7"/>
      <c r="D70" s="7"/>
      <c r="E70" s="7"/>
      <c r="F70" s="7"/>
      <c r="G70" s="7"/>
      <c r="H70" s="7"/>
      <c r="I70" s="7"/>
      <c r="J70" s="7"/>
      <c r="K70" s="7"/>
      <c r="L70" s="7"/>
      <c r="M70" s="7"/>
      <c r="N70" s="9">
        <f>COUNTIF('ISS Placements'!B:B,A70)</f>
        <v>0</v>
      </c>
      <c r="O70" s="9">
        <f>SUMIF('ISS Placements'!B$4:B$203,A70,'ISS Placements'!L$4:L$203)</f>
        <v>0</v>
      </c>
      <c r="P70" s="9" t="str">
        <f>IF(COUNTIFS('ISS Placements'!B:B,A70,'ISS Placements'!O:O,"")&gt;0,"YES","No")</f>
        <v>No</v>
      </c>
      <c r="Q70" s="9">
        <f>COUNTIF('ISS Placements'!B:B,A70)</f>
        <v>0</v>
      </c>
      <c r="R70" s="10" t="str">
        <f>IF(COUNTIF('ISS Placements'!B:B,A70)&gt;0,_xludf.MAXIFS('ISS Placements'!J:J,'ISS Placements'!B:B,A70),"")</f>
        <v/>
      </c>
      <c r="S70" s="9" t="str">
        <f>IF(A70="","",IF(COUNTIFS('Re-Entry Checklist'!C:C,A70,'Re-Entry Checklist'!Y:Y,"✅ READY")&gt;0,"Yes","No"))</f>
        <v/>
      </c>
      <c r="T70" s="7"/>
      <c r="U70" s="7"/>
    </row>
    <row r="71" spans="1:21" s="1" customFormat="1" ht="18" customHeight="1" x14ac:dyDescent="0.45">
      <c r="A71" s="5"/>
      <c r="B71" s="5"/>
      <c r="C71" s="5"/>
      <c r="D71" s="5"/>
      <c r="E71" s="5"/>
      <c r="F71" s="5"/>
      <c r="G71" s="5"/>
      <c r="H71" s="5"/>
      <c r="I71" s="5"/>
      <c r="J71" s="5"/>
      <c r="K71" s="5"/>
      <c r="L71" s="5"/>
      <c r="M71" s="5"/>
      <c r="N71" s="9">
        <f>COUNTIF('ISS Placements'!B:B,A71)</f>
        <v>0</v>
      </c>
      <c r="O71" s="9">
        <f>SUMIF('ISS Placements'!B$4:B$203,A71,'ISS Placements'!L$4:L$203)</f>
        <v>0</v>
      </c>
      <c r="P71" s="9" t="str">
        <f>IF(COUNTIFS('ISS Placements'!B:B,A71,'ISS Placements'!O:O,"")&gt;0,"YES","No")</f>
        <v>No</v>
      </c>
      <c r="Q71" s="9">
        <f>COUNTIF('ISS Placements'!B:B,A71)</f>
        <v>0</v>
      </c>
      <c r="R71" s="10" t="str">
        <f>IF(COUNTIF('ISS Placements'!B:B,A71)&gt;0,_xludf.MAXIFS('ISS Placements'!J:J,'ISS Placements'!B:B,A71),"")</f>
        <v/>
      </c>
      <c r="S71" s="9" t="str">
        <f>IF(A71="","",IF(COUNTIFS('Re-Entry Checklist'!C:C,A71,'Re-Entry Checklist'!Y:Y,"✅ READY")&gt;0,"Yes","No"))</f>
        <v/>
      </c>
      <c r="T71" s="5"/>
      <c r="U71" s="5"/>
    </row>
    <row r="72" spans="1:21" s="1" customFormat="1" ht="18" customHeight="1" x14ac:dyDescent="0.45">
      <c r="A72" s="7"/>
      <c r="B72" s="7"/>
      <c r="C72" s="7"/>
      <c r="D72" s="7"/>
      <c r="E72" s="7"/>
      <c r="F72" s="7"/>
      <c r="G72" s="7"/>
      <c r="H72" s="7"/>
      <c r="I72" s="7"/>
      <c r="J72" s="7"/>
      <c r="K72" s="7"/>
      <c r="L72" s="7"/>
      <c r="M72" s="7"/>
      <c r="N72" s="9">
        <f>COUNTIF('ISS Placements'!B:B,A72)</f>
        <v>0</v>
      </c>
      <c r="O72" s="9">
        <f>SUMIF('ISS Placements'!B$4:B$203,A72,'ISS Placements'!L$4:L$203)</f>
        <v>0</v>
      </c>
      <c r="P72" s="9" t="str">
        <f>IF(COUNTIFS('ISS Placements'!B:B,A72,'ISS Placements'!O:O,"")&gt;0,"YES","No")</f>
        <v>No</v>
      </c>
      <c r="Q72" s="9">
        <f>COUNTIF('ISS Placements'!B:B,A72)</f>
        <v>0</v>
      </c>
      <c r="R72" s="10" t="str">
        <f>IF(COUNTIF('ISS Placements'!B:B,A72)&gt;0,_xludf.MAXIFS('ISS Placements'!J:J,'ISS Placements'!B:B,A72),"")</f>
        <v/>
      </c>
      <c r="S72" s="9" t="str">
        <f>IF(A72="","",IF(COUNTIFS('Re-Entry Checklist'!C:C,A72,'Re-Entry Checklist'!Y:Y,"✅ READY")&gt;0,"Yes","No"))</f>
        <v/>
      </c>
      <c r="T72" s="7"/>
      <c r="U72" s="7"/>
    </row>
    <row r="73" spans="1:21" s="1" customFormat="1" ht="18" customHeight="1" x14ac:dyDescent="0.45">
      <c r="A73" s="5"/>
      <c r="B73" s="5"/>
      <c r="C73" s="5"/>
      <c r="D73" s="5"/>
      <c r="E73" s="5"/>
      <c r="F73" s="5"/>
      <c r="G73" s="5"/>
      <c r="H73" s="5"/>
      <c r="I73" s="5"/>
      <c r="J73" s="5"/>
      <c r="K73" s="5"/>
      <c r="L73" s="5"/>
      <c r="M73" s="5"/>
      <c r="N73" s="9">
        <f>COUNTIF('ISS Placements'!B:B,A73)</f>
        <v>0</v>
      </c>
      <c r="O73" s="9">
        <f>SUMIF('ISS Placements'!B$4:B$203,A73,'ISS Placements'!L$4:L$203)</f>
        <v>0</v>
      </c>
      <c r="P73" s="9" t="str">
        <f>IF(COUNTIFS('ISS Placements'!B:B,A73,'ISS Placements'!O:O,"")&gt;0,"YES","No")</f>
        <v>No</v>
      </c>
      <c r="Q73" s="9">
        <f>COUNTIF('ISS Placements'!B:B,A73)</f>
        <v>0</v>
      </c>
      <c r="R73" s="10" t="str">
        <f>IF(COUNTIF('ISS Placements'!B:B,A73)&gt;0,_xludf.MAXIFS('ISS Placements'!J:J,'ISS Placements'!B:B,A73),"")</f>
        <v/>
      </c>
      <c r="S73" s="9" t="str">
        <f>IF(A73="","",IF(COUNTIFS('Re-Entry Checklist'!C:C,A73,'Re-Entry Checklist'!Y:Y,"✅ READY")&gt;0,"Yes","No"))</f>
        <v/>
      </c>
      <c r="T73" s="5"/>
      <c r="U73" s="5"/>
    </row>
    <row r="74" spans="1:21" s="1" customFormat="1" ht="18" customHeight="1" x14ac:dyDescent="0.45">
      <c r="A74" s="7"/>
      <c r="B74" s="7"/>
      <c r="C74" s="7"/>
      <c r="D74" s="7"/>
      <c r="E74" s="7"/>
      <c r="F74" s="7"/>
      <c r="G74" s="7"/>
      <c r="H74" s="7"/>
      <c r="I74" s="7"/>
      <c r="J74" s="7"/>
      <c r="K74" s="7"/>
      <c r="L74" s="7"/>
      <c r="M74" s="7"/>
      <c r="N74" s="9">
        <f>COUNTIF('ISS Placements'!B:B,A74)</f>
        <v>0</v>
      </c>
      <c r="O74" s="9">
        <f>SUMIF('ISS Placements'!B$4:B$203,A74,'ISS Placements'!L$4:L$203)</f>
        <v>0</v>
      </c>
      <c r="P74" s="9" t="str">
        <f>IF(COUNTIFS('ISS Placements'!B:B,A74,'ISS Placements'!O:O,"")&gt;0,"YES","No")</f>
        <v>No</v>
      </c>
      <c r="Q74" s="9">
        <f>COUNTIF('ISS Placements'!B:B,A74)</f>
        <v>0</v>
      </c>
      <c r="R74" s="10" t="str">
        <f>IF(COUNTIF('ISS Placements'!B:B,A74)&gt;0,_xludf.MAXIFS('ISS Placements'!J:J,'ISS Placements'!B:B,A74),"")</f>
        <v/>
      </c>
      <c r="S74" s="9" t="str">
        <f>IF(A74="","",IF(COUNTIFS('Re-Entry Checklist'!C:C,A74,'Re-Entry Checklist'!Y:Y,"✅ READY")&gt;0,"Yes","No"))</f>
        <v/>
      </c>
      <c r="T74" s="7"/>
      <c r="U74" s="7"/>
    </row>
    <row r="75" spans="1:21" s="1" customFormat="1" ht="18" customHeight="1" x14ac:dyDescent="0.45">
      <c r="A75" s="5"/>
      <c r="B75" s="5"/>
      <c r="C75" s="5"/>
      <c r="D75" s="5"/>
      <c r="E75" s="5"/>
      <c r="F75" s="5"/>
      <c r="G75" s="5"/>
      <c r="H75" s="5"/>
      <c r="I75" s="5"/>
      <c r="J75" s="5"/>
      <c r="K75" s="5"/>
      <c r="L75" s="5"/>
      <c r="M75" s="5"/>
      <c r="N75" s="9">
        <f>COUNTIF('ISS Placements'!B:B,A75)</f>
        <v>0</v>
      </c>
      <c r="O75" s="9">
        <f>SUMIF('ISS Placements'!B$4:B$203,A75,'ISS Placements'!L$4:L$203)</f>
        <v>0</v>
      </c>
      <c r="P75" s="9" t="str">
        <f>IF(COUNTIFS('ISS Placements'!B:B,A75,'ISS Placements'!O:O,"")&gt;0,"YES","No")</f>
        <v>No</v>
      </c>
      <c r="Q75" s="9">
        <f>COUNTIF('ISS Placements'!B:B,A75)</f>
        <v>0</v>
      </c>
      <c r="R75" s="10" t="str">
        <f>IF(COUNTIF('ISS Placements'!B:B,A75)&gt;0,_xludf.MAXIFS('ISS Placements'!J:J,'ISS Placements'!B:B,A75),"")</f>
        <v/>
      </c>
      <c r="S75" s="9" t="str">
        <f>IF(A75="","",IF(COUNTIFS('Re-Entry Checklist'!C:C,A75,'Re-Entry Checklist'!Y:Y,"✅ READY")&gt;0,"Yes","No"))</f>
        <v/>
      </c>
      <c r="T75" s="5"/>
      <c r="U75" s="5"/>
    </row>
    <row r="76" spans="1:21" s="1" customFormat="1" ht="18" customHeight="1" x14ac:dyDescent="0.45">
      <c r="A76" s="7"/>
      <c r="B76" s="7"/>
      <c r="C76" s="7"/>
      <c r="D76" s="7"/>
      <c r="E76" s="7"/>
      <c r="F76" s="7"/>
      <c r="G76" s="7"/>
      <c r="H76" s="7"/>
      <c r="I76" s="7"/>
      <c r="J76" s="7"/>
      <c r="K76" s="7"/>
      <c r="L76" s="7"/>
      <c r="M76" s="7"/>
      <c r="N76" s="9">
        <f>COUNTIF('ISS Placements'!B:B,A76)</f>
        <v>0</v>
      </c>
      <c r="O76" s="9">
        <f>SUMIF('ISS Placements'!B$4:B$203,A76,'ISS Placements'!L$4:L$203)</f>
        <v>0</v>
      </c>
      <c r="P76" s="9" t="str">
        <f>IF(COUNTIFS('ISS Placements'!B:B,A76,'ISS Placements'!O:O,"")&gt;0,"YES","No")</f>
        <v>No</v>
      </c>
      <c r="Q76" s="9">
        <f>COUNTIF('ISS Placements'!B:B,A76)</f>
        <v>0</v>
      </c>
      <c r="R76" s="10" t="str">
        <f>IF(COUNTIF('ISS Placements'!B:B,A76)&gt;0,_xludf.MAXIFS('ISS Placements'!J:J,'ISS Placements'!B:B,A76),"")</f>
        <v/>
      </c>
      <c r="S76" s="9" t="str">
        <f>IF(A76="","",IF(COUNTIFS('Re-Entry Checklist'!C:C,A76,'Re-Entry Checklist'!Y:Y,"✅ READY")&gt;0,"Yes","No"))</f>
        <v/>
      </c>
      <c r="T76" s="7"/>
      <c r="U76" s="7"/>
    </row>
    <row r="77" spans="1:21" s="1" customFormat="1" ht="18" customHeight="1" x14ac:dyDescent="0.45">
      <c r="A77" s="5"/>
      <c r="B77" s="5"/>
      <c r="C77" s="5"/>
      <c r="D77" s="5"/>
      <c r="E77" s="5"/>
      <c r="F77" s="5"/>
      <c r="G77" s="5"/>
      <c r="H77" s="5"/>
      <c r="I77" s="5"/>
      <c r="J77" s="5"/>
      <c r="K77" s="5"/>
      <c r="L77" s="5"/>
      <c r="M77" s="5"/>
      <c r="N77" s="9">
        <f>COUNTIF('ISS Placements'!B:B,A77)</f>
        <v>0</v>
      </c>
      <c r="O77" s="9">
        <f>SUMIF('ISS Placements'!B$4:B$203,A77,'ISS Placements'!L$4:L$203)</f>
        <v>0</v>
      </c>
      <c r="P77" s="9" t="str">
        <f>IF(COUNTIFS('ISS Placements'!B:B,A77,'ISS Placements'!O:O,"")&gt;0,"YES","No")</f>
        <v>No</v>
      </c>
      <c r="Q77" s="9">
        <f>COUNTIF('ISS Placements'!B:B,A77)</f>
        <v>0</v>
      </c>
      <c r="R77" s="10" t="str">
        <f>IF(COUNTIF('ISS Placements'!B:B,A77)&gt;0,_xludf.MAXIFS('ISS Placements'!J:J,'ISS Placements'!B:B,A77),"")</f>
        <v/>
      </c>
      <c r="S77" s="9" t="str">
        <f>IF(A77="","",IF(COUNTIFS('Re-Entry Checklist'!C:C,A77,'Re-Entry Checklist'!Y:Y,"✅ READY")&gt;0,"Yes","No"))</f>
        <v/>
      </c>
      <c r="T77" s="5"/>
      <c r="U77" s="5"/>
    </row>
    <row r="78" spans="1:21" s="1" customFormat="1" ht="18" customHeight="1" x14ac:dyDescent="0.45">
      <c r="A78" s="7"/>
      <c r="B78" s="7"/>
      <c r="C78" s="7"/>
      <c r="D78" s="7"/>
      <c r="E78" s="7"/>
      <c r="F78" s="7"/>
      <c r="G78" s="7"/>
      <c r="H78" s="7"/>
      <c r="I78" s="7"/>
      <c r="J78" s="7"/>
      <c r="K78" s="7"/>
      <c r="L78" s="7"/>
      <c r="M78" s="7"/>
      <c r="N78" s="9">
        <f>COUNTIF('ISS Placements'!B:B,A78)</f>
        <v>0</v>
      </c>
      <c r="O78" s="9">
        <f>SUMIF('ISS Placements'!B$4:B$203,A78,'ISS Placements'!L$4:L$203)</f>
        <v>0</v>
      </c>
      <c r="P78" s="9" t="str">
        <f>IF(COUNTIFS('ISS Placements'!B:B,A78,'ISS Placements'!O:O,"")&gt;0,"YES","No")</f>
        <v>No</v>
      </c>
      <c r="Q78" s="9">
        <f>COUNTIF('ISS Placements'!B:B,A78)</f>
        <v>0</v>
      </c>
      <c r="R78" s="10" t="str">
        <f>IF(COUNTIF('ISS Placements'!B:B,A78)&gt;0,_xludf.MAXIFS('ISS Placements'!J:J,'ISS Placements'!B:B,A78),"")</f>
        <v/>
      </c>
      <c r="S78" s="9" t="str">
        <f>IF(A78="","",IF(COUNTIFS('Re-Entry Checklist'!C:C,A78,'Re-Entry Checklist'!Y:Y,"✅ READY")&gt;0,"Yes","No"))</f>
        <v/>
      </c>
      <c r="T78" s="7"/>
      <c r="U78" s="7"/>
    </row>
    <row r="79" spans="1:21" s="1" customFormat="1" ht="18" customHeight="1" x14ac:dyDescent="0.45">
      <c r="A79" s="5"/>
      <c r="B79" s="5"/>
      <c r="C79" s="5"/>
      <c r="D79" s="5"/>
      <c r="E79" s="5"/>
      <c r="F79" s="5"/>
      <c r="G79" s="5"/>
      <c r="H79" s="5"/>
      <c r="I79" s="5"/>
      <c r="J79" s="5"/>
      <c r="K79" s="5"/>
      <c r="L79" s="5"/>
      <c r="M79" s="5"/>
      <c r="N79" s="9">
        <f>COUNTIF('ISS Placements'!B:B,A79)</f>
        <v>0</v>
      </c>
      <c r="O79" s="9">
        <f>SUMIF('ISS Placements'!B$4:B$203,A79,'ISS Placements'!L$4:L$203)</f>
        <v>0</v>
      </c>
      <c r="P79" s="9" t="str">
        <f>IF(COUNTIFS('ISS Placements'!B:B,A79,'ISS Placements'!O:O,"")&gt;0,"YES","No")</f>
        <v>No</v>
      </c>
      <c r="Q79" s="9">
        <f>COUNTIF('ISS Placements'!B:B,A79)</f>
        <v>0</v>
      </c>
      <c r="R79" s="10" t="str">
        <f>IF(COUNTIF('ISS Placements'!B:B,A79)&gt;0,_xludf.MAXIFS('ISS Placements'!J:J,'ISS Placements'!B:B,A79),"")</f>
        <v/>
      </c>
      <c r="S79" s="9" t="str">
        <f>IF(A79="","",IF(COUNTIFS('Re-Entry Checklist'!C:C,A79,'Re-Entry Checklist'!Y:Y,"✅ READY")&gt;0,"Yes","No"))</f>
        <v/>
      </c>
      <c r="T79" s="5"/>
      <c r="U79" s="5"/>
    </row>
    <row r="80" spans="1:21" s="1" customFormat="1" ht="18" customHeight="1" x14ac:dyDescent="0.45">
      <c r="A80" s="7"/>
      <c r="B80" s="7"/>
      <c r="C80" s="7"/>
      <c r="D80" s="7"/>
      <c r="E80" s="7"/>
      <c r="F80" s="7"/>
      <c r="G80" s="7"/>
      <c r="H80" s="7"/>
      <c r="I80" s="7"/>
      <c r="J80" s="7"/>
      <c r="K80" s="7"/>
      <c r="L80" s="7"/>
      <c r="M80" s="7"/>
      <c r="N80" s="9">
        <f>COUNTIF('ISS Placements'!B:B,A80)</f>
        <v>0</v>
      </c>
      <c r="O80" s="9">
        <f>SUMIF('ISS Placements'!B$4:B$203,A80,'ISS Placements'!L$4:L$203)</f>
        <v>0</v>
      </c>
      <c r="P80" s="9" t="str">
        <f>IF(COUNTIFS('ISS Placements'!B:B,A80,'ISS Placements'!O:O,"")&gt;0,"YES","No")</f>
        <v>No</v>
      </c>
      <c r="Q80" s="9">
        <f>COUNTIF('ISS Placements'!B:B,A80)</f>
        <v>0</v>
      </c>
      <c r="R80" s="10" t="str">
        <f>IF(COUNTIF('ISS Placements'!B:B,A80)&gt;0,_xludf.MAXIFS('ISS Placements'!J:J,'ISS Placements'!B:B,A80),"")</f>
        <v/>
      </c>
      <c r="S80" s="9" t="str">
        <f>IF(A80="","",IF(COUNTIFS('Re-Entry Checklist'!C:C,A80,'Re-Entry Checklist'!Y:Y,"✅ READY")&gt;0,"Yes","No"))</f>
        <v/>
      </c>
      <c r="T80" s="7"/>
      <c r="U80" s="7"/>
    </row>
    <row r="81" spans="1:21" s="1" customFormat="1" ht="18" customHeight="1" x14ac:dyDescent="0.45">
      <c r="A81" s="5"/>
      <c r="B81" s="5"/>
      <c r="C81" s="5"/>
      <c r="D81" s="5"/>
      <c r="E81" s="5"/>
      <c r="F81" s="5"/>
      <c r="G81" s="5"/>
      <c r="H81" s="5"/>
      <c r="I81" s="5"/>
      <c r="J81" s="5"/>
      <c r="K81" s="5"/>
      <c r="L81" s="5"/>
      <c r="M81" s="5"/>
      <c r="N81" s="9">
        <f>COUNTIF('ISS Placements'!B:B,A81)</f>
        <v>0</v>
      </c>
      <c r="O81" s="9">
        <f>SUMIF('ISS Placements'!B$4:B$203,A81,'ISS Placements'!L$4:L$203)</f>
        <v>0</v>
      </c>
      <c r="P81" s="9" t="str">
        <f>IF(COUNTIFS('ISS Placements'!B:B,A81,'ISS Placements'!O:O,"")&gt;0,"YES","No")</f>
        <v>No</v>
      </c>
      <c r="Q81" s="9">
        <f>COUNTIF('ISS Placements'!B:B,A81)</f>
        <v>0</v>
      </c>
      <c r="R81" s="10" t="str">
        <f>IF(COUNTIF('ISS Placements'!B:B,A81)&gt;0,_xludf.MAXIFS('ISS Placements'!J:J,'ISS Placements'!B:B,A81),"")</f>
        <v/>
      </c>
      <c r="S81" s="9" t="str">
        <f>IF(A81="","",IF(COUNTIFS('Re-Entry Checklist'!C:C,A81,'Re-Entry Checklist'!Y:Y,"✅ READY")&gt;0,"Yes","No"))</f>
        <v/>
      </c>
      <c r="T81" s="5"/>
      <c r="U81" s="5"/>
    </row>
    <row r="82" spans="1:21" s="1" customFormat="1" ht="18" customHeight="1" x14ac:dyDescent="0.45">
      <c r="A82" s="7"/>
      <c r="B82" s="7"/>
      <c r="C82" s="7"/>
      <c r="D82" s="7"/>
      <c r="E82" s="7"/>
      <c r="F82" s="7"/>
      <c r="G82" s="7"/>
      <c r="H82" s="7"/>
      <c r="I82" s="7"/>
      <c r="J82" s="7"/>
      <c r="K82" s="7"/>
      <c r="L82" s="7"/>
      <c r="M82" s="7"/>
      <c r="N82" s="9">
        <f>COUNTIF('ISS Placements'!B:B,A82)</f>
        <v>0</v>
      </c>
      <c r="O82" s="9">
        <f>SUMIF('ISS Placements'!B$4:B$203,A82,'ISS Placements'!L$4:L$203)</f>
        <v>0</v>
      </c>
      <c r="P82" s="9" t="str">
        <f>IF(COUNTIFS('ISS Placements'!B:B,A82,'ISS Placements'!O:O,"")&gt;0,"YES","No")</f>
        <v>No</v>
      </c>
      <c r="Q82" s="9">
        <f>COUNTIF('ISS Placements'!B:B,A82)</f>
        <v>0</v>
      </c>
      <c r="R82" s="10" t="str">
        <f>IF(COUNTIF('ISS Placements'!B:B,A82)&gt;0,_xludf.MAXIFS('ISS Placements'!J:J,'ISS Placements'!B:B,A82),"")</f>
        <v/>
      </c>
      <c r="S82" s="9" t="str">
        <f>IF(A82="","",IF(COUNTIFS('Re-Entry Checklist'!C:C,A82,'Re-Entry Checklist'!Y:Y,"✅ READY")&gt;0,"Yes","No"))</f>
        <v/>
      </c>
      <c r="T82" s="7"/>
      <c r="U82" s="7"/>
    </row>
    <row r="83" spans="1:21" s="1" customFormat="1" ht="18" customHeight="1" x14ac:dyDescent="0.45">
      <c r="A83" s="5"/>
      <c r="B83" s="5"/>
      <c r="C83" s="5"/>
      <c r="D83" s="5"/>
      <c r="E83" s="5"/>
      <c r="F83" s="5"/>
      <c r="G83" s="5"/>
      <c r="H83" s="5"/>
      <c r="I83" s="5"/>
      <c r="J83" s="5"/>
      <c r="K83" s="5"/>
      <c r="L83" s="5"/>
      <c r="M83" s="5"/>
      <c r="N83" s="9">
        <f>COUNTIF('ISS Placements'!B:B,A83)</f>
        <v>0</v>
      </c>
      <c r="O83" s="9">
        <f>SUMIF('ISS Placements'!B$4:B$203,A83,'ISS Placements'!L$4:L$203)</f>
        <v>0</v>
      </c>
      <c r="P83" s="9" t="str">
        <f>IF(COUNTIFS('ISS Placements'!B:B,A83,'ISS Placements'!O:O,"")&gt;0,"YES","No")</f>
        <v>No</v>
      </c>
      <c r="Q83" s="9">
        <f>COUNTIF('ISS Placements'!B:B,A83)</f>
        <v>0</v>
      </c>
      <c r="R83" s="10" t="str">
        <f>IF(COUNTIF('ISS Placements'!B:B,A83)&gt;0,_xludf.MAXIFS('ISS Placements'!J:J,'ISS Placements'!B:B,A83),"")</f>
        <v/>
      </c>
      <c r="S83" s="9" t="str">
        <f>IF(A83="","",IF(COUNTIFS('Re-Entry Checklist'!C:C,A83,'Re-Entry Checklist'!Y:Y,"✅ READY")&gt;0,"Yes","No"))</f>
        <v/>
      </c>
      <c r="T83" s="5"/>
      <c r="U83" s="5"/>
    </row>
    <row r="84" spans="1:21" s="1" customFormat="1" ht="18" customHeight="1" x14ac:dyDescent="0.45">
      <c r="A84" s="7"/>
      <c r="B84" s="7"/>
      <c r="C84" s="7"/>
      <c r="D84" s="7"/>
      <c r="E84" s="7"/>
      <c r="F84" s="7"/>
      <c r="G84" s="7"/>
      <c r="H84" s="7"/>
      <c r="I84" s="7"/>
      <c r="J84" s="7"/>
      <c r="K84" s="7"/>
      <c r="L84" s="7"/>
      <c r="M84" s="7"/>
      <c r="N84" s="9">
        <f>COUNTIF('ISS Placements'!B:B,A84)</f>
        <v>0</v>
      </c>
      <c r="O84" s="9">
        <f>SUMIF('ISS Placements'!B$4:B$203,A84,'ISS Placements'!L$4:L$203)</f>
        <v>0</v>
      </c>
      <c r="P84" s="9" t="str">
        <f>IF(COUNTIFS('ISS Placements'!B:B,A84,'ISS Placements'!O:O,"")&gt;0,"YES","No")</f>
        <v>No</v>
      </c>
      <c r="Q84" s="9">
        <f>COUNTIF('ISS Placements'!B:B,A84)</f>
        <v>0</v>
      </c>
      <c r="R84" s="10" t="str">
        <f>IF(COUNTIF('ISS Placements'!B:B,A84)&gt;0,_xludf.MAXIFS('ISS Placements'!J:J,'ISS Placements'!B:B,A84),"")</f>
        <v/>
      </c>
      <c r="S84" s="9" t="str">
        <f>IF(A84="","",IF(COUNTIFS('Re-Entry Checklist'!C:C,A84,'Re-Entry Checklist'!Y:Y,"✅ READY")&gt;0,"Yes","No"))</f>
        <v/>
      </c>
      <c r="T84" s="7"/>
      <c r="U84" s="7"/>
    </row>
    <row r="85" spans="1:21" s="1" customFormat="1" ht="18" customHeight="1" x14ac:dyDescent="0.45">
      <c r="A85" s="5"/>
      <c r="B85" s="5"/>
      <c r="C85" s="5"/>
      <c r="D85" s="5"/>
      <c r="E85" s="5"/>
      <c r="F85" s="5"/>
      <c r="G85" s="5"/>
      <c r="H85" s="5"/>
      <c r="I85" s="5"/>
      <c r="J85" s="5"/>
      <c r="K85" s="5"/>
      <c r="L85" s="5"/>
      <c r="M85" s="5"/>
      <c r="N85" s="9">
        <f>COUNTIF('ISS Placements'!B:B,A85)</f>
        <v>0</v>
      </c>
      <c r="O85" s="9">
        <f>SUMIF('ISS Placements'!B$4:B$203,A85,'ISS Placements'!L$4:L$203)</f>
        <v>0</v>
      </c>
      <c r="P85" s="9" t="str">
        <f>IF(COUNTIFS('ISS Placements'!B:B,A85,'ISS Placements'!O:O,"")&gt;0,"YES","No")</f>
        <v>No</v>
      </c>
      <c r="Q85" s="9">
        <f>COUNTIF('ISS Placements'!B:B,A85)</f>
        <v>0</v>
      </c>
      <c r="R85" s="10" t="str">
        <f>IF(COUNTIF('ISS Placements'!B:B,A85)&gt;0,_xludf.MAXIFS('ISS Placements'!J:J,'ISS Placements'!B:B,A85),"")</f>
        <v/>
      </c>
      <c r="S85" s="9" t="str">
        <f>IF(A85="","",IF(COUNTIFS('Re-Entry Checklist'!C:C,A85,'Re-Entry Checklist'!Y:Y,"✅ READY")&gt;0,"Yes","No"))</f>
        <v/>
      </c>
      <c r="T85" s="5"/>
      <c r="U85" s="5"/>
    </row>
    <row r="86" spans="1:21" s="1" customFormat="1" ht="18" customHeight="1" x14ac:dyDescent="0.45">
      <c r="A86" s="7"/>
      <c r="B86" s="7"/>
      <c r="C86" s="7"/>
      <c r="D86" s="7"/>
      <c r="E86" s="7"/>
      <c r="F86" s="7"/>
      <c r="G86" s="7"/>
      <c r="H86" s="7"/>
      <c r="I86" s="7"/>
      <c r="J86" s="7"/>
      <c r="K86" s="7"/>
      <c r="L86" s="7"/>
      <c r="M86" s="7"/>
      <c r="N86" s="9">
        <f>COUNTIF('ISS Placements'!B:B,A86)</f>
        <v>0</v>
      </c>
      <c r="O86" s="9">
        <f>SUMIF('ISS Placements'!B$4:B$203,A86,'ISS Placements'!L$4:L$203)</f>
        <v>0</v>
      </c>
      <c r="P86" s="9" t="str">
        <f>IF(COUNTIFS('ISS Placements'!B:B,A86,'ISS Placements'!O:O,"")&gt;0,"YES","No")</f>
        <v>No</v>
      </c>
      <c r="Q86" s="9">
        <f>COUNTIF('ISS Placements'!B:B,A86)</f>
        <v>0</v>
      </c>
      <c r="R86" s="10" t="str">
        <f>IF(COUNTIF('ISS Placements'!B:B,A86)&gt;0,_xludf.MAXIFS('ISS Placements'!J:J,'ISS Placements'!B:B,A86),"")</f>
        <v/>
      </c>
      <c r="S86" s="9" t="str">
        <f>IF(A86="","",IF(COUNTIFS('Re-Entry Checklist'!C:C,A86,'Re-Entry Checklist'!Y:Y,"✅ READY")&gt;0,"Yes","No"))</f>
        <v/>
      </c>
      <c r="T86" s="7"/>
      <c r="U86" s="7"/>
    </row>
    <row r="87" spans="1:21" s="1" customFormat="1" ht="18" customHeight="1" x14ac:dyDescent="0.45">
      <c r="A87" s="5"/>
      <c r="B87" s="5"/>
      <c r="C87" s="5"/>
      <c r="D87" s="5"/>
      <c r="E87" s="5"/>
      <c r="F87" s="5"/>
      <c r="G87" s="5"/>
      <c r="H87" s="5"/>
      <c r="I87" s="5"/>
      <c r="J87" s="5"/>
      <c r="K87" s="5"/>
      <c r="L87" s="5"/>
      <c r="M87" s="5"/>
      <c r="N87" s="9">
        <f>COUNTIF('ISS Placements'!B:B,A87)</f>
        <v>0</v>
      </c>
      <c r="O87" s="9">
        <f>SUMIF('ISS Placements'!B$4:B$203,A87,'ISS Placements'!L$4:L$203)</f>
        <v>0</v>
      </c>
      <c r="P87" s="9" t="str">
        <f>IF(COUNTIFS('ISS Placements'!B:B,A87,'ISS Placements'!O:O,"")&gt;0,"YES","No")</f>
        <v>No</v>
      </c>
      <c r="Q87" s="9">
        <f>COUNTIF('ISS Placements'!B:B,A87)</f>
        <v>0</v>
      </c>
      <c r="R87" s="10" t="str">
        <f>IF(COUNTIF('ISS Placements'!B:B,A87)&gt;0,_xludf.MAXIFS('ISS Placements'!J:J,'ISS Placements'!B:B,A87),"")</f>
        <v/>
      </c>
      <c r="S87" s="9" t="str">
        <f>IF(A87="","",IF(COUNTIFS('Re-Entry Checklist'!C:C,A87,'Re-Entry Checklist'!Y:Y,"✅ READY")&gt;0,"Yes","No"))</f>
        <v/>
      </c>
      <c r="T87" s="5"/>
      <c r="U87" s="5"/>
    </row>
    <row r="88" spans="1:21" s="1" customFormat="1" ht="18" customHeight="1" x14ac:dyDescent="0.45">
      <c r="A88" s="7"/>
      <c r="B88" s="7"/>
      <c r="C88" s="7"/>
      <c r="D88" s="7"/>
      <c r="E88" s="7"/>
      <c r="F88" s="7"/>
      <c r="G88" s="7"/>
      <c r="H88" s="7"/>
      <c r="I88" s="7"/>
      <c r="J88" s="7"/>
      <c r="K88" s="7"/>
      <c r="L88" s="7"/>
      <c r="M88" s="7"/>
      <c r="N88" s="9">
        <f>COUNTIF('ISS Placements'!B:B,A88)</f>
        <v>0</v>
      </c>
      <c r="O88" s="9">
        <f>SUMIF('ISS Placements'!B$4:B$203,A88,'ISS Placements'!L$4:L$203)</f>
        <v>0</v>
      </c>
      <c r="P88" s="9" t="str">
        <f>IF(COUNTIFS('ISS Placements'!B:B,A88,'ISS Placements'!O:O,"")&gt;0,"YES","No")</f>
        <v>No</v>
      </c>
      <c r="Q88" s="9">
        <f>COUNTIF('ISS Placements'!B:B,A88)</f>
        <v>0</v>
      </c>
      <c r="R88" s="10" t="str">
        <f>IF(COUNTIF('ISS Placements'!B:B,A88)&gt;0,_xludf.MAXIFS('ISS Placements'!J:J,'ISS Placements'!B:B,A88),"")</f>
        <v/>
      </c>
      <c r="S88" s="9" t="str">
        <f>IF(A88="","",IF(COUNTIFS('Re-Entry Checklist'!C:C,A88,'Re-Entry Checklist'!Y:Y,"✅ READY")&gt;0,"Yes","No"))</f>
        <v/>
      </c>
      <c r="T88" s="7"/>
      <c r="U88" s="7"/>
    </row>
    <row r="89" spans="1:21" s="1" customFormat="1" ht="18" customHeight="1" x14ac:dyDescent="0.45">
      <c r="A89" s="5"/>
      <c r="B89" s="5"/>
      <c r="C89" s="5"/>
      <c r="D89" s="5"/>
      <c r="E89" s="5"/>
      <c r="F89" s="5"/>
      <c r="G89" s="5"/>
      <c r="H89" s="5"/>
      <c r="I89" s="5"/>
      <c r="J89" s="5"/>
      <c r="K89" s="5"/>
      <c r="L89" s="5"/>
      <c r="M89" s="5"/>
      <c r="N89" s="9">
        <f>COUNTIF('ISS Placements'!B:B,A89)</f>
        <v>0</v>
      </c>
      <c r="O89" s="9">
        <f>SUMIF('ISS Placements'!B$4:B$203,A89,'ISS Placements'!L$4:L$203)</f>
        <v>0</v>
      </c>
      <c r="P89" s="9" t="str">
        <f>IF(COUNTIFS('ISS Placements'!B:B,A89,'ISS Placements'!O:O,"")&gt;0,"YES","No")</f>
        <v>No</v>
      </c>
      <c r="Q89" s="9">
        <f>COUNTIF('ISS Placements'!B:B,A89)</f>
        <v>0</v>
      </c>
      <c r="R89" s="10" t="str">
        <f>IF(COUNTIF('ISS Placements'!B:B,A89)&gt;0,_xludf.MAXIFS('ISS Placements'!J:J,'ISS Placements'!B:B,A89),"")</f>
        <v/>
      </c>
      <c r="S89" s="9" t="str">
        <f>IF(A89="","",IF(COUNTIFS('Re-Entry Checklist'!C:C,A89,'Re-Entry Checklist'!Y:Y,"✅ READY")&gt;0,"Yes","No"))</f>
        <v/>
      </c>
      <c r="T89" s="5"/>
      <c r="U89" s="5"/>
    </row>
    <row r="90" spans="1:21" s="1" customFormat="1" ht="18" customHeight="1" x14ac:dyDescent="0.45">
      <c r="A90" s="7"/>
      <c r="B90" s="7"/>
      <c r="C90" s="7"/>
      <c r="D90" s="7"/>
      <c r="E90" s="7"/>
      <c r="F90" s="7"/>
      <c r="G90" s="7"/>
      <c r="H90" s="7"/>
      <c r="I90" s="7"/>
      <c r="J90" s="7"/>
      <c r="K90" s="7"/>
      <c r="L90" s="7"/>
      <c r="M90" s="7"/>
      <c r="N90" s="9">
        <f>COUNTIF('ISS Placements'!B:B,A90)</f>
        <v>0</v>
      </c>
      <c r="O90" s="9">
        <f>SUMIF('ISS Placements'!B$4:B$203,A90,'ISS Placements'!L$4:L$203)</f>
        <v>0</v>
      </c>
      <c r="P90" s="9" t="str">
        <f>IF(COUNTIFS('ISS Placements'!B:B,A90,'ISS Placements'!O:O,"")&gt;0,"YES","No")</f>
        <v>No</v>
      </c>
      <c r="Q90" s="9">
        <f>COUNTIF('ISS Placements'!B:B,A90)</f>
        <v>0</v>
      </c>
      <c r="R90" s="10" t="str">
        <f>IF(COUNTIF('ISS Placements'!B:B,A90)&gt;0,_xludf.MAXIFS('ISS Placements'!J:J,'ISS Placements'!B:B,A90),"")</f>
        <v/>
      </c>
      <c r="S90" s="9" t="str">
        <f>IF(A90="","",IF(COUNTIFS('Re-Entry Checklist'!C:C,A90,'Re-Entry Checklist'!Y:Y,"✅ READY")&gt;0,"Yes","No"))</f>
        <v/>
      </c>
      <c r="T90" s="7"/>
      <c r="U90" s="7"/>
    </row>
    <row r="91" spans="1:21" s="1" customFormat="1" ht="18" customHeight="1" x14ac:dyDescent="0.45">
      <c r="A91" s="5"/>
      <c r="B91" s="5"/>
      <c r="C91" s="5"/>
      <c r="D91" s="5"/>
      <c r="E91" s="5"/>
      <c r="F91" s="5"/>
      <c r="G91" s="5"/>
      <c r="H91" s="5"/>
      <c r="I91" s="5"/>
      <c r="J91" s="5"/>
      <c r="K91" s="5"/>
      <c r="L91" s="5"/>
      <c r="M91" s="5"/>
      <c r="N91" s="9">
        <f>COUNTIF('ISS Placements'!B:B,A91)</f>
        <v>0</v>
      </c>
      <c r="O91" s="9">
        <f>SUMIF('ISS Placements'!B$4:B$203,A91,'ISS Placements'!L$4:L$203)</f>
        <v>0</v>
      </c>
      <c r="P91" s="9" t="str">
        <f>IF(COUNTIFS('ISS Placements'!B:B,A91,'ISS Placements'!O:O,"")&gt;0,"YES","No")</f>
        <v>No</v>
      </c>
      <c r="Q91" s="9">
        <f>COUNTIF('ISS Placements'!B:B,A91)</f>
        <v>0</v>
      </c>
      <c r="R91" s="10" t="str">
        <f>IF(COUNTIF('ISS Placements'!B:B,A91)&gt;0,_xludf.MAXIFS('ISS Placements'!J:J,'ISS Placements'!B:B,A91),"")</f>
        <v/>
      </c>
      <c r="S91" s="9" t="str">
        <f>IF(A91="","",IF(COUNTIFS('Re-Entry Checklist'!C:C,A91,'Re-Entry Checklist'!Y:Y,"✅ READY")&gt;0,"Yes","No"))</f>
        <v/>
      </c>
      <c r="T91" s="5"/>
      <c r="U91" s="5"/>
    </row>
    <row r="92" spans="1:21" s="1" customFormat="1" ht="18" customHeight="1" x14ac:dyDescent="0.45">
      <c r="A92" s="7"/>
      <c r="B92" s="7"/>
      <c r="C92" s="7"/>
      <c r="D92" s="7"/>
      <c r="E92" s="7"/>
      <c r="F92" s="7"/>
      <c r="G92" s="7"/>
      <c r="H92" s="7"/>
      <c r="I92" s="7"/>
      <c r="J92" s="7"/>
      <c r="K92" s="7"/>
      <c r="L92" s="7"/>
      <c r="M92" s="7"/>
      <c r="N92" s="9">
        <f>COUNTIF('ISS Placements'!B:B,A92)</f>
        <v>0</v>
      </c>
      <c r="O92" s="9">
        <f>SUMIF('ISS Placements'!B$4:B$203,A92,'ISS Placements'!L$4:L$203)</f>
        <v>0</v>
      </c>
      <c r="P92" s="9" t="str">
        <f>IF(COUNTIFS('ISS Placements'!B:B,A92,'ISS Placements'!O:O,"")&gt;0,"YES","No")</f>
        <v>No</v>
      </c>
      <c r="Q92" s="9">
        <f>COUNTIF('ISS Placements'!B:B,A92)</f>
        <v>0</v>
      </c>
      <c r="R92" s="10" t="str">
        <f>IF(COUNTIF('ISS Placements'!B:B,A92)&gt;0,_xludf.MAXIFS('ISS Placements'!J:J,'ISS Placements'!B:B,A92),"")</f>
        <v/>
      </c>
      <c r="S92" s="9" t="str">
        <f>IF(A92="","",IF(COUNTIFS('Re-Entry Checklist'!C:C,A92,'Re-Entry Checklist'!Y:Y,"✅ READY")&gt;0,"Yes","No"))</f>
        <v/>
      </c>
      <c r="T92" s="7"/>
      <c r="U92" s="7"/>
    </row>
    <row r="93" spans="1:21" s="1" customFormat="1" ht="18" customHeight="1" x14ac:dyDescent="0.45">
      <c r="A93" s="5"/>
      <c r="B93" s="5"/>
      <c r="C93" s="5"/>
      <c r="D93" s="5"/>
      <c r="E93" s="5"/>
      <c r="F93" s="5"/>
      <c r="G93" s="5"/>
      <c r="H93" s="5"/>
      <c r="I93" s="5"/>
      <c r="J93" s="5"/>
      <c r="K93" s="5"/>
      <c r="L93" s="5"/>
      <c r="M93" s="5"/>
      <c r="N93" s="9">
        <f>COUNTIF('ISS Placements'!B:B,A93)</f>
        <v>0</v>
      </c>
      <c r="O93" s="9">
        <f>SUMIF('ISS Placements'!B$4:B$203,A93,'ISS Placements'!L$4:L$203)</f>
        <v>0</v>
      </c>
      <c r="P93" s="9" t="str">
        <f>IF(COUNTIFS('ISS Placements'!B:B,A93,'ISS Placements'!O:O,"")&gt;0,"YES","No")</f>
        <v>No</v>
      </c>
      <c r="Q93" s="9">
        <f>COUNTIF('ISS Placements'!B:B,A93)</f>
        <v>0</v>
      </c>
      <c r="R93" s="10" t="str">
        <f>IF(COUNTIF('ISS Placements'!B:B,A93)&gt;0,_xludf.MAXIFS('ISS Placements'!J:J,'ISS Placements'!B:B,A93),"")</f>
        <v/>
      </c>
      <c r="S93" s="9" t="str">
        <f>IF(A93="","",IF(COUNTIFS('Re-Entry Checklist'!C:C,A93,'Re-Entry Checklist'!Y:Y,"✅ READY")&gt;0,"Yes","No"))</f>
        <v/>
      </c>
      <c r="T93" s="5"/>
      <c r="U93" s="5"/>
    </row>
    <row r="94" spans="1:21" s="1" customFormat="1" ht="18" customHeight="1" x14ac:dyDescent="0.45">
      <c r="A94" s="7"/>
      <c r="B94" s="7"/>
      <c r="C94" s="7"/>
      <c r="D94" s="7"/>
      <c r="E94" s="7"/>
      <c r="F94" s="7"/>
      <c r="G94" s="7"/>
      <c r="H94" s="7"/>
      <c r="I94" s="7"/>
      <c r="J94" s="7"/>
      <c r="K94" s="7"/>
      <c r="L94" s="7"/>
      <c r="M94" s="7"/>
      <c r="N94" s="9">
        <f>COUNTIF('ISS Placements'!B:B,A94)</f>
        <v>0</v>
      </c>
      <c r="O94" s="9">
        <f>SUMIF('ISS Placements'!B$4:B$203,A94,'ISS Placements'!L$4:L$203)</f>
        <v>0</v>
      </c>
      <c r="P94" s="9" t="str">
        <f>IF(COUNTIFS('ISS Placements'!B:B,A94,'ISS Placements'!O:O,"")&gt;0,"YES","No")</f>
        <v>No</v>
      </c>
      <c r="Q94" s="9">
        <f>COUNTIF('ISS Placements'!B:B,A94)</f>
        <v>0</v>
      </c>
      <c r="R94" s="10" t="str">
        <f>IF(COUNTIF('ISS Placements'!B:B,A94)&gt;0,_xludf.MAXIFS('ISS Placements'!J:J,'ISS Placements'!B:B,A94),"")</f>
        <v/>
      </c>
      <c r="S94" s="9" t="str">
        <f>IF(A94="","",IF(COUNTIFS('Re-Entry Checklist'!C:C,A94,'Re-Entry Checklist'!Y:Y,"✅ READY")&gt;0,"Yes","No"))</f>
        <v/>
      </c>
      <c r="T94" s="7"/>
      <c r="U94" s="7"/>
    </row>
    <row r="95" spans="1:21" s="1" customFormat="1" ht="18" customHeight="1" x14ac:dyDescent="0.45">
      <c r="A95" s="5"/>
      <c r="B95" s="5"/>
      <c r="C95" s="5"/>
      <c r="D95" s="5"/>
      <c r="E95" s="5"/>
      <c r="F95" s="5"/>
      <c r="G95" s="5"/>
      <c r="H95" s="5"/>
      <c r="I95" s="5"/>
      <c r="J95" s="5"/>
      <c r="K95" s="5"/>
      <c r="L95" s="5"/>
      <c r="M95" s="5"/>
      <c r="N95" s="9">
        <f>COUNTIF('ISS Placements'!B:B,A95)</f>
        <v>0</v>
      </c>
      <c r="O95" s="9">
        <f>SUMIF('ISS Placements'!B$4:B$203,A95,'ISS Placements'!L$4:L$203)</f>
        <v>0</v>
      </c>
      <c r="P95" s="9" t="str">
        <f>IF(COUNTIFS('ISS Placements'!B:B,A95,'ISS Placements'!O:O,"")&gt;0,"YES","No")</f>
        <v>No</v>
      </c>
      <c r="Q95" s="9">
        <f>COUNTIF('ISS Placements'!B:B,A95)</f>
        <v>0</v>
      </c>
      <c r="R95" s="10" t="str">
        <f>IF(COUNTIF('ISS Placements'!B:B,A95)&gt;0,_xludf.MAXIFS('ISS Placements'!J:J,'ISS Placements'!B:B,A95),"")</f>
        <v/>
      </c>
      <c r="S95" s="9" t="str">
        <f>IF(A95="","",IF(COUNTIFS('Re-Entry Checklist'!C:C,A95,'Re-Entry Checklist'!Y:Y,"✅ READY")&gt;0,"Yes","No"))</f>
        <v/>
      </c>
      <c r="T95" s="5"/>
      <c r="U95" s="5"/>
    </row>
    <row r="96" spans="1:21" s="1" customFormat="1" ht="18" customHeight="1" x14ac:dyDescent="0.45">
      <c r="A96" s="7"/>
      <c r="B96" s="7"/>
      <c r="C96" s="7"/>
      <c r="D96" s="7"/>
      <c r="E96" s="7"/>
      <c r="F96" s="7"/>
      <c r="G96" s="7"/>
      <c r="H96" s="7"/>
      <c r="I96" s="7"/>
      <c r="J96" s="7"/>
      <c r="K96" s="7"/>
      <c r="L96" s="7"/>
      <c r="M96" s="7"/>
      <c r="N96" s="9">
        <f>COUNTIF('ISS Placements'!B:B,A96)</f>
        <v>0</v>
      </c>
      <c r="O96" s="9">
        <f>SUMIF('ISS Placements'!B$4:B$203,A96,'ISS Placements'!L$4:L$203)</f>
        <v>0</v>
      </c>
      <c r="P96" s="9" t="str">
        <f>IF(COUNTIFS('ISS Placements'!B:B,A96,'ISS Placements'!O:O,"")&gt;0,"YES","No")</f>
        <v>No</v>
      </c>
      <c r="Q96" s="9">
        <f>COUNTIF('ISS Placements'!B:B,A96)</f>
        <v>0</v>
      </c>
      <c r="R96" s="10" t="str">
        <f>IF(COUNTIF('ISS Placements'!B:B,A96)&gt;0,_xludf.MAXIFS('ISS Placements'!J:J,'ISS Placements'!B:B,A96),"")</f>
        <v/>
      </c>
      <c r="S96" s="9" t="str">
        <f>IF(A96="","",IF(COUNTIFS('Re-Entry Checklist'!C:C,A96,'Re-Entry Checklist'!Y:Y,"✅ READY")&gt;0,"Yes","No"))</f>
        <v/>
      </c>
      <c r="T96" s="7"/>
      <c r="U96" s="7"/>
    </row>
    <row r="97" spans="1:21" s="1" customFormat="1" ht="18" customHeight="1" x14ac:dyDescent="0.45">
      <c r="A97" s="5"/>
      <c r="B97" s="5"/>
      <c r="C97" s="5"/>
      <c r="D97" s="5"/>
      <c r="E97" s="5"/>
      <c r="F97" s="5"/>
      <c r="G97" s="5"/>
      <c r="H97" s="5"/>
      <c r="I97" s="5"/>
      <c r="J97" s="5"/>
      <c r="K97" s="5"/>
      <c r="L97" s="5"/>
      <c r="M97" s="5"/>
      <c r="N97" s="9">
        <f>COUNTIF('ISS Placements'!B:B,A97)</f>
        <v>0</v>
      </c>
      <c r="O97" s="9">
        <f>SUMIF('ISS Placements'!B$4:B$203,A97,'ISS Placements'!L$4:L$203)</f>
        <v>0</v>
      </c>
      <c r="P97" s="9" t="str">
        <f>IF(COUNTIFS('ISS Placements'!B:B,A97,'ISS Placements'!O:O,"")&gt;0,"YES","No")</f>
        <v>No</v>
      </c>
      <c r="Q97" s="9">
        <f>COUNTIF('ISS Placements'!B:B,A97)</f>
        <v>0</v>
      </c>
      <c r="R97" s="10" t="str">
        <f>IF(COUNTIF('ISS Placements'!B:B,A97)&gt;0,_xludf.MAXIFS('ISS Placements'!J:J,'ISS Placements'!B:B,A97),"")</f>
        <v/>
      </c>
      <c r="S97" s="9" t="str">
        <f>IF(A97="","",IF(COUNTIFS('Re-Entry Checklist'!C:C,A97,'Re-Entry Checklist'!Y:Y,"✅ READY")&gt;0,"Yes","No"))</f>
        <v/>
      </c>
      <c r="T97" s="5"/>
      <c r="U97" s="5"/>
    </row>
    <row r="98" spans="1:21" s="1" customFormat="1" ht="18" customHeight="1" x14ac:dyDescent="0.45">
      <c r="A98" s="7"/>
      <c r="B98" s="7"/>
      <c r="C98" s="7"/>
      <c r="D98" s="7"/>
      <c r="E98" s="7"/>
      <c r="F98" s="7"/>
      <c r="G98" s="7"/>
      <c r="H98" s="7"/>
      <c r="I98" s="7"/>
      <c r="J98" s="7"/>
      <c r="K98" s="7"/>
      <c r="L98" s="7"/>
      <c r="M98" s="7"/>
      <c r="N98" s="9">
        <f>COUNTIF('ISS Placements'!B:B,A98)</f>
        <v>0</v>
      </c>
      <c r="O98" s="9">
        <f>SUMIF('ISS Placements'!B$4:B$203,A98,'ISS Placements'!L$4:L$203)</f>
        <v>0</v>
      </c>
      <c r="P98" s="9" t="str">
        <f>IF(COUNTIFS('ISS Placements'!B:B,A98,'ISS Placements'!O:O,"")&gt;0,"YES","No")</f>
        <v>No</v>
      </c>
      <c r="Q98" s="9">
        <f>COUNTIF('ISS Placements'!B:B,A98)</f>
        <v>0</v>
      </c>
      <c r="R98" s="10" t="str">
        <f>IF(COUNTIF('ISS Placements'!B:B,A98)&gt;0,_xludf.MAXIFS('ISS Placements'!J:J,'ISS Placements'!B:B,A98),"")</f>
        <v/>
      </c>
      <c r="S98" s="9" t="str">
        <f>IF(A98="","",IF(COUNTIFS('Re-Entry Checklist'!C:C,A98,'Re-Entry Checklist'!Y:Y,"✅ READY")&gt;0,"Yes","No"))</f>
        <v/>
      </c>
      <c r="T98" s="7"/>
      <c r="U98" s="7"/>
    </row>
    <row r="99" spans="1:21" s="1" customFormat="1" ht="18" customHeight="1" x14ac:dyDescent="0.45">
      <c r="A99" s="5"/>
      <c r="B99" s="5"/>
      <c r="C99" s="5"/>
      <c r="D99" s="5"/>
      <c r="E99" s="5"/>
      <c r="F99" s="5"/>
      <c r="G99" s="5"/>
      <c r="H99" s="5"/>
      <c r="I99" s="5"/>
      <c r="J99" s="5"/>
      <c r="K99" s="5"/>
      <c r="L99" s="5"/>
      <c r="M99" s="5"/>
      <c r="N99" s="9">
        <f>COUNTIF('ISS Placements'!B:B,A99)</f>
        <v>0</v>
      </c>
      <c r="O99" s="9">
        <f>SUMIF('ISS Placements'!B$4:B$203,A99,'ISS Placements'!L$4:L$203)</f>
        <v>0</v>
      </c>
      <c r="P99" s="9" t="str">
        <f>IF(COUNTIFS('ISS Placements'!B:B,A99,'ISS Placements'!O:O,"")&gt;0,"YES","No")</f>
        <v>No</v>
      </c>
      <c r="Q99" s="9">
        <f>COUNTIF('ISS Placements'!B:B,A99)</f>
        <v>0</v>
      </c>
      <c r="R99" s="10" t="str">
        <f>IF(COUNTIF('ISS Placements'!B:B,A99)&gt;0,_xludf.MAXIFS('ISS Placements'!J:J,'ISS Placements'!B:B,A99),"")</f>
        <v/>
      </c>
      <c r="S99" s="9" t="str">
        <f>IF(A99="","",IF(COUNTIFS('Re-Entry Checklist'!C:C,A99,'Re-Entry Checklist'!Y:Y,"✅ READY")&gt;0,"Yes","No"))</f>
        <v/>
      </c>
      <c r="T99" s="5"/>
      <c r="U99" s="5"/>
    </row>
    <row r="100" spans="1:21" s="1" customFormat="1" ht="18" customHeight="1" x14ac:dyDescent="0.45">
      <c r="A100" s="7"/>
      <c r="B100" s="7"/>
      <c r="C100" s="7"/>
      <c r="D100" s="7"/>
      <c r="E100" s="7"/>
      <c r="F100" s="7"/>
      <c r="G100" s="7"/>
      <c r="H100" s="7"/>
      <c r="I100" s="7"/>
      <c r="J100" s="7"/>
      <c r="K100" s="7"/>
      <c r="L100" s="7"/>
      <c r="M100" s="7"/>
      <c r="N100" s="9">
        <f>COUNTIF('ISS Placements'!B:B,A100)</f>
        <v>0</v>
      </c>
      <c r="O100" s="9">
        <f>SUMIF('ISS Placements'!B$4:B$203,A100,'ISS Placements'!L$4:L$203)</f>
        <v>0</v>
      </c>
      <c r="P100" s="9" t="str">
        <f>IF(COUNTIFS('ISS Placements'!B:B,A100,'ISS Placements'!O:O,"")&gt;0,"YES","No")</f>
        <v>No</v>
      </c>
      <c r="Q100" s="9">
        <f>COUNTIF('ISS Placements'!B:B,A100)</f>
        <v>0</v>
      </c>
      <c r="R100" s="10" t="str">
        <f>IF(COUNTIF('ISS Placements'!B:B,A100)&gt;0,_xludf.MAXIFS('ISS Placements'!J:J,'ISS Placements'!B:B,A100),"")</f>
        <v/>
      </c>
      <c r="S100" s="9" t="str">
        <f>IF(A100="","",IF(COUNTIFS('Re-Entry Checklist'!C:C,A100,'Re-Entry Checklist'!Y:Y,"✅ READY")&gt;0,"Yes","No"))</f>
        <v/>
      </c>
      <c r="T100" s="7"/>
      <c r="U100" s="7"/>
    </row>
    <row r="101" spans="1:21" s="1" customFormat="1" ht="18" customHeight="1" x14ac:dyDescent="0.45">
      <c r="A101" s="5"/>
      <c r="B101" s="5"/>
      <c r="C101" s="5"/>
      <c r="D101" s="5"/>
      <c r="E101" s="5"/>
      <c r="F101" s="5"/>
      <c r="G101" s="5"/>
      <c r="H101" s="5"/>
      <c r="I101" s="5"/>
      <c r="J101" s="5"/>
      <c r="K101" s="5"/>
      <c r="L101" s="5"/>
      <c r="M101" s="5"/>
      <c r="N101" s="9">
        <f>COUNTIF('ISS Placements'!B:B,A101)</f>
        <v>0</v>
      </c>
      <c r="O101" s="9">
        <f>SUMIF('ISS Placements'!B$4:B$203,A101,'ISS Placements'!L$4:L$203)</f>
        <v>0</v>
      </c>
      <c r="P101" s="9" t="str">
        <f>IF(COUNTIFS('ISS Placements'!B:B,A101,'ISS Placements'!O:O,"")&gt;0,"YES","No")</f>
        <v>No</v>
      </c>
      <c r="Q101" s="9">
        <f>COUNTIF('ISS Placements'!B:B,A101)</f>
        <v>0</v>
      </c>
      <c r="R101" s="10" t="str">
        <f>IF(COUNTIF('ISS Placements'!B:B,A101)&gt;0,_xludf.MAXIFS('ISS Placements'!J:J,'ISS Placements'!B:B,A101),"")</f>
        <v/>
      </c>
      <c r="S101" s="9" t="str">
        <f>IF(A101="","",IF(COUNTIFS('Re-Entry Checklist'!C:C,A101,'Re-Entry Checklist'!Y:Y,"✅ READY")&gt;0,"Yes","No"))</f>
        <v/>
      </c>
      <c r="T101" s="5"/>
      <c r="U101" s="5"/>
    </row>
    <row r="102" spans="1:21" s="1" customFormat="1" ht="18" customHeight="1" x14ac:dyDescent="0.45">
      <c r="A102" s="7"/>
      <c r="B102" s="7"/>
      <c r="C102" s="7"/>
      <c r="D102" s="7"/>
      <c r="E102" s="7"/>
      <c r="F102" s="7"/>
      <c r="G102" s="7"/>
      <c r="H102" s="7"/>
      <c r="I102" s="7"/>
      <c r="J102" s="7"/>
      <c r="K102" s="7"/>
      <c r="L102" s="7"/>
      <c r="M102" s="7"/>
      <c r="N102" s="9">
        <f>COUNTIF('ISS Placements'!B:B,A102)</f>
        <v>0</v>
      </c>
      <c r="O102" s="9">
        <f>SUMIF('ISS Placements'!B$4:B$203,A102,'ISS Placements'!L$4:L$203)</f>
        <v>0</v>
      </c>
      <c r="P102" s="9" t="str">
        <f>IF(COUNTIFS('ISS Placements'!B:B,A102,'ISS Placements'!O:O,"")&gt;0,"YES","No")</f>
        <v>No</v>
      </c>
      <c r="Q102" s="9">
        <f>COUNTIF('ISS Placements'!B:B,A102)</f>
        <v>0</v>
      </c>
      <c r="R102" s="10" t="str">
        <f>IF(COUNTIF('ISS Placements'!B:B,A102)&gt;0,_xludf.MAXIFS('ISS Placements'!J:J,'ISS Placements'!B:B,A102),"")</f>
        <v/>
      </c>
      <c r="S102" s="9" t="str">
        <f>IF(A102="","",IF(COUNTIFS('Re-Entry Checklist'!C:C,A102,'Re-Entry Checklist'!Y:Y,"✅ READY")&gt;0,"Yes","No"))</f>
        <v/>
      </c>
      <c r="T102" s="7"/>
      <c r="U102" s="7"/>
    </row>
    <row r="103" spans="1:21" s="1" customFormat="1" ht="18" customHeight="1" x14ac:dyDescent="0.45">
      <c r="A103" s="5"/>
      <c r="B103" s="5"/>
      <c r="C103" s="5"/>
      <c r="D103" s="5"/>
      <c r="E103" s="5"/>
      <c r="F103" s="5"/>
      <c r="G103" s="5"/>
      <c r="H103" s="5"/>
      <c r="I103" s="5"/>
      <c r="J103" s="5"/>
      <c r="K103" s="5"/>
      <c r="L103" s="5"/>
      <c r="M103" s="5"/>
      <c r="N103" s="9">
        <f>COUNTIF('ISS Placements'!B:B,A103)</f>
        <v>0</v>
      </c>
      <c r="O103" s="9">
        <f>SUMIF('ISS Placements'!B$4:B$203,A103,'ISS Placements'!L$4:L$203)</f>
        <v>0</v>
      </c>
      <c r="P103" s="9" t="str">
        <f>IF(COUNTIFS('ISS Placements'!B:B,A103,'ISS Placements'!O:O,"")&gt;0,"YES","No")</f>
        <v>No</v>
      </c>
      <c r="Q103" s="9">
        <f>COUNTIF('ISS Placements'!B:B,A103)</f>
        <v>0</v>
      </c>
      <c r="R103" s="10" t="str">
        <f>IF(COUNTIF('ISS Placements'!B:B,A103)&gt;0,_xludf.MAXIFS('ISS Placements'!J:J,'ISS Placements'!B:B,A103),"")</f>
        <v/>
      </c>
      <c r="S103" s="9" t="str">
        <f>IF(A103="","",IF(COUNTIFS('Re-Entry Checklist'!C:C,A103,'Re-Entry Checklist'!Y:Y,"✅ READY")&gt;0,"Yes","No"))</f>
        <v/>
      </c>
      <c r="T103" s="5"/>
      <c r="U103" s="5"/>
    </row>
    <row r="104" spans="1:21" s="1" customFormat="1" ht="19.5" customHeight="1" x14ac:dyDescent="0.45">
      <c r="A104" s="73" t="s">
        <v>54</v>
      </c>
      <c r="B104" s="64"/>
      <c r="C104" s="64"/>
      <c r="D104" s="64"/>
      <c r="E104" s="64"/>
      <c r="F104" s="64"/>
      <c r="G104" s="64"/>
      <c r="H104" s="64"/>
      <c r="I104" s="64"/>
      <c r="J104" s="64"/>
      <c r="K104" s="64"/>
      <c r="L104" s="64"/>
      <c r="M104" s="64"/>
      <c r="N104" s="64"/>
      <c r="O104" s="64"/>
      <c r="P104" s="64"/>
      <c r="Q104" s="64"/>
      <c r="R104" s="64"/>
      <c r="S104" s="64"/>
      <c r="T104" s="64"/>
      <c r="U104" s="64"/>
    </row>
  </sheetData>
  <mergeCells count="3">
    <mergeCell ref="A1:U1"/>
    <mergeCell ref="A104:U104"/>
    <mergeCell ref="A2:U2"/>
  </mergeCells>
  <conditionalFormatting sqref="A4:U103">
    <cfRule type="expression" dxfId="20" priority="2">
      <formula>$T4="Tier 3 — Intensive (chronic, 4+ incidents or severe offense)"</formula>
    </cfRule>
    <cfRule type="expression" dxfId="19" priority="3">
      <formula>$T4="Tier 2 — Targeted (pattern emerging, 2-3 incidents)"</formula>
    </cfRule>
    <cfRule type="expression" dxfId="18" priority="4">
      <formula>$P4="Active Placement? Yes"</formula>
    </cfRule>
  </conditionalFormatting>
  <pageMargins left="0.75" right="0.75" top="1" bottom="1" header="0.511811023622047" footer="0.511811023622047"/>
  <pageSetup orientation="landscape" useFirstPageNumber="1" horizontalDpi="300" verticalDpi="300"/>
  <extLst>
    <ext xmlns:x14="http://schemas.microsoft.com/office/spreadsheetml/2009/9/main" uri="{CCE6A557-97BC-4b89-ADB6-D9C93CAAB3DF}">
      <x14:dataValidations xmlns:xm="http://schemas.microsoft.com/office/excel/2006/main" count="5">
        <x14:dataValidation type="list" allowBlank="1" xr:uid="{00000000-0002-0000-0100-000000000000}">
          <x14:formula1>
            <xm:f>Lists!$A$2:$A$20</xm:f>
          </x14:formula1>
          <xm:sqref>D4:D103</xm:sqref>
        </x14:dataValidation>
        <x14:dataValidation type="list" allowBlank="1" xr:uid="{00000000-0002-0000-0100-000001000000}">
          <x14:formula1>
            <xm:f>Lists!$B$2:$B$15</xm:f>
          </x14:formula1>
          <xm:sqref>G4:H103</xm:sqref>
        </x14:dataValidation>
        <x14:dataValidation type="list" allowBlank="1" xr:uid="{00000000-0002-0000-0100-000002000000}">
          <x14:formula1>
            <xm:f>Lists!$H$2:$H$3</xm:f>
          </x14:formula1>
          <xm:sqref>I4:J103 L4:M103</xm:sqref>
        </x14:dataValidation>
        <x14:dataValidation type="list" allowBlank="1" xr:uid="{00000000-0002-0000-0100-000003000000}">
          <x14:formula1>
            <xm:f>Lists!$L$2:$L$7</xm:f>
          </x14:formula1>
          <xm:sqref>K4:K103</xm:sqref>
        </x14:dataValidation>
        <x14:dataValidation type="list" allowBlank="1" xr:uid="{00000000-0002-0000-0100-000005000000}">
          <x14:formula1>
            <xm:f>Lists!$K$2:$K$4</xm:f>
          </x14:formula1>
          <xm:sqref>T4:T103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B2D7F"/>
    <pageSetUpPr fitToPage="1"/>
  </sheetPr>
  <dimension ref="A1:W204"/>
  <sheetViews>
    <sheetView zoomScaleNormal="100" workbookViewId="0">
      <pane ySplit="3" topLeftCell="A4" activePane="bottomLeft" state="frozen"/>
      <selection pane="bottomLeft"/>
    </sheetView>
  </sheetViews>
  <sheetFormatPr defaultColWidth="8.6640625" defaultRowHeight="14.25" x14ac:dyDescent="0.45"/>
  <cols>
    <col min="1" max="1" width="14" style="1" customWidth="1"/>
    <col min="2" max="2" width="12" style="1" customWidth="1"/>
    <col min="3" max="3" width="16" style="1" customWidth="1"/>
    <col min="4" max="4" width="14" style="1" customWidth="1"/>
    <col min="5" max="5" width="9" style="1" customWidth="1"/>
    <col min="6" max="6" width="18" style="1" customWidth="1"/>
    <col min="7" max="7" width="32" style="1" customWidth="1"/>
    <col min="8" max="8" width="28" style="1" customWidth="1"/>
    <col min="9" max="9" width="34" style="1" customWidth="1"/>
    <col min="10" max="10" width="16" style="1" customWidth="1"/>
    <col min="11" max="13" width="12" style="1" customWidth="1"/>
    <col min="14" max="14" width="16" style="1" customWidth="1"/>
    <col min="15" max="15" width="15" style="1" customWidth="1"/>
    <col min="16" max="16" width="28" style="1" customWidth="1"/>
    <col min="17" max="17" width="34" style="1" customWidth="1"/>
    <col min="18" max="18" width="9" style="1" customWidth="1"/>
    <col min="19" max="19" width="18" style="1" customWidth="1"/>
    <col min="20" max="20" width="16" style="1" customWidth="1"/>
    <col min="21" max="21" width="18" style="1" customWidth="1"/>
    <col min="22" max="22" width="28" style="1" customWidth="1"/>
    <col min="23" max="23" width="13" hidden="1" customWidth="1"/>
  </cols>
  <sheetData>
    <row r="1" spans="1:23" s="1" customFormat="1" ht="43.5" customHeight="1" x14ac:dyDescent="0.45">
      <c r="A1" s="72" t="s">
        <v>55</v>
      </c>
      <c r="B1" s="64"/>
      <c r="C1" s="64"/>
      <c r="D1" s="64"/>
      <c r="E1" s="64"/>
      <c r="F1" s="64"/>
      <c r="G1" s="64"/>
      <c r="H1" s="64"/>
      <c r="I1" s="64"/>
      <c r="J1" s="64"/>
      <c r="K1" s="64"/>
      <c r="L1" s="64"/>
      <c r="M1" s="64"/>
      <c r="N1" s="64"/>
      <c r="O1" s="64"/>
      <c r="P1" s="64"/>
      <c r="Q1" s="64"/>
      <c r="R1" s="64"/>
      <c r="S1" s="64"/>
      <c r="T1" s="64"/>
      <c r="U1" s="64"/>
      <c r="V1" s="64"/>
    </row>
    <row r="2" spans="1:23" s="1" customFormat="1" ht="21.75" customHeight="1" x14ac:dyDescent="0.45">
      <c r="A2" s="74" t="s">
        <v>56</v>
      </c>
      <c r="B2" s="64"/>
      <c r="C2" s="64"/>
      <c r="D2" s="64"/>
      <c r="E2" s="64"/>
      <c r="F2" s="64"/>
      <c r="G2" s="64"/>
      <c r="H2" s="64"/>
      <c r="I2" s="64"/>
      <c r="J2" s="64"/>
      <c r="K2" s="64"/>
      <c r="L2" s="64"/>
      <c r="M2" s="64"/>
      <c r="N2" s="64"/>
      <c r="O2" s="64"/>
      <c r="P2" s="64"/>
      <c r="Q2" s="64"/>
      <c r="R2" s="64"/>
      <c r="S2" s="64"/>
      <c r="T2" s="64"/>
      <c r="U2" s="64"/>
      <c r="V2" s="64"/>
    </row>
    <row r="3" spans="1:23" s="1" customFormat="1" ht="36" customHeight="1" x14ac:dyDescent="0.45">
      <c r="A3" s="8" t="s">
        <v>57</v>
      </c>
      <c r="B3" s="8" t="s">
        <v>33</v>
      </c>
      <c r="C3" s="8" t="s">
        <v>58</v>
      </c>
      <c r="D3" s="8" t="s">
        <v>59</v>
      </c>
      <c r="E3" s="8" t="s">
        <v>60</v>
      </c>
      <c r="F3" s="8" t="s">
        <v>37</v>
      </c>
      <c r="G3" s="8" t="s">
        <v>61</v>
      </c>
      <c r="H3" s="8" t="s">
        <v>62</v>
      </c>
      <c r="I3" s="8" t="s">
        <v>63</v>
      </c>
      <c r="J3" s="8" t="s">
        <v>64</v>
      </c>
      <c r="K3" s="8" t="s">
        <v>65</v>
      </c>
      <c r="L3" s="8" t="s">
        <v>66</v>
      </c>
      <c r="M3" s="8" t="s">
        <v>67</v>
      </c>
      <c r="N3" s="8" t="s">
        <v>68</v>
      </c>
      <c r="O3" s="8" t="s">
        <v>69</v>
      </c>
      <c r="P3" s="8" t="s">
        <v>70</v>
      </c>
      <c r="Q3" s="8" t="s">
        <v>71</v>
      </c>
      <c r="R3" s="8" t="s">
        <v>41</v>
      </c>
      <c r="S3" s="8" t="s">
        <v>72</v>
      </c>
      <c r="T3" s="8" t="s">
        <v>73</v>
      </c>
      <c r="U3" s="8" t="s">
        <v>74</v>
      </c>
      <c r="V3" s="8" t="s">
        <v>53</v>
      </c>
      <c r="W3" t="s">
        <v>75</v>
      </c>
    </row>
    <row r="4" spans="1:23" s="1" customFormat="1" ht="18" customHeight="1" x14ac:dyDescent="0.45">
      <c r="A4" s="7"/>
      <c r="B4" s="7"/>
      <c r="C4" s="9" t="str">
        <f>IF(B4="","",VLOOKUP(B4,'Student Roster'!A:C,2,FALSE))</f>
        <v/>
      </c>
      <c r="D4" s="9" t="str">
        <f>IF(B4="","",VLOOKUP(B4,'Student Roster'!A:C,3,FALSE))</f>
        <v/>
      </c>
      <c r="E4" s="9" t="str">
        <f>IF(B4="","",VLOOKUP(B4,'Student Roster'!A:D,4,FALSE))</f>
        <v/>
      </c>
      <c r="F4" s="7"/>
      <c r="G4" s="7"/>
      <c r="H4" s="7"/>
      <c r="I4" s="7"/>
      <c r="J4" s="7"/>
      <c r="K4" s="7"/>
      <c r="L4" s="11" t="str">
        <f t="shared" ref="L4:L35" ca="1" si="0">IF(J4="","",IF(O4="",TODAY()-J4,O4-J4))</f>
        <v/>
      </c>
      <c r="M4" s="11" t="str">
        <f t="shared" ref="M4:M35" si="1">IF(J4="","",MAX(0,K4-L4))</f>
        <v/>
      </c>
      <c r="N4" s="10" t="str">
        <f t="shared" ref="N4:N35" si="2">IF(J4="","",J4+K4)</f>
        <v/>
      </c>
      <c r="O4" s="7"/>
      <c r="P4" s="7"/>
      <c r="Q4" s="7"/>
      <c r="R4" s="7"/>
      <c r="S4" s="9" t="str">
        <f t="shared" ref="S4:S35" ca="1" si="3">IF(AND(R4="Yes",L4&gt;=8),"⚠ APPROACHING 10-DAY","OK")</f>
        <v>OK</v>
      </c>
      <c r="T4" s="7"/>
      <c r="U4" s="7" t="str">
        <f t="shared" ref="U4:U35" si="4">IF(J4="","",IF(AND(T4="Yes",L4&lt;=K4),"Complete",IF(L4&gt;K4,"⚠ OVERDUE","In Progress")))</f>
        <v/>
      </c>
      <c r="V4" s="7"/>
      <c r="W4" t="str">
        <f ca="1">IF(AND(B4&lt;&gt;"",N4&lt;&gt;"",O4="",N4&gt;=TODAY(),N4&lt;=TODAY()+7),COUNTIFS(B$4:B4,"&lt;&gt;",N$4:N4,"&gt;="&amp;TODAY(),N$4:N4,"&lt;="&amp;TODAY()+7,O$4:O4,""),"")</f>
        <v/>
      </c>
    </row>
    <row r="5" spans="1:23" s="1" customFormat="1" ht="18" customHeight="1" x14ac:dyDescent="0.45">
      <c r="A5" s="5"/>
      <c r="B5" s="5"/>
      <c r="C5" s="9" t="str">
        <f>IF(B5="","",VLOOKUP(B5,'Student Roster'!A:C,2,FALSE))</f>
        <v/>
      </c>
      <c r="D5" s="9" t="str">
        <f>IF(B5="","",VLOOKUP(B5,'Student Roster'!A:C,3,FALSE))</f>
        <v/>
      </c>
      <c r="E5" s="9" t="str">
        <f>IF(B5="","",VLOOKUP(B5,'Student Roster'!A:D,4,FALSE))</f>
        <v/>
      </c>
      <c r="F5" s="5"/>
      <c r="G5" s="5"/>
      <c r="H5" s="5"/>
      <c r="I5" s="5"/>
      <c r="J5" s="5"/>
      <c r="K5" s="5"/>
      <c r="L5" s="11" t="str">
        <f t="shared" ca="1" si="0"/>
        <v/>
      </c>
      <c r="M5" s="11" t="str">
        <f t="shared" si="1"/>
        <v/>
      </c>
      <c r="N5" s="10" t="str">
        <f t="shared" si="2"/>
        <v/>
      </c>
      <c r="O5" s="5"/>
      <c r="P5" s="5"/>
      <c r="Q5" s="5"/>
      <c r="R5" s="5"/>
      <c r="S5" s="9" t="str">
        <f t="shared" ca="1" si="3"/>
        <v>OK</v>
      </c>
      <c r="T5" s="5"/>
      <c r="U5" s="5" t="str">
        <f t="shared" si="4"/>
        <v/>
      </c>
      <c r="V5" s="5"/>
      <c r="W5" t="str">
        <f ca="1">IF(AND(B5&lt;&gt;"",N5&lt;&gt;"",O5="",N5&gt;=TODAY(),N5&lt;=TODAY()+7),COUNTIFS(B$4:B5,"&lt;&gt;",N$4:N5,"&gt;="&amp;TODAY(),N$4:N5,"&lt;="&amp;TODAY()+7,O$4:O5,""),"")</f>
        <v/>
      </c>
    </row>
    <row r="6" spans="1:23" s="1" customFormat="1" ht="18" customHeight="1" x14ac:dyDescent="0.45">
      <c r="A6" s="7"/>
      <c r="B6" s="7"/>
      <c r="C6" s="9" t="str">
        <f>IF(B6="","",VLOOKUP(B6,'Student Roster'!A:C,2,FALSE))</f>
        <v/>
      </c>
      <c r="D6" s="9" t="str">
        <f>IF(B6="","",VLOOKUP(B6,'Student Roster'!A:C,3,FALSE))</f>
        <v/>
      </c>
      <c r="E6" s="9" t="str">
        <f>IF(B6="","",VLOOKUP(B6,'Student Roster'!A:D,4,FALSE))</f>
        <v/>
      </c>
      <c r="F6" s="7"/>
      <c r="G6" s="7"/>
      <c r="H6" s="7"/>
      <c r="I6" s="7"/>
      <c r="J6" s="7"/>
      <c r="K6" s="7"/>
      <c r="L6" s="11" t="str">
        <f t="shared" ca="1" si="0"/>
        <v/>
      </c>
      <c r="M6" s="11" t="str">
        <f t="shared" si="1"/>
        <v/>
      </c>
      <c r="N6" s="10" t="str">
        <f t="shared" si="2"/>
        <v/>
      </c>
      <c r="O6" s="7"/>
      <c r="P6" s="7"/>
      <c r="Q6" s="7"/>
      <c r="R6" s="7"/>
      <c r="S6" s="9" t="str">
        <f t="shared" ca="1" si="3"/>
        <v>OK</v>
      </c>
      <c r="T6" s="7"/>
      <c r="U6" s="7" t="str">
        <f t="shared" si="4"/>
        <v/>
      </c>
      <c r="V6" s="7"/>
      <c r="W6" t="str">
        <f ca="1">IF(AND(B6&lt;&gt;"",N6&lt;&gt;"",O6="",N6&gt;=TODAY(),N6&lt;=TODAY()+7),COUNTIFS(B$4:B6,"&lt;&gt;",N$4:N6,"&gt;="&amp;TODAY(),N$4:N6,"&lt;="&amp;TODAY()+7,O$4:O6,""),"")</f>
        <v/>
      </c>
    </row>
    <row r="7" spans="1:23" s="1" customFormat="1" ht="18" customHeight="1" x14ac:dyDescent="0.45">
      <c r="A7" s="5"/>
      <c r="B7" s="5"/>
      <c r="C7" s="9" t="str">
        <f>IF(B7="","",VLOOKUP(B7,'Student Roster'!A:C,2,FALSE))</f>
        <v/>
      </c>
      <c r="D7" s="9" t="str">
        <f>IF(B7="","",VLOOKUP(B7,'Student Roster'!A:C,3,FALSE))</f>
        <v/>
      </c>
      <c r="E7" s="9" t="str">
        <f>IF(B7="","",VLOOKUP(B7,'Student Roster'!A:D,4,FALSE))</f>
        <v/>
      </c>
      <c r="F7" s="5"/>
      <c r="G7" s="5"/>
      <c r="H7" s="5"/>
      <c r="I7" s="5"/>
      <c r="J7" s="5"/>
      <c r="K7" s="5"/>
      <c r="L7" s="11" t="str">
        <f t="shared" ca="1" si="0"/>
        <v/>
      </c>
      <c r="M7" s="11" t="str">
        <f t="shared" si="1"/>
        <v/>
      </c>
      <c r="N7" s="10" t="str">
        <f t="shared" si="2"/>
        <v/>
      </c>
      <c r="O7" s="5"/>
      <c r="P7" s="5"/>
      <c r="Q7" s="5"/>
      <c r="R7" s="5"/>
      <c r="S7" s="9" t="str">
        <f t="shared" ca="1" si="3"/>
        <v>OK</v>
      </c>
      <c r="T7" s="5"/>
      <c r="U7" s="5" t="str">
        <f t="shared" si="4"/>
        <v/>
      </c>
      <c r="V7" s="5"/>
      <c r="W7" t="str">
        <f ca="1">IF(AND(B7&lt;&gt;"",N7&lt;&gt;"",O7="",N7&gt;=TODAY(),N7&lt;=TODAY()+7),COUNTIFS(B$4:B7,"&lt;&gt;",N$4:N7,"&gt;="&amp;TODAY(),N$4:N7,"&lt;="&amp;TODAY()+7,O$4:O7,""),"")</f>
        <v/>
      </c>
    </row>
    <row r="8" spans="1:23" s="1" customFormat="1" ht="18" customHeight="1" x14ac:dyDescent="0.45">
      <c r="A8" s="7"/>
      <c r="B8" s="7"/>
      <c r="C8" s="9" t="str">
        <f>IF(B8="","",VLOOKUP(B8,'Student Roster'!A:C,2,FALSE))</f>
        <v/>
      </c>
      <c r="D8" s="9" t="str">
        <f>IF(B8="","",VLOOKUP(B8,'Student Roster'!A:C,3,FALSE))</f>
        <v/>
      </c>
      <c r="E8" s="9" t="str">
        <f>IF(B8="","",VLOOKUP(B8,'Student Roster'!A:D,4,FALSE))</f>
        <v/>
      </c>
      <c r="F8" s="7"/>
      <c r="G8" s="7"/>
      <c r="H8" s="7"/>
      <c r="I8" s="7"/>
      <c r="J8" s="7"/>
      <c r="K8" s="7"/>
      <c r="L8" s="11" t="str">
        <f t="shared" ca="1" si="0"/>
        <v/>
      </c>
      <c r="M8" s="11" t="str">
        <f t="shared" si="1"/>
        <v/>
      </c>
      <c r="N8" s="10" t="str">
        <f t="shared" si="2"/>
        <v/>
      </c>
      <c r="O8" s="7"/>
      <c r="P8" s="7"/>
      <c r="Q8" s="7"/>
      <c r="R8" s="7"/>
      <c r="S8" s="9" t="str">
        <f t="shared" ca="1" si="3"/>
        <v>OK</v>
      </c>
      <c r="T8" s="7"/>
      <c r="U8" s="7" t="str">
        <f t="shared" si="4"/>
        <v/>
      </c>
      <c r="V8" s="7"/>
      <c r="W8" t="str">
        <f ca="1">IF(AND(B8&lt;&gt;"",N8&lt;&gt;"",O8="",N8&gt;=TODAY(),N8&lt;=TODAY()+7),COUNTIFS(B$4:B8,"&lt;&gt;",N$4:N8,"&gt;="&amp;TODAY(),N$4:N8,"&lt;="&amp;TODAY()+7,O$4:O8,""),"")</f>
        <v/>
      </c>
    </row>
    <row r="9" spans="1:23" s="1" customFormat="1" ht="18" customHeight="1" x14ac:dyDescent="0.45">
      <c r="A9" s="5"/>
      <c r="B9" s="5"/>
      <c r="C9" s="9" t="str">
        <f>IF(B9="","",VLOOKUP(B9,'Student Roster'!A:C,2,FALSE))</f>
        <v/>
      </c>
      <c r="D9" s="9" t="str">
        <f>IF(B9="","",VLOOKUP(B9,'Student Roster'!A:C,3,FALSE))</f>
        <v/>
      </c>
      <c r="E9" s="9" t="str">
        <f>IF(B9="","",VLOOKUP(B9,'Student Roster'!A:D,4,FALSE))</f>
        <v/>
      </c>
      <c r="F9" s="5"/>
      <c r="G9" s="5"/>
      <c r="H9" s="5"/>
      <c r="I9" s="5"/>
      <c r="J9" s="5"/>
      <c r="K9" s="5"/>
      <c r="L9" s="11" t="str">
        <f t="shared" ca="1" si="0"/>
        <v/>
      </c>
      <c r="M9" s="11" t="str">
        <f t="shared" si="1"/>
        <v/>
      </c>
      <c r="N9" s="10" t="str">
        <f t="shared" si="2"/>
        <v/>
      </c>
      <c r="O9" s="5"/>
      <c r="P9" s="5"/>
      <c r="Q9" s="5"/>
      <c r="R9" s="5"/>
      <c r="S9" s="9" t="str">
        <f t="shared" ca="1" si="3"/>
        <v>OK</v>
      </c>
      <c r="T9" s="5"/>
      <c r="U9" s="5" t="str">
        <f t="shared" si="4"/>
        <v/>
      </c>
      <c r="V9" s="5"/>
      <c r="W9" t="str">
        <f ca="1">IF(AND(B9&lt;&gt;"",N9&lt;&gt;"",O9="",N9&gt;=TODAY(),N9&lt;=TODAY()+7),COUNTIFS(B$4:B9,"&lt;&gt;",N$4:N9,"&gt;="&amp;TODAY(),N$4:N9,"&lt;="&amp;TODAY()+7,O$4:O9,""),"")</f>
        <v/>
      </c>
    </row>
    <row r="10" spans="1:23" s="1" customFormat="1" ht="18" customHeight="1" x14ac:dyDescent="0.45">
      <c r="A10" s="7"/>
      <c r="B10" s="7"/>
      <c r="C10" s="9" t="str">
        <f>IF(B10="","",VLOOKUP(B10,'Student Roster'!A:C,2,FALSE))</f>
        <v/>
      </c>
      <c r="D10" s="9" t="str">
        <f>IF(B10="","",VLOOKUP(B10,'Student Roster'!A:C,3,FALSE))</f>
        <v/>
      </c>
      <c r="E10" s="9" t="str">
        <f>IF(B10="","",VLOOKUP(B10,'Student Roster'!A:D,4,FALSE))</f>
        <v/>
      </c>
      <c r="F10" s="7"/>
      <c r="G10" s="7"/>
      <c r="H10" s="7"/>
      <c r="I10" s="7"/>
      <c r="J10" s="7"/>
      <c r="K10" s="7"/>
      <c r="L10" s="11" t="str">
        <f t="shared" ca="1" si="0"/>
        <v/>
      </c>
      <c r="M10" s="11" t="str">
        <f t="shared" si="1"/>
        <v/>
      </c>
      <c r="N10" s="10" t="str">
        <f t="shared" si="2"/>
        <v/>
      </c>
      <c r="O10" s="7"/>
      <c r="P10" s="7"/>
      <c r="Q10" s="7"/>
      <c r="R10" s="7"/>
      <c r="S10" s="9" t="str">
        <f t="shared" ca="1" si="3"/>
        <v>OK</v>
      </c>
      <c r="T10" s="7"/>
      <c r="U10" s="7" t="str">
        <f t="shared" si="4"/>
        <v/>
      </c>
      <c r="V10" s="7"/>
      <c r="W10" t="str">
        <f ca="1">IF(AND(B10&lt;&gt;"",N10&lt;&gt;"",O10="",N10&gt;=TODAY(),N10&lt;=TODAY()+7),COUNTIFS(B$4:B10,"&lt;&gt;",N$4:N10,"&gt;="&amp;TODAY(),N$4:N10,"&lt;="&amp;TODAY()+7,O$4:O10,""),"")</f>
        <v/>
      </c>
    </row>
    <row r="11" spans="1:23" s="1" customFormat="1" ht="18" customHeight="1" x14ac:dyDescent="0.45">
      <c r="A11" s="5"/>
      <c r="B11" s="5"/>
      <c r="C11" s="9" t="str">
        <f>IF(B11="","",VLOOKUP(B11,'Student Roster'!A:C,2,FALSE))</f>
        <v/>
      </c>
      <c r="D11" s="9" t="str">
        <f>IF(B11="","",VLOOKUP(B11,'Student Roster'!A:C,3,FALSE))</f>
        <v/>
      </c>
      <c r="E11" s="9" t="str">
        <f>IF(B11="","",VLOOKUP(B11,'Student Roster'!A:D,4,FALSE))</f>
        <v/>
      </c>
      <c r="F11" s="5"/>
      <c r="G11" s="5"/>
      <c r="H11" s="5"/>
      <c r="I11" s="5"/>
      <c r="J11" s="5"/>
      <c r="K11" s="5"/>
      <c r="L11" s="11" t="str">
        <f t="shared" ca="1" si="0"/>
        <v/>
      </c>
      <c r="M11" s="11" t="str">
        <f t="shared" si="1"/>
        <v/>
      </c>
      <c r="N11" s="10" t="str">
        <f t="shared" si="2"/>
        <v/>
      </c>
      <c r="O11" s="5"/>
      <c r="P11" s="5"/>
      <c r="Q11" s="5"/>
      <c r="R11" s="5"/>
      <c r="S11" s="9" t="str">
        <f t="shared" ca="1" si="3"/>
        <v>OK</v>
      </c>
      <c r="T11" s="5"/>
      <c r="U11" s="5" t="str">
        <f t="shared" si="4"/>
        <v/>
      </c>
      <c r="V11" s="5"/>
      <c r="W11" t="str">
        <f ca="1">IF(AND(B11&lt;&gt;"",N11&lt;&gt;"",O11="",N11&gt;=TODAY(),N11&lt;=TODAY()+7),COUNTIFS(B$4:B11,"&lt;&gt;",N$4:N11,"&gt;="&amp;TODAY(),N$4:N11,"&lt;="&amp;TODAY()+7,O$4:O11,""),"")</f>
        <v/>
      </c>
    </row>
    <row r="12" spans="1:23" s="1" customFormat="1" ht="18" customHeight="1" x14ac:dyDescent="0.45">
      <c r="A12" s="7"/>
      <c r="B12" s="7"/>
      <c r="C12" s="9" t="str">
        <f>IF(B12="","",VLOOKUP(B12,'Student Roster'!A:C,2,FALSE))</f>
        <v/>
      </c>
      <c r="D12" s="9" t="str">
        <f>IF(B12="","",VLOOKUP(B12,'Student Roster'!A:C,3,FALSE))</f>
        <v/>
      </c>
      <c r="E12" s="9" t="str">
        <f>IF(B12="","",VLOOKUP(B12,'Student Roster'!A:D,4,FALSE))</f>
        <v/>
      </c>
      <c r="F12" s="7"/>
      <c r="G12" s="7"/>
      <c r="H12" s="7"/>
      <c r="I12" s="7"/>
      <c r="J12" s="7"/>
      <c r="K12" s="7"/>
      <c r="L12" s="11" t="str">
        <f t="shared" ca="1" si="0"/>
        <v/>
      </c>
      <c r="M12" s="11" t="str">
        <f t="shared" si="1"/>
        <v/>
      </c>
      <c r="N12" s="10" t="str">
        <f t="shared" si="2"/>
        <v/>
      </c>
      <c r="O12" s="7"/>
      <c r="P12" s="7"/>
      <c r="Q12" s="7"/>
      <c r="R12" s="7"/>
      <c r="S12" s="9" t="str">
        <f t="shared" ca="1" si="3"/>
        <v>OK</v>
      </c>
      <c r="T12" s="7"/>
      <c r="U12" s="7" t="str">
        <f t="shared" si="4"/>
        <v/>
      </c>
      <c r="V12" s="7"/>
      <c r="W12" t="str">
        <f ca="1">IF(AND(B12&lt;&gt;"",N12&lt;&gt;"",O12="",N12&gt;=TODAY(),N12&lt;=TODAY()+7),COUNTIFS(B$4:B12,"&lt;&gt;",N$4:N12,"&gt;="&amp;TODAY(),N$4:N12,"&lt;="&amp;TODAY()+7,O$4:O12,""),"")</f>
        <v/>
      </c>
    </row>
    <row r="13" spans="1:23" s="1" customFormat="1" ht="18" customHeight="1" x14ac:dyDescent="0.45">
      <c r="A13" s="5"/>
      <c r="B13" s="5"/>
      <c r="C13" s="9" t="str">
        <f>IF(B13="","",VLOOKUP(B13,'Student Roster'!A:C,2,FALSE))</f>
        <v/>
      </c>
      <c r="D13" s="9" t="str">
        <f>IF(B13="","",VLOOKUP(B13,'Student Roster'!A:C,3,FALSE))</f>
        <v/>
      </c>
      <c r="E13" s="9" t="str">
        <f>IF(B13="","",VLOOKUP(B13,'Student Roster'!A:D,4,FALSE))</f>
        <v/>
      </c>
      <c r="F13" s="5"/>
      <c r="G13" s="5"/>
      <c r="H13" s="5"/>
      <c r="I13" s="5"/>
      <c r="J13" s="5"/>
      <c r="K13" s="5"/>
      <c r="L13" s="11" t="str">
        <f t="shared" ca="1" si="0"/>
        <v/>
      </c>
      <c r="M13" s="11" t="str">
        <f t="shared" si="1"/>
        <v/>
      </c>
      <c r="N13" s="10" t="str">
        <f t="shared" si="2"/>
        <v/>
      </c>
      <c r="O13" s="5"/>
      <c r="P13" s="5"/>
      <c r="Q13" s="5"/>
      <c r="R13" s="5"/>
      <c r="S13" s="9" t="str">
        <f t="shared" ca="1" si="3"/>
        <v>OK</v>
      </c>
      <c r="T13" s="5"/>
      <c r="U13" s="5" t="str">
        <f t="shared" si="4"/>
        <v/>
      </c>
      <c r="V13" s="5"/>
      <c r="W13" t="str">
        <f ca="1">IF(AND(B13&lt;&gt;"",N13&lt;&gt;"",O13="",N13&gt;=TODAY(),N13&lt;=TODAY()+7),COUNTIFS(B$4:B13,"&lt;&gt;",N$4:N13,"&gt;="&amp;TODAY(),N$4:N13,"&lt;="&amp;TODAY()+7,O$4:O13,""),"")</f>
        <v/>
      </c>
    </row>
    <row r="14" spans="1:23" s="1" customFormat="1" ht="18" customHeight="1" x14ac:dyDescent="0.45">
      <c r="A14" s="7"/>
      <c r="B14" s="7"/>
      <c r="C14" s="9" t="str">
        <f>IF(B14="","",VLOOKUP(B14,'Student Roster'!A:C,2,FALSE))</f>
        <v/>
      </c>
      <c r="D14" s="9" t="str">
        <f>IF(B14="","",VLOOKUP(B14,'Student Roster'!A:C,3,FALSE))</f>
        <v/>
      </c>
      <c r="E14" s="9" t="str">
        <f>IF(B14="","",VLOOKUP(B14,'Student Roster'!A:D,4,FALSE))</f>
        <v/>
      </c>
      <c r="F14" s="7"/>
      <c r="G14" s="7"/>
      <c r="H14" s="7"/>
      <c r="I14" s="7"/>
      <c r="J14" s="7"/>
      <c r="K14" s="7"/>
      <c r="L14" s="11" t="str">
        <f t="shared" ca="1" si="0"/>
        <v/>
      </c>
      <c r="M14" s="11" t="str">
        <f t="shared" si="1"/>
        <v/>
      </c>
      <c r="N14" s="10" t="str">
        <f t="shared" si="2"/>
        <v/>
      </c>
      <c r="O14" s="7"/>
      <c r="P14" s="7"/>
      <c r="Q14" s="7"/>
      <c r="R14" s="7"/>
      <c r="S14" s="9" t="str">
        <f t="shared" ca="1" si="3"/>
        <v>OK</v>
      </c>
      <c r="T14" s="7"/>
      <c r="U14" s="7" t="str">
        <f t="shared" si="4"/>
        <v/>
      </c>
      <c r="V14" s="7"/>
      <c r="W14" t="str">
        <f ca="1">IF(AND(B14&lt;&gt;"",N14&lt;&gt;"",O14="",N14&gt;=TODAY(),N14&lt;=TODAY()+7),COUNTIFS(B$4:B14,"&lt;&gt;",N$4:N14,"&gt;="&amp;TODAY(),N$4:N14,"&lt;="&amp;TODAY()+7,O$4:O14,""),"")</f>
        <v/>
      </c>
    </row>
    <row r="15" spans="1:23" s="1" customFormat="1" ht="18" customHeight="1" x14ac:dyDescent="0.45">
      <c r="A15" s="5"/>
      <c r="B15" s="5"/>
      <c r="C15" s="9" t="str">
        <f>IF(B15="","",VLOOKUP(B15,'Student Roster'!A:C,2,FALSE))</f>
        <v/>
      </c>
      <c r="D15" s="9" t="str">
        <f>IF(B15="","",VLOOKUP(B15,'Student Roster'!A:C,3,FALSE))</f>
        <v/>
      </c>
      <c r="E15" s="9" t="str">
        <f>IF(B15="","",VLOOKUP(B15,'Student Roster'!A:D,4,FALSE))</f>
        <v/>
      </c>
      <c r="F15" s="5"/>
      <c r="G15" s="5"/>
      <c r="H15" s="5"/>
      <c r="I15" s="5"/>
      <c r="J15" s="5"/>
      <c r="K15" s="5"/>
      <c r="L15" s="11" t="str">
        <f t="shared" ca="1" si="0"/>
        <v/>
      </c>
      <c r="M15" s="11" t="str">
        <f t="shared" si="1"/>
        <v/>
      </c>
      <c r="N15" s="10" t="str">
        <f t="shared" si="2"/>
        <v/>
      </c>
      <c r="O15" s="5"/>
      <c r="P15" s="5"/>
      <c r="Q15" s="5"/>
      <c r="R15" s="5"/>
      <c r="S15" s="9" t="str">
        <f t="shared" ca="1" si="3"/>
        <v>OK</v>
      </c>
      <c r="T15" s="5"/>
      <c r="U15" s="5" t="str">
        <f t="shared" si="4"/>
        <v/>
      </c>
      <c r="V15" s="5"/>
      <c r="W15" t="str">
        <f ca="1">IF(AND(B15&lt;&gt;"",N15&lt;&gt;"",O15="",N15&gt;=TODAY(),N15&lt;=TODAY()+7),COUNTIFS(B$4:B15,"&lt;&gt;",N$4:N15,"&gt;="&amp;TODAY(),N$4:N15,"&lt;="&amp;TODAY()+7,O$4:O15,""),"")</f>
        <v/>
      </c>
    </row>
    <row r="16" spans="1:23" s="1" customFormat="1" ht="18" customHeight="1" x14ac:dyDescent="0.45">
      <c r="A16" s="7"/>
      <c r="B16" s="7"/>
      <c r="C16" s="9" t="str">
        <f>IF(B16="","",VLOOKUP(B16,'Student Roster'!A:C,2,FALSE))</f>
        <v/>
      </c>
      <c r="D16" s="9" t="str">
        <f>IF(B16="","",VLOOKUP(B16,'Student Roster'!A:C,3,FALSE))</f>
        <v/>
      </c>
      <c r="E16" s="9" t="str">
        <f>IF(B16="","",VLOOKUP(B16,'Student Roster'!A:D,4,FALSE))</f>
        <v/>
      </c>
      <c r="F16" s="7"/>
      <c r="G16" s="7"/>
      <c r="H16" s="7"/>
      <c r="I16" s="7"/>
      <c r="J16" s="7"/>
      <c r="K16" s="7"/>
      <c r="L16" s="11" t="str">
        <f t="shared" ca="1" si="0"/>
        <v/>
      </c>
      <c r="M16" s="11" t="str">
        <f t="shared" si="1"/>
        <v/>
      </c>
      <c r="N16" s="10" t="str">
        <f t="shared" si="2"/>
        <v/>
      </c>
      <c r="O16" s="7"/>
      <c r="P16" s="7"/>
      <c r="Q16" s="7"/>
      <c r="R16" s="7"/>
      <c r="S16" s="9" t="str">
        <f t="shared" ca="1" si="3"/>
        <v>OK</v>
      </c>
      <c r="T16" s="7"/>
      <c r="U16" s="7" t="str">
        <f t="shared" si="4"/>
        <v/>
      </c>
      <c r="V16" s="7"/>
      <c r="W16" t="str">
        <f ca="1">IF(AND(B16&lt;&gt;"",N16&lt;&gt;"",O16="",N16&gt;=TODAY(),N16&lt;=TODAY()+7),COUNTIFS(B$4:B16,"&lt;&gt;",N$4:N16,"&gt;="&amp;TODAY(),N$4:N16,"&lt;="&amp;TODAY()+7,O$4:O16,""),"")</f>
        <v/>
      </c>
    </row>
    <row r="17" spans="1:23" s="1" customFormat="1" ht="18" customHeight="1" x14ac:dyDescent="0.45">
      <c r="A17" s="5"/>
      <c r="B17" s="5"/>
      <c r="C17" s="9" t="str">
        <f>IF(B17="","",VLOOKUP(B17,'Student Roster'!A:C,2,FALSE))</f>
        <v/>
      </c>
      <c r="D17" s="9" t="str">
        <f>IF(B17="","",VLOOKUP(B17,'Student Roster'!A:C,3,FALSE))</f>
        <v/>
      </c>
      <c r="E17" s="9" t="str">
        <f>IF(B17="","",VLOOKUP(B17,'Student Roster'!A:D,4,FALSE))</f>
        <v/>
      </c>
      <c r="F17" s="5"/>
      <c r="G17" s="5"/>
      <c r="H17" s="5"/>
      <c r="I17" s="5"/>
      <c r="J17" s="5"/>
      <c r="K17" s="5"/>
      <c r="L17" s="11" t="str">
        <f t="shared" ca="1" si="0"/>
        <v/>
      </c>
      <c r="M17" s="11" t="str">
        <f t="shared" si="1"/>
        <v/>
      </c>
      <c r="N17" s="10" t="str">
        <f t="shared" si="2"/>
        <v/>
      </c>
      <c r="O17" s="5"/>
      <c r="P17" s="5"/>
      <c r="Q17" s="5"/>
      <c r="R17" s="5"/>
      <c r="S17" s="9" t="str">
        <f t="shared" ca="1" si="3"/>
        <v>OK</v>
      </c>
      <c r="T17" s="5"/>
      <c r="U17" s="5" t="str">
        <f t="shared" si="4"/>
        <v/>
      </c>
      <c r="V17" s="5"/>
      <c r="W17" t="str">
        <f ca="1">IF(AND(B17&lt;&gt;"",N17&lt;&gt;"",O17="",N17&gt;=TODAY(),N17&lt;=TODAY()+7),COUNTIFS(B$4:B17,"&lt;&gt;",N$4:N17,"&gt;="&amp;TODAY(),N$4:N17,"&lt;="&amp;TODAY()+7,O$4:O17,""),"")</f>
        <v/>
      </c>
    </row>
    <row r="18" spans="1:23" s="1" customFormat="1" ht="18" customHeight="1" x14ac:dyDescent="0.45">
      <c r="A18" s="7"/>
      <c r="B18" s="7"/>
      <c r="C18" s="9" t="str">
        <f>IF(B18="","",VLOOKUP(B18,'Student Roster'!A:C,2,FALSE))</f>
        <v/>
      </c>
      <c r="D18" s="9" t="str">
        <f>IF(B18="","",VLOOKUP(B18,'Student Roster'!A:C,3,FALSE))</f>
        <v/>
      </c>
      <c r="E18" s="9" t="str">
        <f>IF(B18="","",VLOOKUP(B18,'Student Roster'!A:D,4,FALSE))</f>
        <v/>
      </c>
      <c r="F18" s="7"/>
      <c r="G18" s="7"/>
      <c r="H18" s="7"/>
      <c r="I18" s="7"/>
      <c r="J18" s="7"/>
      <c r="K18" s="7"/>
      <c r="L18" s="11" t="str">
        <f t="shared" ca="1" si="0"/>
        <v/>
      </c>
      <c r="M18" s="11" t="str">
        <f t="shared" si="1"/>
        <v/>
      </c>
      <c r="N18" s="10" t="str">
        <f t="shared" si="2"/>
        <v/>
      </c>
      <c r="O18" s="7"/>
      <c r="P18" s="7"/>
      <c r="Q18" s="7"/>
      <c r="R18" s="7"/>
      <c r="S18" s="9" t="str">
        <f t="shared" ca="1" si="3"/>
        <v>OK</v>
      </c>
      <c r="T18" s="7"/>
      <c r="U18" s="7" t="str">
        <f t="shared" si="4"/>
        <v/>
      </c>
      <c r="V18" s="7"/>
      <c r="W18" t="str">
        <f ca="1">IF(AND(B18&lt;&gt;"",N18&lt;&gt;"",O18="",N18&gt;=TODAY(),N18&lt;=TODAY()+7),COUNTIFS(B$4:B18,"&lt;&gt;",N$4:N18,"&gt;="&amp;TODAY(),N$4:N18,"&lt;="&amp;TODAY()+7,O$4:O18,""),"")</f>
        <v/>
      </c>
    </row>
    <row r="19" spans="1:23" s="1" customFormat="1" ht="18" customHeight="1" x14ac:dyDescent="0.45">
      <c r="A19" s="5"/>
      <c r="B19" s="5"/>
      <c r="C19" s="9" t="str">
        <f>IF(B19="","",VLOOKUP(B19,'Student Roster'!A:C,2,FALSE))</f>
        <v/>
      </c>
      <c r="D19" s="9" t="str">
        <f>IF(B19="","",VLOOKUP(B19,'Student Roster'!A:C,3,FALSE))</f>
        <v/>
      </c>
      <c r="E19" s="9" t="str">
        <f>IF(B19="","",VLOOKUP(B19,'Student Roster'!A:D,4,FALSE))</f>
        <v/>
      </c>
      <c r="F19" s="5"/>
      <c r="G19" s="5"/>
      <c r="H19" s="5"/>
      <c r="I19" s="5"/>
      <c r="J19" s="5"/>
      <c r="K19" s="5"/>
      <c r="L19" s="11" t="str">
        <f t="shared" ca="1" si="0"/>
        <v/>
      </c>
      <c r="M19" s="11" t="str">
        <f t="shared" si="1"/>
        <v/>
      </c>
      <c r="N19" s="10" t="str">
        <f t="shared" si="2"/>
        <v/>
      </c>
      <c r="O19" s="5"/>
      <c r="P19" s="5"/>
      <c r="Q19" s="5"/>
      <c r="R19" s="5"/>
      <c r="S19" s="9" t="str">
        <f t="shared" ca="1" si="3"/>
        <v>OK</v>
      </c>
      <c r="T19" s="5"/>
      <c r="U19" s="5" t="str">
        <f t="shared" si="4"/>
        <v/>
      </c>
      <c r="V19" s="5"/>
      <c r="W19" t="str">
        <f ca="1">IF(AND(B19&lt;&gt;"",N19&lt;&gt;"",O19="",N19&gt;=TODAY(),N19&lt;=TODAY()+7),COUNTIFS(B$4:B19,"&lt;&gt;",N$4:N19,"&gt;="&amp;TODAY(),N$4:N19,"&lt;="&amp;TODAY()+7,O$4:O19,""),"")</f>
        <v/>
      </c>
    </row>
    <row r="20" spans="1:23" s="1" customFormat="1" ht="18" customHeight="1" x14ac:dyDescent="0.45">
      <c r="A20" s="7"/>
      <c r="B20" s="7"/>
      <c r="C20" s="9" t="str">
        <f>IF(B20="","",VLOOKUP(B20,'Student Roster'!A:C,2,FALSE))</f>
        <v/>
      </c>
      <c r="D20" s="9" t="str">
        <f>IF(B20="","",VLOOKUP(B20,'Student Roster'!A:C,3,FALSE))</f>
        <v/>
      </c>
      <c r="E20" s="9" t="str">
        <f>IF(B20="","",VLOOKUP(B20,'Student Roster'!A:D,4,FALSE))</f>
        <v/>
      </c>
      <c r="F20" s="7"/>
      <c r="G20" s="7"/>
      <c r="H20" s="7"/>
      <c r="I20" s="7"/>
      <c r="J20" s="7"/>
      <c r="K20" s="7"/>
      <c r="L20" s="11" t="str">
        <f t="shared" ca="1" si="0"/>
        <v/>
      </c>
      <c r="M20" s="11" t="str">
        <f t="shared" si="1"/>
        <v/>
      </c>
      <c r="N20" s="10" t="str">
        <f t="shared" si="2"/>
        <v/>
      </c>
      <c r="O20" s="7"/>
      <c r="P20" s="7"/>
      <c r="Q20" s="7"/>
      <c r="R20" s="7"/>
      <c r="S20" s="9" t="str">
        <f t="shared" ca="1" si="3"/>
        <v>OK</v>
      </c>
      <c r="T20" s="7"/>
      <c r="U20" s="7" t="str">
        <f t="shared" si="4"/>
        <v/>
      </c>
      <c r="V20" s="7"/>
      <c r="W20" t="str">
        <f ca="1">IF(AND(B20&lt;&gt;"",N20&lt;&gt;"",O20="",N20&gt;=TODAY(),N20&lt;=TODAY()+7),COUNTIFS(B$4:B20,"&lt;&gt;",N$4:N20,"&gt;="&amp;TODAY(),N$4:N20,"&lt;="&amp;TODAY()+7,O$4:O20,""),"")</f>
        <v/>
      </c>
    </row>
    <row r="21" spans="1:23" s="1" customFormat="1" ht="18" customHeight="1" x14ac:dyDescent="0.45">
      <c r="A21" s="5"/>
      <c r="B21" s="5"/>
      <c r="C21" s="9" t="str">
        <f>IF(B21="","",VLOOKUP(B21,'Student Roster'!A:C,2,FALSE))</f>
        <v/>
      </c>
      <c r="D21" s="9" t="str">
        <f>IF(B21="","",VLOOKUP(B21,'Student Roster'!A:C,3,FALSE))</f>
        <v/>
      </c>
      <c r="E21" s="9" t="str">
        <f>IF(B21="","",VLOOKUP(B21,'Student Roster'!A:D,4,FALSE))</f>
        <v/>
      </c>
      <c r="F21" s="5"/>
      <c r="G21" s="5"/>
      <c r="H21" s="5"/>
      <c r="I21" s="5"/>
      <c r="J21" s="5"/>
      <c r="K21" s="5"/>
      <c r="L21" s="11" t="str">
        <f t="shared" ca="1" si="0"/>
        <v/>
      </c>
      <c r="M21" s="11" t="str">
        <f t="shared" si="1"/>
        <v/>
      </c>
      <c r="N21" s="10" t="str">
        <f t="shared" si="2"/>
        <v/>
      </c>
      <c r="O21" s="5"/>
      <c r="P21" s="5"/>
      <c r="Q21" s="5"/>
      <c r="R21" s="5"/>
      <c r="S21" s="9" t="str">
        <f t="shared" ca="1" si="3"/>
        <v>OK</v>
      </c>
      <c r="T21" s="5"/>
      <c r="U21" s="5" t="str">
        <f t="shared" si="4"/>
        <v/>
      </c>
      <c r="V21" s="5"/>
      <c r="W21" t="str">
        <f ca="1">IF(AND(B21&lt;&gt;"",N21&lt;&gt;"",O21="",N21&gt;=TODAY(),N21&lt;=TODAY()+7),COUNTIFS(B$4:B21,"&lt;&gt;",N$4:N21,"&gt;="&amp;TODAY(),N$4:N21,"&lt;="&amp;TODAY()+7,O$4:O21,""),"")</f>
        <v/>
      </c>
    </row>
    <row r="22" spans="1:23" s="1" customFormat="1" ht="18" customHeight="1" x14ac:dyDescent="0.45">
      <c r="A22" s="7"/>
      <c r="B22" s="7"/>
      <c r="C22" s="9" t="str">
        <f>IF(B22="","",VLOOKUP(B22,'Student Roster'!A:C,2,FALSE))</f>
        <v/>
      </c>
      <c r="D22" s="9" t="str">
        <f>IF(B22="","",VLOOKUP(B22,'Student Roster'!A:C,3,FALSE))</f>
        <v/>
      </c>
      <c r="E22" s="9" t="str">
        <f>IF(B22="","",VLOOKUP(B22,'Student Roster'!A:D,4,FALSE))</f>
        <v/>
      </c>
      <c r="F22" s="7"/>
      <c r="G22" s="7"/>
      <c r="H22" s="7"/>
      <c r="I22" s="7"/>
      <c r="J22" s="7"/>
      <c r="K22" s="7"/>
      <c r="L22" s="11" t="str">
        <f t="shared" ca="1" si="0"/>
        <v/>
      </c>
      <c r="M22" s="11" t="str">
        <f t="shared" si="1"/>
        <v/>
      </c>
      <c r="N22" s="10" t="str">
        <f t="shared" si="2"/>
        <v/>
      </c>
      <c r="O22" s="7"/>
      <c r="P22" s="7"/>
      <c r="Q22" s="7"/>
      <c r="R22" s="7"/>
      <c r="S22" s="9" t="str">
        <f t="shared" ca="1" si="3"/>
        <v>OK</v>
      </c>
      <c r="T22" s="7"/>
      <c r="U22" s="7" t="str">
        <f t="shared" si="4"/>
        <v/>
      </c>
      <c r="V22" s="7"/>
      <c r="W22" t="str">
        <f ca="1">IF(AND(B22&lt;&gt;"",N22&lt;&gt;"",O22="",N22&gt;=TODAY(),N22&lt;=TODAY()+7),COUNTIFS(B$4:B22,"&lt;&gt;",N$4:N22,"&gt;="&amp;TODAY(),N$4:N22,"&lt;="&amp;TODAY()+7,O$4:O22,""),"")</f>
        <v/>
      </c>
    </row>
    <row r="23" spans="1:23" s="1" customFormat="1" ht="18" customHeight="1" x14ac:dyDescent="0.45">
      <c r="A23" s="5"/>
      <c r="B23" s="5"/>
      <c r="C23" s="9" t="str">
        <f>IF(B23="","",VLOOKUP(B23,'Student Roster'!A:C,2,FALSE))</f>
        <v/>
      </c>
      <c r="D23" s="9" t="str">
        <f>IF(B23="","",VLOOKUP(B23,'Student Roster'!A:C,3,FALSE))</f>
        <v/>
      </c>
      <c r="E23" s="9" t="str">
        <f>IF(B23="","",VLOOKUP(B23,'Student Roster'!A:D,4,FALSE))</f>
        <v/>
      </c>
      <c r="F23" s="5"/>
      <c r="G23" s="5"/>
      <c r="H23" s="5"/>
      <c r="I23" s="5"/>
      <c r="J23" s="5"/>
      <c r="K23" s="5"/>
      <c r="L23" s="11" t="str">
        <f t="shared" ca="1" si="0"/>
        <v/>
      </c>
      <c r="M23" s="11" t="str">
        <f t="shared" si="1"/>
        <v/>
      </c>
      <c r="N23" s="10" t="str">
        <f t="shared" si="2"/>
        <v/>
      </c>
      <c r="O23" s="5"/>
      <c r="P23" s="5"/>
      <c r="Q23" s="5"/>
      <c r="R23" s="5"/>
      <c r="S23" s="9" t="str">
        <f t="shared" ca="1" si="3"/>
        <v>OK</v>
      </c>
      <c r="T23" s="5"/>
      <c r="U23" s="5" t="str">
        <f t="shared" si="4"/>
        <v/>
      </c>
      <c r="V23" s="5"/>
      <c r="W23" t="str">
        <f ca="1">IF(AND(B23&lt;&gt;"",N23&lt;&gt;"",O23="",N23&gt;=TODAY(),N23&lt;=TODAY()+7),COUNTIFS(B$4:B23,"&lt;&gt;",N$4:N23,"&gt;="&amp;TODAY(),N$4:N23,"&lt;="&amp;TODAY()+7,O$4:O23,""),"")</f>
        <v/>
      </c>
    </row>
    <row r="24" spans="1:23" s="1" customFormat="1" ht="18" customHeight="1" x14ac:dyDescent="0.45">
      <c r="A24" s="7"/>
      <c r="B24" s="7"/>
      <c r="C24" s="9" t="str">
        <f>IF(B24="","",VLOOKUP(B24,'Student Roster'!A:C,2,FALSE))</f>
        <v/>
      </c>
      <c r="D24" s="9" t="str">
        <f>IF(B24="","",VLOOKUP(B24,'Student Roster'!A:C,3,FALSE))</f>
        <v/>
      </c>
      <c r="E24" s="9" t="str">
        <f>IF(B24="","",VLOOKUP(B24,'Student Roster'!A:D,4,FALSE))</f>
        <v/>
      </c>
      <c r="F24" s="7"/>
      <c r="G24" s="7"/>
      <c r="H24" s="7"/>
      <c r="I24" s="7"/>
      <c r="J24" s="7"/>
      <c r="K24" s="7"/>
      <c r="L24" s="11" t="str">
        <f t="shared" ca="1" si="0"/>
        <v/>
      </c>
      <c r="M24" s="11" t="str">
        <f t="shared" si="1"/>
        <v/>
      </c>
      <c r="N24" s="10" t="str">
        <f t="shared" si="2"/>
        <v/>
      </c>
      <c r="O24" s="7"/>
      <c r="P24" s="7"/>
      <c r="Q24" s="7"/>
      <c r="R24" s="7"/>
      <c r="S24" s="9" t="str">
        <f t="shared" ca="1" si="3"/>
        <v>OK</v>
      </c>
      <c r="T24" s="7"/>
      <c r="U24" s="7" t="str">
        <f t="shared" si="4"/>
        <v/>
      </c>
      <c r="V24" s="7"/>
      <c r="W24" t="str">
        <f ca="1">IF(AND(B24&lt;&gt;"",N24&lt;&gt;"",O24="",N24&gt;=TODAY(),N24&lt;=TODAY()+7),COUNTIFS(B$4:B24,"&lt;&gt;",N$4:N24,"&gt;="&amp;TODAY(),N$4:N24,"&lt;="&amp;TODAY()+7,O$4:O24,""),"")</f>
        <v/>
      </c>
    </row>
    <row r="25" spans="1:23" s="1" customFormat="1" ht="18" customHeight="1" x14ac:dyDescent="0.45">
      <c r="A25" s="5"/>
      <c r="B25" s="5"/>
      <c r="C25" s="9" t="str">
        <f>IF(B25="","",VLOOKUP(B25,'Student Roster'!A:C,2,FALSE))</f>
        <v/>
      </c>
      <c r="D25" s="9" t="str">
        <f>IF(B25="","",VLOOKUP(B25,'Student Roster'!A:C,3,FALSE))</f>
        <v/>
      </c>
      <c r="E25" s="9" t="str">
        <f>IF(B25="","",VLOOKUP(B25,'Student Roster'!A:D,4,FALSE))</f>
        <v/>
      </c>
      <c r="F25" s="5"/>
      <c r="G25" s="5"/>
      <c r="H25" s="5"/>
      <c r="I25" s="5"/>
      <c r="J25" s="5"/>
      <c r="K25" s="5"/>
      <c r="L25" s="11" t="str">
        <f t="shared" ca="1" si="0"/>
        <v/>
      </c>
      <c r="M25" s="11" t="str">
        <f t="shared" si="1"/>
        <v/>
      </c>
      <c r="N25" s="10" t="str">
        <f t="shared" si="2"/>
        <v/>
      </c>
      <c r="O25" s="5"/>
      <c r="P25" s="5"/>
      <c r="Q25" s="5"/>
      <c r="R25" s="5"/>
      <c r="S25" s="9" t="str">
        <f t="shared" ca="1" si="3"/>
        <v>OK</v>
      </c>
      <c r="T25" s="5"/>
      <c r="U25" s="5" t="str">
        <f t="shared" si="4"/>
        <v/>
      </c>
      <c r="V25" s="5"/>
      <c r="W25" t="str">
        <f ca="1">IF(AND(B25&lt;&gt;"",N25&lt;&gt;"",O25="",N25&gt;=TODAY(),N25&lt;=TODAY()+7),COUNTIFS(B$4:B25,"&lt;&gt;",N$4:N25,"&gt;="&amp;TODAY(),N$4:N25,"&lt;="&amp;TODAY()+7,O$4:O25,""),"")</f>
        <v/>
      </c>
    </row>
    <row r="26" spans="1:23" s="1" customFormat="1" ht="18" customHeight="1" x14ac:dyDescent="0.45">
      <c r="A26" s="7"/>
      <c r="B26" s="7"/>
      <c r="C26" s="9" t="str">
        <f>IF(B26="","",VLOOKUP(B26,'Student Roster'!A:C,2,FALSE))</f>
        <v/>
      </c>
      <c r="D26" s="9" t="str">
        <f>IF(B26="","",VLOOKUP(B26,'Student Roster'!A:C,3,FALSE))</f>
        <v/>
      </c>
      <c r="E26" s="9" t="str">
        <f>IF(B26="","",VLOOKUP(B26,'Student Roster'!A:D,4,FALSE))</f>
        <v/>
      </c>
      <c r="F26" s="7"/>
      <c r="G26" s="7"/>
      <c r="H26" s="7"/>
      <c r="I26" s="7"/>
      <c r="J26" s="7"/>
      <c r="K26" s="7"/>
      <c r="L26" s="11" t="str">
        <f t="shared" ca="1" si="0"/>
        <v/>
      </c>
      <c r="M26" s="11" t="str">
        <f t="shared" si="1"/>
        <v/>
      </c>
      <c r="N26" s="10" t="str">
        <f t="shared" si="2"/>
        <v/>
      </c>
      <c r="O26" s="7"/>
      <c r="P26" s="7"/>
      <c r="Q26" s="7"/>
      <c r="R26" s="7"/>
      <c r="S26" s="9" t="str">
        <f t="shared" ca="1" si="3"/>
        <v>OK</v>
      </c>
      <c r="T26" s="7"/>
      <c r="U26" s="7" t="str">
        <f t="shared" si="4"/>
        <v/>
      </c>
      <c r="V26" s="7"/>
      <c r="W26" t="str">
        <f ca="1">IF(AND(B26&lt;&gt;"",N26&lt;&gt;"",O26="",N26&gt;=TODAY(),N26&lt;=TODAY()+7),COUNTIFS(B$4:B26,"&lt;&gt;",N$4:N26,"&gt;="&amp;TODAY(),N$4:N26,"&lt;="&amp;TODAY()+7,O$4:O26,""),"")</f>
        <v/>
      </c>
    </row>
    <row r="27" spans="1:23" s="1" customFormat="1" ht="18" customHeight="1" x14ac:dyDescent="0.45">
      <c r="A27" s="5"/>
      <c r="B27" s="5"/>
      <c r="C27" s="9" t="str">
        <f>IF(B27="","",VLOOKUP(B27,'Student Roster'!A:C,2,FALSE))</f>
        <v/>
      </c>
      <c r="D27" s="9" t="str">
        <f>IF(B27="","",VLOOKUP(B27,'Student Roster'!A:C,3,FALSE))</f>
        <v/>
      </c>
      <c r="E27" s="9" t="str">
        <f>IF(B27="","",VLOOKUP(B27,'Student Roster'!A:D,4,FALSE))</f>
        <v/>
      </c>
      <c r="F27" s="5"/>
      <c r="G27" s="5"/>
      <c r="H27" s="5"/>
      <c r="I27" s="5"/>
      <c r="J27" s="5"/>
      <c r="K27" s="5"/>
      <c r="L27" s="11" t="str">
        <f t="shared" ca="1" si="0"/>
        <v/>
      </c>
      <c r="M27" s="11" t="str">
        <f t="shared" si="1"/>
        <v/>
      </c>
      <c r="N27" s="10" t="str">
        <f t="shared" si="2"/>
        <v/>
      </c>
      <c r="O27" s="5"/>
      <c r="P27" s="5"/>
      <c r="Q27" s="5"/>
      <c r="R27" s="5"/>
      <c r="S27" s="9" t="str">
        <f t="shared" ca="1" si="3"/>
        <v>OK</v>
      </c>
      <c r="T27" s="5"/>
      <c r="U27" s="5" t="str">
        <f t="shared" si="4"/>
        <v/>
      </c>
      <c r="V27" s="5"/>
      <c r="W27" t="str">
        <f ca="1">IF(AND(B27&lt;&gt;"",N27&lt;&gt;"",O27="",N27&gt;=TODAY(),N27&lt;=TODAY()+7),COUNTIFS(B$4:B27,"&lt;&gt;",N$4:N27,"&gt;="&amp;TODAY(),N$4:N27,"&lt;="&amp;TODAY()+7,O$4:O27,""),"")</f>
        <v/>
      </c>
    </row>
    <row r="28" spans="1:23" s="1" customFormat="1" ht="18" customHeight="1" x14ac:dyDescent="0.45">
      <c r="A28" s="7"/>
      <c r="B28" s="7"/>
      <c r="C28" s="9" t="str">
        <f>IF(B28="","",VLOOKUP(B28,'Student Roster'!A:C,2,FALSE))</f>
        <v/>
      </c>
      <c r="D28" s="9" t="str">
        <f>IF(B28="","",VLOOKUP(B28,'Student Roster'!A:C,3,FALSE))</f>
        <v/>
      </c>
      <c r="E28" s="9" t="str">
        <f>IF(B28="","",VLOOKUP(B28,'Student Roster'!A:D,4,FALSE))</f>
        <v/>
      </c>
      <c r="F28" s="7"/>
      <c r="G28" s="7"/>
      <c r="H28" s="7"/>
      <c r="I28" s="7"/>
      <c r="J28" s="7"/>
      <c r="K28" s="7"/>
      <c r="L28" s="11" t="str">
        <f t="shared" ca="1" si="0"/>
        <v/>
      </c>
      <c r="M28" s="11" t="str">
        <f t="shared" si="1"/>
        <v/>
      </c>
      <c r="N28" s="10" t="str">
        <f t="shared" si="2"/>
        <v/>
      </c>
      <c r="O28" s="7"/>
      <c r="P28" s="7"/>
      <c r="Q28" s="7"/>
      <c r="R28" s="7"/>
      <c r="S28" s="9" t="str">
        <f t="shared" ca="1" si="3"/>
        <v>OK</v>
      </c>
      <c r="T28" s="7"/>
      <c r="U28" s="7" t="str">
        <f t="shared" si="4"/>
        <v/>
      </c>
      <c r="V28" s="7"/>
      <c r="W28" t="str">
        <f ca="1">IF(AND(B28&lt;&gt;"",N28&lt;&gt;"",O28="",N28&gt;=TODAY(),N28&lt;=TODAY()+7),COUNTIFS(B$4:B28,"&lt;&gt;",N$4:N28,"&gt;="&amp;TODAY(),N$4:N28,"&lt;="&amp;TODAY()+7,O$4:O28,""),"")</f>
        <v/>
      </c>
    </row>
    <row r="29" spans="1:23" s="1" customFormat="1" ht="18" customHeight="1" x14ac:dyDescent="0.45">
      <c r="A29" s="5"/>
      <c r="B29" s="5"/>
      <c r="C29" s="9" t="str">
        <f>IF(B29="","",VLOOKUP(B29,'Student Roster'!A:C,2,FALSE))</f>
        <v/>
      </c>
      <c r="D29" s="9" t="str">
        <f>IF(B29="","",VLOOKUP(B29,'Student Roster'!A:C,3,FALSE))</f>
        <v/>
      </c>
      <c r="E29" s="9" t="str">
        <f>IF(B29="","",VLOOKUP(B29,'Student Roster'!A:D,4,FALSE))</f>
        <v/>
      </c>
      <c r="F29" s="5"/>
      <c r="G29" s="5"/>
      <c r="H29" s="5"/>
      <c r="I29" s="5"/>
      <c r="J29" s="5"/>
      <c r="K29" s="5"/>
      <c r="L29" s="11" t="str">
        <f t="shared" ca="1" si="0"/>
        <v/>
      </c>
      <c r="M29" s="11" t="str">
        <f t="shared" si="1"/>
        <v/>
      </c>
      <c r="N29" s="10" t="str">
        <f t="shared" si="2"/>
        <v/>
      </c>
      <c r="O29" s="5"/>
      <c r="P29" s="5"/>
      <c r="Q29" s="5"/>
      <c r="R29" s="5"/>
      <c r="S29" s="9" t="str">
        <f t="shared" ca="1" si="3"/>
        <v>OK</v>
      </c>
      <c r="T29" s="5"/>
      <c r="U29" s="5" t="str">
        <f t="shared" si="4"/>
        <v/>
      </c>
      <c r="V29" s="5"/>
      <c r="W29" t="str">
        <f ca="1">IF(AND(B29&lt;&gt;"",N29&lt;&gt;"",O29="",N29&gt;=TODAY(),N29&lt;=TODAY()+7),COUNTIFS(B$4:B29,"&lt;&gt;",N$4:N29,"&gt;="&amp;TODAY(),N$4:N29,"&lt;="&amp;TODAY()+7,O$4:O29,""),"")</f>
        <v/>
      </c>
    </row>
    <row r="30" spans="1:23" s="1" customFormat="1" ht="18" customHeight="1" x14ac:dyDescent="0.45">
      <c r="A30" s="7"/>
      <c r="B30" s="7"/>
      <c r="C30" s="9" t="str">
        <f>IF(B30="","",VLOOKUP(B30,'Student Roster'!A:C,2,FALSE))</f>
        <v/>
      </c>
      <c r="D30" s="9" t="str">
        <f>IF(B30="","",VLOOKUP(B30,'Student Roster'!A:C,3,FALSE))</f>
        <v/>
      </c>
      <c r="E30" s="9" t="str">
        <f>IF(B30="","",VLOOKUP(B30,'Student Roster'!A:D,4,FALSE))</f>
        <v/>
      </c>
      <c r="F30" s="7"/>
      <c r="G30" s="7"/>
      <c r="H30" s="7"/>
      <c r="I30" s="7"/>
      <c r="J30" s="7"/>
      <c r="K30" s="7"/>
      <c r="L30" s="11" t="str">
        <f t="shared" ca="1" si="0"/>
        <v/>
      </c>
      <c r="M30" s="11" t="str">
        <f t="shared" si="1"/>
        <v/>
      </c>
      <c r="N30" s="10" t="str">
        <f t="shared" si="2"/>
        <v/>
      </c>
      <c r="O30" s="7"/>
      <c r="P30" s="7"/>
      <c r="Q30" s="7"/>
      <c r="R30" s="7"/>
      <c r="S30" s="9" t="str">
        <f t="shared" ca="1" si="3"/>
        <v>OK</v>
      </c>
      <c r="T30" s="7"/>
      <c r="U30" s="7" t="str">
        <f t="shared" si="4"/>
        <v/>
      </c>
      <c r="V30" s="7"/>
      <c r="W30" t="str">
        <f ca="1">IF(AND(B30&lt;&gt;"",N30&lt;&gt;"",O30="",N30&gt;=TODAY(),N30&lt;=TODAY()+7),COUNTIFS(B$4:B30,"&lt;&gt;",N$4:N30,"&gt;="&amp;TODAY(),N$4:N30,"&lt;="&amp;TODAY()+7,O$4:O30,""),"")</f>
        <v/>
      </c>
    </row>
    <row r="31" spans="1:23" s="1" customFormat="1" ht="18" customHeight="1" x14ac:dyDescent="0.45">
      <c r="A31" s="5"/>
      <c r="B31" s="5"/>
      <c r="C31" s="9" t="str">
        <f>IF(B31="","",VLOOKUP(B31,'Student Roster'!A:C,2,FALSE))</f>
        <v/>
      </c>
      <c r="D31" s="9" t="str">
        <f>IF(B31="","",VLOOKUP(B31,'Student Roster'!A:C,3,FALSE))</f>
        <v/>
      </c>
      <c r="E31" s="9" t="str">
        <f>IF(B31="","",VLOOKUP(B31,'Student Roster'!A:D,4,FALSE))</f>
        <v/>
      </c>
      <c r="F31" s="5"/>
      <c r="G31" s="5"/>
      <c r="H31" s="5"/>
      <c r="I31" s="5"/>
      <c r="J31" s="5"/>
      <c r="K31" s="5"/>
      <c r="L31" s="11" t="str">
        <f t="shared" ca="1" si="0"/>
        <v/>
      </c>
      <c r="M31" s="11" t="str">
        <f t="shared" si="1"/>
        <v/>
      </c>
      <c r="N31" s="10" t="str">
        <f t="shared" si="2"/>
        <v/>
      </c>
      <c r="O31" s="5"/>
      <c r="P31" s="5"/>
      <c r="Q31" s="5"/>
      <c r="R31" s="5"/>
      <c r="S31" s="9" t="str">
        <f t="shared" ca="1" si="3"/>
        <v>OK</v>
      </c>
      <c r="T31" s="5"/>
      <c r="U31" s="5" t="str">
        <f t="shared" si="4"/>
        <v/>
      </c>
      <c r="V31" s="5"/>
      <c r="W31" t="str">
        <f ca="1">IF(AND(B31&lt;&gt;"",N31&lt;&gt;"",O31="",N31&gt;=TODAY(),N31&lt;=TODAY()+7),COUNTIFS(B$4:B31,"&lt;&gt;",N$4:N31,"&gt;="&amp;TODAY(),N$4:N31,"&lt;="&amp;TODAY()+7,O$4:O31,""),"")</f>
        <v/>
      </c>
    </row>
    <row r="32" spans="1:23" s="1" customFormat="1" ht="18" customHeight="1" x14ac:dyDescent="0.45">
      <c r="A32" s="7"/>
      <c r="B32" s="7"/>
      <c r="C32" s="9" t="str">
        <f>IF(B32="","",VLOOKUP(B32,'Student Roster'!A:C,2,FALSE))</f>
        <v/>
      </c>
      <c r="D32" s="9" t="str">
        <f>IF(B32="","",VLOOKUP(B32,'Student Roster'!A:C,3,FALSE))</f>
        <v/>
      </c>
      <c r="E32" s="9" t="str">
        <f>IF(B32="","",VLOOKUP(B32,'Student Roster'!A:D,4,FALSE))</f>
        <v/>
      </c>
      <c r="F32" s="7"/>
      <c r="G32" s="7"/>
      <c r="H32" s="7"/>
      <c r="I32" s="7"/>
      <c r="J32" s="7"/>
      <c r="K32" s="7"/>
      <c r="L32" s="11" t="str">
        <f t="shared" ca="1" si="0"/>
        <v/>
      </c>
      <c r="M32" s="11" t="str">
        <f t="shared" si="1"/>
        <v/>
      </c>
      <c r="N32" s="10" t="str">
        <f t="shared" si="2"/>
        <v/>
      </c>
      <c r="O32" s="7"/>
      <c r="P32" s="7"/>
      <c r="Q32" s="7"/>
      <c r="R32" s="7"/>
      <c r="S32" s="9" t="str">
        <f t="shared" ca="1" si="3"/>
        <v>OK</v>
      </c>
      <c r="T32" s="7"/>
      <c r="U32" s="7" t="str">
        <f t="shared" si="4"/>
        <v/>
      </c>
      <c r="V32" s="7"/>
      <c r="W32" t="str">
        <f ca="1">IF(AND(B32&lt;&gt;"",N32&lt;&gt;"",O32="",N32&gt;=TODAY(),N32&lt;=TODAY()+7),COUNTIFS(B$4:B32,"&lt;&gt;",N$4:N32,"&gt;="&amp;TODAY(),N$4:N32,"&lt;="&amp;TODAY()+7,O$4:O32,""),"")</f>
        <v/>
      </c>
    </row>
    <row r="33" spans="1:23" s="1" customFormat="1" ht="18" customHeight="1" x14ac:dyDescent="0.45">
      <c r="A33" s="5"/>
      <c r="B33" s="5"/>
      <c r="C33" s="9" t="str">
        <f>IF(B33="","",VLOOKUP(B33,'Student Roster'!A:C,2,FALSE))</f>
        <v/>
      </c>
      <c r="D33" s="9" t="str">
        <f>IF(B33="","",VLOOKUP(B33,'Student Roster'!A:C,3,FALSE))</f>
        <v/>
      </c>
      <c r="E33" s="9" t="str">
        <f>IF(B33="","",VLOOKUP(B33,'Student Roster'!A:D,4,FALSE))</f>
        <v/>
      </c>
      <c r="F33" s="5"/>
      <c r="G33" s="5"/>
      <c r="H33" s="5"/>
      <c r="I33" s="5"/>
      <c r="J33" s="5"/>
      <c r="K33" s="5"/>
      <c r="L33" s="11" t="str">
        <f t="shared" ca="1" si="0"/>
        <v/>
      </c>
      <c r="M33" s="11" t="str">
        <f t="shared" si="1"/>
        <v/>
      </c>
      <c r="N33" s="10" t="str">
        <f t="shared" si="2"/>
        <v/>
      </c>
      <c r="O33" s="5"/>
      <c r="P33" s="5"/>
      <c r="Q33" s="5"/>
      <c r="R33" s="5"/>
      <c r="S33" s="9" t="str">
        <f t="shared" ca="1" si="3"/>
        <v>OK</v>
      </c>
      <c r="T33" s="5"/>
      <c r="U33" s="5" t="str">
        <f t="shared" si="4"/>
        <v/>
      </c>
      <c r="V33" s="5"/>
      <c r="W33" t="str">
        <f ca="1">IF(AND(B33&lt;&gt;"",N33&lt;&gt;"",O33="",N33&gt;=TODAY(),N33&lt;=TODAY()+7),COUNTIFS(B$4:B33,"&lt;&gt;",N$4:N33,"&gt;="&amp;TODAY(),N$4:N33,"&lt;="&amp;TODAY()+7,O$4:O33,""),"")</f>
        <v/>
      </c>
    </row>
    <row r="34" spans="1:23" s="1" customFormat="1" ht="18" customHeight="1" x14ac:dyDescent="0.45">
      <c r="A34" s="7"/>
      <c r="B34" s="7"/>
      <c r="C34" s="9" t="str">
        <f>IF(B34="","",VLOOKUP(B34,'Student Roster'!A:C,2,FALSE))</f>
        <v/>
      </c>
      <c r="D34" s="9" t="str">
        <f>IF(B34="","",VLOOKUP(B34,'Student Roster'!A:C,3,FALSE))</f>
        <v/>
      </c>
      <c r="E34" s="9" t="str">
        <f>IF(B34="","",VLOOKUP(B34,'Student Roster'!A:D,4,FALSE))</f>
        <v/>
      </c>
      <c r="F34" s="7"/>
      <c r="G34" s="7"/>
      <c r="H34" s="7"/>
      <c r="I34" s="7"/>
      <c r="J34" s="7"/>
      <c r="K34" s="7"/>
      <c r="L34" s="11" t="str">
        <f t="shared" ca="1" si="0"/>
        <v/>
      </c>
      <c r="M34" s="11" t="str">
        <f t="shared" si="1"/>
        <v/>
      </c>
      <c r="N34" s="10" t="str">
        <f t="shared" si="2"/>
        <v/>
      </c>
      <c r="O34" s="7"/>
      <c r="P34" s="7"/>
      <c r="Q34" s="7"/>
      <c r="R34" s="7"/>
      <c r="S34" s="9" t="str">
        <f t="shared" ca="1" si="3"/>
        <v>OK</v>
      </c>
      <c r="T34" s="7"/>
      <c r="U34" s="7" t="str">
        <f t="shared" si="4"/>
        <v/>
      </c>
      <c r="V34" s="7"/>
      <c r="W34" t="str">
        <f ca="1">IF(AND(B34&lt;&gt;"",N34&lt;&gt;"",O34="",N34&gt;=TODAY(),N34&lt;=TODAY()+7),COUNTIFS(B$4:B34,"&lt;&gt;",N$4:N34,"&gt;="&amp;TODAY(),N$4:N34,"&lt;="&amp;TODAY()+7,O$4:O34,""),"")</f>
        <v/>
      </c>
    </row>
    <row r="35" spans="1:23" s="1" customFormat="1" ht="18" customHeight="1" x14ac:dyDescent="0.45">
      <c r="A35" s="5"/>
      <c r="B35" s="5"/>
      <c r="C35" s="9" t="str">
        <f>IF(B35="","",VLOOKUP(B35,'Student Roster'!A:C,2,FALSE))</f>
        <v/>
      </c>
      <c r="D35" s="9" t="str">
        <f>IF(B35="","",VLOOKUP(B35,'Student Roster'!A:C,3,FALSE))</f>
        <v/>
      </c>
      <c r="E35" s="9" t="str">
        <f>IF(B35="","",VLOOKUP(B35,'Student Roster'!A:D,4,FALSE))</f>
        <v/>
      </c>
      <c r="F35" s="5"/>
      <c r="G35" s="5"/>
      <c r="H35" s="5"/>
      <c r="I35" s="5"/>
      <c r="J35" s="5"/>
      <c r="K35" s="5"/>
      <c r="L35" s="11" t="str">
        <f t="shared" ca="1" si="0"/>
        <v/>
      </c>
      <c r="M35" s="11" t="str">
        <f t="shared" si="1"/>
        <v/>
      </c>
      <c r="N35" s="10" t="str">
        <f t="shared" si="2"/>
        <v/>
      </c>
      <c r="O35" s="5"/>
      <c r="P35" s="5"/>
      <c r="Q35" s="5"/>
      <c r="R35" s="5"/>
      <c r="S35" s="9" t="str">
        <f t="shared" ca="1" si="3"/>
        <v>OK</v>
      </c>
      <c r="T35" s="5"/>
      <c r="U35" s="5" t="str">
        <f t="shared" si="4"/>
        <v/>
      </c>
      <c r="V35" s="5"/>
      <c r="W35" t="str">
        <f ca="1">IF(AND(B35&lt;&gt;"",N35&lt;&gt;"",O35="",N35&gt;=TODAY(),N35&lt;=TODAY()+7),COUNTIFS(B$4:B35,"&lt;&gt;",N$4:N35,"&gt;="&amp;TODAY(),N$4:N35,"&lt;="&amp;TODAY()+7,O$4:O35,""),"")</f>
        <v/>
      </c>
    </row>
    <row r="36" spans="1:23" s="1" customFormat="1" ht="18" customHeight="1" x14ac:dyDescent="0.45">
      <c r="A36" s="7"/>
      <c r="B36" s="7"/>
      <c r="C36" s="9" t="str">
        <f>IF(B36="","",VLOOKUP(B36,'Student Roster'!A:C,2,FALSE))</f>
        <v/>
      </c>
      <c r="D36" s="9" t="str">
        <f>IF(B36="","",VLOOKUP(B36,'Student Roster'!A:C,3,FALSE))</f>
        <v/>
      </c>
      <c r="E36" s="9" t="str">
        <f>IF(B36="","",VLOOKUP(B36,'Student Roster'!A:D,4,FALSE))</f>
        <v/>
      </c>
      <c r="F36" s="7"/>
      <c r="G36" s="7"/>
      <c r="H36" s="7"/>
      <c r="I36" s="7"/>
      <c r="J36" s="7"/>
      <c r="K36" s="7"/>
      <c r="L36" s="11" t="str">
        <f t="shared" ref="L36:L67" ca="1" si="5">IF(J36="","",IF(O36="",TODAY()-J36,O36-J36))</f>
        <v/>
      </c>
      <c r="M36" s="11" t="str">
        <f t="shared" ref="M36:M67" si="6">IF(J36="","",MAX(0,K36-L36))</f>
        <v/>
      </c>
      <c r="N36" s="10" t="str">
        <f t="shared" ref="N36:N67" si="7">IF(J36="","",J36+K36)</f>
        <v/>
      </c>
      <c r="O36" s="7"/>
      <c r="P36" s="7"/>
      <c r="Q36" s="7"/>
      <c r="R36" s="7"/>
      <c r="S36" s="9" t="str">
        <f t="shared" ref="S36:S67" ca="1" si="8">IF(AND(R36="Yes",L36&gt;=8),"⚠ APPROACHING 10-DAY","OK")</f>
        <v>OK</v>
      </c>
      <c r="T36" s="7"/>
      <c r="U36" s="7" t="str">
        <f t="shared" ref="U36:U67" si="9">IF(J36="","",IF(AND(T36="Yes",L36&lt;=K36),"Complete",IF(L36&gt;K36,"⚠ OVERDUE","In Progress")))</f>
        <v/>
      </c>
      <c r="V36" s="7"/>
      <c r="W36" t="str">
        <f ca="1">IF(AND(B36&lt;&gt;"",N36&lt;&gt;"",O36="",N36&gt;=TODAY(),N36&lt;=TODAY()+7),COUNTIFS(B$4:B36,"&lt;&gt;",N$4:N36,"&gt;="&amp;TODAY(),N$4:N36,"&lt;="&amp;TODAY()+7,O$4:O36,""),"")</f>
        <v/>
      </c>
    </row>
    <row r="37" spans="1:23" s="1" customFormat="1" ht="18" customHeight="1" x14ac:dyDescent="0.45">
      <c r="A37" s="5"/>
      <c r="B37" s="5"/>
      <c r="C37" s="9" t="str">
        <f>IF(B37="","",VLOOKUP(B37,'Student Roster'!A:C,2,FALSE))</f>
        <v/>
      </c>
      <c r="D37" s="9" t="str">
        <f>IF(B37="","",VLOOKUP(B37,'Student Roster'!A:C,3,FALSE))</f>
        <v/>
      </c>
      <c r="E37" s="9" t="str">
        <f>IF(B37="","",VLOOKUP(B37,'Student Roster'!A:D,4,FALSE))</f>
        <v/>
      </c>
      <c r="F37" s="5"/>
      <c r="G37" s="5"/>
      <c r="H37" s="5"/>
      <c r="I37" s="5"/>
      <c r="J37" s="5"/>
      <c r="K37" s="5"/>
      <c r="L37" s="11" t="str">
        <f t="shared" ca="1" si="5"/>
        <v/>
      </c>
      <c r="M37" s="11" t="str">
        <f t="shared" si="6"/>
        <v/>
      </c>
      <c r="N37" s="10" t="str">
        <f t="shared" si="7"/>
        <v/>
      </c>
      <c r="O37" s="5"/>
      <c r="P37" s="5"/>
      <c r="Q37" s="5"/>
      <c r="R37" s="5"/>
      <c r="S37" s="9" t="str">
        <f t="shared" ca="1" si="8"/>
        <v>OK</v>
      </c>
      <c r="T37" s="5"/>
      <c r="U37" s="5" t="str">
        <f t="shared" si="9"/>
        <v/>
      </c>
      <c r="V37" s="5"/>
      <c r="W37" t="str">
        <f ca="1">IF(AND(B37&lt;&gt;"",N37&lt;&gt;"",O37="",N37&gt;=TODAY(),N37&lt;=TODAY()+7),COUNTIFS(B$4:B37,"&lt;&gt;",N$4:N37,"&gt;="&amp;TODAY(),N$4:N37,"&lt;="&amp;TODAY()+7,O$4:O37,""),"")</f>
        <v/>
      </c>
    </row>
    <row r="38" spans="1:23" s="1" customFormat="1" ht="18" customHeight="1" x14ac:dyDescent="0.45">
      <c r="A38" s="7"/>
      <c r="B38" s="7"/>
      <c r="C38" s="9" t="str">
        <f>IF(B38="","",VLOOKUP(B38,'Student Roster'!A:C,2,FALSE))</f>
        <v/>
      </c>
      <c r="D38" s="9" t="str">
        <f>IF(B38="","",VLOOKUP(B38,'Student Roster'!A:C,3,FALSE))</f>
        <v/>
      </c>
      <c r="E38" s="9" t="str">
        <f>IF(B38="","",VLOOKUP(B38,'Student Roster'!A:D,4,FALSE))</f>
        <v/>
      </c>
      <c r="F38" s="7"/>
      <c r="G38" s="7"/>
      <c r="H38" s="7"/>
      <c r="I38" s="7"/>
      <c r="J38" s="7"/>
      <c r="K38" s="7"/>
      <c r="L38" s="11" t="str">
        <f t="shared" ca="1" si="5"/>
        <v/>
      </c>
      <c r="M38" s="11" t="str">
        <f t="shared" si="6"/>
        <v/>
      </c>
      <c r="N38" s="10" t="str">
        <f t="shared" si="7"/>
        <v/>
      </c>
      <c r="O38" s="7"/>
      <c r="P38" s="7"/>
      <c r="Q38" s="7"/>
      <c r="R38" s="7"/>
      <c r="S38" s="9" t="str">
        <f t="shared" ca="1" si="8"/>
        <v>OK</v>
      </c>
      <c r="T38" s="7"/>
      <c r="U38" s="7" t="str">
        <f t="shared" si="9"/>
        <v/>
      </c>
      <c r="V38" s="7"/>
      <c r="W38" t="str">
        <f ca="1">IF(AND(B38&lt;&gt;"",N38&lt;&gt;"",O38="",N38&gt;=TODAY(),N38&lt;=TODAY()+7),COUNTIFS(B$4:B38,"&lt;&gt;",N$4:N38,"&gt;="&amp;TODAY(),N$4:N38,"&lt;="&amp;TODAY()+7,O$4:O38,""),"")</f>
        <v/>
      </c>
    </row>
    <row r="39" spans="1:23" s="1" customFormat="1" ht="18" customHeight="1" x14ac:dyDescent="0.45">
      <c r="A39" s="5"/>
      <c r="B39" s="5"/>
      <c r="C39" s="9" t="str">
        <f>IF(B39="","",VLOOKUP(B39,'Student Roster'!A:C,2,FALSE))</f>
        <v/>
      </c>
      <c r="D39" s="9" t="str">
        <f>IF(B39="","",VLOOKUP(B39,'Student Roster'!A:C,3,FALSE))</f>
        <v/>
      </c>
      <c r="E39" s="9" t="str">
        <f>IF(B39="","",VLOOKUP(B39,'Student Roster'!A:D,4,FALSE))</f>
        <v/>
      </c>
      <c r="F39" s="5"/>
      <c r="G39" s="5"/>
      <c r="H39" s="5"/>
      <c r="I39" s="5"/>
      <c r="J39" s="5"/>
      <c r="K39" s="5"/>
      <c r="L39" s="11" t="str">
        <f t="shared" ca="1" si="5"/>
        <v/>
      </c>
      <c r="M39" s="11" t="str">
        <f t="shared" si="6"/>
        <v/>
      </c>
      <c r="N39" s="10" t="str">
        <f t="shared" si="7"/>
        <v/>
      </c>
      <c r="O39" s="5"/>
      <c r="P39" s="5"/>
      <c r="Q39" s="5"/>
      <c r="R39" s="5"/>
      <c r="S39" s="9" t="str">
        <f t="shared" ca="1" si="8"/>
        <v>OK</v>
      </c>
      <c r="T39" s="5"/>
      <c r="U39" s="5" t="str">
        <f t="shared" si="9"/>
        <v/>
      </c>
      <c r="V39" s="5"/>
      <c r="W39" t="str">
        <f ca="1">IF(AND(B39&lt;&gt;"",N39&lt;&gt;"",O39="",N39&gt;=TODAY(),N39&lt;=TODAY()+7),COUNTIFS(B$4:B39,"&lt;&gt;",N$4:N39,"&gt;="&amp;TODAY(),N$4:N39,"&lt;="&amp;TODAY()+7,O$4:O39,""),"")</f>
        <v/>
      </c>
    </row>
    <row r="40" spans="1:23" s="1" customFormat="1" ht="18" customHeight="1" x14ac:dyDescent="0.45">
      <c r="A40" s="7"/>
      <c r="B40" s="7"/>
      <c r="C40" s="9" t="str">
        <f>IF(B40="","",VLOOKUP(B40,'Student Roster'!A:C,2,FALSE))</f>
        <v/>
      </c>
      <c r="D40" s="9" t="str">
        <f>IF(B40="","",VLOOKUP(B40,'Student Roster'!A:C,3,FALSE))</f>
        <v/>
      </c>
      <c r="E40" s="9" t="str">
        <f>IF(B40="","",VLOOKUP(B40,'Student Roster'!A:D,4,FALSE))</f>
        <v/>
      </c>
      <c r="F40" s="7"/>
      <c r="G40" s="7"/>
      <c r="H40" s="7"/>
      <c r="I40" s="7"/>
      <c r="J40" s="7"/>
      <c r="K40" s="7"/>
      <c r="L40" s="11" t="str">
        <f t="shared" ca="1" si="5"/>
        <v/>
      </c>
      <c r="M40" s="11" t="str">
        <f t="shared" si="6"/>
        <v/>
      </c>
      <c r="N40" s="10" t="str">
        <f t="shared" si="7"/>
        <v/>
      </c>
      <c r="O40" s="7"/>
      <c r="P40" s="7"/>
      <c r="Q40" s="7"/>
      <c r="R40" s="7"/>
      <c r="S40" s="9" t="str">
        <f t="shared" ca="1" si="8"/>
        <v>OK</v>
      </c>
      <c r="T40" s="7"/>
      <c r="U40" s="7" t="str">
        <f t="shared" si="9"/>
        <v/>
      </c>
      <c r="V40" s="7"/>
      <c r="W40" t="str">
        <f ca="1">IF(AND(B40&lt;&gt;"",N40&lt;&gt;"",O40="",N40&gt;=TODAY(),N40&lt;=TODAY()+7),COUNTIFS(B$4:B40,"&lt;&gt;",N$4:N40,"&gt;="&amp;TODAY(),N$4:N40,"&lt;="&amp;TODAY()+7,O$4:O40,""),"")</f>
        <v/>
      </c>
    </row>
    <row r="41" spans="1:23" s="1" customFormat="1" ht="18" customHeight="1" x14ac:dyDescent="0.45">
      <c r="A41" s="5"/>
      <c r="B41" s="5"/>
      <c r="C41" s="9" t="str">
        <f>IF(B41="","",VLOOKUP(B41,'Student Roster'!A:C,2,FALSE))</f>
        <v/>
      </c>
      <c r="D41" s="9" t="str">
        <f>IF(B41="","",VLOOKUP(B41,'Student Roster'!A:C,3,FALSE))</f>
        <v/>
      </c>
      <c r="E41" s="9" t="str">
        <f>IF(B41="","",VLOOKUP(B41,'Student Roster'!A:D,4,FALSE))</f>
        <v/>
      </c>
      <c r="F41" s="5"/>
      <c r="G41" s="5"/>
      <c r="H41" s="5"/>
      <c r="I41" s="5"/>
      <c r="J41" s="5"/>
      <c r="K41" s="5"/>
      <c r="L41" s="11" t="str">
        <f t="shared" ca="1" si="5"/>
        <v/>
      </c>
      <c r="M41" s="11" t="str">
        <f t="shared" si="6"/>
        <v/>
      </c>
      <c r="N41" s="10" t="str">
        <f t="shared" si="7"/>
        <v/>
      </c>
      <c r="O41" s="5"/>
      <c r="P41" s="5"/>
      <c r="Q41" s="5"/>
      <c r="R41" s="5"/>
      <c r="S41" s="9" t="str">
        <f t="shared" ca="1" si="8"/>
        <v>OK</v>
      </c>
      <c r="T41" s="5"/>
      <c r="U41" s="5" t="str">
        <f t="shared" si="9"/>
        <v/>
      </c>
      <c r="V41" s="5"/>
      <c r="W41" t="str">
        <f ca="1">IF(AND(B41&lt;&gt;"",N41&lt;&gt;"",O41="",N41&gt;=TODAY(),N41&lt;=TODAY()+7),COUNTIFS(B$4:B41,"&lt;&gt;",N$4:N41,"&gt;="&amp;TODAY(),N$4:N41,"&lt;="&amp;TODAY()+7,O$4:O41,""),"")</f>
        <v/>
      </c>
    </row>
    <row r="42" spans="1:23" s="1" customFormat="1" ht="18" customHeight="1" x14ac:dyDescent="0.45">
      <c r="A42" s="7"/>
      <c r="B42" s="7"/>
      <c r="C42" s="9" t="str">
        <f>IF(B42="","",VLOOKUP(B42,'Student Roster'!A:C,2,FALSE))</f>
        <v/>
      </c>
      <c r="D42" s="9" t="str">
        <f>IF(B42="","",VLOOKUP(B42,'Student Roster'!A:C,3,FALSE))</f>
        <v/>
      </c>
      <c r="E42" s="9" t="str">
        <f>IF(B42="","",VLOOKUP(B42,'Student Roster'!A:D,4,FALSE))</f>
        <v/>
      </c>
      <c r="F42" s="7"/>
      <c r="G42" s="7"/>
      <c r="H42" s="7"/>
      <c r="I42" s="7"/>
      <c r="J42" s="7"/>
      <c r="K42" s="7"/>
      <c r="L42" s="11" t="str">
        <f t="shared" ca="1" si="5"/>
        <v/>
      </c>
      <c r="M42" s="11" t="str">
        <f t="shared" si="6"/>
        <v/>
      </c>
      <c r="N42" s="10" t="str">
        <f t="shared" si="7"/>
        <v/>
      </c>
      <c r="O42" s="7"/>
      <c r="P42" s="7"/>
      <c r="Q42" s="7"/>
      <c r="R42" s="7"/>
      <c r="S42" s="9" t="str">
        <f t="shared" ca="1" si="8"/>
        <v>OK</v>
      </c>
      <c r="T42" s="7"/>
      <c r="U42" s="7" t="str">
        <f t="shared" si="9"/>
        <v/>
      </c>
      <c r="V42" s="7"/>
      <c r="W42" t="str">
        <f ca="1">IF(AND(B42&lt;&gt;"",N42&lt;&gt;"",O42="",N42&gt;=TODAY(),N42&lt;=TODAY()+7),COUNTIFS(B$4:B42,"&lt;&gt;",N$4:N42,"&gt;="&amp;TODAY(),N$4:N42,"&lt;="&amp;TODAY()+7,O$4:O42,""),"")</f>
        <v/>
      </c>
    </row>
    <row r="43" spans="1:23" s="1" customFormat="1" ht="18" customHeight="1" x14ac:dyDescent="0.45">
      <c r="A43" s="5"/>
      <c r="B43" s="5"/>
      <c r="C43" s="9" t="str">
        <f>IF(B43="","",VLOOKUP(B43,'Student Roster'!A:C,2,FALSE))</f>
        <v/>
      </c>
      <c r="D43" s="9" t="str">
        <f>IF(B43="","",VLOOKUP(B43,'Student Roster'!A:C,3,FALSE))</f>
        <v/>
      </c>
      <c r="E43" s="9" t="str">
        <f>IF(B43="","",VLOOKUP(B43,'Student Roster'!A:D,4,FALSE))</f>
        <v/>
      </c>
      <c r="F43" s="5"/>
      <c r="G43" s="5"/>
      <c r="H43" s="5"/>
      <c r="I43" s="5"/>
      <c r="J43" s="5"/>
      <c r="K43" s="5"/>
      <c r="L43" s="11" t="str">
        <f t="shared" ca="1" si="5"/>
        <v/>
      </c>
      <c r="M43" s="11" t="str">
        <f t="shared" si="6"/>
        <v/>
      </c>
      <c r="N43" s="10" t="str">
        <f t="shared" si="7"/>
        <v/>
      </c>
      <c r="O43" s="5"/>
      <c r="P43" s="5"/>
      <c r="Q43" s="5"/>
      <c r="R43" s="5"/>
      <c r="S43" s="9" t="str">
        <f t="shared" ca="1" si="8"/>
        <v>OK</v>
      </c>
      <c r="T43" s="5"/>
      <c r="U43" s="5" t="str">
        <f t="shared" si="9"/>
        <v/>
      </c>
      <c r="V43" s="5"/>
      <c r="W43" t="str">
        <f ca="1">IF(AND(B43&lt;&gt;"",N43&lt;&gt;"",O43="",N43&gt;=TODAY(),N43&lt;=TODAY()+7),COUNTIFS(B$4:B43,"&lt;&gt;",N$4:N43,"&gt;="&amp;TODAY(),N$4:N43,"&lt;="&amp;TODAY()+7,O$4:O43,""),"")</f>
        <v/>
      </c>
    </row>
    <row r="44" spans="1:23" s="1" customFormat="1" ht="18" customHeight="1" x14ac:dyDescent="0.45">
      <c r="A44" s="7"/>
      <c r="B44" s="7"/>
      <c r="C44" s="9" t="str">
        <f>IF(B44="","",VLOOKUP(B44,'Student Roster'!A:C,2,FALSE))</f>
        <v/>
      </c>
      <c r="D44" s="9" t="str">
        <f>IF(B44="","",VLOOKUP(B44,'Student Roster'!A:C,3,FALSE))</f>
        <v/>
      </c>
      <c r="E44" s="9" t="str">
        <f>IF(B44="","",VLOOKUP(B44,'Student Roster'!A:D,4,FALSE))</f>
        <v/>
      </c>
      <c r="F44" s="7"/>
      <c r="G44" s="7"/>
      <c r="H44" s="7"/>
      <c r="I44" s="7"/>
      <c r="J44" s="7"/>
      <c r="K44" s="7"/>
      <c r="L44" s="11" t="str">
        <f t="shared" ca="1" si="5"/>
        <v/>
      </c>
      <c r="M44" s="11" t="str">
        <f t="shared" si="6"/>
        <v/>
      </c>
      <c r="N44" s="10" t="str">
        <f t="shared" si="7"/>
        <v/>
      </c>
      <c r="O44" s="7"/>
      <c r="P44" s="7"/>
      <c r="Q44" s="7"/>
      <c r="R44" s="7"/>
      <c r="S44" s="9" t="str">
        <f t="shared" ca="1" si="8"/>
        <v>OK</v>
      </c>
      <c r="T44" s="7"/>
      <c r="U44" s="7" t="str">
        <f t="shared" si="9"/>
        <v/>
      </c>
      <c r="V44" s="7"/>
      <c r="W44" t="str">
        <f ca="1">IF(AND(B44&lt;&gt;"",N44&lt;&gt;"",O44="",N44&gt;=TODAY(),N44&lt;=TODAY()+7),COUNTIFS(B$4:B44,"&lt;&gt;",N$4:N44,"&gt;="&amp;TODAY(),N$4:N44,"&lt;="&amp;TODAY()+7,O$4:O44,""),"")</f>
        <v/>
      </c>
    </row>
    <row r="45" spans="1:23" s="1" customFormat="1" ht="18" customHeight="1" x14ac:dyDescent="0.45">
      <c r="A45" s="5"/>
      <c r="B45" s="5"/>
      <c r="C45" s="9" t="str">
        <f>IF(B45="","",VLOOKUP(B45,'Student Roster'!A:C,2,FALSE))</f>
        <v/>
      </c>
      <c r="D45" s="9" t="str">
        <f>IF(B45="","",VLOOKUP(B45,'Student Roster'!A:C,3,FALSE))</f>
        <v/>
      </c>
      <c r="E45" s="9" t="str">
        <f>IF(B45="","",VLOOKUP(B45,'Student Roster'!A:D,4,FALSE))</f>
        <v/>
      </c>
      <c r="F45" s="5"/>
      <c r="G45" s="5"/>
      <c r="H45" s="5"/>
      <c r="I45" s="5"/>
      <c r="J45" s="5"/>
      <c r="K45" s="5"/>
      <c r="L45" s="11" t="str">
        <f t="shared" ca="1" si="5"/>
        <v/>
      </c>
      <c r="M45" s="11" t="str">
        <f t="shared" si="6"/>
        <v/>
      </c>
      <c r="N45" s="10" t="str">
        <f t="shared" si="7"/>
        <v/>
      </c>
      <c r="O45" s="5"/>
      <c r="P45" s="5"/>
      <c r="Q45" s="5"/>
      <c r="R45" s="5"/>
      <c r="S45" s="9" t="str">
        <f t="shared" ca="1" si="8"/>
        <v>OK</v>
      </c>
      <c r="T45" s="5"/>
      <c r="U45" s="5" t="str">
        <f t="shared" si="9"/>
        <v/>
      </c>
      <c r="V45" s="5"/>
      <c r="W45" t="str">
        <f ca="1">IF(AND(B45&lt;&gt;"",N45&lt;&gt;"",O45="",N45&gt;=TODAY(),N45&lt;=TODAY()+7),COUNTIFS(B$4:B45,"&lt;&gt;",N$4:N45,"&gt;="&amp;TODAY(),N$4:N45,"&lt;="&amp;TODAY()+7,O$4:O45,""),"")</f>
        <v/>
      </c>
    </row>
    <row r="46" spans="1:23" s="1" customFormat="1" ht="18" customHeight="1" x14ac:dyDescent="0.45">
      <c r="A46" s="7"/>
      <c r="B46" s="7"/>
      <c r="C46" s="9" t="str">
        <f>IF(B46="","",VLOOKUP(B46,'Student Roster'!A:C,2,FALSE))</f>
        <v/>
      </c>
      <c r="D46" s="9" t="str">
        <f>IF(B46="","",VLOOKUP(B46,'Student Roster'!A:C,3,FALSE))</f>
        <v/>
      </c>
      <c r="E46" s="9" t="str">
        <f>IF(B46="","",VLOOKUP(B46,'Student Roster'!A:D,4,FALSE))</f>
        <v/>
      </c>
      <c r="F46" s="7"/>
      <c r="G46" s="7"/>
      <c r="H46" s="7"/>
      <c r="I46" s="7"/>
      <c r="J46" s="7"/>
      <c r="K46" s="7"/>
      <c r="L46" s="11" t="str">
        <f t="shared" ca="1" si="5"/>
        <v/>
      </c>
      <c r="M46" s="11" t="str">
        <f t="shared" si="6"/>
        <v/>
      </c>
      <c r="N46" s="10" t="str">
        <f t="shared" si="7"/>
        <v/>
      </c>
      <c r="O46" s="7"/>
      <c r="P46" s="7"/>
      <c r="Q46" s="7"/>
      <c r="R46" s="7"/>
      <c r="S46" s="9" t="str">
        <f t="shared" ca="1" si="8"/>
        <v>OK</v>
      </c>
      <c r="T46" s="7"/>
      <c r="U46" s="7" t="str">
        <f t="shared" si="9"/>
        <v/>
      </c>
      <c r="V46" s="7"/>
      <c r="W46" t="str">
        <f ca="1">IF(AND(B46&lt;&gt;"",N46&lt;&gt;"",O46="",N46&gt;=TODAY(),N46&lt;=TODAY()+7),COUNTIFS(B$4:B46,"&lt;&gt;",N$4:N46,"&gt;="&amp;TODAY(),N$4:N46,"&lt;="&amp;TODAY()+7,O$4:O46,""),"")</f>
        <v/>
      </c>
    </row>
    <row r="47" spans="1:23" s="1" customFormat="1" ht="18" customHeight="1" x14ac:dyDescent="0.45">
      <c r="A47" s="5"/>
      <c r="B47" s="5"/>
      <c r="C47" s="9" t="str">
        <f>IF(B47="","",VLOOKUP(B47,'Student Roster'!A:C,2,FALSE))</f>
        <v/>
      </c>
      <c r="D47" s="9" t="str">
        <f>IF(B47="","",VLOOKUP(B47,'Student Roster'!A:C,3,FALSE))</f>
        <v/>
      </c>
      <c r="E47" s="9" t="str">
        <f>IF(B47="","",VLOOKUP(B47,'Student Roster'!A:D,4,FALSE))</f>
        <v/>
      </c>
      <c r="F47" s="5"/>
      <c r="G47" s="5"/>
      <c r="H47" s="5"/>
      <c r="I47" s="5"/>
      <c r="J47" s="5"/>
      <c r="K47" s="5"/>
      <c r="L47" s="11" t="str">
        <f t="shared" ca="1" si="5"/>
        <v/>
      </c>
      <c r="M47" s="11" t="str">
        <f t="shared" si="6"/>
        <v/>
      </c>
      <c r="N47" s="10" t="str">
        <f t="shared" si="7"/>
        <v/>
      </c>
      <c r="O47" s="5"/>
      <c r="P47" s="5"/>
      <c r="Q47" s="5"/>
      <c r="R47" s="5"/>
      <c r="S47" s="9" t="str">
        <f t="shared" ca="1" si="8"/>
        <v>OK</v>
      </c>
      <c r="T47" s="5"/>
      <c r="U47" s="5" t="str">
        <f t="shared" si="9"/>
        <v/>
      </c>
      <c r="V47" s="5"/>
      <c r="W47" t="str">
        <f ca="1">IF(AND(B47&lt;&gt;"",N47&lt;&gt;"",O47="",N47&gt;=TODAY(),N47&lt;=TODAY()+7),COUNTIFS(B$4:B47,"&lt;&gt;",N$4:N47,"&gt;="&amp;TODAY(),N$4:N47,"&lt;="&amp;TODAY()+7,O$4:O47,""),"")</f>
        <v/>
      </c>
    </row>
    <row r="48" spans="1:23" s="1" customFormat="1" ht="18" customHeight="1" x14ac:dyDescent="0.45">
      <c r="A48" s="7"/>
      <c r="B48" s="7"/>
      <c r="C48" s="9" t="str">
        <f>IF(B48="","",VLOOKUP(B48,'Student Roster'!A:C,2,FALSE))</f>
        <v/>
      </c>
      <c r="D48" s="9" t="str">
        <f>IF(B48="","",VLOOKUP(B48,'Student Roster'!A:C,3,FALSE))</f>
        <v/>
      </c>
      <c r="E48" s="9" t="str">
        <f>IF(B48="","",VLOOKUP(B48,'Student Roster'!A:D,4,FALSE))</f>
        <v/>
      </c>
      <c r="F48" s="7"/>
      <c r="G48" s="7"/>
      <c r="H48" s="7"/>
      <c r="I48" s="7"/>
      <c r="J48" s="7"/>
      <c r="K48" s="7"/>
      <c r="L48" s="11" t="str">
        <f t="shared" ca="1" si="5"/>
        <v/>
      </c>
      <c r="M48" s="11" t="str">
        <f t="shared" si="6"/>
        <v/>
      </c>
      <c r="N48" s="10" t="str">
        <f t="shared" si="7"/>
        <v/>
      </c>
      <c r="O48" s="7"/>
      <c r="P48" s="7"/>
      <c r="Q48" s="7"/>
      <c r="R48" s="7"/>
      <c r="S48" s="9" t="str">
        <f t="shared" ca="1" si="8"/>
        <v>OK</v>
      </c>
      <c r="T48" s="7"/>
      <c r="U48" s="7" t="str">
        <f t="shared" si="9"/>
        <v/>
      </c>
      <c r="V48" s="7"/>
      <c r="W48" t="str">
        <f ca="1">IF(AND(B48&lt;&gt;"",N48&lt;&gt;"",O48="",N48&gt;=TODAY(),N48&lt;=TODAY()+7),COUNTIFS(B$4:B48,"&lt;&gt;",N$4:N48,"&gt;="&amp;TODAY(),N$4:N48,"&lt;="&amp;TODAY()+7,O$4:O48,""),"")</f>
        <v/>
      </c>
    </row>
    <row r="49" spans="1:23" s="1" customFormat="1" ht="18" customHeight="1" x14ac:dyDescent="0.45">
      <c r="A49" s="5"/>
      <c r="B49" s="5"/>
      <c r="C49" s="9" t="str">
        <f>IF(B49="","",VLOOKUP(B49,'Student Roster'!A:C,2,FALSE))</f>
        <v/>
      </c>
      <c r="D49" s="9" t="str">
        <f>IF(B49="","",VLOOKUP(B49,'Student Roster'!A:C,3,FALSE))</f>
        <v/>
      </c>
      <c r="E49" s="9" t="str">
        <f>IF(B49="","",VLOOKUP(B49,'Student Roster'!A:D,4,FALSE))</f>
        <v/>
      </c>
      <c r="F49" s="5"/>
      <c r="G49" s="5"/>
      <c r="H49" s="5"/>
      <c r="I49" s="5"/>
      <c r="J49" s="5"/>
      <c r="K49" s="5"/>
      <c r="L49" s="11" t="str">
        <f t="shared" ca="1" si="5"/>
        <v/>
      </c>
      <c r="M49" s="11" t="str">
        <f t="shared" si="6"/>
        <v/>
      </c>
      <c r="N49" s="10" t="str">
        <f t="shared" si="7"/>
        <v/>
      </c>
      <c r="O49" s="5"/>
      <c r="P49" s="5"/>
      <c r="Q49" s="5"/>
      <c r="R49" s="5"/>
      <c r="S49" s="9" t="str">
        <f t="shared" ca="1" si="8"/>
        <v>OK</v>
      </c>
      <c r="T49" s="5"/>
      <c r="U49" s="5" t="str">
        <f t="shared" si="9"/>
        <v/>
      </c>
      <c r="V49" s="5"/>
      <c r="W49" t="str">
        <f ca="1">IF(AND(B49&lt;&gt;"",N49&lt;&gt;"",O49="",N49&gt;=TODAY(),N49&lt;=TODAY()+7),COUNTIFS(B$4:B49,"&lt;&gt;",N$4:N49,"&gt;="&amp;TODAY(),N$4:N49,"&lt;="&amp;TODAY()+7,O$4:O49,""),"")</f>
        <v/>
      </c>
    </row>
    <row r="50" spans="1:23" s="1" customFormat="1" ht="18" customHeight="1" x14ac:dyDescent="0.45">
      <c r="A50" s="7"/>
      <c r="B50" s="7"/>
      <c r="C50" s="9" t="str">
        <f>IF(B50="","",VLOOKUP(B50,'Student Roster'!A:C,2,FALSE))</f>
        <v/>
      </c>
      <c r="D50" s="9" t="str">
        <f>IF(B50="","",VLOOKUP(B50,'Student Roster'!A:C,3,FALSE))</f>
        <v/>
      </c>
      <c r="E50" s="9" t="str">
        <f>IF(B50="","",VLOOKUP(B50,'Student Roster'!A:D,4,FALSE))</f>
        <v/>
      </c>
      <c r="F50" s="7"/>
      <c r="G50" s="7"/>
      <c r="H50" s="7"/>
      <c r="I50" s="7"/>
      <c r="J50" s="7"/>
      <c r="K50" s="7"/>
      <c r="L50" s="11" t="str">
        <f t="shared" ca="1" si="5"/>
        <v/>
      </c>
      <c r="M50" s="11" t="str">
        <f t="shared" si="6"/>
        <v/>
      </c>
      <c r="N50" s="10" t="str">
        <f t="shared" si="7"/>
        <v/>
      </c>
      <c r="O50" s="7"/>
      <c r="P50" s="7"/>
      <c r="Q50" s="7"/>
      <c r="R50" s="7"/>
      <c r="S50" s="9" t="str">
        <f t="shared" ca="1" si="8"/>
        <v>OK</v>
      </c>
      <c r="T50" s="7"/>
      <c r="U50" s="7" t="str">
        <f t="shared" si="9"/>
        <v/>
      </c>
      <c r="V50" s="7"/>
      <c r="W50" t="str">
        <f ca="1">IF(AND(B50&lt;&gt;"",N50&lt;&gt;"",O50="",N50&gt;=TODAY(),N50&lt;=TODAY()+7),COUNTIFS(B$4:B50,"&lt;&gt;",N$4:N50,"&gt;="&amp;TODAY(),N$4:N50,"&lt;="&amp;TODAY()+7,O$4:O50,""),"")</f>
        <v/>
      </c>
    </row>
    <row r="51" spans="1:23" s="1" customFormat="1" ht="18" customHeight="1" x14ac:dyDescent="0.45">
      <c r="A51" s="5"/>
      <c r="B51" s="5"/>
      <c r="C51" s="9" t="str">
        <f>IF(B51="","",VLOOKUP(B51,'Student Roster'!A:C,2,FALSE))</f>
        <v/>
      </c>
      <c r="D51" s="9" t="str">
        <f>IF(B51="","",VLOOKUP(B51,'Student Roster'!A:C,3,FALSE))</f>
        <v/>
      </c>
      <c r="E51" s="9" t="str">
        <f>IF(B51="","",VLOOKUP(B51,'Student Roster'!A:D,4,FALSE))</f>
        <v/>
      </c>
      <c r="F51" s="5"/>
      <c r="G51" s="5"/>
      <c r="H51" s="5"/>
      <c r="I51" s="5"/>
      <c r="J51" s="5"/>
      <c r="K51" s="5"/>
      <c r="L51" s="11" t="str">
        <f t="shared" ca="1" si="5"/>
        <v/>
      </c>
      <c r="M51" s="11" t="str">
        <f t="shared" si="6"/>
        <v/>
      </c>
      <c r="N51" s="10" t="str">
        <f t="shared" si="7"/>
        <v/>
      </c>
      <c r="O51" s="5"/>
      <c r="P51" s="5"/>
      <c r="Q51" s="5"/>
      <c r="R51" s="5"/>
      <c r="S51" s="9" t="str">
        <f t="shared" ca="1" si="8"/>
        <v>OK</v>
      </c>
      <c r="T51" s="5"/>
      <c r="U51" s="5" t="str">
        <f t="shared" si="9"/>
        <v/>
      </c>
      <c r="V51" s="5"/>
      <c r="W51" t="str">
        <f ca="1">IF(AND(B51&lt;&gt;"",N51&lt;&gt;"",O51="",N51&gt;=TODAY(),N51&lt;=TODAY()+7),COUNTIFS(B$4:B51,"&lt;&gt;",N$4:N51,"&gt;="&amp;TODAY(),N$4:N51,"&lt;="&amp;TODAY()+7,O$4:O51,""),"")</f>
        <v/>
      </c>
    </row>
    <row r="52" spans="1:23" s="1" customFormat="1" ht="18" customHeight="1" x14ac:dyDescent="0.45">
      <c r="A52" s="7"/>
      <c r="B52" s="7"/>
      <c r="C52" s="9" t="str">
        <f>IF(B52="","",VLOOKUP(B52,'Student Roster'!A:C,2,FALSE))</f>
        <v/>
      </c>
      <c r="D52" s="9" t="str">
        <f>IF(B52="","",VLOOKUP(B52,'Student Roster'!A:C,3,FALSE))</f>
        <v/>
      </c>
      <c r="E52" s="9" t="str">
        <f>IF(B52="","",VLOOKUP(B52,'Student Roster'!A:D,4,FALSE))</f>
        <v/>
      </c>
      <c r="F52" s="7"/>
      <c r="G52" s="7"/>
      <c r="H52" s="7"/>
      <c r="I52" s="7"/>
      <c r="J52" s="7"/>
      <c r="K52" s="7"/>
      <c r="L52" s="11" t="str">
        <f t="shared" ca="1" si="5"/>
        <v/>
      </c>
      <c r="M52" s="11" t="str">
        <f t="shared" si="6"/>
        <v/>
      </c>
      <c r="N52" s="10" t="str">
        <f t="shared" si="7"/>
        <v/>
      </c>
      <c r="O52" s="7"/>
      <c r="P52" s="7"/>
      <c r="Q52" s="7"/>
      <c r="R52" s="7"/>
      <c r="S52" s="9" t="str">
        <f t="shared" ca="1" si="8"/>
        <v>OK</v>
      </c>
      <c r="T52" s="7"/>
      <c r="U52" s="7" t="str">
        <f t="shared" si="9"/>
        <v/>
      </c>
      <c r="V52" s="7"/>
      <c r="W52" t="str">
        <f ca="1">IF(AND(B52&lt;&gt;"",N52&lt;&gt;"",O52="",N52&gt;=TODAY(),N52&lt;=TODAY()+7),COUNTIFS(B$4:B52,"&lt;&gt;",N$4:N52,"&gt;="&amp;TODAY(),N$4:N52,"&lt;="&amp;TODAY()+7,O$4:O52,""),"")</f>
        <v/>
      </c>
    </row>
    <row r="53" spans="1:23" s="1" customFormat="1" ht="18" customHeight="1" x14ac:dyDescent="0.45">
      <c r="A53" s="5"/>
      <c r="B53" s="5"/>
      <c r="C53" s="9" t="str">
        <f>IF(B53="","",VLOOKUP(B53,'Student Roster'!A:C,2,FALSE))</f>
        <v/>
      </c>
      <c r="D53" s="9" t="str">
        <f>IF(B53="","",VLOOKUP(B53,'Student Roster'!A:C,3,FALSE))</f>
        <v/>
      </c>
      <c r="E53" s="9" t="str">
        <f>IF(B53="","",VLOOKUP(B53,'Student Roster'!A:D,4,FALSE))</f>
        <v/>
      </c>
      <c r="F53" s="5"/>
      <c r="G53" s="5"/>
      <c r="H53" s="5"/>
      <c r="I53" s="5"/>
      <c r="J53" s="5"/>
      <c r="K53" s="5"/>
      <c r="L53" s="11" t="str">
        <f t="shared" ca="1" si="5"/>
        <v/>
      </c>
      <c r="M53" s="11" t="str">
        <f t="shared" si="6"/>
        <v/>
      </c>
      <c r="N53" s="10" t="str">
        <f t="shared" si="7"/>
        <v/>
      </c>
      <c r="O53" s="5"/>
      <c r="P53" s="5"/>
      <c r="Q53" s="5"/>
      <c r="R53" s="5"/>
      <c r="S53" s="9" t="str">
        <f t="shared" ca="1" si="8"/>
        <v>OK</v>
      </c>
      <c r="T53" s="5"/>
      <c r="U53" s="5" t="str">
        <f t="shared" si="9"/>
        <v/>
      </c>
      <c r="V53" s="5"/>
      <c r="W53" t="str">
        <f ca="1">IF(AND(B53&lt;&gt;"",N53&lt;&gt;"",O53="",N53&gt;=TODAY(),N53&lt;=TODAY()+7),COUNTIFS(B$4:B53,"&lt;&gt;",N$4:N53,"&gt;="&amp;TODAY(),N$4:N53,"&lt;="&amp;TODAY()+7,O$4:O53,""),"")</f>
        <v/>
      </c>
    </row>
    <row r="54" spans="1:23" s="1" customFormat="1" ht="18" customHeight="1" x14ac:dyDescent="0.45">
      <c r="A54" s="7"/>
      <c r="B54" s="7"/>
      <c r="C54" s="9" t="str">
        <f>IF(B54="","",VLOOKUP(B54,'Student Roster'!A:C,2,FALSE))</f>
        <v/>
      </c>
      <c r="D54" s="9" t="str">
        <f>IF(B54="","",VLOOKUP(B54,'Student Roster'!A:C,3,FALSE))</f>
        <v/>
      </c>
      <c r="E54" s="9" t="str">
        <f>IF(B54="","",VLOOKUP(B54,'Student Roster'!A:D,4,FALSE))</f>
        <v/>
      </c>
      <c r="F54" s="7"/>
      <c r="G54" s="7"/>
      <c r="H54" s="7"/>
      <c r="I54" s="7"/>
      <c r="J54" s="7"/>
      <c r="K54" s="7"/>
      <c r="L54" s="11" t="str">
        <f t="shared" ca="1" si="5"/>
        <v/>
      </c>
      <c r="M54" s="11" t="str">
        <f t="shared" si="6"/>
        <v/>
      </c>
      <c r="N54" s="10" t="str">
        <f t="shared" si="7"/>
        <v/>
      </c>
      <c r="O54" s="7"/>
      <c r="P54" s="7"/>
      <c r="Q54" s="7"/>
      <c r="R54" s="7"/>
      <c r="S54" s="9" t="str">
        <f t="shared" ca="1" si="8"/>
        <v>OK</v>
      </c>
      <c r="T54" s="7"/>
      <c r="U54" s="7" t="str">
        <f t="shared" si="9"/>
        <v/>
      </c>
      <c r="V54" s="7"/>
      <c r="W54" t="str">
        <f ca="1">IF(AND(B54&lt;&gt;"",N54&lt;&gt;"",O54="",N54&gt;=TODAY(),N54&lt;=TODAY()+7),COUNTIFS(B$4:B54,"&lt;&gt;",N$4:N54,"&gt;="&amp;TODAY(),N$4:N54,"&lt;="&amp;TODAY()+7,O$4:O54,""),"")</f>
        <v/>
      </c>
    </row>
    <row r="55" spans="1:23" s="1" customFormat="1" ht="18" customHeight="1" x14ac:dyDescent="0.45">
      <c r="A55" s="5"/>
      <c r="B55" s="5"/>
      <c r="C55" s="9" t="str">
        <f>IF(B55="","",VLOOKUP(B55,'Student Roster'!A:C,2,FALSE))</f>
        <v/>
      </c>
      <c r="D55" s="9" t="str">
        <f>IF(B55="","",VLOOKUP(B55,'Student Roster'!A:C,3,FALSE))</f>
        <v/>
      </c>
      <c r="E55" s="9" t="str">
        <f>IF(B55="","",VLOOKUP(B55,'Student Roster'!A:D,4,FALSE))</f>
        <v/>
      </c>
      <c r="F55" s="5"/>
      <c r="G55" s="5"/>
      <c r="H55" s="5"/>
      <c r="I55" s="5"/>
      <c r="J55" s="5"/>
      <c r="K55" s="5"/>
      <c r="L55" s="11" t="str">
        <f t="shared" ca="1" si="5"/>
        <v/>
      </c>
      <c r="M55" s="11" t="str">
        <f t="shared" si="6"/>
        <v/>
      </c>
      <c r="N55" s="10" t="str">
        <f t="shared" si="7"/>
        <v/>
      </c>
      <c r="O55" s="5"/>
      <c r="P55" s="5"/>
      <c r="Q55" s="5"/>
      <c r="R55" s="5"/>
      <c r="S55" s="9" t="str">
        <f t="shared" ca="1" si="8"/>
        <v>OK</v>
      </c>
      <c r="T55" s="5"/>
      <c r="U55" s="5" t="str">
        <f t="shared" si="9"/>
        <v/>
      </c>
      <c r="V55" s="5"/>
      <c r="W55" t="str">
        <f ca="1">IF(AND(B55&lt;&gt;"",N55&lt;&gt;"",O55="",N55&gt;=TODAY(),N55&lt;=TODAY()+7),COUNTIFS(B$4:B55,"&lt;&gt;",N$4:N55,"&gt;="&amp;TODAY(),N$4:N55,"&lt;="&amp;TODAY()+7,O$4:O55,""),"")</f>
        <v/>
      </c>
    </row>
    <row r="56" spans="1:23" s="1" customFormat="1" ht="18" customHeight="1" x14ac:dyDescent="0.45">
      <c r="A56" s="7"/>
      <c r="B56" s="7"/>
      <c r="C56" s="9" t="str">
        <f>IF(B56="","",VLOOKUP(B56,'Student Roster'!A:C,2,FALSE))</f>
        <v/>
      </c>
      <c r="D56" s="9" t="str">
        <f>IF(B56="","",VLOOKUP(B56,'Student Roster'!A:C,3,FALSE))</f>
        <v/>
      </c>
      <c r="E56" s="9" t="str">
        <f>IF(B56="","",VLOOKUP(B56,'Student Roster'!A:D,4,FALSE))</f>
        <v/>
      </c>
      <c r="F56" s="7"/>
      <c r="G56" s="7"/>
      <c r="H56" s="7"/>
      <c r="I56" s="7"/>
      <c r="J56" s="7"/>
      <c r="K56" s="7"/>
      <c r="L56" s="11" t="str">
        <f t="shared" ca="1" si="5"/>
        <v/>
      </c>
      <c r="M56" s="11" t="str">
        <f t="shared" si="6"/>
        <v/>
      </c>
      <c r="N56" s="10" t="str">
        <f t="shared" si="7"/>
        <v/>
      </c>
      <c r="O56" s="7"/>
      <c r="P56" s="7"/>
      <c r="Q56" s="7"/>
      <c r="R56" s="7"/>
      <c r="S56" s="9" t="str">
        <f t="shared" ca="1" si="8"/>
        <v>OK</v>
      </c>
      <c r="T56" s="7"/>
      <c r="U56" s="7" t="str">
        <f t="shared" si="9"/>
        <v/>
      </c>
      <c r="V56" s="7"/>
      <c r="W56" t="str">
        <f ca="1">IF(AND(B56&lt;&gt;"",N56&lt;&gt;"",O56="",N56&gt;=TODAY(),N56&lt;=TODAY()+7),COUNTIFS(B$4:B56,"&lt;&gt;",N$4:N56,"&gt;="&amp;TODAY(),N$4:N56,"&lt;="&amp;TODAY()+7,O$4:O56,""),"")</f>
        <v/>
      </c>
    </row>
    <row r="57" spans="1:23" s="1" customFormat="1" ht="18" customHeight="1" x14ac:dyDescent="0.45">
      <c r="A57" s="5"/>
      <c r="B57" s="5"/>
      <c r="C57" s="9" t="str">
        <f>IF(B57="","",VLOOKUP(B57,'Student Roster'!A:C,2,FALSE))</f>
        <v/>
      </c>
      <c r="D57" s="9" t="str">
        <f>IF(B57="","",VLOOKUP(B57,'Student Roster'!A:C,3,FALSE))</f>
        <v/>
      </c>
      <c r="E57" s="9" t="str">
        <f>IF(B57="","",VLOOKUP(B57,'Student Roster'!A:D,4,FALSE))</f>
        <v/>
      </c>
      <c r="F57" s="5"/>
      <c r="G57" s="5"/>
      <c r="H57" s="5"/>
      <c r="I57" s="5"/>
      <c r="J57" s="5"/>
      <c r="K57" s="5"/>
      <c r="L57" s="11" t="str">
        <f t="shared" ca="1" si="5"/>
        <v/>
      </c>
      <c r="M57" s="11" t="str">
        <f t="shared" si="6"/>
        <v/>
      </c>
      <c r="N57" s="10" t="str">
        <f t="shared" si="7"/>
        <v/>
      </c>
      <c r="O57" s="5"/>
      <c r="P57" s="5"/>
      <c r="Q57" s="5"/>
      <c r="R57" s="5"/>
      <c r="S57" s="9" t="str">
        <f t="shared" ca="1" si="8"/>
        <v>OK</v>
      </c>
      <c r="T57" s="5"/>
      <c r="U57" s="5" t="str">
        <f t="shared" si="9"/>
        <v/>
      </c>
      <c r="V57" s="5"/>
      <c r="W57" t="str">
        <f ca="1">IF(AND(B57&lt;&gt;"",N57&lt;&gt;"",O57="",N57&gt;=TODAY(),N57&lt;=TODAY()+7),COUNTIFS(B$4:B57,"&lt;&gt;",N$4:N57,"&gt;="&amp;TODAY(),N$4:N57,"&lt;="&amp;TODAY()+7,O$4:O57,""),"")</f>
        <v/>
      </c>
    </row>
    <row r="58" spans="1:23" s="1" customFormat="1" ht="18" customHeight="1" x14ac:dyDescent="0.45">
      <c r="A58" s="7"/>
      <c r="B58" s="7"/>
      <c r="C58" s="9" t="str">
        <f>IF(B58="","",VLOOKUP(B58,'Student Roster'!A:C,2,FALSE))</f>
        <v/>
      </c>
      <c r="D58" s="9" t="str">
        <f>IF(B58="","",VLOOKUP(B58,'Student Roster'!A:C,3,FALSE))</f>
        <v/>
      </c>
      <c r="E58" s="9" t="str">
        <f>IF(B58="","",VLOOKUP(B58,'Student Roster'!A:D,4,FALSE))</f>
        <v/>
      </c>
      <c r="F58" s="7"/>
      <c r="G58" s="7"/>
      <c r="H58" s="7"/>
      <c r="I58" s="7"/>
      <c r="J58" s="7"/>
      <c r="K58" s="7"/>
      <c r="L58" s="11" t="str">
        <f t="shared" ca="1" si="5"/>
        <v/>
      </c>
      <c r="M58" s="11" t="str">
        <f t="shared" si="6"/>
        <v/>
      </c>
      <c r="N58" s="10" t="str">
        <f t="shared" si="7"/>
        <v/>
      </c>
      <c r="O58" s="7"/>
      <c r="P58" s="7"/>
      <c r="Q58" s="7"/>
      <c r="R58" s="7"/>
      <c r="S58" s="9" t="str">
        <f t="shared" ca="1" si="8"/>
        <v>OK</v>
      </c>
      <c r="T58" s="7"/>
      <c r="U58" s="7" t="str">
        <f t="shared" si="9"/>
        <v/>
      </c>
      <c r="V58" s="7"/>
      <c r="W58" t="str">
        <f ca="1">IF(AND(B58&lt;&gt;"",N58&lt;&gt;"",O58="",N58&gt;=TODAY(),N58&lt;=TODAY()+7),COUNTIFS(B$4:B58,"&lt;&gt;",N$4:N58,"&gt;="&amp;TODAY(),N$4:N58,"&lt;="&amp;TODAY()+7,O$4:O58,""),"")</f>
        <v/>
      </c>
    </row>
    <row r="59" spans="1:23" s="1" customFormat="1" ht="18" customHeight="1" x14ac:dyDescent="0.45">
      <c r="A59" s="5"/>
      <c r="B59" s="5"/>
      <c r="C59" s="9" t="str">
        <f>IF(B59="","",VLOOKUP(B59,'Student Roster'!A:C,2,FALSE))</f>
        <v/>
      </c>
      <c r="D59" s="9" t="str">
        <f>IF(B59="","",VLOOKUP(B59,'Student Roster'!A:C,3,FALSE))</f>
        <v/>
      </c>
      <c r="E59" s="9" t="str">
        <f>IF(B59="","",VLOOKUP(B59,'Student Roster'!A:D,4,FALSE))</f>
        <v/>
      </c>
      <c r="F59" s="5"/>
      <c r="G59" s="5"/>
      <c r="H59" s="5"/>
      <c r="I59" s="5"/>
      <c r="J59" s="5"/>
      <c r="K59" s="5"/>
      <c r="L59" s="11" t="str">
        <f t="shared" ca="1" si="5"/>
        <v/>
      </c>
      <c r="M59" s="11" t="str">
        <f t="shared" si="6"/>
        <v/>
      </c>
      <c r="N59" s="10" t="str">
        <f t="shared" si="7"/>
        <v/>
      </c>
      <c r="O59" s="5"/>
      <c r="P59" s="5"/>
      <c r="Q59" s="5"/>
      <c r="R59" s="5"/>
      <c r="S59" s="9" t="str">
        <f t="shared" ca="1" si="8"/>
        <v>OK</v>
      </c>
      <c r="T59" s="5"/>
      <c r="U59" s="5" t="str">
        <f t="shared" si="9"/>
        <v/>
      </c>
      <c r="V59" s="5"/>
      <c r="W59" t="str">
        <f ca="1">IF(AND(B59&lt;&gt;"",N59&lt;&gt;"",O59="",N59&gt;=TODAY(),N59&lt;=TODAY()+7),COUNTIFS(B$4:B59,"&lt;&gt;",N$4:N59,"&gt;="&amp;TODAY(),N$4:N59,"&lt;="&amp;TODAY()+7,O$4:O59,""),"")</f>
        <v/>
      </c>
    </row>
    <row r="60" spans="1:23" s="1" customFormat="1" ht="18" customHeight="1" x14ac:dyDescent="0.45">
      <c r="A60" s="7"/>
      <c r="B60" s="7"/>
      <c r="C60" s="9" t="str">
        <f>IF(B60="","",VLOOKUP(B60,'Student Roster'!A:C,2,FALSE))</f>
        <v/>
      </c>
      <c r="D60" s="9" t="str">
        <f>IF(B60="","",VLOOKUP(B60,'Student Roster'!A:C,3,FALSE))</f>
        <v/>
      </c>
      <c r="E60" s="9" t="str">
        <f>IF(B60="","",VLOOKUP(B60,'Student Roster'!A:D,4,FALSE))</f>
        <v/>
      </c>
      <c r="F60" s="7"/>
      <c r="G60" s="7"/>
      <c r="H60" s="7"/>
      <c r="I60" s="7"/>
      <c r="J60" s="7"/>
      <c r="K60" s="7"/>
      <c r="L60" s="11" t="str">
        <f t="shared" ca="1" si="5"/>
        <v/>
      </c>
      <c r="M60" s="11" t="str">
        <f t="shared" si="6"/>
        <v/>
      </c>
      <c r="N60" s="10" t="str">
        <f t="shared" si="7"/>
        <v/>
      </c>
      <c r="O60" s="7"/>
      <c r="P60" s="7"/>
      <c r="Q60" s="7"/>
      <c r="R60" s="7"/>
      <c r="S60" s="9" t="str">
        <f t="shared" ca="1" si="8"/>
        <v>OK</v>
      </c>
      <c r="T60" s="7"/>
      <c r="U60" s="7" t="str">
        <f t="shared" si="9"/>
        <v/>
      </c>
      <c r="V60" s="7"/>
      <c r="W60" t="str">
        <f ca="1">IF(AND(B60&lt;&gt;"",N60&lt;&gt;"",O60="",N60&gt;=TODAY(),N60&lt;=TODAY()+7),COUNTIFS(B$4:B60,"&lt;&gt;",N$4:N60,"&gt;="&amp;TODAY(),N$4:N60,"&lt;="&amp;TODAY()+7,O$4:O60,""),"")</f>
        <v/>
      </c>
    </row>
    <row r="61" spans="1:23" s="1" customFormat="1" ht="18" customHeight="1" x14ac:dyDescent="0.45">
      <c r="A61" s="5"/>
      <c r="B61" s="5"/>
      <c r="C61" s="9" t="str">
        <f>IF(B61="","",VLOOKUP(B61,'Student Roster'!A:C,2,FALSE))</f>
        <v/>
      </c>
      <c r="D61" s="9" t="str">
        <f>IF(B61="","",VLOOKUP(B61,'Student Roster'!A:C,3,FALSE))</f>
        <v/>
      </c>
      <c r="E61" s="9" t="str">
        <f>IF(B61="","",VLOOKUP(B61,'Student Roster'!A:D,4,FALSE))</f>
        <v/>
      </c>
      <c r="F61" s="5"/>
      <c r="G61" s="5"/>
      <c r="H61" s="5"/>
      <c r="I61" s="5"/>
      <c r="J61" s="5"/>
      <c r="K61" s="5"/>
      <c r="L61" s="11" t="str">
        <f t="shared" ca="1" si="5"/>
        <v/>
      </c>
      <c r="M61" s="11" t="str">
        <f t="shared" si="6"/>
        <v/>
      </c>
      <c r="N61" s="10" t="str">
        <f t="shared" si="7"/>
        <v/>
      </c>
      <c r="O61" s="5"/>
      <c r="P61" s="5"/>
      <c r="Q61" s="5"/>
      <c r="R61" s="5"/>
      <c r="S61" s="9" t="str">
        <f t="shared" ca="1" si="8"/>
        <v>OK</v>
      </c>
      <c r="T61" s="5"/>
      <c r="U61" s="5" t="str">
        <f t="shared" si="9"/>
        <v/>
      </c>
      <c r="V61" s="5"/>
      <c r="W61" t="str">
        <f ca="1">IF(AND(B61&lt;&gt;"",N61&lt;&gt;"",O61="",N61&gt;=TODAY(),N61&lt;=TODAY()+7),COUNTIFS(B$4:B61,"&lt;&gt;",N$4:N61,"&gt;="&amp;TODAY(),N$4:N61,"&lt;="&amp;TODAY()+7,O$4:O61,""),"")</f>
        <v/>
      </c>
    </row>
    <row r="62" spans="1:23" s="1" customFormat="1" ht="18" customHeight="1" x14ac:dyDescent="0.45">
      <c r="A62" s="7"/>
      <c r="B62" s="7"/>
      <c r="C62" s="9" t="str">
        <f>IF(B62="","",VLOOKUP(B62,'Student Roster'!A:C,2,FALSE))</f>
        <v/>
      </c>
      <c r="D62" s="9" t="str">
        <f>IF(B62="","",VLOOKUP(B62,'Student Roster'!A:C,3,FALSE))</f>
        <v/>
      </c>
      <c r="E62" s="9" t="str">
        <f>IF(B62="","",VLOOKUP(B62,'Student Roster'!A:D,4,FALSE))</f>
        <v/>
      </c>
      <c r="F62" s="7"/>
      <c r="G62" s="7"/>
      <c r="H62" s="7"/>
      <c r="I62" s="7"/>
      <c r="J62" s="7"/>
      <c r="K62" s="7"/>
      <c r="L62" s="11" t="str">
        <f t="shared" ca="1" si="5"/>
        <v/>
      </c>
      <c r="M62" s="11" t="str">
        <f t="shared" si="6"/>
        <v/>
      </c>
      <c r="N62" s="10" t="str">
        <f t="shared" si="7"/>
        <v/>
      </c>
      <c r="O62" s="7"/>
      <c r="P62" s="7"/>
      <c r="Q62" s="7"/>
      <c r="R62" s="7"/>
      <c r="S62" s="9" t="str">
        <f t="shared" ca="1" si="8"/>
        <v>OK</v>
      </c>
      <c r="T62" s="7"/>
      <c r="U62" s="7" t="str">
        <f t="shared" si="9"/>
        <v/>
      </c>
      <c r="V62" s="7"/>
      <c r="W62" t="str">
        <f ca="1">IF(AND(B62&lt;&gt;"",N62&lt;&gt;"",O62="",N62&gt;=TODAY(),N62&lt;=TODAY()+7),COUNTIFS(B$4:B62,"&lt;&gt;",N$4:N62,"&gt;="&amp;TODAY(),N$4:N62,"&lt;="&amp;TODAY()+7,O$4:O62,""),"")</f>
        <v/>
      </c>
    </row>
    <row r="63" spans="1:23" s="1" customFormat="1" ht="18" customHeight="1" x14ac:dyDescent="0.45">
      <c r="A63" s="5"/>
      <c r="B63" s="5"/>
      <c r="C63" s="9" t="str">
        <f>IF(B63="","",VLOOKUP(B63,'Student Roster'!A:C,2,FALSE))</f>
        <v/>
      </c>
      <c r="D63" s="9" t="str">
        <f>IF(B63="","",VLOOKUP(B63,'Student Roster'!A:C,3,FALSE))</f>
        <v/>
      </c>
      <c r="E63" s="9" t="str">
        <f>IF(B63="","",VLOOKUP(B63,'Student Roster'!A:D,4,FALSE))</f>
        <v/>
      </c>
      <c r="F63" s="5"/>
      <c r="G63" s="5"/>
      <c r="H63" s="5"/>
      <c r="I63" s="5"/>
      <c r="J63" s="5"/>
      <c r="K63" s="5"/>
      <c r="L63" s="11" t="str">
        <f t="shared" ca="1" si="5"/>
        <v/>
      </c>
      <c r="M63" s="11" t="str">
        <f t="shared" si="6"/>
        <v/>
      </c>
      <c r="N63" s="10" t="str">
        <f t="shared" si="7"/>
        <v/>
      </c>
      <c r="O63" s="5"/>
      <c r="P63" s="5"/>
      <c r="Q63" s="5"/>
      <c r="R63" s="5"/>
      <c r="S63" s="9" t="str">
        <f t="shared" ca="1" si="8"/>
        <v>OK</v>
      </c>
      <c r="T63" s="5"/>
      <c r="U63" s="5" t="str">
        <f t="shared" si="9"/>
        <v/>
      </c>
      <c r="V63" s="5"/>
      <c r="W63" t="str">
        <f ca="1">IF(AND(B63&lt;&gt;"",N63&lt;&gt;"",O63="",N63&gt;=TODAY(),N63&lt;=TODAY()+7),COUNTIFS(B$4:B63,"&lt;&gt;",N$4:N63,"&gt;="&amp;TODAY(),N$4:N63,"&lt;="&amp;TODAY()+7,O$4:O63,""),"")</f>
        <v/>
      </c>
    </row>
    <row r="64" spans="1:23" s="1" customFormat="1" ht="18" customHeight="1" x14ac:dyDescent="0.45">
      <c r="A64" s="7"/>
      <c r="B64" s="7"/>
      <c r="C64" s="9" t="str">
        <f>IF(B64="","",VLOOKUP(B64,'Student Roster'!A:C,2,FALSE))</f>
        <v/>
      </c>
      <c r="D64" s="9" t="str">
        <f>IF(B64="","",VLOOKUP(B64,'Student Roster'!A:C,3,FALSE))</f>
        <v/>
      </c>
      <c r="E64" s="9" t="str">
        <f>IF(B64="","",VLOOKUP(B64,'Student Roster'!A:D,4,FALSE))</f>
        <v/>
      </c>
      <c r="F64" s="7"/>
      <c r="G64" s="7"/>
      <c r="H64" s="7"/>
      <c r="I64" s="7"/>
      <c r="J64" s="7"/>
      <c r="K64" s="7"/>
      <c r="L64" s="11" t="str">
        <f t="shared" ca="1" si="5"/>
        <v/>
      </c>
      <c r="M64" s="11" t="str">
        <f t="shared" si="6"/>
        <v/>
      </c>
      <c r="N64" s="10" t="str">
        <f t="shared" si="7"/>
        <v/>
      </c>
      <c r="O64" s="7"/>
      <c r="P64" s="7"/>
      <c r="Q64" s="7"/>
      <c r="R64" s="7"/>
      <c r="S64" s="9" t="str">
        <f t="shared" ca="1" si="8"/>
        <v>OK</v>
      </c>
      <c r="T64" s="7"/>
      <c r="U64" s="7" t="str">
        <f t="shared" si="9"/>
        <v/>
      </c>
      <c r="V64" s="7"/>
      <c r="W64" t="str">
        <f ca="1">IF(AND(B64&lt;&gt;"",N64&lt;&gt;"",O64="",N64&gt;=TODAY(),N64&lt;=TODAY()+7),COUNTIFS(B$4:B64,"&lt;&gt;",N$4:N64,"&gt;="&amp;TODAY(),N$4:N64,"&lt;="&amp;TODAY()+7,O$4:O64,""),"")</f>
        <v/>
      </c>
    </row>
    <row r="65" spans="1:23" s="1" customFormat="1" ht="18" customHeight="1" x14ac:dyDescent="0.45">
      <c r="A65" s="5"/>
      <c r="B65" s="5"/>
      <c r="C65" s="9" t="str">
        <f>IF(B65="","",VLOOKUP(B65,'Student Roster'!A:C,2,FALSE))</f>
        <v/>
      </c>
      <c r="D65" s="9" t="str">
        <f>IF(B65="","",VLOOKUP(B65,'Student Roster'!A:C,3,FALSE))</f>
        <v/>
      </c>
      <c r="E65" s="9" t="str">
        <f>IF(B65="","",VLOOKUP(B65,'Student Roster'!A:D,4,FALSE))</f>
        <v/>
      </c>
      <c r="F65" s="5"/>
      <c r="G65" s="5"/>
      <c r="H65" s="5"/>
      <c r="I65" s="5"/>
      <c r="J65" s="5"/>
      <c r="K65" s="5"/>
      <c r="L65" s="11" t="str">
        <f t="shared" ca="1" si="5"/>
        <v/>
      </c>
      <c r="M65" s="11" t="str">
        <f t="shared" si="6"/>
        <v/>
      </c>
      <c r="N65" s="10" t="str">
        <f t="shared" si="7"/>
        <v/>
      </c>
      <c r="O65" s="5"/>
      <c r="P65" s="5"/>
      <c r="Q65" s="5"/>
      <c r="R65" s="5"/>
      <c r="S65" s="9" t="str">
        <f t="shared" ca="1" si="8"/>
        <v>OK</v>
      </c>
      <c r="T65" s="5"/>
      <c r="U65" s="5" t="str">
        <f t="shared" si="9"/>
        <v/>
      </c>
      <c r="V65" s="5"/>
      <c r="W65" t="str">
        <f ca="1">IF(AND(B65&lt;&gt;"",N65&lt;&gt;"",O65="",N65&gt;=TODAY(),N65&lt;=TODAY()+7),COUNTIFS(B$4:B65,"&lt;&gt;",N$4:N65,"&gt;="&amp;TODAY(),N$4:N65,"&lt;="&amp;TODAY()+7,O$4:O65,""),"")</f>
        <v/>
      </c>
    </row>
    <row r="66" spans="1:23" s="1" customFormat="1" ht="18" customHeight="1" x14ac:dyDescent="0.45">
      <c r="A66" s="7"/>
      <c r="B66" s="7"/>
      <c r="C66" s="9" t="str">
        <f>IF(B66="","",VLOOKUP(B66,'Student Roster'!A:C,2,FALSE))</f>
        <v/>
      </c>
      <c r="D66" s="9" t="str">
        <f>IF(B66="","",VLOOKUP(B66,'Student Roster'!A:C,3,FALSE))</f>
        <v/>
      </c>
      <c r="E66" s="9" t="str">
        <f>IF(B66="","",VLOOKUP(B66,'Student Roster'!A:D,4,FALSE))</f>
        <v/>
      </c>
      <c r="F66" s="7"/>
      <c r="G66" s="7"/>
      <c r="H66" s="7"/>
      <c r="I66" s="7"/>
      <c r="J66" s="7"/>
      <c r="K66" s="7"/>
      <c r="L66" s="11" t="str">
        <f t="shared" ca="1" si="5"/>
        <v/>
      </c>
      <c r="M66" s="11" t="str">
        <f t="shared" si="6"/>
        <v/>
      </c>
      <c r="N66" s="10" t="str">
        <f t="shared" si="7"/>
        <v/>
      </c>
      <c r="O66" s="7"/>
      <c r="P66" s="7"/>
      <c r="Q66" s="7"/>
      <c r="R66" s="7"/>
      <c r="S66" s="9" t="str">
        <f t="shared" ca="1" si="8"/>
        <v>OK</v>
      </c>
      <c r="T66" s="7"/>
      <c r="U66" s="7" t="str">
        <f t="shared" si="9"/>
        <v/>
      </c>
      <c r="V66" s="7"/>
      <c r="W66" t="str">
        <f ca="1">IF(AND(B66&lt;&gt;"",N66&lt;&gt;"",O66="",N66&gt;=TODAY(),N66&lt;=TODAY()+7),COUNTIFS(B$4:B66,"&lt;&gt;",N$4:N66,"&gt;="&amp;TODAY(),N$4:N66,"&lt;="&amp;TODAY()+7,O$4:O66,""),"")</f>
        <v/>
      </c>
    </row>
    <row r="67" spans="1:23" s="1" customFormat="1" ht="18" customHeight="1" x14ac:dyDescent="0.45">
      <c r="A67" s="5"/>
      <c r="B67" s="5"/>
      <c r="C67" s="9" t="str">
        <f>IF(B67="","",VLOOKUP(B67,'Student Roster'!A:C,2,FALSE))</f>
        <v/>
      </c>
      <c r="D67" s="9" t="str">
        <f>IF(B67="","",VLOOKUP(B67,'Student Roster'!A:C,3,FALSE))</f>
        <v/>
      </c>
      <c r="E67" s="9" t="str">
        <f>IF(B67="","",VLOOKUP(B67,'Student Roster'!A:D,4,FALSE))</f>
        <v/>
      </c>
      <c r="F67" s="5"/>
      <c r="G67" s="5"/>
      <c r="H67" s="5"/>
      <c r="I67" s="5"/>
      <c r="J67" s="5"/>
      <c r="K67" s="5"/>
      <c r="L67" s="11" t="str">
        <f t="shared" ca="1" si="5"/>
        <v/>
      </c>
      <c r="M67" s="11" t="str">
        <f t="shared" si="6"/>
        <v/>
      </c>
      <c r="N67" s="10" t="str">
        <f t="shared" si="7"/>
        <v/>
      </c>
      <c r="O67" s="5"/>
      <c r="P67" s="5"/>
      <c r="Q67" s="5"/>
      <c r="R67" s="5"/>
      <c r="S67" s="9" t="str">
        <f t="shared" ca="1" si="8"/>
        <v>OK</v>
      </c>
      <c r="T67" s="5"/>
      <c r="U67" s="5" t="str">
        <f t="shared" si="9"/>
        <v/>
      </c>
      <c r="V67" s="5"/>
      <c r="W67" t="str">
        <f ca="1">IF(AND(B67&lt;&gt;"",N67&lt;&gt;"",O67="",N67&gt;=TODAY(),N67&lt;=TODAY()+7),COUNTIFS(B$4:B67,"&lt;&gt;",N$4:N67,"&gt;="&amp;TODAY(),N$4:N67,"&lt;="&amp;TODAY()+7,O$4:O67,""),"")</f>
        <v/>
      </c>
    </row>
    <row r="68" spans="1:23" s="1" customFormat="1" ht="18" customHeight="1" x14ac:dyDescent="0.45">
      <c r="A68" s="7"/>
      <c r="B68" s="7"/>
      <c r="C68" s="9" t="str">
        <f>IF(B68="","",VLOOKUP(B68,'Student Roster'!A:C,2,FALSE))</f>
        <v/>
      </c>
      <c r="D68" s="9" t="str">
        <f>IF(B68="","",VLOOKUP(B68,'Student Roster'!A:C,3,FALSE))</f>
        <v/>
      </c>
      <c r="E68" s="9" t="str">
        <f>IF(B68="","",VLOOKUP(B68,'Student Roster'!A:D,4,FALSE))</f>
        <v/>
      </c>
      <c r="F68" s="7"/>
      <c r="G68" s="7"/>
      <c r="H68" s="7"/>
      <c r="I68" s="7"/>
      <c r="J68" s="7"/>
      <c r="K68" s="7"/>
      <c r="L68" s="11" t="str">
        <f t="shared" ref="L68:L99" ca="1" si="10">IF(J68="","",IF(O68="",TODAY()-J68,O68-J68))</f>
        <v/>
      </c>
      <c r="M68" s="11" t="str">
        <f t="shared" ref="M68:M99" si="11">IF(J68="","",MAX(0,K68-L68))</f>
        <v/>
      </c>
      <c r="N68" s="10" t="str">
        <f t="shared" ref="N68:N99" si="12">IF(J68="","",J68+K68)</f>
        <v/>
      </c>
      <c r="O68" s="7"/>
      <c r="P68" s="7"/>
      <c r="Q68" s="7"/>
      <c r="R68" s="7"/>
      <c r="S68" s="9" t="str">
        <f t="shared" ref="S68:S99" ca="1" si="13">IF(AND(R68="Yes",L68&gt;=8),"⚠ APPROACHING 10-DAY","OK")</f>
        <v>OK</v>
      </c>
      <c r="T68" s="7"/>
      <c r="U68" s="7" t="str">
        <f t="shared" ref="U68:U99" si="14">IF(J68="","",IF(AND(T68="Yes",L68&lt;=K68),"Complete",IF(L68&gt;K68,"⚠ OVERDUE","In Progress")))</f>
        <v/>
      </c>
      <c r="V68" s="7"/>
      <c r="W68" t="str">
        <f ca="1">IF(AND(B68&lt;&gt;"",N68&lt;&gt;"",O68="",N68&gt;=TODAY(),N68&lt;=TODAY()+7),COUNTIFS(B$4:B68,"&lt;&gt;",N$4:N68,"&gt;="&amp;TODAY(),N$4:N68,"&lt;="&amp;TODAY()+7,O$4:O68,""),"")</f>
        <v/>
      </c>
    </row>
    <row r="69" spans="1:23" s="1" customFormat="1" ht="18" customHeight="1" x14ac:dyDescent="0.45">
      <c r="A69" s="5"/>
      <c r="B69" s="5"/>
      <c r="C69" s="9" t="str">
        <f>IF(B69="","",VLOOKUP(B69,'Student Roster'!A:C,2,FALSE))</f>
        <v/>
      </c>
      <c r="D69" s="9" t="str">
        <f>IF(B69="","",VLOOKUP(B69,'Student Roster'!A:C,3,FALSE))</f>
        <v/>
      </c>
      <c r="E69" s="9" t="str">
        <f>IF(B69="","",VLOOKUP(B69,'Student Roster'!A:D,4,FALSE))</f>
        <v/>
      </c>
      <c r="F69" s="5"/>
      <c r="G69" s="5"/>
      <c r="H69" s="5"/>
      <c r="I69" s="5"/>
      <c r="J69" s="5"/>
      <c r="K69" s="5"/>
      <c r="L69" s="11" t="str">
        <f t="shared" ca="1" si="10"/>
        <v/>
      </c>
      <c r="M69" s="11" t="str">
        <f t="shared" si="11"/>
        <v/>
      </c>
      <c r="N69" s="10" t="str">
        <f t="shared" si="12"/>
        <v/>
      </c>
      <c r="O69" s="5"/>
      <c r="P69" s="5"/>
      <c r="Q69" s="5"/>
      <c r="R69" s="5"/>
      <c r="S69" s="9" t="str">
        <f t="shared" ca="1" si="13"/>
        <v>OK</v>
      </c>
      <c r="T69" s="5"/>
      <c r="U69" s="5" t="str">
        <f t="shared" si="14"/>
        <v/>
      </c>
      <c r="V69" s="5"/>
      <c r="W69" t="str">
        <f ca="1">IF(AND(B69&lt;&gt;"",N69&lt;&gt;"",O69="",N69&gt;=TODAY(),N69&lt;=TODAY()+7),COUNTIFS(B$4:B69,"&lt;&gt;",N$4:N69,"&gt;="&amp;TODAY(),N$4:N69,"&lt;="&amp;TODAY()+7,O$4:O69,""),"")</f>
        <v/>
      </c>
    </row>
    <row r="70" spans="1:23" s="1" customFormat="1" ht="18" customHeight="1" x14ac:dyDescent="0.45">
      <c r="A70" s="7"/>
      <c r="B70" s="7"/>
      <c r="C70" s="9" t="str">
        <f>IF(B70="","",VLOOKUP(B70,'Student Roster'!A:C,2,FALSE))</f>
        <v/>
      </c>
      <c r="D70" s="9" t="str">
        <f>IF(B70="","",VLOOKUP(B70,'Student Roster'!A:C,3,FALSE))</f>
        <v/>
      </c>
      <c r="E70" s="9" t="str">
        <f>IF(B70="","",VLOOKUP(B70,'Student Roster'!A:D,4,FALSE))</f>
        <v/>
      </c>
      <c r="F70" s="7"/>
      <c r="G70" s="7"/>
      <c r="H70" s="7"/>
      <c r="I70" s="7"/>
      <c r="J70" s="7"/>
      <c r="K70" s="7"/>
      <c r="L70" s="11" t="str">
        <f t="shared" ca="1" si="10"/>
        <v/>
      </c>
      <c r="M70" s="11" t="str">
        <f t="shared" si="11"/>
        <v/>
      </c>
      <c r="N70" s="10" t="str">
        <f t="shared" si="12"/>
        <v/>
      </c>
      <c r="O70" s="7"/>
      <c r="P70" s="7"/>
      <c r="Q70" s="7"/>
      <c r="R70" s="7"/>
      <c r="S70" s="9" t="str">
        <f t="shared" ca="1" si="13"/>
        <v>OK</v>
      </c>
      <c r="T70" s="7"/>
      <c r="U70" s="7" t="str">
        <f t="shared" si="14"/>
        <v/>
      </c>
      <c r="V70" s="7"/>
      <c r="W70" t="str">
        <f ca="1">IF(AND(B70&lt;&gt;"",N70&lt;&gt;"",O70="",N70&gt;=TODAY(),N70&lt;=TODAY()+7),COUNTIFS(B$4:B70,"&lt;&gt;",N$4:N70,"&gt;="&amp;TODAY(),N$4:N70,"&lt;="&amp;TODAY()+7,O$4:O70,""),"")</f>
        <v/>
      </c>
    </row>
    <row r="71" spans="1:23" s="1" customFormat="1" ht="18" customHeight="1" x14ac:dyDescent="0.45">
      <c r="A71" s="5"/>
      <c r="B71" s="5"/>
      <c r="C71" s="9" t="str">
        <f>IF(B71="","",VLOOKUP(B71,'Student Roster'!A:C,2,FALSE))</f>
        <v/>
      </c>
      <c r="D71" s="9" t="str">
        <f>IF(B71="","",VLOOKUP(B71,'Student Roster'!A:C,3,FALSE))</f>
        <v/>
      </c>
      <c r="E71" s="9" t="str">
        <f>IF(B71="","",VLOOKUP(B71,'Student Roster'!A:D,4,FALSE))</f>
        <v/>
      </c>
      <c r="F71" s="5"/>
      <c r="G71" s="5"/>
      <c r="H71" s="5"/>
      <c r="I71" s="5"/>
      <c r="J71" s="5"/>
      <c r="K71" s="5"/>
      <c r="L71" s="11" t="str">
        <f t="shared" ca="1" si="10"/>
        <v/>
      </c>
      <c r="M71" s="11" t="str">
        <f t="shared" si="11"/>
        <v/>
      </c>
      <c r="N71" s="10" t="str">
        <f t="shared" si="12"/>
        <v/>
      </c>
      <c r="O71" s="5"/>
      <c r="P71" s="5"/>
      <c r="Q71" s="5"/>
      <c r="R71" s="5"/>
      <c r="S71" s="9" t="str">
        <f t="shared" ca="1" si="13"/>
        <v>OK</v>
      </c>
      <c r="T71" s="5"/>
      <c r="U71" s="5" t="str">
        <f t="shared" si="14"/>
        <v/>
      </c>
      <c r="V71" s="5"/>
      <c r="W71" t="str">
        <f ca="1">IF(AND(B71&lt;&gt;"",N71&lt;&gt;"",O71="",N71&gt;=TODAY(),N71&lt;=TODAY()+7),COUNTIFS(B$4:B71,"&lt;&gt;",N$4:N71,"&gt;="&amp;TODAY(),N$4:N71,"&lt;="&amp;TODAY()+7,O$4:O71,""),"")</f>
        <v/>
      </c>
    </row>
    <row r="72" spans="1:23" s="1" customFormat="1" ht="18" customHeight="1" x14ac:dyDescent="0.45">
      <c r="A72" s="7"/>
      <c r="B72" s="7"/>
      <c r="C72" s="9" t="str">
        <f>IF(B72="","",VLOOKUP(B72,'Student Roster'!A:C,2,FALSE))</f>
        <v/>
      </c>
      <c r="D72" s="9" t="str">
        <f>IF(B72="","",VLOOKUP(B72,'Student Roster'!A:C,3,FALSE))</f>
        <v/>
      </c>
      <c r="E72" s="9" t="str">
        <f>IF(B72="","",VLOOKUP(B72,'Student Roster'!A:D,4,FALSE))</f>
        <v/>
      </c>
      <c r="F72" s="7"/>
      <c r="G72" s="7"/>
      <c r="H72" s="7"/>
      <c r="I72" s="7"/>
      <c r="J72" s="7"/>
      <c r="K72" s="7"/>
      <c r="L72" s="11" t="str">
        <f t="shared" ca="1" si="10"/>
        <v/>
      </c>
      <c r="M72" s="11" t="str">
        <f t="shared" si="11"/>
        <v/>
      </c>
      <c r="N72" s="10" t="str">
        <f t="shared" si="12"/>
        <v/>
      </c>
      <c r="O72" s="7"/>
      <c r="P72" s="7"/>
      <c r="Q72" s="7"/>
      <c r="R72" s="7"/>
      <c r="S72" s="9" t="str">
        <f t="shared" ca="1" si="13"/>
        <v>OK</v>
      </c>
      <c r="T72" s="7"/>
      <c r="U72" s="7" t="str">
        <f t="shared" si="14"/>
        <v/>
      </c>
      <c r="V72" s="7"/>
      <c r="W72" t="str">
        <f ca="1">IF(AND(B72&lt;&gt;"",N72&lt;&gt;"",O72="",N72&gt;=TODAY(),N72&lt;=TODAY()+7),COUNTIFS(B$4:B72,"&lt;&gt;",N$4:N72,"&gt;="&amp;TODAY(),N$4:N72,"&lt;="&amp;TODAY()+7,O$4:O72,""),"")</f>
        <v/>
      </c>
    </row>
    <row r="73" spans="1:23" s="1" customFormat="1" ht="18" customHeight="1" x14ac:dyDescent="0.45">
      <c r="A73" s="5"/>
      <c r="B73" s="5"/>
      <c r="C73" s="9" t="str">
        <f>IF(B73="","",VLOOKUP(B73,'Student Roster'!A:C,2,FALSE))</f>
        <v/>
      </c>
      <c r="D73" s="9" t="str">
        <f>IF(B73="","",VLOOKUP(B73,'Student Roster'!A:C,3,FALSE))</f>
        <v/>
      </c>
      <c r="E73" s="9" t="str">
        <f>IF(B73="","",VLOOKUP(B73,'Student Roster'!A:D,4,FALSE))</f>
        <v/>
      </c>
      <c r="F73" s="5"/>
      <c r="G73" s="5"/>
      <c r="H73" s="5"/>
      <c r="I73" s="5"/>
      <c r="J73" s="5"/>
      <c r="K73" s="5"/>
      <c r="L73" s="11" t="str">
        <f t="shared" ca="1" si="10"/>
        <v/>
      </c>
      <c r="M73" s="11" t="str">
        <f t="shared" si="11"/>
        <v/>
      </c>
      <c r="N73" s="10" t="str">
        <f t="shared" si="12"/>
        <v/>
      </c>
      <c r="O73" s="5"/>
      <c r="P73" s="5"/>
      <c r="Q73" s="5"/>
      <c r="R73" s="5"/>
      <c r="S73" s="9" t="str">
        <f t="shared" ca="1" si="13"/>
        <v>OK</v>
      </c>
      <c r="T73" s="5"/>
      <c r="U73" s="5" t="str">
        <f t="shared" si="14"/>
        <v/>
      </c>
      <c r="V73" s="5"/>
      <c r="W73" t="str">
        <f ca="1">IF(AND(B73&lt;&gt;"",N73&lt;&gt;"",O73="",N73&gt;=TODAY(),N73&lt;=TODAY()+7),COUNTIFS(B$4:B73,"&lt;&gt;",N$4:N73,"&gt;="&amp;TODAY(),N$4:N73,"&lt;="&amp;TODAY()+7,O$4:O73,""),"")</f>
        <v/>
      </c>
    </row>
    <row r="74" spans="1:23" s="1" customFormat="1" ht="18" customHeight="1" x14ac:dyDescent="0.45">
      <c r="A74" s="7"/>
      <c r="B74" s="7"/>
      <c r="C74" s="9" t="str">
        <f>IF(B74="","",VLOOKUP(B74,'Student Roster'!A:C,2,FALSE))</f>
        <v/>
      </c>
      <c r="D74" s="9" t="str">
        <f>IF(B74="","",VLOOKUP(B74,'Student Roster'!A:C,3,FALSE))</f>
        <v/>
      </c>
      <c r="E74" s="9" t="str">
        <f>IF(B74="","",VLOOKUP(B74,'Student Roster'!A:D,4,FALSE))</f>
        <v/>
      </c>
      <c r="F74" s="7"/>
      <c r="G74" s="7"/>
      <c r="H74" s="7"/>
      <c r="I74" s="7"/>
      <c r="J74" s="7"/>
      <c r="K74" s="7"/>
      <c r="L74" s="11" t="str">
        <f t="shared" ca="1" si="10"/>
        <v/>
      </c>
      <c r="M74" s="11" t="str">
        <f t="shared" si="11"/>
        <v/>
      </c>
      <c r="N74" s="10" t="str">
        <f t="shared" si="12"/>
        <v/>
      </c>
      <c r="O74" s="7"/>
      <c r="P74" s="7"/>
      <c r="Q74" s="7"/>
      <c r="R74" s="7"/>
      <c r="S74" s="9" t="str">
        <f t="shared" ca="1" si="13"/>
        <v>OK</v>
      </c>
      <c r="T74" s="7"/>
      <c r="U74" s="7" t="str">
        <f t="shared" si="14"/>
        <v/>
      </c>
      <c r="V74" s="7"/>
      <c r="W74" t="str">
        <f ca="1">IF(AND(B74&lt;&gt;"",N74&lt;&gt;"",O74="",N74&gt;=TODAY(),N74&lt;=TODAY()+7),COUNTIFS(B$4:B74,"&lt;&gt;",N$4:N74,"&gt;="&amp;TODAY(),N$4:N74,"&lt;="&amp;TODAY()+7,O$4:O74,""),"")</f>
        <v/>
      </c>
    </row>
    <row r="75" spans="1:23" s="1" customFormat="1" ht="18" customHeight="1" x14ac:dyDescent="0.45">
      <c r="A75" s="5"/>
      <c r="B75" s="5"/>
      <c r="C75" s="9" t="str">
        <f>IF(B75="","",VLOOKUP(B75,'Student Roster'!A:C,2,FALSE))</f>
        <v/>
      </c>
      <c r="D75" s="9" t="str">
        <f>IF(B75="","",VLOOKUP(B75,'Student Roster'!A:C,3,FALSE))</f>
        <v/>
      </c>
      <c r="E75" s="9" t="str">
        <f>IF(B75="","",VLOOKUP(B75,'Student Roster'!A:D,4,FALSE))</f>
        <v/>
      </c>
      <c r="F75" s="5"/>
      <c r="G75" s="5"/>
      <c r="H75" s="5"/>
      <c r="I75" s="5"/>
      <c r="J75" s="5"/>
      <c r="K75" s="5"/>
      <c r="L75" s="11" t="str">
        <f t="shared" ca="1" si="10"/>
        <v/>
      </c>
      <c r="M75" s="11" t="str">
        <f t="shared" si="11"/>
        <v/>
      </c>
      <c r="N75" s="10" t="str">
        <f t="shared" si="12"/>
        <v/>
      </c>
      <c r="O75" s="5"/>
      <c r="P75" s="5"/>
      <c r="Q75" s="5"/>
      <c r="R75" s="5"/>
      <c r="S75" s="9" t="str">
        <f t="shared" ca="1" si="13"/>
        <v>OK</v>
      </c>
      <c r="T75" s="5"/>
      <c r="U75" s="5" t="str">
        <f t="shared" si="14"/>
        <v/>
      </c>
      <c r="V75" s="5"/>
      <c r="W75" t="str">
        <f ca="1">IF(AND(B75&lt;&gt;"",N75&lt;&gt;"",O75="",N75&gt;=TODAY(),N75&lt;=TODAY()+7),COUNTIFS(B$4:B75,"&lt;&gt;",N$4:N75,"&gt;="&amp;TODAY(),N$4:N75,"&lt;="&amp;TODAY()+7,O$4:O75,""),"")</f>
        <v/>
      </c>
    </row>
    <row r="76" spans="1:23" s="1" customFormat="1" ht="18" customHeight="1" x14ac:dyDescent="0.45">
      <c r="A76" s="7"/>
      <c r="B76" s="7"/>
      <c r="C76" s="9" t="str">
        <f>IF(B76="","",VLOOKUP(B76,'Student Roster'!A:C,2,FALSE))</f>
        <v/>
      </c>
      <c r="D76" s="9" t="str">
        <f>IF(B76="","",VLOOKUP(B76,'Student Roster'!A:C,3,FALSE))</f>
        <v/>
      </c>
      <c r="E76" s="9" t="str">
        <f>IF(B76="","",VLOOKUP(B76,'Student Roster'!A:D,4,FALSE))</f>
        <v/>
      </c>
      <c r="F76" s="7"/>
      <c r="G76" s="7"/>
      <c r="H76" s="7"/>
      <c r="I76" s="7"/>
      <c r="J76" s="7"/>
      <c r="K76" s="7"/>
      <c r="L76" s="11" t="str">
        <f t="shared" ca="1" si="10"/>
        <v/>
      </c>
      <c r="M76" s="11" t="str">
        <f t="shared" si="11"/>
        <v/>
      </c>
      <c r="N76" s="10" t="str">
        <f t="shared" si="12"/>
        <v/>
      </c>
      <c r="O76" s="7"/>
      <c r="P76" s="7"/>
      <c r="Q76" s="7"/>
      <c r="R76" s="7"/>
      <c r="S76" s="9" t="str">
        <f t="shared" ca="1" si="13"/>
        <v>OK</v>
      </c>
      <c r="T76" s="7"/>
      <c r="U76" s="7" t="str">
        <f t="shared" si="14"/>
        <v/>
      </c>
      <c r="V76" s="7"/>
      <c r="W76" t="str">
        <f ca="1">IF(AND(B76&lt;&gt;"",N76&lt;&gt;"",O76="",N76&gt;=TODAY(),N76&lt;=TODAY()+7),COUNTIFS(B$4:B76,"&lt;&gt;",N$4:N76,"&gt;="&amp;TODAY(),N$4:N76,"&lt;="&amp;TODAY()+7,O$4:O76,""),"")</f>
        <v/>
      </c>
    </row>
    <row r="77" spans="1:23" s="1" customFormat="1" ht="18" customHeight="1" x14ac:dyDescent="0.45">
      <c r="A77" s="5"/>
      <c r="B77" s="5"/>
      <c r="C77" s="9" t="str">
        <f>IF(B77="","",VLOOKUP(B77,'Student Roster'!A:C,2,FALSE))</f>
        <v/>
      </c>
      <c r="D77" s="9" t="str">
        <f>IF(B77="","",VLOOKUP(B77,'Student Roster'!A:C,3,FALSE))</f>
        <v/>
      </c>
      <c r="E77" s="9" t="str">
        <f>IF(B77="","",VLOOKUP(B77,'Student Roster'!A:D,4,FALSE))</f>
        <v/>
      </c>
      <c r="F77" s="5"/>
      <c r="G77" s="5"/>
      <c r="H77" s="5"/>
      <c r="I77" s="5"/>
      <c r="J77" s="5"/>
      <c r="K77" s="5"/>
      <c r="L77" s="11" t="str">
        <f t="shared" ca="1" si="10"/>
        <v/>
      </c>
      <c r="M77" s="11" t="str">
        <f t="shared" si="11"/>
        <v/>
      </c>
      <c r="N77" s="10" t="str">
        <f t="shared" si="12"/>
        <v/>
      </c>
      <c r="O77" s="5"/>
      <c r="P77" s="5"/>
      <c r="Q77" s="5"/>
      <c r="R77" s="5"/>
      <c r="S77" s="9" t="str">
        <f t="shared" ca="1" si="13"/>
        <v>OK</v>
      </c>
      <c r="T77" s="5"/>
      <c r="U77" s="5" t="str">
        <f t="shared" si="14"/>
        <v/>
      </c>
      <c r="V77" s="5"/>
      <c r="W77" t="str">
        <f ca="1">IF(AND(B77&lt;&gt;"",N77&lt;&gt;"",O77="",N77&gt;=TODAY(),N77&lt;=TODAY()+7),COUNTIFS(B$4:B77,"&lt;&gt;",N$4:N77,"&gt;="&amp;TODAY(),N$4:N77,"&lt;="&amp;TODAY()+7,O$4:O77,""),"")</f>
        <v/>
      </c>
    </row>
    <row r="78" spans="1:23" s="1" customFormat="1" ht="18" customHeight="1" x14ac:dyDescent="0.45">
      <c r="A78" s="7"/>
      <c r="B78" s="7"/>
      <c r="C78" s="9" t="str">
        <f>IF(B78="","",VLOOKUP(B78,'Student Roster'!A:C,2,FALSE))</f>
        <v/>
      </c>
      <c r="D78" s="9" t="str">
        <f>IF(B78="","",VLOOKUP(B78,'Student Roster'!A:C,3,FALSE))</f>
        <v/>
      </c>
      <c r="E78" s="9" t="str">
        <f>IF(B78="","",VLOOKUP(B78,'Student Roster'!A:D,4,FALSE))</f>
        <v/>
      </c>
      <c r="F78" s="7"/>
      <c r="G78" s="7"/>
      <c r="H78" s="7"/>
      <c r="I78" s="7"/>
      <c r="J78" s="7"/>
      <c r="K78" s="7"/>
      <c r="L78" s="11" t="str">
        <f t="shared" ca="1" si="10"/>
        <v/>
      </c>
      <c r="M78" s="11" t="str">
        <f t="shared" si="11"/>
        <v/>
      </c>
      <c r="N78" s="10" t="str">
        <f t="shared" si="12"/>
        <v/>
      </c>
      <c r="O78" s="7"/>
      <c r="P78" s="7"/>
      <c r="Q78" s="7"/>
      <c r="R78" s="7"/>
      <c r="S78" s="9" t="str">
        <f t="shared" ca="1" si="13"/>
        <v>OK</v>
      </c>
      <c r="T78" s="7"/>
      <c r="U78" s="7" t="str">
        <f t="shared" si="14"/>
        <v/>
      </c>
      <c r="V78" s="7"/>
      <c r="W78" t="str">
        <f ca="1">IF(AND(B78&lt;&gt;"",N78&lt;&gt;"",O78="",N78&gt;=TODAY(),N78&lt;=TODAY()+7),COUNTIFS(B$4:B78,"&lt;&gt;",N$4:N78,"&gt;="&amp;TODAY(),N$4:N78,"&lt;="&amp;TODAY()+7,O$4:O78,""),"")</f>
        <v/>
      </c>
    </row>
    <row r="79" spans="1:23" s="1" customFormat="1" ht="18" customHeight="1" x14ac:dyDescent="0.45">
      <c r="A79" s="5"/>
      <c r="B79" s="5"/>
      <c r="C79" s="9" t="str">
        <f>IF(B79="","",VLOOKUP(B79,'Student Roster'!A:C,2,FALSE))</f>
        <v/>
      </c>
      <c r="D79" s="9" t="str">
        <f>IF(B79="","",VLOOKUP(B79,'Student Roster'!A:C,3,FALSE))</f>
        <v/>
      </c>
      <c r="E79" s="9" t="str">
        <f>IF(B79="","",VLOOKUP(B79,'Student Roster'!A:D,4,FALSE))</f>
        <v/>
      </c>
      <c r="F79" s="5"/>
      <c r="G79" s="5"/>
      <c r="H79" s="5"/>
      <c r="I79" s="5"/>
      <c r="J79" s="5"/>
      <c r="K79" s="5"/>
      <c r="L79" s="11" t="str">
        <f t="shared" ca="1" si="10"/>
        <v/>
      </c>
      <c r="M79" s="11" t="str">
        <f t="shared" si="11"/>
        <v/>
      </c>
      <c r="N79" s="10" t="str">
        <f t="shared" si="12"/>
        <v/>
      </c>
      <c r="O79" s="5"/>
      <c r="P79" s="5"/>
      <c r="Q79" s="5"/>
      <c r="R79" s="5"/>
      <c r="S79" s="9" t="str">
        <f t="shared" ca="1" si="13"/>
        <v>OK</v>
      </c>
      <c r="T79" s="5"/>
      <c r="U79" s="5" t="str">
        <f t="shared" si="14"/>
        <v/>
      </c>
      <c r="V79" s="5"/>
      <c r="W79" t="str">
        <f ca="1">IF(AND(B79&lt;&gt;"",N79&lt;&gt;"",O79="",N79&gt;=TODAY(),N79&lt;=TODAY()+7),COUNTIFS(B$4:B79,"&lt;&gt;",N$4:N79,"&gt;="&amp;TODAY(),N$4:N79,"&lt;="&amp;TODAY()+7,O$4:O79,""),"")</f>
        <v/>
      </c>
    </row>
    <row r="80" spans="1:23" s="1" customFormat="1" ht="18" customHeight="1" x14ac:dyDescent="0.45">
      <c r="A80" s="7"/>
      <c r="B80" s="7"/>
      <c r="C80" s="9" t="str">
        <f>IF(B80="","",VLOOKUP(B80,'Student Roster'!A:C,2,FALSE))</f>
        <v/>
      </c>
      <c r="D80" s="9" t="str">
        <f>IF(B80="","",VLOOKUP(B80,'Student Roster'!A:C,3,FALSE))</f>
        <v/>
      </c>
      <c r="E80" s="9" t="str">
        <f>IF(B80="","",VLOOKUP(B80,'Student Roster'!A:D,4,FALSE))</f>
        <v/>
      </c>
      <c r="F80" s="7"/>
      <c r="G80" s="7"/>
      <c r="H80" s="7"/>
      <c r="I80" s="7"/>
      <c r="J80" s="7"/>
      <c r="K80" s="7"/>
      <c r="L80" s="11" t="str">
        <f t="shared" ca="1" si="10"/>
        <v/>
      </c>
      <c r="M80" s="11" t="str">
        <f t="shared" si="11"/>
        <v/>
      </c>
      <c r="N80" s="10" t="str">
        <f t="shared" si="12"/>
        <v/>
      </c>
      <c r="O80" s="7"/>
      <c r="P80" s="7"/>
      <c r="Q80" s="7"/>
      <c r="R80" s="7"/>
      <c r="S80" s="9" t="str">
        <f t="shared" ca="1" si="13"/>
        <v>OK</v>
      </c>
      <c r="T80" s="7"/>
      <c r="U80" s="7" t="str">
        <f t="shared" si="14"/>
        <v/>
      </c>
      <c r="V80" s="7"/>
      <c r="W80" t="str">
        <f ca="1">IF(AND(B80&lt;&gt;"",N80&lt;&gt;"",O80="",N80&gt;=TODAY(),N80&lt;=TODAY()+7),COUNTIFS(B$4:B80,"&lt;&gt;",N$4:N80,"&gt;="&amp;TODAY(),N$4:N80,"&lt;="&amp;TODAY()+7,O$4:O80,""),"")</f>
        <v/>
      </c>
    </row>
    <row r="81" spans="1:23" s="1" customFormat="1" ht="18" customHeight="1" x14ac:dyDescent="0.45">
      <c r="A81" s="5"/>
      <c r="B81" s="5"/>
      <c r="C81" s="9" t="str">
        <f>IF(B81="","",VLOOKUP(B81,'Student Roster'!A:C,2,FALSE))</f>
        <v/>
      </c>
      <c r="D81" s="9" t="str">
        <f>IF(B81="","",VLOOKUP(B81,'Student Roster'!A:C,3,FALSE))</f>
        <v/>
      </c>
      <c r="E81" s="9" t="str">
        <f>IF(B81="","",VLOOKUP(B81,'Student Roster'!A:D,4,FALSE))</f>
        <v/>
      </c>
      <c r="F81" s="5"/>
      <c r="G81" s="5"/>
      <c r="H81" s="5"/>
      <c r="I81" s="5"/>
      <c r="J81" s="5"/>
      <c r="K81" s="5"/>
      <c r="L81" s="11" t="str">
        <f t="shared" ca="1" si="10"/>
        <v/>
      </c>
      <c r="M81" s="11" t="str">
        <f t="shared" si="11"/>
        <v/>
      </c>
      <c r="N81" s="10" t="str">
        <f t="shared" si="12"/>
        <v/>
      </c>
      <c r="O81" s="5"/>
      <c r="P81" s="5"/>
      <c r="Q81" s="5"/>
      <c r="R81" s="5"/>
      <c r="S81" s="9" t="str">
        <f t="shared" ca="1" si="13"/>
        <v>OK</v>
      </c>
      <c r="T81" s="5"/>
      <c r="U81" s="5" t="str">
        <f t="shared" si="14"/>
        <v/>
      </c>
      <c r="V81" s="5"/>
      <c r="W81" t="str">
        <f ca="1">IF(AND(B81&lt;&gt;"",N81&lt;&gt;"",O81="",N81&gt;=TODAY(),N81&lt;=TODAY()+7),COUNTIFS(B$4:B81,"&lt;&gt;",N$4:N81,"&gt;="&amp;TODAY(),N$4:N81,"&lt;="&amp;TODAY()+7,O$4:O81,""),"")</f>
        <v/>
      </c>
    </row>
    <row r="82" spans="1:23" s="1" customFormat="1" ht="18" customHeight="1" x14ac:dyDescent="0.45">
      <c r="A82" s="7"/>
      <c r="B82" s="7"/>
      <c r="C82" s="9" t="str">
        <f>IF(B82="","",VLOOKUP(B82,'Student Roster'!A:C,2,FALSE))</f>
        <v/>
      </c>
      <c r="D82" s="9" t="str">
        <f>IF(B82="","",VLOOKUP(B82,'Student Roster'!A:C,3,FALSE))</f>
        <v/>
      </c>
      <c r="E82" s="9" t="str">
        <f>IF(B82="","",VLOOKUP(B82,'Student Roster'!A:D,4,FALSE))</f>
        <v/>
      </c>
      <c r="F82" s="7"/>
      <c r="G82" s="7"/>
      <c r="H82" s="7"/>
      <c r="I82" s="7"/>
      <c r="J82" s="7"/>
      <c r="K82" s="7"/>
      <c r="L82" s="11" t="str">
        <f t="shared" ca="1" si="10"/>
        <v/>
      </c>
      <c r="M82" s="11" t="str">
        <f t="shared" si="11"/>
        <v/>
      </c>
      <c r="N82" s="10" t="str">
        <f t="shared" si="12"/>
        <v/>
      </c>
      <c r="O82" s="7"/>
      <c r="P82" s="7"/>
      <c r="Q82" s="7"/>
      <c r="R82" s="7"/>
      <c r="S82" s="9" t="str">
        <f t="shared" ca="1" si="13"/>
        <v>OK</v>
      </c>
      <c r="T82" s="7"/>
      <c r="U82" s="7" t="str">
        <f t="shared" si="14"/>
        <v/>
      </c>
      <c r="V82" s="7"/>
      <c r="W82" t="str">
        <f ca="1">IF(AND(B82&lt;&gt;"",N82&lt;&gt;"",O82="",N82&gt;=TODAY(),N82&lt;=TODAY()+7),COUNTIFS(B$4:B82,"&lt;&gt;",N$4:N82,"&gt;="&amp;TODAY(),N$4:N82,"&lt;="&amp;TODAY()+7,O$4:O82,""),"")</f>
        <v/>
      </c>
    </row>
    <row r="83" spans="1:23" s="1" customFormat="1" ht="18" customHeight="1" x14ac:dyDescent="0.45">
      <c r="A83" s="5"/>
      <c r="B83" s="5"/>
      <c r="C83" s="9" t="str">
        <f>IF(B83="","",VLOOKUP(B83,'Student Roster'!A:C,2,FALSE))</f>
        <v/>
      </c>
      <c r="D83" s="9" t="str">
        <f>IF(B83="","",VLOOKUP(B83,'Student Roster'!A:C,3,FALSE))</f>
        <v/>
      </c>
      <c r="E83" s="9" t="str">
        <f>IF(B83="","",VLOOKUP(B83,'Student Roster'!A:D,4,FALSE))</f>
        <v/>
      </c>
      <c r="F83" s="5"/>
      <c r="G83" s="5"/>
      <c r="H83" s="5"/>
      <c r="I83" s="5"/>
      <c r="J83" s="5"/>
      <c r="K83" s="5"/>
      <c r="L83" s="11" t="str">
        <f t="shared" ca="1" si="10"/>
        <v/>
      </c>
      <c r="M83" s="11" t="str">
        <f t="shared" si="11"/>
        <v/>
      </c>
      <c r="N83" s="10" t="str">
        <f t="shared" si="12"/>
        <v/>
      </c>
      <c r="O83" s="5"/>
      <c r="P83" s="5"/>
      <c r="Q83" s="5"/>
      <c r="R83" s="5"/>
      <c r="S83" s="9" t="str">
        <f t="shared" ca="1" si="13"/>
        <v>OK</v>
      </c>
      <c r="T83" s="5"/>
      <c r="U83" s="5" t="str">
        <f t="shared" si="14"/>
        <v/>
      </c>
      <c r="V83" s="5"/>
      <c r="W83" t="str">
        <f ca="1">IF(AND(B83&lt;&gt;"",N83&lt;&gt;"",O83="",N83&gt;=TODAY(),N83&lt;=TODAY()+7),COUNTIFS(B$4:B83,"&lt;&gt;",N$4:N83,"&gt;="&amp;TODAY(),N$4:N83,"&lt;="&amp;TODAY()+7,O$4:O83,""),"")</f>
        <v/>
      </c>
    </row>
    <row r="84" spans="1:23" s="1" customFormat="1" ht="18" customHeight="1" x14ac:dyDescent="0.45">
      <c r="A84" s="7"/>
      <c r="B84" s="7"/>
      <c r="C84" s="9" t="str">
        <f>IF(B84="","",VLOOKUP(B84,'Student Roster'!A:C,2,FALSE))</f>
        <v/>
      </c>
      <c r="D84" s="9" t="str">
        <f>IF(B84="","",VLOOKUP(B84,'Student Roster'!A:C,3,FALSE))</f>
        <v/>
      </c>
      <c r="E84" s="9" t="str">
        <f>IF(B84="","",VLOOKUP(B84,'Student Roster'!A:D,4,FALSE))</f>
        <v/>
      </c>
      <c r="F84" s="7"/>
      <c r="G84" s="7"/>
      <c r="H84" s="7"/>
      <c r="I84" s="7"/>
      <c r="J84" s="7"/>
      <c r="K84" s="7"/>
      <c r="L84" s="11" t="str">
        <f t="shared" ca="1" si="10"/>
        <v/>
      </c>
      <c r="M84" s="11" t="str">
        <f t="shared" si="11"/>
        <v/>
      </c>
      <c r="N84" s="10" t="str">
        <f t="shared" si="12"/>
        <v/>
      </c>
      <c r="O84" s="7"/>
      <c r="P84" s="7"/>
      <c r="Q84" s="7"/>
      <c r="R84" s="7"/>
      <c r="S84" s="9" t="str">
        <f t="shared" ca="1" si="13"/>
        <v>OK</v>
      </c>
      <c r="T84" s="7"/>
      <c r="U84" s="7" t="str">
        <f t="shared" si="14"/>
        <v/>
      </c>
      <c r="V84" s="7"/>
      <c r="W84" t="str">
        <f ca="1">IF(AND(B84&lt;&gt;"",N84&lt;&gt;"",O84="",N84&gt;=TODAY(),N84&lt;=TODAY()+7),COUNTIFS(B$4:B84,"&lt;&gt;",N$4:N84,"&gt;="&amp;TODAY(),N$4:N84,"&lt;="&amp;TODAY()+7,O$4:O84,""),"")</f>
        <v/>
      </c>
    </row>
    <row r="85" spans="1:23" s="1" customFormat="1" ht="18" customHeight="1" x14ac:dyDescent="0.45">
      <c r="A85" s="5"/>
      <c r="B85" s="5"/>
      <c r="C85" s="9" t="str">
        <f>IF(B85="","",VLOOKUP(B85,'Student Roster'!A:C,2,FALSE))</f>
        <v/>
      </c>
      <c r="D85" s="9" t="str">
        <f>IF(B85="","",VLOOKUP(B85,'Student Roster'!A:C,3,FALSE))</f>
        <v/>
      </c>
      <c r="E85" s="9" t="str">
        <f>IF(B85="","",VLOOKUP(B85,'Student Roster'!A:D,4,FALSE))</f>
        <v/>
      </c>
      <c r="F85" s="5"/>
      <c r="G85" s="5"/>
      <c r="H85" s="5"/>
      <c r="I85" s="5"/>
      <c r="J85" s="5"/>
      <c r="K85" s="5"/>
      <c r="L85" s="11" t="str">
        <f t="shared" ca="1" si="10"/>
        <v/>
      </c>
      <c r="M85" s="11" t="str">
        <f t="shared" si="11"/>
        <v/>
      </c>
      <c r="N85" s="10" t="str">
        <f t="shared" si="12"/>
        <v/>
      </c>
      <c r="O85" s="5"/>
      <c r="P85" s="5"/>
      <c r="Q85" s="5"/>
      <c r="R85" s="5"/>
      <c r="S85" s="9" t="str">
        <f t="shared" ca="1" si="13"/>
        <v>OK</v>
      </c>
      <c r="T85" s="5"/>
      <c r="U85" s="5" t="str">
        <f t="shared" si="14"/>
        <v/>
      </c>
      <c r="V85" s="5"/>
      <c r="W85" t="str">
        <f ca="1">IF(AND(B85&lt;&gt;"",N85&lt;&gt;"",O85="",N85&gt;=TODAY(),N85&lt;=TODAY()+7),COUNTIFS(B$4:B85,"&lt;&gt;",N$4:N85,"&gt;="&amp;TODAY(),N$4:N85,"&lt;="&amp;TODAY()+7,O$4:O85,""),"")</f>
        <v/>
      </c>
    </row>
    <row r="86" spans="1:23" s="1" customFormat="1" ht="18" customHeight="1" x14ac:dyDescent="0.45">
      <c r="A86" s="7"/>
      <c r="B86" s="7"/>
      <c r="C86" s="9" t="str">
        <f>IF(B86="","",VLOOKUP(B86,'Student Roster'!A:C,2,FALSE))</f>
        <v/>
      </c>
      <c r="D86" s="9" t="str">
        <f>IF(B86="","",VLOOKUP(B86,'Student Roster'!A:C,3,FALSE))</f>
        <v/>
      </c>
      <c r="E86" s="9" t="str">
        <f>IF(B86="","",VLOOKUP(B86,'Student Roster'!A:D,4,FALSE))</f>
        <v/>
      </c>
      <c r="F86" s="7"/>
      <c r="G86" s="7"/>
      <c r="H86" s="7"/>
      <c r="I86" s="7"/>
      <c r="J86" s="7"/>
      <c r="K86" s="7"/>
      <c r="L86" s="11" t="str">
        <f t="shared" ca="1" si="10"/>
        <v/>
      </c>
      <c r="M86" s="11" t="str">
        <f t="shared" si="11"/>
        <v/>
      </c>
      <c r="N86" s="10" t="str">
        <f t="shared" si="12"/>
        <v/>
      </c>
      <c r="O86" s="7"/>
      <c r="P86" s="7"/>
      <c r="Q86" s="7"/>
      <c r="R86" s="7"/>
      <c r="S86" s="9" t="str">
        <f t="shared" ca="1" si="13"/>
        <v>OK</v>
      </c>
      <c r="T86" s="7"/>
      <c r="U86" s="7" t="str">
        <f t="shared" si="14"/>
        <v/>
      </c>
      <c r="V86" s="7"/>
      <c r="W86" t="str">
        <f ca="1">IF(AND(B86&lt;&gt;"",N86&lt;&gt;"",O86="",N86&gt;=TODAY(),N86&lt;=TODAY()+7),COUNTIFS(B$4:B86,"&lt;&gt;",N$4:N86,"&gt;="&amp;TODAY(),N$4:N86,"&lt;="&amp;TODAY()+7,O$4:O86,""),"")</f>
        <v/>
      </c>
    </row>
    <row r="87" spans="1:23" s="1" customFormat="1" ht="18" customHeight="1" x14ac:dyDescent="0.45">
      <c r="A87" s="5"/>
      <c r="B87" s="5"/>
      <c r="C87" s="9" t="str">
        <f>IF(B87="","",VLOOKUP(B87,'Student Roster'!A:C,2,FALSE))</f>
        <v/>
      </c>
      <c r="D87" s="9" t="str">
        <f>IF(B87="","",VLOOKUP(B87,'Student Roster'!A:C,3,FALSE))</f>
        <v/>
      </c>
      <c r="E87" s="9" t="str">
        <f>IF(B87="","",VLOOKUP(B87,'Student Roster'!A:D,4,FALSE))</f>
        <v/>
      </c>
      <c r="F87" s="5"/>
      <c r="G87" s="5"/>
      <c r="H87" s="5"/>
      <c r="I87" s="5"/>
      <c r="J87" s="5"/>
      <c r="K87" s="5"/>
      <c r="L87" s="11" t="str">
        <f t="shared" ca="1" si="10"/>
        <v/>
      </c>
      <c r="M87" s="11" t="str">
        <f t="shared" si="11"/>
        <v/>
      </c>
      <c r="N87" s="10" t="str">
        <f t="shared" si="12"/>
        <v/>
      </c>
      <c r="O87" s="5"/>
      <c r="P87" s="5"/>
      <c r="Q87" s="5"/>
      <c r="R87" s="5"/>
      <c r="S87" s="9" t="str">
        <f t="shared" ca="1" si="13"/>
        <v>OK</v>
      </c>
      <c r="T87" s="5"/>
      <c r="U87" s="5" t="str">
        <f t="shared" si="14"/>
        <v/>
      </c>
      <c r="V87" s="5"/>
      <c r="W87" t="str">
        <f ca="1">IF(AND(B87&lt;&gt;"",N87&lt;&gt;"",O87="",N87&gt;=TODAY(),N87&lt;=TODAY()+7),COUNTIFS(B$4:B87,"&lt;&gt;",N$4:N87,"&gt;="&amp;TODAY(),N$4:N87,"&lt;="&amp;TODAY()+7,O$4:O87,""),"")</f>
        <v/>
      </c>
    </row>
    <row r="88" spans="1:23" s="1" customFormat="1" ht="18" customHeight="1" x14ac:dyDescent="0.45">
      <c r="A88" s="7"/>
      <c r="B88" s="7"/>
      <c r="C88" s="9" t="str">
        <f>IF(B88="","",VLOOKUP(B88,'Student Roster'!A:C,2,FALSE))</f>
        <v/>
      </c>
      <c r="D88" s="9" t="str">
        <f>IF(B88="","",VLOOKUP(B88,'Student Roster'!A:C,3,FALSE))</f>
        <v/>
      </c>
      <c r="E88" s="9" t="str">
        <f>IF(B88="","",VLOOKUP(B88,'Student Roster'!A:D,4,FALSE))</f>
        <v/>
      </c>
      <c r="F88" s="7"/>
      <c r="G88" s="7"/>
      <c r="H88" s="7"/>
      <c r="I88" s="7"/>
      <c r="J88" s="7"/>
      <c r="K88" s="7"/>
      <c r="L88" s="11" t="str">
        <f t="shared" ca="1" si="10"/>
        <v/>
      </c>
      <c r="M88" s="11" t="str">
        <f t="shared" si="11"/>
        <v/>
      </c>
      <c r="N88" s="10" t="str">
        <f t="shared" si="12"/>
        <v/>
      </c>
      <c r="O88" s="7"/>
      <c r="P88" s="7"/>
      <c r="Q88" s="7"/>
      <c r="R88" s="7"/>
      <c r="S88" s="9" t="str">
        <f t="shared" ca="1" si="13"/>
        <v>OK</v>
      </c>
      <c r="T88" s="7"/>
      <c r="U88" s="7" t="str">
        <f t="shared" si="14"/>
        <v/>
      </c>
      <c r="V88" s="7"/>
      <c r="W88" t="str">
        <f ca="1">IF(AND(B88&lt;&gt;"",N88&lt;&gt;"",O88="",N88&gt;=TODAY(),N88&lt;=TODAY()+7),COUNTIFS(B$4:B88,"&lt;&gt;",N$4:N88,"&gt;="&amp;TODAY(),N$4:N88,"&lt;="&amp;TODAY()+7,O$4:O88,""),"")</f>
        <v/>
      </c>
    </row>
    <row r="89" spans="1:23" s="1" customFormat="1" ht="18" customHeight="1" x14ac:dyDescent="0.45">
      <c r="A89" s="5"/>
      <c r="B89" s="5"/>
      <c r="C89" s="9" t="str">
        <f>IF(B89="","",VLOOKUP(B89,'Student Roster'!A:C,2,FALSE))</f>
        <v/>
      </c>
      <c r="D89" s="9" t="str">
        <f>IF(B89="","",VLOOKUP(B89,'Student Roster'!A:C,3,FALSE))</f>
        <v/>
      </c>
      <c r="E89" s="9" t="str">
        <f>IF(B89="","",VLOOKUP(B89,'Student Roster'!A:D,4,FALSE))</f>
        <v/>
      </c>
      <c r="F89" s="5"/>
      <c r="G89" s="5"/>
      <c r="H89" s="5"/>
      <c r="I89" s="5"/>
      <c r="J89" s="5"/>
      <c r="K89" s="5"/>
      <c r="L89" s="11" t="str">
        <f t="shared" ca="1" si="10"/>
        <v/>
      </c>
      <c r="M89" s="11" t="str">
        <f t="shared" si="11"/>
        <v/>
      </c>
      <c r="N89" s="10" t="str">
        <f t="shared" si="12"/>
        <v/>
      </c>
      <c r="O89" s="5"/>
      <c r="P89" s="5"/>
      <c r="Q89" s="5"/>
      <c r="R89" s="5"/>
      <c r="S89" s="9" t="str">
        <f t="shared" ca="1" si="13"/>
        <v>OK</v>
      </c>
      <c r="T89" s="5"/>
      <c r="U89" s="5" t="str">
        <f t="shared" si="14"/>
        <v/>
      </c>
      <c r="V89" s="5"/>
      <c r="W89" t="str">
        <f ca="1">IF(AND(B89&lt;&gt;"",N89&lt;&gt;"",O89="",N89&gt;=TODAY(),N89&lt;=TODAY()+7),COUNTIFS(B$4:B89,"&lt;&gt;",N$4:N89,"&gt;="&amp;TODAY(),N$4:N89,"&lt;="&amp;TODAY()+7,O$4:O89,""),"")</f>
        <v/>
      </c>
    </row>
    <row r="90" spans="1:23" s="1" customFormat="1" ht="18" customHeight="1" x14ac:dyDescent="0.45">
      <c r="A90" s="7"/>
      <c r="B90" s="7"/>
      <c r="C90" s="9" t="str">
        <f>IF(B90="","",VLOOKUP(B90,'Student Roster'!A:C,2,FALSE))</f>
        <v/>
      </c>
      <c r="D90" s="9" t="str">
        <f>IF(B90="","",VLOOKUP(B90,'Student Roster'!A:C,3,FALSE))</f>
        <v/>
      </c>
      <c r="E90" s="9" t="str">
        <f>IF(B90="","",VLOOKUP(B90,'Student Roster'!A:D,4,FALSE))</f>
        <v/>
      </c>
      <c r="F90" s="7"/>
      <c r="G90" s="7"/>
      <c r="H90" s="7"/>
      <c r="I90" s="7"/>
      <c r="J90" s="7"/>
      <c r="K90" s="7"/>
      <c r="L90" s="11" t="str">
        <f t="shared" ca="1" si="10"/>
        <v/>
      </c>
      <c r="M90" s="11" t="str">
        <f t="shared" si="11"/>
        <v/>
      </c>
      <c r="N90" s="10" t="str">
        <f t="shared" si="12"/>
        <v/>
      </c>
      <c r="O90" s="7"/>
      <c r="P90" s="7"/>
      <c r="Q90" s="7"/>
      <c r="R90" s="7"/>
      <c r="S90" s="9" t="str">
        <f t="shared" ca="1" si="13"/>
        <v>OK</v>
      </c>
      <c r="T90" s="7"/>
      <c r="U90" s="7" t="str">
        <f t="shared" si="14"/>
        <v/>
      </c>
      <c r="V90" s="7"/>
      <c r="W90" t="str">
        <f ca="1">IF(AND(B90&lt;&gt;"",N90&lt;&gt;"",O90="",N90&gt;=TODAY(),N90&lt;=TODAY()+7),COUNTIFS(B$4:B90,"&lt;&gt;",N$4:N90,"&gt;="&amp;TODAY(),N$4:N90,"&lt;="&amp;TODAY()+7,O$4:O90,""),"")</f>
        <v/>
      </c>
    </row>
    <row r="91" spans="1:23" s="1" customFormat="1" ht="18" customHeight="1" x14ac:dyDescent="0.45">
      <c r="A91" s="5"/>
      <c r="B91" s="5"/>
      <c r="C91" s="9" t="str">
        <f>IF(B91="","",VLOOKUP(B91,'Student Roster'!A:C,2,FALSE))</f>
        <v/>
      </c>
      <c r="D91" s="9" t="str">
        <f>IF(B91="","",VLOOKUP(B91,'Student Roster'!A:C,3,FALSE))</f>
        <v/>
      </c>
      <c r="E91" s="9" t="str">
        <f>IF(B91="","",VLOOKUP(B91,'Student Roster'!A:D,4,FALSE))</f>
        <v/>
      </c>
      <c r="F91" s="5"/>
      <c r="G91" s="5"/>
      <c r="H91" s="5"/>
      <c r="I91" s="5"/>
      <c r="J91" s="5"/>
      <c r="K91" s="5"/>
      <c r="L91" s="11" t="str">
        <f t="shared" ca="1" si="10"/>
        <v/>
      </c>
      <c r="M91" s="11" t="str">
        <f t="shared" si="11"/>
        <v/>
      </c>
      <c r="N91" s="10" t="str">
        <f t="shared" si="12"/>
        <v/>
      </c>
      <c r="O91" s="5"/>
      <c r="P91" s="5"/>
      <c r="Q91" s="5"/>
      <c r="R91" s="5"/>
      <c r="S91" s="9" t="str">
        <f t="shared" ca="1" si="13"/>
        <v>OK</v>
      </c>
      <c r="T91" s="5"/>
      <c r="U91" s="5" t="str">
        <f t="shared" si="14"/>
        <v/>
      </c>
      <c r="V91" s="5"/>
      <c r="W91" t="str">
        <f ca="1">IF(AND(B91&lt;&gt;"",N91&lt;&gt;"",O91="",N91&gt;=TODAY(),N91&lt;=TODAY()+7),COUNTIFS(B$4:B91,"&lt;&gt;",N$4:N91,"&gt;="&amp;TODAY(),N$4:N91,"&lt;="&amp;TODAY()+7,O$4:O91,""),"")</f>
        <v/>
      </c>
    </row>
    <row r="92" spans="1:23" s="1" customFormat="1" ht="18" customHeight="1" x14ac:dyDescent="0.45">
      <c r="A92" s="7"/>
      <c r="B92" s="7"/>
      <c r="C92" s="9" t="str">
        <f>IF(B92="","",VLOOKUP(B92,'Student Roster'!A:C,2,FALSE))</f>
        <v/>
      </c>
      <c r="D92" s="9" t="str">
        <f>IF(B92="","",VLOOKUP(B92,'Student Roster'!A:C,3,FALSE))</f>
        <v/>
      </c>
      <c r="E92" s="9" t="str">
        <f>IF(B92="","",VLOOKUP(B92,'Student Roster'!A:D,4,FALSE))</f>
        <v/>
      </c>
      <c r="F92" s="7"/>
      <c r="G92" s="7"/>
      <c r="H92" s="7"/>
      <c r="I92" s="7"/>
      <c r="J92" s="7"/>
      <c r="K92" s="7"/>
      <c r="L92" s="11" t="str">
        <f t="shared" ca="1" si="10"/>
        <v/>
      </c>
      <c r="M92" s="11" t="str">
        <f t="shared" si="11"/>
        <v/>
      </c>
      <c r="N92" s="10" t="str">
        <f t="shared" si="12"/>
        <v/>
      </c>
      <c r="O92" s="7"/>
      <c r="P92" s="7"/>
      <c r="Q92" s="7"/>
      <c r="R92" s="7"/>
      <c r="S92" s="9" t="str">
        <f t="shared" ca="1" si="13"/>
        <v>OK</v>
      </c>
      <c r="T92" s="7"/>
      <c r="U92" s="7" t="str">
        <f t="shared" si="14"/>
        <v/>
      </c>
      <c r="V92" s="7"/>
      <c r="W92" t="str">
        <f ca="1">IF(AND(B92&lt;&gt;"",N92&lt;&gt;"",O92="",N92&gt;=TODAY(),N92&lt;=TODAY()+7),COUNTIFS(B$4:B92,"&lt;&gt;",N$4:N92,"&gt;="&amp;TODAY(),N$4:N92,"&lt;="&amp;TODAY()+7,O$4:O92,""),"")</f>
        <v/>
      </c>
    </row>
    <row r="93" spans="1:23" s="1" customFormat="1" ht="18" customHeight="1" x14ac:dyDescent="0.45">
      <c r="A93" s="5"/>
      <c r="B93" s="5"/>
      <c r="C93" s="9" t="str">
        <f>IF(B93="","",VLOOKUP(B93,'Student Roster'!A:C,2,FALSE))</f>
        <v/>
      </c>
      <c r="D93" s="9" t="str">
        <f>IF(B93="","",VLOOKUP(B93,'Student Roster'!A:C,3,FALSE))</f>
        <v/>
      </c>
      <c r="E93" s="9" t="str">
        <f>IF(B93="","",VLOOKUP(B93,'Student Roster'!A:D,4,FALSE))</f>
        <v/>
      </c>
      <c r="F93" s="5"/>
      <c r="G93" s="5"/>
      <c r="H93" s="5"/>
      <c r="I93" s="5"/>
      <c r="J93" s="5"/>
      <c r="K93" s="5"/>
      <c r="L93" s="11" t="str">
        <f t="shared" ca="1" si="10"/>
        <v/>
      </c>
      <c r="M93" s="11" t="str">
        <f t="shared" si="11"/>
        <v/>
      </c>
      <c r="N93" s="10" t="str">
        <f t="shared" si="12"/>
        <v/>
      </c>
      <c r="O93" s="5"/>
      <c r="P93" s="5"/>
      <c r="Q93" s="5"/>
      <c r="R93" s="5"/>
      <c r="S93" s="9" t="str">
        <f t="shared" ca="1" si="13"/>
        <v>OK</v>
      </c>
      <c r="T93" s="5"/>
      <c r="U93" s="5" t="str">
        <f t="shared" si="14"/>
        <v/>
      </c>
      <c r="V93" s="5"/>
      <c r="W93" t="str">
        <f ca="1">IF(AND(B93&lt;&gt;"",N93&lt;&gt;"",O93="",N93&gt;=TODAY(),N93&lt;=TODAY()+7),COUNTIFS(B$4:B93,"&lt;&gt;",N$4:N93,"&gt;="&amp;TODAY(),N$4:N93,"&lt;="&amp;TODAY()+7,O$4:O93,""),"")</f>
        <v/>
      </c>
    </row>
    <row r="94" spans="1:23" s="1" customFormat="1" ht="18" customHeight="1" x14ac:dyDescent="0.45">
      <c r="A94" s="7"/>
      <c r="B94" s="7"/>
      <c r="C94" s="9" t="str">
        <f>IF(B94="","",VLOOKUP(B94,'Student Roster'!A:C,2,FALSE))</f>
        <v/>
      </c>
      <c r="D94" s="9" t="str">
        <f>IF(B94="","",VLOOKUP(B94,'Student Roster'!A:C,3,FALSE))</f>
        <v/>
      </c>
      <c r="E94" s="9" t="str">
        <f>IF(B94="","",VLOOKUP(B94,'Student Roster'!A:D,4,FALSE))</f>
        <v/>
      </c>
      <c r="F94" s="7"/>
      <c r="G94" s="7"/>
      <c r="H94" s="7"/>
      <c r="I94" s="7"/>
      <c r="J94" s="7"/>
      <c r="K94" s="7"/>
      <c r="L94" s="11" t="str">
        <f t="shared" ca="1" si="10"/>
        <v/>
      </c>
      <c r="M94" s="11" t="str">
        <f t="shared" si="11"/>
        <v/>
      </c>
      <c r="N94" s="10" t="str">
        <f t="shared" si="12"/>
        <v/>
      </c>
      <c r="O94" s="7"/>
      <c r="P94" s="7"/>
      <c r="Q94" s="7"/>
      <c r="R94" s="7"/>
      <c r="S94" s="9" t="str">
        <f t="shared" ca="1" si="13"/>
        <v>OK</v>
      </c>
      <c r="T94" s="7"/>
      <c r="U94" s="7" t="str">
        <f t="shared" si="14"/>
        <v/>
      </c>
      <c r="V94" s="7"/>
      <c r="W94" t="str">
        <f ca="1">IF(AND(B94&lt;&gt;"",N94&lt;&gt;"",O94="",N94&gt;=TODAY(),N94&lt;=TODAY()+7),COUNTIFS(B$4:B94,"&lt;&gt;",N$4:N94,"&gt;="&amp;TODAY(),N$4:N94,"&lt;="&amp;TODAY()+7,O$4:O94,""),"")</f>
        <v/>
      </c>
    </row>
    <row r="95" spans="1:23" s="1" customFormat="1" ht="18" customHeight="1" x14ac:dyDescent="0.45">
      <c r="A95" s="5"/>
      <c r="B95" s="5"/>
      <c r="C95" s="9" t="str">
        <f>IF(B95="","",VLOOKUP(B95,'Student Roster'!A:C,2,FALSE))</f>
        <v/>
      </c>
      <c r="D95" s="9" t="str">
        <f>IF(B95="","",VLOOKUP(B95,'Student Roster'!A:C,3,FALSE))</f>
        <v/>
      </c>
      <c r="E95" s="9" t="str">
        <f>IF(B95="","",VLOOKUP(B95,'Student Roster'!A:D,4,FALSE))</f>
        <v/>
      </c>
      <c r="F95" s="5"/>
      <c r="G95" s="5"/>
      <c r="H95" s="5"/>
      <c r="I95" s="5"/>
      <c r="J95" s="5"/>
      <c r="K95" s="5"/>
      <c r="L95" s="11" t="str">
        <f t="shared" ca="1" si="10"/>
        <v/>
      </c>
      <c r="M95" s="11" t="str">
        <f t="shared" si="11"/>
        <v/>
      </c>
      <c r="N95" s="10" t="str">
        <f t="shared" si="12"/>
        <v/>
      </c>
      <c r="O95" s="5"/>
      <c r="P95" s="5"/>
      <c r="Q95" s="5"/>
      <c r="R95" s="5"/>
      <c r="S95" s="9" t="str">
        <f t="shared" ca="1" si="13"/>
        <v>OK</v>
      </c>
      <c r="T95" s="5"/>
      <c r="U95" s="5" t="str">
        <f t="shared" si="14"/>
        <v/>
      </c>
      <c r="V95" s="5"/>
      <c r="W95" t="str">
        <f ca="1">IF(AND(B95&lt;&gt;"",N95&lt;&gt;"",O95="",N95&gt;=TODAY(),N95&lt;=TODAY()+7),COUNTIFS(B$4:B95,"&lt;&gt;",N$4:N95,"&gt;="&amp;TODAY(),N$4:N95,"&lt;="&amp;TODAY()+7,O$4:O95,""),"")</f>
        <v/>
      </c>
    </row>
    <row r="96" spans="1:23" s="1" customFormat="1" ht="18" customHeight="1" x14ac:dyDescent="0.45">
      <c r="A96" s="7"/>
      <c r="B96" s="7"/>
      <c r="C96" s="9" t="str">
        <f>IF(B96="","",VLOOKUP(B96,'Student Roster'!A:C,2,FALSE))</f>
        <v/>
      </c>
      <c r="D96" s="9" t="str">
        <f>IF(B96="","",VLOOKUP(B96,'Student Roster'!A:C,3,FALSE))</f>
        <v/>
      </c>
      <c r="E96" s="9" t="str">
        <f>IF(B96="","",VLOOKUP(B96,'Student Roster'!A:D,4,FALSE))</f>
        <v/>
      </c>
      <c r="F96" s="7"/>
      <c r="G96" s="7"/>
      <c r="H96" s="7"/>
      <c r="I96" s="7"/>
      <c r="J96" s="7"/>
      <c r="K96" s="7"/>
      <c r="L96" s="11" t="str">
        <f t="shared" ca="1" si="10"/>
        <v/>
      </c>
      <c r="M96" s="11" t="str">
        <f t="shared" si="11"/>
        <v/>
      </c>
      <c r="N96" s="10" t="str">
        <f t="shared" si="12"/>
        <v/>
      </c>
      <c r="O96" s="7"/>
      <c r="P96" s="7"/>
      <c r="Q96" s="7"/>
      <c r="R96" s="7"/>
      <c r="S96" s="9" t="str">
        <f t="shared" ca="1" si="13"/>
        <v>OK</v>
      </c>
      <c r="T96" s="7"/>
      <c r="U96" s="7" t="str">
        <f t="shared" si="14"/>
        <v/>
      </c>
      <c r="V96" s="7"/>
      <c r="W96" t="str">
        <f ca="1">IF(AND(B96&lt;&gt;"",N96&lt;&gt;"",O96="",N96&gt;=TODAY(),N96&lt;=TODAY()+7),COUNTIFS(B$4:B96,"&lt;&gt;",N$4:N96,"&gt;="&amp;TODAY(),N$4:N96,"&lt;="&amp;TODAY()+7,O$4:O96,""),"")</f>
        <v/>
      </c>
    </row>
    <row r="97" spans="1:23" s="1" customFormat="1" ht="18" customHeight="1" x14ac:dyDescent="0.45">
      <c r="A97" s="5"/>
      <c r="B97" s="5"/>
      <c r="C97" s="9" t="str">
        <f>IF(B97="","",VLOOKUP(B97,'Student Roster'!A:C,2,FALSE))</f>
        <v/>
      </c>
      <c r="D97" s="9" t="str">
        <f>IF(B97="","",VLOOKUP(B97,'Student Roster'!A:C,3,FALSE))</f>
        <v/>
      </c>
      <c r="E97" s="9" t="str">
        <f>IF(B97="","",VLOOKUP(B97,'Student Roster'!A:D,4,FALSE))</f>
        <v/>
      </c>
      <c r="F97" s="5"/>
      <c r="G97" s="5"/>
      <c r="H97" s="5"/>
      <c r="I97" s="5"/>
      <c r="J97" s="5"/>
      <c r="K97" s="5"/>
      <c r="L97" s="11" t="str">
        <f t="shared" ca="1" si="10"/>
        <v/>
      </c>
      <c r="M97" s="11" t="str">
        <f t="shared" si="11"/>
        <v/>
      </c>
      <c r="N97" s="10" t="str">
        <f t="shared" si="12"/>
        <v/>
      </c>
      <c r="O97" s="5"/>
      <c r="P97" s="5"/>
      <c r="Q97" s="5"/>
      <c r="R97" s="5"/>
      <c r="S97" s="9" t="str">
        <f t="shared" ca="1" si="13"/>
        <v>OK</v>
      </c>
      <c r="T97" s="5"/>
      <c r="U97" s="5" t="str">
        <f t="shared" si="14"/>
        <v/>
      </c>
      <c r="V97" s="5"/>
      <c r="W97" t="str">
        <f ca="1">IF(AND(B97&lt;&gt;"",N97&lt;&gt;"",O97="",N97&gt;=TODAY(),N97&lt;=TODAY()+7),COUNTIFS(B$4:B97,"&lt;&gt;",N$4:N97,"&gt;="&amp;TODAY(),N$4:N97,"&lt;="&amp;TODAY()+7,O$4:O97,""),"")</f>
        <v/>
      </c>
    </row>
    <row r="98" spans="1:23" s="1" customFormat="1" ht="18" customHeight="1" x14ac:dyDescent="0.45">
      <c r="A98" s="7"/>
      <c r="B98" s="7"/>
      <c r="C98" s="9" t="str">
        <f>IF(B98="","",VLOOKUP(B98,'Student Roster'!A:C,2,FALSE))</f>
        <v/>
      </c>
      <c r="D98" s="9" t="str">
        <f>IF(B98="","",VLOOKUP(B98,'Student Roster'!A:C,3,FALSE))</f>
        <v/>
      </c>
      <c r="E98" s="9" t="str">
        <f>IF(B98="","",VLOOKUP(B98,'Student Roster'!A:D,4,FALSE))</f>
        <v/>
      </c>
      <c r="F98" s="7"/>
      <c r="G98" s="7"/>
      <c r="H98" s="7"/>
      <c r="I98" s="7"/>
      <c r="J98" s="7"/>
      <c r="K98" s="7"/>
      <c r="L98" s="11" t="str">
        <f t="shared" ca="1" si="10"/>
        <v/>
      </c>
      <c r="M98" s="11" t="str">
        <f t="shared" si="11"/>
        <v/>
      </c>
      <c r="N98" s="10" t="str">
        <f t="shared" si="12"/>
        <v/>
      </c>
      <c r="O98" s="7"/>
      <c r="P98" s="7"/>
      <c r="Q98" s="7"/>
      <c r="R98" s="7"/>
      <c r="S98" s="9" t="str">
        <f t="shared" ca="1" si="13"/>
        <v>OK</v>
      </c>
      <c r="T98" s="7"/>
      <c r="U98" s="7" t="str">
        <f t="shared" si="14"/>
        <v/>
      </c>
      <c r="V98" s="7"/>
      <c r="W98" t="str">
        <f ca="1">IF(AND(B98&lt;&gt;"",N98&lt;&gt;"",O98="",N98&gt;=TODAY(),N98&lt;=TODAY()+7),COUNTIFS(B$4:B98,"&lt;&gt;",N$4:N98,"&gt;="&amp;TODAY(),N$4:N98,"&lt;="&amp;TODAY()+7,O$4:O98,""),"")</f>
        <v/>
      </c>
    </row>
    <row r="99" spans="1:23" s="1" customFormat="1" ht="18" customHeight="1" x14ac:dyDescent="0.45">
      <c r="A99" s="5"/>
      <c r="B99" s="5"/>
      <c r="C99" s="9" t="str">
        <f>IF(B99="","",VLOOKUP(B99,'Student Roster'!A:C,2,FALSE))</f>
        <v/>
      </c>
      <c r="D99" s="9" t="str">
        <f>IF(B99="","",VLOOKUP(B99,'Student Roster'!A:C,3,FALSE))</f>
        <v/>
      </c>
      <c r="E99" s="9" t="str">
        <f>IF(B99="","",VLOOKUP(B99,'Student Roster'!A:D,4,FALSE))</f>
        <v/>
      </c>
      <c r="F99" s="5"/>
      <c r="G99" s="5"/>
      <c r="H99" s="5"/>
      <c r="I99" s="5"/>
      <c r="J99" s="5"/>
      <c r="K99" s="5"/>
      <c r="L99" s="11" t="str">
        <f t="shared" ca="1" si="10"/>
        <v/>
      </c>
      <c r="M99" s="11" t="str">
        <f t="shared" si="11"/>
        <v/>
      </c>
      <c r="N99" s="10" t="str">
        <f t="shared" si="12"/>
        <v/>
      </c>
      <c r="O99" s="5"/>
      <c r="P99" s="5"/>
      <c r="Q99" s="5"/>
      <c r="R99" s="5"/>
      <c r="S99" s="9" t="str">
        <f t="shared" ca="1" si="13"/>
        <v>OK</v>
      </c>
      <c r="T99" s="5"/>
      <c r="U99" s="5" t="str">
        <f t="shared" si="14"/>
        <v/>
      </c>
      <c r="V99" s="5"/>
      <c r="W99" t="str">
        <f ca="1">IF(AND(B99&lt;&gt;"",N99&lt;&gt;"",O99="",N99&gt;=TODAY(),N99&lt;=TODAY()+7),COUNTIFS(B$4:B99,"&lt;&gt;",N$4:N99,"&gt;="&amp;TODAY(),N$4:N99,"&lt;="&amp;TODAY()+7,O$4:O99,""),"")</f>
        <v/>
      </c>
    </row>
    <row r="100" spans="1:23" s="1" customFormat="1" ht="18" customHeight="1" x14ac:dyDescent="0.45">
      <c r="A100" s="7"/>
      <c r="B100" s="7"/>
      <c r="C100" s="9" t="str">
        <f>IF(B100="","",VLOOKUP(B100,'Student Roster'!A:C,2,FALSE))</f>
        <v/>
      </c>
      <c r="D100" s="9" t="str">
        <f>IF(B100="","",VLOOKUP(B100,'Student Roster'!A:C,3,FALSE))</f>
        <v/>
      </c>
      <c r="E100" s="9" t="str">
        <f>IF(B100="","",VLOOKUP(B100,'Student Roster'!A:D,4,FALSE))</f>
        <v/>
      </c>
      <c r="F100" s="7"/>
      <c r="G100" s="7"/>
      <c r="H100" s="7"/>
      <c r="I100" s="7"/>
      <c r="J100" s="7"/>
      <c r="K100" s="7"/>
      <c r="L100" s="11" t="str">
        <f t="shared" ref="L100:L131" ca="1" si="15">IF(J100="","",IF(O100="",TODAY()-J100,O100-J100))</f>
        <v/>
      </c>
      <c r="M100" s="11" t="str">
        <f t="shared" ref="M100:M131" si="16">IF(J100="","",MAX(0,K100-L100))</f>
        <v/>
      </c>
      <c r="N100" s="10" t="str">
        <f t="shared" ref="N100:N131" si="17">IF(J100="","",J100+K100)</f>
        <v/>
      </c>
      <c r="O100" s="7"/>
      <c r="P100" s="7"/>
      <c r="Q100" s="7"/>
      <c r="R100" s="7"/>
      <c r="S100" s="9" t="str">
        <f t="shared" ref="S100:S131" ca="1" si="18">IF(AND(R100="Yes",L100&gt;=8),"⚠ APPROACHING 10-DAY","OK")</f>
        <v>OK</v>
      </c>
      <c r="T100" s="7"/>
      <c r="U100" s="7" t="str">
        <f t="shared" ref="U100:U131" si="19">IF(J100="","",IF(AND(T100="Yes",L100&lt;=K100),"Complete",IF(L100&gt;K100,"⚠ OVERDUE","In Progress")))</f>
        <v/>
      </c>
      <c r="V100" s="7"/>
      <c r="W100" t="str">
        <f ca="1">IF(AND(B100&lt;&gt;"",N100&lt;&gt;"",O100="",N100&gt;=TODAY(),N100&lt;=TODAY()+7),COUNTIFS(B$4:B100,"&lt;&gt;",N$4:N100,"&gt;="&amp;TODAY(),N$4:N100,"&lt;="&amp;TODAY()+7,O$4:O100,""),"")</f>
        <v/>
      </c>
    </row>
    <row r="101" spans="1:23" s="1" customFormat="1" ht="18" customHeight="1" x14ac:dyDescent="0.45">
      <c r="A101" s="5"/>
      <c r="B101" s="5"/>
      <c r="C101" s="9" t="str">
        <f>IF(B101="","",VLOOKUP(B101,'Student Roster'!A:C,2,FALSE))</f>
        <v/>
      </c>
      <c r="D101" s="9" t="str">
        <f>IF(B101="","",VLOOKUP(B101,'Student Roster'!A:C,3,FALSE))</f>
        <v/>
      </c>
      <c r="E101" s="9" t="str">
        <f>IF(B101="","",VLOOKUP(B101,'Student Roster'!A:D,4,FALSE))</f>
        <v/>
      </c>
      <c r="F101" s="5"/>
      <c r="G101" s="5"/>
      <c r="H101" s="5"/>
      <c r="I101" s="5"/>
      <c r="J101" s="5"/>
      <c r="K101" s="5"/>
      <c r="L101" s="11" t="str">
        <f t="shared" ca="1" si="15"/>
        <v/>
      </c>
      <c r="M101" s="11" t="str">
        <f t="shared" si="16"/>
        <v/>
      </c>
      <c r="N101" s="10" t="str">
        <f t="shared" si="17"/>
        <v/>
      </c>
      <c r="O101" s="5"/>
      <c r="P101" s="5"/>
      <c r="Q101" s="5"/>
      <c r="R101" s="5"/>
      <c r="S101" s="9" t="str">
        <f t="shared" ca="1" si="18"/>
        <v>OK</v>
      </c>
      <c r="T101" s="5"/>
      <c r="U101" s="5" t="str">
        <f t="shared" si="19"/>
        <v/>
      </c>
      <c r="V101" s="5"/>
      <c r="W101" t="str">
        <f ca="1">IF(AND(B101&lt;&gt;"",N101&lt;&gt;"",O101="",N101&gt;=TODAY(),N101&lt;=TODAY()+7),COUNTIFS(B$4:B101,"&lt;&gt;",N$4:N101,"&gt;="&amp;TODAY(),N$4:N101,"&lt;="&amp;TODAY()+7,O$4:O101,""),"")</f>
        <v/>
      </c>
    </row>
    <row r="102" spans="1:23" s="1" customFormat="1" ht="18" customHeight="1" x14ac:dyDescent="0.45">
      <c r="A102" s="7"/>
      <c r="B102" s="7"/>
      <c r="C102" s="9" t="str">
        <f>IF(B102="","",VLOOKUP(B102,'Student Roster'!A:C,2,FALSE))</f>
        <v/>
      </c>
      <c r="D102" s="9" t="str">
        <f>IF(B102="","",VLOOKUP(B102,'Student Roster'!A:C,3,FALSE))</f>
        <v/>
      </c>
      <c r="E102" s="9" t="str">
        <f>IF(B102="","",VLOOKUP(B102,'Student Roster'!A:D,4,FALSE))</f>
        <v/>
      </c>
      <c r="F102" s="7"/>
      <c r="G102" s="7"/>
      <c r="H102" s="7"/>
      <c r="I102" s="7"/>
      <c r="J102" s="7"/>
      <c r="K102" s="7"/>
      <c r="L102" s="11" t="str">
        <f t="shared" ca="1" si="15"/>
        <v/>
      </c>
      <c r="M102" s="11" t="str">
        <f t="shared" si="16"/>
        <v/>
      </c>
      <c r="N102" s="10" t="str">
        <f t="shared" si="17"/>
        <v/>
      </c>
      <c r="O102" s="7"/>
      <c r="P102" s="7"/>
      <c r="Q102" s="7"/>
      <c r="R102" s="7"/>
      <c r="S102" s="9" t="str">
        <f t="shared" ca="1" si="18"/>
        <v>OK</v>
      </c>
      <c r="T102" s="7"/>
      <c r="U102" s="7" t="str">
        <f t="shared" si="19"/>
        <v/>
      </c>
      <c r="V102" s="7"/>
      <c r="W102" t="str">
        <f ca="1">IF(AND(B102&lt;&gt;"",N102&lt;&gt;"",O102="",N102&gt;=TODAY(),N102&lt;=TODAY()+7),COUNTIFS(B$4:B102,"&lt;&gt;",N$4:N102,"&gt;="&amp;TODAY(),N$4:N102,"&lt;="&amp;TODAY()+7,O$4:O102,""),"")</f>
        <v/>
      </c>
    </row>
    <row r="103" spans="1:23" s="1" customFormat="1" ht="18" customHeight="1" x14ac:dyDescent="0.45">
      <c r="A103" s="5"/>
      <c r="B103" s="5"/>
      <c r="C103" s="9" t="str">
        <f>IF(B103="","",VLOOKUP(B103,'Student Roster'!A:C,2,FALSE))</f>
        <v/>
      </c>
      <c r="D103" s="9" t="str">
        <f>IF(B103="","",VLOOKUP(B103,'Student Roster'!A:C,3,FALSE))</f>
        <v/>
      </c>
      <c r="E103" s="9" t="str">
        <f>IF(B103="","",VLOOKUP(B103,'Student Roster'!A:D,4,FALSE))</f>
        <v/>
      </c>
      <c r="F103" s="5"/>
      <c r="G103" s="5"/>
      <c r="H103" s="5"/>
      <c r="I103" s="5"/>
      <c r="J103" s="5"/>
      <c r="K103" s="5"/>
      <c r="L103" s="11" t="str">
        <f t="shared" ca="1" si="15"/>
        <v/>
      </c>
      <c r="M103" s="11" t="str">
        <f t="shared" si="16"/>
        <v/>
      </c>
      <c r="N103" s="10" t="str">
        <f t="shared" si="17"/>
        <v/>
      </c>
      <c r="O103" s="5"/>
      <c r="P103" s="5"/>
      <c r="Q103" s="5"/>
      <c r="R103" s="5"/>
      <c r="S103" s="9" t="str">
        <f t="shared" ca="1" si="18"/>
        <v>OK</v>
      </c>
      <c r="T103" s="5"/>
      <c r="U103" s="5" t="str">
        <f t="shared" si="19"/>
        <v/>
      </c>
      <c r="V103" s="5"/>
      <c r="W103" t="str">
        <f ca="1">IF(AND(B103&lt;&gt;"",N103&lt;&gt;"",O103="",N103&gt;=TODAY(),N103&lt;=TODAY()+7),COUNTIFS(B$4:B103,"&lt;&gt;",N$4:N103,"&gt;="&amp;TODAY(),N$4:N103,"&lt;="&amp;TODAY()+7,O$4:O103,""),"")</f>
        <v/>
      </c>
    </row>
    <row r="104" spans="1:23" s="1" customFormat="1" ht="18" customHeight="1" x14ac:dyDescent="0.45">
      <c r="A104" s="7"/>
      <c r="B104" s="7"/>
      <c r="C104" s="9" t="str">
        <f>IF(B104="","",VLOOKUP(B104,'Student Roster'!A:C,2,FALSE))</f>
        <v/>
      </c>
      <c r="D104" s="9" t="str">
        <f>IF(B104="","",VLOOKUP(B104,'Student Roster'!A:C,3,FALSE))</f>
        <v/>
      </c>
      <c r="E104" s="9" t="str">
        <f>IF(B104="","",VLOOKUP(B104,'Student Roster'!A:D,4,FALSE))</f>
        <v/>
      </c>
      <c r="F104" s="7"/>
      <c r="G104" s="7"/>
      <c r="H104" s="7"/>
      <c r="I104" s="7"/>
      <c r="J104" s="7"/>
      <c r="K104" s="7"/>
      <c r="L104" s="11" t="str">
        <f t="shared" ca="1" si="15"/>
        <v/>
      </c>
      <c r="M104" s="11" t="str">
        <f t="shared" si="16"/>
        <v/>
      </c>
      <c r="N104" s="10" t="str">
        <f t="shared" si="17"/>
        <v/>
      </c>
      <c r="O104" s="7"/>
      <c r="P104" s="7"/>
      <c r="Q104" s="7"/>
      <c r="R104" s="7"/>
      <c r="S104" s="9" t="str">
        <f t="shared" ca="1" si="18"/>
        <v>OK</v>
      </c>
      <c r="T104" s="7"/>
      <c r="U104" s="7" t="str">
        <f t="shared" si="19"/>
        <v/>
      </c>
      <c r="V104" s="7"/>
      <c r="W104" t="str">
        <f ca="1">IF(AND(B104&lt;&gt;"",N104&lt;&gt;"",O104="",N104&gt;=TODAY(),N104&lt;=TODAY()+7),COUNTIFS(B$4:B104,"&lt;&gt;",N$4:N104,"&gt;="&amp;TODAY(),N$4:N104,"&lt;="&amp;TODAY()+7,O$4:O104,""),"")</f>
        <v/>
      </c>
    </row>
    <row r="105" spans="1:23" s="1" customFormat="1" ht="18" customHeight="1" x14ac:dyDescent="0.45">
      <c r="A105" s="5"/>
      <c r="B105" s="5"/>
      <c r="C105" s="9" t="str">
        <f>IF(B105="","",VLOOKUP(B105,'Student Roster'!A:C,2,FALSE))</f>
        <v/>
      </c>
      <c r="D105" s="9" t="str">
        <f>IF(B105="","",VLOOKUP(B105,'Student Roster'!A:C,3,FALSE))</f>
        <v/>
      </c>
      <c r="E105" s="9" t="str">
        <f>IF(B105="","",VLOOKUP(B105,'Student Roster'!A:D,4,FALSE))</f>
        <v/>
      </c>
      <c r="F105" s="5"/>
      <c r="G105" s="5"/>
      <c r="H105" s="5"/>
      <c r="I105" s="5"/>
      <c r="J105" s="5"/>
      <c r="K105" s="5"/>
      <c r="L105" s="11" t="str">
        <f t="shared" ca="1" si="15"/>
        <v/>
      </c>
      <c r="M105" s="11" t="str">
        <f t="shared" si="16"/>
        <v/>
      </c>
      <c r="N105" s="10" t="str">
        <f t="shared" si="17"/>
        <v/>
      </c>
      <c r="O105" s="5"/>
      <c r="P105" s="5"/>
      <c r="Q105" s="5"/>
      <c r="R105" s="5"/>
      <c r="S105" s="9" t="str">
        <f t="shared" ca="1" si="18"/>
        <v>OK</v>
      </c>
      <c r="T105" s="5"/>
      <c r="U105" s="5" t="str">
        <f t="shared" si="19"/>
        <v/>
      </c>
      <c r="V105" s="5"/>
      <c r="W105" t="str">
        <f ca="1">IF(AND(B105&lt;&gt;"",N105&lt;&gt;"",O105="",N105&gt;=TODAY(),N105&lt;=TODAY()+7),COUNTIFS(B$4:B105,"&lt;&gt;",N$4:N105,"&gt;="&amp;TODAY(),N$4:N105,"&lt;="&amp;TODAY()+7,O$4:O105,""),"")</f>
        <v/>
      </c>
    </row>
    <row r="106" spans="1:23" s="1" customFormat="1" ht="18" customHeight="1" x14ac:dyDescent="0.45">
      <c r="A106" s="7"/>
      <c r="B106" s="7"/>
      <c r="C106" s="9" t="str">
        <f>IF(B106="","",VLOOKUP(B106,'Student Roster'!A:C,2,FALSE))</f>
        <v/>
      </c>
      <c r="D106" s="9" t="str">
        <f>IF(B106="","",VLOOKUP(B106,'Student Roster'!A:C,3,FALSE))</f>
        <v/>
      </c>
      <c r="E106" s="9" t="str">
        <f>IF(B106="","",VLOOKUP(B106,'Student Roster'!A:D,4,FALSE))</f>
        <v/>
      </c>
      <c r="F106" s="7"/>
      <c r="G106" s="7"/>
      <c r="H106" s="7"/>
      <c r="I106" s="7"/>
      <c r="J106" s="7"/>
      <c r="K106" s="7"/>
      <c r="L106" s="11" t="str">
        <f t="shared" ca="1" si="15"/>
        <v/>
      </c>
      <c r="M106" s="11" t="str">
        <f t="shared" si="16"/>
        <v/>
      </c>
      <c r="N106" s="10" t="str">
        <f t="shared" si="17"/>
        <v/>
      </c>
      <c r="O106" s="7"/>
      <c r="P106" s="7"/>
      <c r="Q106" s="7"/>
      <c r="R106" s="7"/>
      <c r="S106" s="9" t="str">
        <f t="shared" ca="1" si="18"/>
        <v>OK</v>
      </c>
      <c r="T106" s="7"/>
      <c r="U106" s="7" t="str">
        <f t="shared" si="19"/>
        <v/>
      </c>
      <c r="V106" s="7"/>
      <c r="W106" t="str">
        <f ca="1">IF(AND(B106&lt;&gt;"",N106&lt;&gt;"",O106="",N106&gt;=TODAY(),N106&lt;=TODAY()+7),COUNTIFS(B$4:B106,"&lt;&gt;",N$4:N106,"&gt;="&amp;TODAY(),N$4:N106,"&lt;="&amp;TODAY()+7,O$4:O106,""),"")</f>
        <v/>
      </c>
    </row>
    <row r="107" spans="1:23" s="1" customFormat="1" ht="18" customHeight="1" x14ac:dyDescent="0.45">
      <c r="A107" s="5"/>
      <c r="B107" s="5"/>
      <c r="C107" s="9" t="str">
        <f>IF(B107="","",VLOOKUP(B107,'Student Roster'!A:C,2,FALSE))</f>
        <v/>
      </c>
      <c r="D107" s="9" t="str">
        <f>IF(B107="","",VLOOKUP(B107,'Student Roster'!A:C,3,FALSE))</f>
        <v/>
      </c>
      <c r="E107" s="9" t="str">
        <f>IF(B107="","",VLOOKUP(B107,'Student Roster'!A:D,4,FALSE))</f>
        <v/>
      </c>
      <c r="F107" s="5"/>
      <c r="G107" s="5"/>
      <c r="H107" s="5"/>
      <c r="I107" s="5"/>
      <c r="J107" s="5"/>
      <c r="K107" s="5"/>
      <c r="L107" s="11" t="str">
        <f t="shared" ca="1" si="15"/>
        <v/>
      </c>
      <c r="M107" s="11" t="str">
        <f t="shared" si="16"/>
        <v/>
      </c>
      <c r="N107" s="10" t="str">
        <f t="shared" si="17"/>
        <v/>
      </c>
      <c r="O107" s="5"/>
      <c r="P107" s="5"/>
      <c r="Q107" s="5"/>
      <c r="R107" s="5"/>
      <c r="S107" s="9" t="str">
        <f t="shared" ca="1" si="18"/>
        <v>OK</v>
      </c>
      <c r="T107" s="5"/>
      <c r="U107" s="5" t="str">
        <f t="shared" si="19"/>
        <v/>
      </c>
      <c r="V107" s="5"/>
      <c r="W107" t="str">
        <f ca="1">IF(AND(B107&lt;&gt;"",N107&lt;&gt;"",O107="",N107&gt;=TODAY(),N107&lt;=TODAY()+7),COUNTIFS(B$4:B107,"&lt;&gt;",N$4:N107,"&gt;="&amp;TODAY(),N$4:N107,"&lt;="&amp;TODAY()+7,O$4:O107,""),"")</f>
        <v/>
      </c>
    </row>
    <row r="108" spans="1:23" s="1" customFormat="1" ht="18" customHeight="1" x14ac:dyDescent="0.45">
      <c r="A108" s="7"/>
      <c r="B108" s="7"/>
      <c r="C108" s="9" t="str">
        <f>IF(B108="","",VLOOKUP(B108,'Student Roster'!A:C,2,FALSE))</f>
        <v/>
      </c>
      <c r="D108" s="9" t="str">
        <f>IF(B108="","",VLOOKUP(B108,'Student Roster'!A:C,3,FALSE))</f>
        <v/>
      </c>
      <c r="E108" s="9" t="str">
        <f>IF(B108="","",VLOOKUP(B108,'Student Roster'!A:D,4,FALSE))</f>
        <v/>
      </c>
      <c r="F108" s="7"/>
      <c r="G108" s="7"/>
      <c r="H108" s="7"/>
      <c r="I108" s="7"/>
      <c r="J108" s="7"/>
      <c r="K108" s="7"/>
      <c r="L108" s="11" t="str">
        <f t="shared" ca="1" si="15"/>
        <v/>
      </c>
      <c r="M108" s="11" t="str">
        <f t="shared" si="16"/>
        <v/>
      </c>
      <c r="N108" s="10" t="str">
        <f t="shared" si="17"/>
        <v/>
      </c>
      <c r="O108" s="7"/>
      <c r="P108" s="7"/>
      <c r="Q108" s="7"/>
      <c r="R108" s="7"/>
      <c r="S108" s="9" t="str">
        <f t="shared" ca="1" si="18"/>
        <v>OK</v>
      </c>
      <c r="T108" s="7"/>
      <c r="U108" s="7" t="str">
        <f t="shared" si="19"/>
        <v/>
      </c>
      <c r="V108" s="7"/>
      <c r="W108" t="str">
        <f ca="1">IF(AND(B108&lt;&gt;"",N108&lt;&gt;"",O108="",N108&gt;=TODAY(),N108&lt;=TODAY()+7),COUNTIFS(B$4:B108,"&lt;&gt;",N$4:N108,"&gt;="&amp;TODAY(),N$4:N108,"&lt;="&amp;TODAY()+7,O$4:O108,""),"")</f>
        <v/>
      </c>
    </row>
    <row r="109" spans="1:23" s="1" customFormat="1" ht="18" customHeight="1" x14ac:dyDescent="0.45">
      <c r="A109" s="5"/>
      <c r="B109" s="5"/>
      <c r="C109" s="9" t="str">
        <f>IF(B109="","",VLOOKUP(B109,'Student Roster'!A:C,2,FALSE))</f>
        <v/>
      </c>
      <c r="D109" s="9" t="str">
        <f>IF(B109="","",VLOOKUP(B109,'Student Roster'!A:C,3,FALSE))</f>
        <v/>
      </c>
      <c r="E109" s="9" t="str">
        <f>IF(B109="","",VLOOKUP(B109,'Student Roster'!A:D,4,FALSE))</f>
        <v/>
      </c>
      <c r="F109" s="5"/>
      <c r="G109" s="5"/>
      <c r="H109" s="5"/>
      <c r="I109" s="5"/>
      <c r="J109" s="5"/>
      <c r="K109" s="5"/>
      <c r="L109" s="11" t="str">
        <f t="shared" ca="1" si="15"/>
        <v/>
      </c>
      <c r="M109" s="11" t="str">
        <f t="shared" si="16"/>
        <v/>
      </c>
      <c r="N109" s="10" t="str">
        <f t="shared" si="17"/>
        <v/>
      </c>
      <c r="O109" s="5"/>
      <c r="P109" s="5"/>
      <c r="Q109" s="5"/>
      <c r="R109" s="5"/>
      <c r="S109" s="9" t="str">
        <f t="shared" ca="1" si="18"/>
        <v>OK</v>
      </c>
      <c r="T109" s="5"/>
      <c r="U109" s="5" t="str">
        <f t="shared" si="19"/>
        <v/>
      </c>
      <c r="V109" s="5"/>
      <c r="W109" t="str">
        <f ca="1">IF(AND(B109&lt;&gt;"",N109&lt;&gt;"",O109="",N109&gt;=TODAY(),N109&lt;=TODAY()+7),COUNTIFS(B$4:B109,"&lt;&gt;",N$4:N109,"&gt;="&amp;TODAY(),N$4:N109,"&lt;="&amp;TODAY()+7,O$4:O109,""),"")</f>
        <v/>
      </c>
    </row>
    <row r="110" spans="1:23" s="1" customFormat="1" ht="18" customHeight="1" x14ac:dyDescent="0.45">
      <c r="A110" s="7"/>
      <c r="B110" s="7"/>
      <c r="C110" s="9" t="str">
        <f>IF(B110="","",VLOOKUP(B110,'Student Roster'!A:C,2,FALSE))</f>
        <v/>
      </c>
      <c r="D110" s="9" t="str">
        <f>IF(B110="","",VLOOKUP(B110,'Student Roster'!A:C,3,FALSE))</f>
        <v/>
      </c>
      <c r="E110" s="9" t="str">
        <f>IF(B110="","",VLOOKUP(B110,'Student Roster'!A:D,4,FALSE))</f>
        <v/>
      </c>
      <c r="F110" s="7"/>
      <c r="G110" s="7"/>
      <c r="H110" s="7"/>
      <c r="I110" s="7"/>
      <c r="J110" s="7"/>
      <c r="K110" s="7"/>
      <c r="L110" s="11" t="str">
        <f t="shared" ca="1" si="15"/>
        <v/>
      </c>
      <c r="M110" s="11" t="str">
        <f t="shared" si="16"/>
        <v/>
      </c>
      <c r="N110" s="10" t="str">
        <f t="shared" si="17"/>
        <v/>
      </c>
      <c r="O110" s="7"/>
      <c r="P110" s="7"/>
      <c r="Q110" s="7"/>
      <c r="R110" s="7"/>
      <c r="S110" s="9" t="str">
        <f t="shared" ca="1" si="18"/>
        <v>OK</v>
      </c>
      <c r="T110" s="7"/>
      <c r="U110" s="7" t="str">
        <f t="shared" si="19"/>
        <v/>
      </c>
      <c r="V110" s="7"/>
      <c r="W110" t="str">
        <f ca="1">IF(AND(B110&lt;&gt;"",N110&lt;&gt;"",O110="",N110&gt;=TODAY(),N110&lt;=TODAY()+7),COUNTIFS(B$4:B110,"&lt;&gt;",N$4:N110,"&gt;="&amp;TODAY(),N$4:N110,"&lt;="&amp;TODAY()+7,O$4:O110,""),"")</f>
        <v/>
      </c>
    </row>
    <row r="111" spans="1:23" s="1" customFormat="1" ht="18" customHeight="1" x14ac:dyDescent="0.45">
      <c r="A111" s="5"/>
      <c r="B111" s="5"/>
      <c r="C111" s="9" t="str">
        <f>IF(B111="","",VLOOKUP(B111,'Student Roster'!A:C,2,FALSE))</f>
        <v/>
      </c>
      <c r="D111" s="9" t="str">
        <f>IF(B111="","",VLOOKUP(B111,'Student Roster'!A:C,3,FALSE))</f>
        <v/>
      </c>
      <c r="E111" s="9" t="str">
        <f>IF(B111="","",VLOOKUP(B111,'Student Roster'!A:D,4,FALSE))</f>
        <v/>
      </c>
      <c r="F111" s="5"/>
      <c r="G111" s="5"/>
      <c r="H111" s="5"/>
      <c r="I111" s="5"/>
      <c r="J111" s="5"/>
      <c r="K111" s="5"/>
      <c r="L111" s="11" t="str">
        <f t="shared" ca="1" si="15"/>
        <v/>
      </c>
      <c r="M111" s="11" t="str">
        <f t="shared" si="16"/>
        <v/>
      </c>
      <c r="N111" s="10" t="str">
        <f t="shared" si="17"/>
        <v/>
      </c>
      <c r="O111" s="5"/>
      <c r="P111" s="5"/>
      <c r="Q111" s="5"/>
      <c r="R111" s="5"/>
      <c r="S111" s="9" t="str">
        <f t="shared" ca="1" si="18"/>
        <v>OK</v>
      </c>
      <c r="T111" s="5"/>
      <c r="U111" s="5" t="str">
        <f t="shared" si="19"/>
        <v/>
      </c>
      <c r="V111" s="5"/>
      <c r="W111" t="str">
        <f ca="1">IF(AND(B111&lt;&gt;"",N111&lt;&gt;"",O111="",N111&gt;=TODAY(),N111&lt;=TODAY()+7),COUNTIFS(B$4:B111,"&lt;&gt;",N$4:N111,"&gt;="&amp;TODAY(),N$4:N111,"&lt;="&amp;TODAY()+7,O$4:O111,""),"")</f>
        <v/>
      </c>
    </row>
    <row r="112" spans="1:23" s="1" customFormat="1" ht="18" customHeight="1" x14ac:dyDescent="0.45">
      <c r="A112" s="7"/>
      <c r="B112" s="7"/>
      <c r="C112" s="9" t="str">
        <f>IF(B112="","",VLOOKUP(B112,'Student Roster'!A:C,2,FALSE))</f>
        <v/>
      </c>
      <c r="D112" s="9" t="str">
        <f>IF(B112="","",VLOOKUP(B112,'Student Roster'!A:C,3,FALSE))</f>
        <v/>
      </c>
      <c r="E112" s="9" t="str">
        <f>IF(B112="","",VLOOKUP(B112,'Student Roster'!A:D,4,FALSE))</f>
        <v/>
      </c>
      <c r="F112" s="7"/>
      <c r="G112" s="7"/>
      <c r="H112" s="7"/>
      <c r="I112" s="7"/>
      <c r="J112" s="7"/>
      <c r="K112" s="7"/>
      <c r="L112" s="11" t="str">
        <f t="shared" ca="1" si="15"/>
        <v/>
      </c>
      <c r="M112" s="11" t="str">
        <f t="shared" si="16"/>
        <v/>
      </c>
      <c r="N112" s="10" t="str">
        <f t="shared" si="17"/>
        <v/>
      </c>
      <c r="O112" s="7"/>
      <c r="P112" s="7"/>
      <c r="Q112" s="7"/>
      <c r="R112" s="7"/>
      <c r="S112" s="9" t="str">
        <f t="shared" ca="1" si="18"/>
        <v>OK</v>
      </c>
      <c r="T112" s="7"/>
      <c r="U112" s="7" t="str">
        <f t="shared" si="19"/>
        <v/>
      </c>
      <c r="V112" s="7"/>
      <c r="W112" t="str">
        <f ca="1">IF(AND(B112&lt;&gt;"",N112&lt;&gt;"",O112="",N112&gt;=TODAY(),N112&lt;=TODAY()+7),COUNTIFS(B$4:B112,"&lt;&gt;",N$4:N112,"&gt;="&amp;TODAY(),N$4:N112,"&lt;="&amp;TODAY()+7,O$4:O112,""),"")</f>
        <v/>
      </c>
    </row>
    <row r="113" spans="1:23" s="1" customFormat="1" ht="18" customHeight="1" x14ac:dyDescent="0.45">
      <c r="A113" s="5"/>
      <c r="B113" s="5"/>
      <c r="C113" s="9" t="str">
        <f>IF(B113="","",VLOOKUP(B113,'Student Roster'!A:C,2,FALSE))</f>
        <v/>
      </c>
      <c r="D113" s="9" t="str">
        <f>IF(B113="","",VLOOKUP(B113,'Student Roster'!A:C,3,FALSE))</f>
        <v/>
      </c>
      <c r="E113" s="9" t="str">
        <f>IF(B113="","",VLOOKUP(B113,'Student Roster'!A:D,4,FALSE))</f>
        <v/>
      </c>
      <c r="F113" s="5"/>
      <c r="G113" s="5"/>
      <c r="H113" s="5"/>
      <c r="I113" s="5"/>
      <c r="J113" s="5"/>
      <c r="K113" s="5"/>
      <c r="L113" s="11" t="str">
        <f t="shared" ca="1" si="15"/>
        <v/>
      </c>
      <c r="M113" s="11" t="str">
        <f t="shared" si="16"/>
        <v/>
      </c>
      <c r="N113" s="10" t="str">
        <f t="shared" si="17"/>
        <v/>
      </c>
      <c r="O113" s="5"/>
      <c r="P113" s="5"/>
      <c r="Q113" s="5"/>
      <c r="R113" s="5"/>
      <c r="S113" s="9" t="str">
        <f t="shared" ca="1" si="18"/>
        <v>OK</v>
      </c>
      <c r="T113" s="5"/>
      <c r="U113" s="5" t="str">
        <f t="shared" si="19"/>
        <v/>
      </c>
      <c r="V113" s="5"/>
      <c r="W113" t="str">
        <f ca="1">IF(AND(B113&lt;&gt;"",N113&lt;&gt;"",O113="",N113&gt;=TODAY(),N113&lt;=TODAY()+7),COUNTIFS(B$4:B113,"&lt;&gt;",N$4:N113,"&gt;="&amp;TODAY(),N$4:N113,"&lt;="&amp;TODAY()+7,O$4:O113,""),"")</f>
        <v/>
      </c>
    </row>
    <row r="114" spans="1:23" s="1" customFormat="1" ht="18" customHeight="1" x14ac:dyDescent="0.45">
      <c r="A114" s="7"/>
      <c r="B114" s="7"/>
      <c r="C114" s="9" t="str">
        <f>IF(B114="","",VLOOKUP(B114,'Student Roster'!A:C,2,FALSE))</f>
        <v/>
      </c>
      <c r="D114" s="9" t="str">
        <f>IF(B114="","",VLOOKUP(B114,'Student Roster'!A:C,3,FALSE))</f>
        <v/>
      </c>
      <c r="E114" s="9" t="str">
        <f>IF(B114="","",VLOOKUP(B114,'Student Roster'!A:D,4,FALSE))</f>
        <v/>
      </c>
      <c r="F114" s="7"/>
      <c r="G114" s="7"/>
      <c r="H114" s="7"/>
      <c r="I114" s="7"/>
      <c r="J114" s="7"/>
      <c r="K114" s="7"/>
      <c r="L114" s="11" t="str">
        <f t="shared" ca="1" si="15"/>
        <v/>
      </c>
      <c r="M114" s="11" t="str">
        <f t="shared" si="16"/>
        <v/>
      </c>
      <c r="N114" s="10" t="str">
        <f t="shared" si="17"/>
        <v/>
      </c>
      <c r="O114" s="7"/>
      <c r="P114" s="7"/>
      <c r="Q114" s="7"/>
      <c r="R114" s="7"/>
      <c r="S114" s="9" t="str">
        <f t="shared" ca="1" si="18"/>
        <v>OK</v>
      </c>
      <c r="T114" s="7"/>
      <c r="U114" s="7" t="str">
        <f t="shared" si="19"/>
        <v/>
      </c>
      <c r="V114" s="7"/>
      <c r="W114" t="str">
        <f ca="1">IF(AND(B114&lt;&gt;"",N114&lt;&gt;"",O114="",N114&gt;=TODAY(),N114&lt;=TODAY()+7),COUNTIFS(B$4:B114,"&lt;&gt;",N$4:N114,"&gt;="&amp;TODAY(),N$4:N114,"&lt;="&amp;TODAY()+7,O$4:O114,""),"")</f>
        <v/>
      </c>
    </row>
    <row r="115" spans="1:23" s="1" customFormat="1" ht="18" customHeight="1" x14ac:dyDescent="0.45">
      <c r="A115" s="5"/>
      <c r="B115" s="5"/>
      <c r="C115" s="9" t="str">
        <f>IF(B115="","",VLOOKUP(B115,'Student Roster'!A:C,2,FALSE))</f>
        <v/>
      </c>
      <c r="D115" s="9" t="str">
        <f>IF(B115="","",VLOOKUP(B115,'Student Roster'!A:C,3,FALSE))</f>
        <v/>
      </c>
      <c r="E115" s="9" t="str">
        <f>IF(B115="","",VLOOKUP(B115,'Student Roster'!A:D,4,FALSE))</f>
        <v/>
      </c>
      <c r="F115" s="5"/>
      <c r="G115" s="5"/>
      <c r="H115" s="5"/>
      <c r="I115" s="5"/>
      <c r="J115" s="5"/>
      <c r="K115" s="5"/>
      <c r="L115" s="11" t="str">
        <f t="shared" ca="1" si="15"/>
        <v/>
      </c>
      <c r="M115" s="11" t="str">
        <f t="shared" si="16"/>
        <v/>
      </c>
      <c r="N115" s="10" t="str">
        <f t="shared" si="17"/>
        <v/>
      </c>
      <c r="O115" s="5"/>
      <c r="P115" s="5"/>
      <c r="Q115" s="5"/>
      <c r="R115" s="5"/>
      <c r="S115" s="9" t="str">
        <f t="shared" ca="1" si="18"/>
        <v>OK</v>
      </c>
      <c r="T115" s="5"/>
      <c r="U115" s="5" t="str">
        <f t="shared" si="19"/>
        <v/>
      </c>
      <c r="V115" s="5"/>
      <c r="W115" t="str">
        <f ca="1">IF(AND(B115&lt;&gt;"",N115&lt;&gt;"",O115="",N115&gt;=TODAY(),N115&lt;=TODAY()+7),COUNTIFS(B$4:B115,"&lt;&gt;",N$4:N115,"&gt;="&amp;TODAY(),N$4:N115,"&lt;="&amp;TODAY()+7,O$4:O115,""),"")</f>
        <v/>
      </c>
    </row>
    <row r="116" spans="1:23" s="1" customFormat="1" ht="18" customHeight="1" x14ac:dyDescent="0.45">
      <c r="A116" s="7"/>
      <c r="B116" s="7"/>
      <c r="C116" s="9" t="str">
        <f>IF(B116="","",VLOOKUP(B116,'Student Roster'!A:C,2,FALSE))</f>
        <v/>
      </c>
      <c r="D116" s="9" t="str">
        <f>IF(B116="","",VLOOKUP(B116,'Student Roster'!A:C,3,FALSE))</f>
        <v/>
      </c>
      <c r="E116" s="9" t="str">
        <f>IF(B116="","",VLOOKUP(B116,'Student Roster'!A:D,4,FALSE))</f>
        <v/>
      </c>
      <c r="F116" s="7"/>
      <c r="G116" s="7"/>
      <c r="H116" s="7"/>
      <c r="I116" s="7"/>
      <c r="J116" s="7"/>
      <c r="K116" s="7"/>
      <c r="L116" s="11" t="str">
        <f t="shared" ca="1" si="15"/>
        <v/>
      </c>
      <c r="M116" s="11" t="str">
        <f t="shared" si="16"/>
        <v/>
      </c>
      <c r="N116" s="10" t="str">
        <f t="shared" si="17"/>
        <v/>
      </c>
      <c r="O116" s="7"/>
      <c r="P116" s="7"/>
      <c r="Q116" s="7"/>
      <c r="R116" s="7"/>
      <c r="S116" s="9" t="str">
        <f t="shared" ca="1" si="18"/>
        <v>OK</v>
      </c>
      <c r="T116" s="7"/>
      <c r="U116" s="7" t="str">
        <f t="shared" si="19"/>
        <v/>
      </c>
      <c r="V116" s="7"/>
      <c r="W116" t="str">
        <f ca="1">IF(AND(B116&lt;&gt;"",N116&lt;&gt;"",O116="",N116&gt;=TODAY(),N116&lt;=TODAY()+7),COUNTIFS(B$4:B116,"&lt;&gt;",N$4:N116,"&gt;="&amp;TODAY(),N$4:N116,"&lt;="&amp;TODAY()+7,O$4:O116,""),"")</f>
        <v/>
      </c>
    </row>
    <row r="117" spans="1:23" s="1" customFormat="1" ht="18" customHeight="1" x14ac:dyDescent="0.45">
      <c r="A117" s="5"/>
      <c r="B117" s="5"/>
      <c r="C117" s="9" t="str">
        <f>IF(B117="","",VLOOKUP(B117,'Student Roster'!A:C,2,FALSE))</f>
        <v/>
      </c>
      <c r="D117" s="9" t="str">
        <f>IF(B117="","",VLOOKUP(B117,'Student Roster'!A:C,3,FALSE))</f>
        <v/>
      </c>
      <c r="E117" s="9" t="str">
        <f>IF(B117="","",VLOOKUP(B117,'Student Roster'!A:D,4,FALSE))</f>
        <v/>
      </c>
      <c r="F117" s="5"/>
      <c r="G117" s="5"/>
      <c r="H117" s="5"/>
      <c r="I117" s="5"/>
      <c r="J117" s="5"/>
      <c r="K117" s="5"/>
      <c r="L117" s="11" t="str">
        <f t="shared" ca="1" si="15"/>
        <v/>
      </c>
      <c r="M117" s="11" t="str">
        <f t="shared" si="16"/>
        <v/>
      </c>
      <c r="N117" s="10" t="str">
        <f t="shared" si="17"/>
        <v/>
      </c>
      <c r="O117" s="5"/>
      <c r="P117" s="5"/>
      <c r="Q117" s="5"/>
      <c r="R117" s="5"/>
      <c r="S117" s="9" t="str">
        <f t="shared" ca="1" si="18"/>
        <v>OK</v>
      </c>
      <c r="T117" s="5"/>
      <c r="U117" s="5" t="str">
        <f t="shared" si="19"/>
        <v/>
      </c>
      <c r="V117" s="5"/>
      <c r="W117" t="str">
        <f ca="1">IF(AND(B117&lt;&gt;"",N117&lt;&gt;"",O117="",N117&gt;=TODAY(),N117&lt;=TODAY()+7),COUNTIFS(B$4:B117,"&lt;&gt;",N$4:N117,"&gt;="&amp;TODAY(),N$4:N117,"&lt;="&amp;TODAY()+7,O$4:O117,""),"")</f>
        <v/>
      </c>
    </row>
    <row r="118" spans="1:23" s="1" customFormat="1" ht="18" customHeight="1" x14ac:dyDescent="0.45">
      <c r="A118" s="7"/>
      <c r="B118" s="7"/>
      <c r="C118" s="9" t="str">
        <f>IF(B118="","",VLOOKUP(B118,'Student Roster'!A:C,2,FALSE))</f>
        <v/>
      </c>
      <c r="D118" s="9" t="str">
        <f>IF(B118="","",VLOOKUP(B118,'Student Roster'!A:C,3,FALSE))</f>
        <v/>
      </c>
      <c r="E118" s="9" t="str">
        <f>IF(B118="","",VLOOKUP(B118,'Student Roster'!A:D,4,FALSE))</f>
        <v/>
      </c>
      <c r="F118" s="7"/>
      <c r="G118" s="7"/>
      <c r="H118" s="7"/>
      <c r="I118" s="7"/>
      <c r="J118" s="7"/>
      <c r="K118" s="7"/>
      <c r="L118" s="11" t="str">
        <f t="shared" ca="1" si="15"/>
        <v/>
      </c>
      <c r="M118" s="11" t="str">
        <f t="shared" si="16"/>
        <v/>
      </c>
      <c r="N118" s="10" t="str">
        <f t="shared" si="17"/>
        <v/>
      </c>
      <c r="O118" s="7"/>
      <c r="P118" s="7"/>
      <c r="Q118" s="7"/>
      <c r="R118" s="7"/>
      <c r="S118" s="9" t="str">
        <f t="shared" ca="1" si="18"/>
        <v>OK</v>
      </c>
      <c r="T118" s="7"/>
      <c r="U118" s="7" t="str">
        <f t="shared" si="19"/>
        <v/>
      </c>
      <c r="V118" s="7"/>
      <c r="W118" t="str">
        <f ca="1">IF(AND(B118&lt;&gt;"",N118&lt;&gt;"",O118="",N118&gt;=TODAY(),N118&lt;=TODAY()+7),COUNTIFS(B$4:B118,"&lt;&gt;",N$4:N118,"&gt;="&amp;TODAY(),N$4:N118,"&lt;="&amp;TODAY()+7,O$4:O118,""),"")</f>
        <v/>
      </c>
    </row>
    <row r="119" spans="1:23" s="1" customFormat="1" ht="18" customHeight="1" x14ac:dyDescent="0.45">
      <c r="A119" s="5"/>
      <c r="B119" s="5"/>
      <c r="C119" s="9" t="str">
        <f>IF(B119="","",VLOOKUP(B119,'Student Roster'!A:C,2,FALSE))</f>
        <v/>
      </c>
      <c r="D119" s="9" t="str">
        <f>IF(B119="","",VLOOKUP(B119,'Student Roster'!A:C,3,FALSE))</f>
        <v/>
      </c>
      <c r="E119" s="9" t="str">
        <f>IF(B119="","",VLOOKUP(B119,'Student Roster'!A:D,4,FALSE))</f>
        <v/>
      </c>
      <c r="F119" s="5"/>
      <c r="G119" s="5"/>
      <c r="H119" s="5"/>
      <c r="I119" s="5"/>
      <c r="J119" s="5"/>
      <c r="K119" s="5"/>
      <c r="L119" s="11" t="str">
        <f t="shared" ca="1" si="15"/>
        <v/>
      </c>
      <c r="M119" s="11" t="str">
        <f t="shared" si="16"/>
        <v/>
      </c>
      <c r="N119" s="10" t="str">
        <f t="shared" si="17"/>
        <v/>
      </c>
      <c r="O119" s="5"/>
      <c r="P119" s="5"/>
      <c r="Q119" s="5"/>
      <c r="R119" s="5"/>
      <c r="S119" s="9" t="str">
        <f t="shared" ca="1" si="18"/>
        <v>OK</v>
      </c>
      <c r="T119" s="5"/>
      <c r="U119" s="5" t="str">
        <f t="shared" si="19"/>
        <v/>
      </c>
      <c r="V119" s="5"/>
      <c r="W119" t="str">
        <f ca="1">IF(AND(B119&lt;&gt;"",N119&lt;&gt;"",O119="",N119&gt;=TODAY(),N119&lt;=TODAY()+7),COUNTIFS(B$4:B119,"&lt;&gt;",N$4:N119,"&gt;="&amp;TODAY(),N$4:N119,"&lt;="&amp;TODAY()+7,O$4:O119,""),"")</f>
        <v/>
      </c>
    </row>
    <row r="120" spans="1:23" s="1" customFormat="1" ht="18" customHeight="1" x14ac:dyDescent="0.45">
      <c r="A120" s="7"/>
      <c r="B120" s="7"/>
      <c r="C120" s="9" t="str">
        <f>IF(B120="","",VLOOKUP(B120,'Student Roster'!A:C,2,FALSE))</f>
        <v/>
      </c>
      <c r="D120" s="9" t="str">
        <f>IF(B120="","",VLOOKUP(B120,'Student Roster'!A:C,3,FALSE))</f>
        <v/>
      </c>
      <c r="E120" s="9" t="str">
        <f>IF(B120="","",VLOOKUP(B120,'Student Roster'!A:D,4,FALSE))</f>
        <v/>
      </c>
      <c r="F120" s="7"/>
      <c r="G120" s="7"/>
      <c r="H120" s="7"/>
      <c r="I120" s="7"/>
      <c r="J120" s="7"/>
      <c r="K120" s="7"/>
      <c r="L120" s="11" t="str">
        <f t="shared" ca="1" si="15"/>
        <v/>
      </c>
      <c r="M120" s="11" t="str">
        <f t="shared" si="16"/>
        <v/>
      </c>
      <c r="N120" s="10" t="str">
        <f t="shared" si="17"/>
        <v/>
      </c>
      <c r="O120" s="7"/>
      <c r="P120" s="7"/>
      <c r="Q120" s="7"/>
      <c r="R120" s="7"/>
      <c r="S120" s="9" t="str">
        <f t="shared" ca="1" si="18"/>
        <v>OK</v>
      </c>
      <c r="T120" s="7"/>
      <c r="U120" s="7" t="str">
        <f t="shared" si="19"/>
        <v/>
      </c>
      <c r="V120" s="7"/>
      <c r="W120" t="str">
        <f ca="1">IF(AND(B120&lt;&gt;"",N120&lt;&gt;"",O120="",N120&gt;=TODAY(),N120&lt;=TODAY()+7),COUNTIFS(B$4:B120,"&lt;&gt;",N$4:N120,"&gt;="&amp;TODAY(),N$4:N120,"&lt;="&amp;TODAY()+7,O$4:O120,""),"")</f>
        <v/>
      </c>
    </row>
    <row r="121" spans="1:23" s="1" customFormat="1" ht="18" customHeight="1" x14ac:dyDescent="0.45">
      <c r="A121" s="5"/>
      <c r="B121" s="5"/>
      <c r="C121" s="9" t="str">
        <f>IF(B121="","",VLOOKUP(B121,'Student Roster'!A:C,2,FALSE))</f>
        <v/>
      </c>
      <c r="D121" s="9" t="str">
        <f>IF(B121="","",VLOOKUP(B121,'Student Roster'!A:C,3,FALSE))</f>
        <v/>
      </c>
      <c r="E121" s="9" t="str">
        <f>IF(B121="","",VLOOKUP(B121,'Student Roster'!A:D,4,FALSE))</f>
        <v/>
      </c>
      <c r="F121" s="5"/>
      <c r="G121" s="5"/>
      <c r="H121" s="5"/>
      <c r="I121" s="5"/>
      <c r="J121" s="5"/>
      <c r="K121" s="5"/>
      <c r="L121" s="11" t="str">
        <f t="shared" ca="1" si="15"/>
        <v/>
      </c>
      <c r="M121" s="11" t="str">
        <f t="shared" si="16"/>
        <v/>
      </c>
      <c r="N121" s="10" t="str">
        <f t="shared" si="17"/>
        <v/>
      </c>
      <c r="O121" s="5"/>
      <c r="P121" s="5"/>
      <c r="Q121" s="5"/>
      <c r="R121" s="5"/>
      <c r="S121" s="9" t="str">
        <f t="shared" ca="1" si="18"/>
        <v>OK</v>
      </c>
      <c r="T121" s="5"/>
      <c r="U121" s="5" t="str">
        <f t="shared" si="19"/>
        <v/>
      </c>
      <c r="V121" s="5"/>
      <c r="W121" t="str">
        <f ca="1">IF(AND(B121&lt;&gt;"",N121&lt;&gt;"",O121="",N121&gt;=TODAY(),N121&lt;=TODAY()+7),COUNTIFS(B$4:B121,"&lt;&gt;",N$4:N121,"&gt;="&amp;TODAY(),N$4:N121,"&lt;="&amp;TODAY()+7,O$4:O121,""),"")</f>
        <v/>
      </c>
    </row>
    <row r="122" spans="1:23" s="1" customFormat="1" ht="18" customHeight="1" x14ac:dyDescent="0.45">
      <c r="A122" s="7"/>
      <c r="B122" s="7"/>
      <c r="C122" s="9" t="str">
        <f>IF(B122="","",VLOOKUP(B122,'Student Roster'!A:C,2,FALSE))</f>
        <v/>
      </c>
      <c r="D122" s="9" t="str">
        <f>IF(B122="","",VLOOKUP(B122,'Student Roster'!A:C,3,FALSE))</f>
        <v/>
      </c>
      <c r="E122" s="9" t="str">
        <f>IF(B122="","",VLOOKUP(B122,'Student Roster'!A:D,4,FALSE))</f>
        <v/>
      </c>
      <c r="F122" s="7"/>
      <c r="G122" s="7"/>
      <c r="H122" s="7"/>
      <c r="I122" s="7"/>
      <c r="J122" s="7"/>
      <c r="K122" s="7"/>
      <c r="L122" s="11" t="str">
        <f t="shared" ca="1" si="15"/>
        <v/>
      </c>
      <c r="M122" s="11" t="str">
        <f t="shared" si="16"/>
        <v/>
      </c>
      <c r="N122" s="10" t="str">
        <f t="shared" si="17"/>
        <v/>
      </c>
      <c r="O122" s="7"/>
      <c r="P122" s="7"/>
      <c r="Q122" s="7"/>
      <c r="R122" s="7"/>
      <c r="S122" s="9" t="str">
        <f t="shared" ca="1" si="18"/>
        <v>OK</v>
      </c>
      <c r="T122" s="7"/>
      <c r="U122" s="7" t="str">
        <f t="shared" si="19"/>
        <v/>
      </c>
      <c r="V122" s="7"/>
      <c r="W122" t="str">
        <f ca="1">IF(AND(B122&lt;&gt;"",N122&lt;&gt;"",O122="",N122&gt;=TODAY(),N122&lt;=TODAY()+7),COUNTIFS(B$4:B122,"&lt;&gt;",N$4:N122,"&gt;="&amp;TODAY(),N$4:N122,"&lt;="&amp;TODAY()+7,O$4:O122,""),"")</f>
        <v/>
      </c>
    </row>
    <row r="123" spans="1:23" s="1" customFormat="1" ht="18" customHeight="1" x14ac:dyDescent="0.45">
      <c r="A123" s="5"/>
      <c r="B123" s="5"/>
      <c r="C123" s="9" t="str">
        <f>IF(B123="","",VLOOKUP(B123,'Student Roster'!A:C,2,FALSE))</f>
        <v/>
      </c>
      <c r="D123" s="9" t="str">
        <f>IF(B123="","",VLOOKUP(B123,'Student Roster'!A:C,3,FALSE))</f>
        <v/>
      </c>
      <c r="E123" s="9" t="str">
        <f>IF(B123="","",VLOOKUP(B123,'Student Roster'!A:D,4,FALSE))</f>
        <v/>
      </c>
      <c r="F123" s="5"/>
      <c r="G123" s="5"/>
      <c r="H123" s="5"/>
      <c r="I123" s="5"/>
      <c r="J123" s="5"/>
      <c r="K123" s="5"/>
      <c r="L123" s="11" t="str">
        <f t="shared" ca="1" si="15"/>
        <v/>
      </c>
      <c r="M123" s="11" t="str">
        <f t="shared" si="16"/>
        <v/>
      </c>
      <c r="N123" s="10" t="str">
        <f t="shared" si="17"/>
        <v/>
      </c>
      <c r="O123" s="5"/>
      <c r="P123" s="5"/>
      <c r="Q123" s="5"/>
      <c r="R123" s="5"/>
      <c r="S123" s="9" t="str">
        <f t="shared" ca="1" si="18"/>
        <v>OK</v>
      </c>
      <c r="T123" s="5"/>
      <c r="U123" s="5" t="str">
        <f t="shared" si="19"/>
        <v/>
      </c>
      <c r="V123" s="5"/>
      <c r="W123" t="str">
        <f ca="1">IF(AND(B123&lt;&gt;"",N123&lt;&gt;"",O123="",N123&gt;=TODAY(),N123&lt;=TODAY()+7),COUNTIFS(B$4:B123,"&lt;&gt;",N$4:N123,"&gt;="&amp;TODAY(),N$4:N123,"&lt;="&amp;TODAY()+7,O$4:O123,""),"")</f>
        <v/>
      </c>
    </row>
    <row r="124" spans="1:23" s="1" customFormat="1" ht="18" customHeight="1" x14ac:dyDescent="0.45">
      <c r="A124" s="7"/>
      <c r="B124" s="7"/>
      <c r="C124" s="9" t="str">
        <f>IF(B124="","",VLOOKUP(B124,'Student Roster'!A:C,2,FALSE))</f>
        <v/>
      </c>
      <c r="D124" s="9" t="str">
        <f>IF(B124="","",VLOOKUP(B124,'Student Roster'!A:C,3,FALSE))</f>
        <v/>
      </c>
      <c r="E124" s="9" t="str">
        <f>IF(B124="","",VLOOKUP(B124,'Student Roster'!A:D,4,FALSE))</f>
        <v/>
      </c>
      <c r="F124" s="7"/>
      <c r="G124" s="7"/>
      <c r="H124" s="7"/>
      <c r="I124" s="7"/>
      <c r="J124" s="7"/>
      <c r="K124" s="7"/>
      <c r="L124" s="11" t="str">
        <f t="shared" ca="1" si="15"/>
        <v/>
      </c>
      <c r="M124" s="11" t="str">
        <f t="shared" si="16"/>
        <v/>
      </c>
      <c r="N124" s="10" t="str">
        <f t="shared" si="17"/>
        <v/>
      </c>
      <c r="O124" s="7"/>
      <c r="P124" s="7"/>
      <c r="Q124" s="7"/>
      <c r="R124" s="7"/>
      <c r="S124" s="9" t="str">
        <f t="shared" ca="1" si="18"/>
        <v>OK</v>
      </c>
      <c r="T124" s="7"/>
      <c r="U124" s="7" t="str">
        <f t="shared" si="19"/>
        <v/>
      </c>
      <c r="V124" s="7"/>
      <c r="W124" t="str">
        <f ca="1">IF(AND(B124&lt;&gt;"",N124&lt;&gt;"",O124="",N124&gt;=TODAY(),N124&lt;=TODAY()+7),COUNTIFS(B$4:B124,"&lt;&gt;",N$4:N124,"&gt;="&amp;TODAY(),N$4:N124,"&lt;="&amp;TODAY()+7,O$4:O124,""),"")</f>
        <v/>
      </c>
    </row>
    <row r="125" spans="1:23" s="1" customFormat="1" ht="18" customHeight="1" x14ac:dyDescent="0.45">
      <c r="A125" s="5"/>
      <c r="B125" s="5"/>
      <c r="C125" s="9" t="str">
        <f>IF(B125="","",VLOOKUP(B125,'Student Roster'!A:C,2,FALSE))</f>
        <v/>
      </c>
      <c r="D125" s="9" t="str">
        <f>IF(B125="","",VLOOKUP(B125,'Student Roster'!A:C,3,FALSE))</f>
        <v/>
      </c>
      <c r="E125" s="9" t="str">
        <f>IF(B125="","",VLOOKUP(B125,'Student Roster'!A:D,4,FALSE))</f>
        <v/>
      </c>
      <c r="F125" s="5"/>
      <c r="G125" s="5"/>
      <c r="H125" s="5"/>
      <c r="I125" s="5"/>
      <c r="J125" s="5"/>
      <c r="K125" s="5"/>
      <c r="L125" s="11" t="str">
        <f t="shared" ca="1" si="15"/>
        <v/>
      </c>
      <c r="M125" s="11" t="str">
        <f t="shared" si="16"/>
        <v/>
      </c>
      <c r="N125" s="10" t="str">
        <f t="shared" si="17"/>
        <v/>
      </c>
      <c r="O125" s="5"/>
      <c r="P125" s="5"/>
      <c r="Q125" s="5"/>
      <c r="R125" s="5"/>
      <c r="S125" s="9" t="str">
        <f t="shared" ca="1" si="18"/>
        <v>OK</v>
      </c>
      <c r="T125" s="5"/>
      <c r="U125" s="5" t="str">
        <f t="shared" si="19"/>
        <v/>
      </c>
      <c r="V125" s="5"/>
      <c r="W125" t="str">
        <f ca="1">IF(AND(B125&lt;&gt;"",N125&lt;&gt;"",O125="",N125&gt;=TODAY(),N125&lt;=TODAY()+7),COUNTIFS(B$4:B125,"&lt;&gt;",N$4:N125,"&gt;="&amp;TODAY(),N$4:N125,"&lt;="&amp;TODAY()+7,O$4:O125,""),"")</f>
        <v/>
      </c>
    </row>
    <row r="126" spans="1:23" s="1" customFormat="1" ht="18" customHeight="1" x14ac:dyDescent="0.45">
      <c r="A126" s="7"/>
      <c r="B126" s="7"/>
      <c r="C126" s="9" t="str">
        <f>IF(B126="","",VLOOKUP(B126,'Student Roster'!A:C,2,FALSE))</f>
        <v/>
      </c>
      <c r="D126" s="9" t="str">
        <f>IF(B126="","",VLOOKUP(B126,'Student Roster'!A:C,3,FALSE))</f>
        <v/>
      </c>
      <c r="E126" s="9" t="str">
        <f>IF(B126="","",VLOOKUP(B126,'Student Roster'!A:D,4,FALSE))</f>
        <v/>
      </c>
      <c r="F126" s="7"/>
      <c r="G126" s="7"/>
      <c r="H126" s="7"/>
      <c r="I126" s="7"/>
      <c r="J126" s="7"/>
      <c r="K126" s="7"/>
      <c r="L126" s="11" t="str">
        <f t="shared" ca="1" si="15"/>
        <v/>
      </c>
      <c r="M126" s="11" t="str">
        <f t="shared" si="16"/>
        <v/>
      </c>
      <c r="N126" s="10" t="str">
        <f t="shared" si="17"/>
        <v/>
      </c>
      <c r="O126" s="7"/>
      <c r="P126" s="7"/>
      <c r="Q126" s="7"/>
      <c r="R126" s="7"/>
      <c r="S126" s="9" t="str">
        <f t="shared" ca="1" si="18"/>
        <v>OK</v>
      </c>
      <c r="T126" s="7"/>
      <c r="U126" s="7" t="str">
        <f t="shared" si="19"/>
        <v/>
      </c>
      <c r="V126" s="7"/>
      <c r="W126" t="str">
        <f ca="1">IF(AND(B126&lt;&gt;"",N126&lt;&gt;"",O126="",N126&gt;=TODAY(),N126&lt;=TODAY()+7),COUNTIFS(B$4:B126,"&lt;&gt;",N$4:N126,"&gt;="&amp;TODAY(),N$4:N126,"&lt;="&amp;TODAY()+7,O$4:O126,""),"")</f>
        <v/>
      </c>
    </row>
    <row r="127" spans="1:23" s="1" customFormat="1" ht="18" customHeight="1" x14ac:dyDescent="0.45">
      <c r="A127" s="5"/>
      <c r="B127" s="5"/>
      <c r="C127" s="9" t="str">
        <f>IF(B127="","",VLOOKUP(B127,'Student Roster'!A:C,2,FALSE))</f>
        <v/>
      </c>
      <c r="D127" s="9" t="str">
        <f>IF(B127="","",VLOOKUP(B127,'Student Roster'!A:C,3,FALSE))</f>
        <v/>
      </c>
      <c r="E127" s="9" t="str">
        <f>IF(B127="","",VLOOKUP(B127,'Student Roster'!A:D,4,FALSE))</f>
        <v/>
      </c>
      <c r="F127" s="5"/>
      <c r="G127" s="5"/>
      <c r="H127" s="5"/>
      <c r="I127" s="5"/>
      <c r="J127" s="5"/>
      <c r="K127" s="5"/>
      <c r="L127" s="11" t="str">
        <f t="shared" ca="1" si="15"/>
        <v/>
      </c>
      <c r="M127" s="11" t="str">
        <f t="shared" si="16"/>
        <v/>
      </c>
      <c r="N127" s="10" t="str">
        <f t="shared" si="17"/>
        <v/>
      </c>
      <c r="O127" s="5"/>
      <c r="P127" s="5"/>
      <c r="Q127" s="5"/>
      <c r="R127" s="5"/>
      <c r="S127" s="9" t="str">
        <f t="shared" ca="1" si="18"/>
        <v>OK</v>
      </c>
      <c r="T127" s="5"/>
      <c r="U127" s="5" t="str">
        <f t="shared" si="19"/>
        <v/>
      </c>
      <c r="V127" s="5"/>
      <c r="W127" t="str">
        <f ca="1">IF(AND(B127&lt;&gt;"",N127&lt;&gt;"",O127="",N127&gt;=TODAY(),N127&lt;=TODAY()+7),COUNTIFS(B$4:B127,"&lt;&gt;",N$4:N127,"&gt;="&amp;TODAY(),N$4:N127,"&lt;="&amp;TODAY()+7,O$4:O127,""),"")</f>
        <v/>
      </c>
    </row>
    <row r="128" spans="1:23" s="1" customFormat="1" ht="18" customHeight="1" x14ac:dyDescent="0.45">
      <c r="A128" s="7"/>
      <c r="B128" s="7"/>
      <c r="C128" s="9" t="str">
        <f>IF(B128="","",VLOOKUP(B128,'Student Roster'!A:C,2,FALSE))</f>
        <v/>
      </c>
      <c r="D128" s="9" t="str">
        <f>IF(B128="","",VLOOKUP(B128,'Student Roster'!A:C,3,FALSE))</f>
        <v/>
      </c>
      <c r="E128" s="9" t="str">
        <f>IF(B128="","",VLOOKUP(B128,'Student Roster'!A:D,4,FALSE))</f>
        <v/>
      </c>
      <c r="F128" s="7"/>
      <c r="G128" s="7"/>
      <c r="H128" s="7"/>
      <c r="I128" s="7"/>
      <c r="J128" s="7"/>
      <c r="K128" s="7"/>
      <c r="L128" s="11" t="str">
        <f t="shared" ca="1" si="15"/>
        <v/>
      </c>
      <c r="M128" s="11" t="str">
        <f t="shared" si="16"/>
        <v/>
      </c>
      <c r="N128" s="10" t="str">
        <f t="shared" si="17"/>
        <v/>
      </c>
      <c r="O128" s="7"/>
      <c r="P128" s="7"/>
      <c r="Q128" s="7"/>
      <c r="R128" s="7"/>
      <c r="S128" s="9" t="str">
        <f t="shared" ca="1" si="18"/>
        <v>OK</v>
      </c>
      <c r="T128" s="7"/>
      <c r="U128" s="7" t="str">
        <f t="shared" si="19"/>
        <v/>
      </c>
      <c r="V128" s="7"/>
      <c r="W128" t="str">
        <f ca="1">IF(AND(B128&lt;&gt;"",N128&lt;&gt;"",O128="",N128&gt;=TODAY(),N128&lt;=TODAY()+7),COUNTIFS(B$4:B128,"&lt;&gt;",N$4:N128,"&gt;="&amp;TODAY(),N$4:N128,"&lt;="&amp;TODAY()+7,O$4:O128,""),"")</f>
        <v/>
      </c>
    </row>
    <row r="129" spans="1:23" s="1" customFormat="1" ht="18" customHeight="1" x14ac:dyDescent="0.45">
      <c r="A129" s="5"/>
      <c r="B129" s="5"/>
      <c r="C129" s="9" t="str">
        <f>IF(B129="","",VLOOKUP(B129,'Student Roster'!A:C,2,FALSE))</f>
        <v/>
      </c>
      <c r="D129" s="9" t="str">
        <f>IF(B129="","",VLOOKUP(B129,'Student Roster'!A:C,3,FALSE))</f>
        <v/>
      </c>
      <c r="E129" s="9" t="str">
        <f>IF(B129="","",VLOOKUP(B129,'Student Roster'!A:D,4,FALSE))</f>
        <v/>
      </c>
      <c r="F129" s="5"/>
      <c r="G129" s="5"/>
      <c r="H129" s="5"/>
      <c r="I129" s="5"/>
      <c r="J129" s="5"/>
      <c r="K129" s="5"/>
      <c r="L129" s="11" t="str">
        <f t="shared" ca="1" si="15"/>
        <v/>
      </c>
      <c r="M129" s="11" t="str">
        <f t="shared" si="16"/>
        <v/>
      </c>
      <c r="N129" s="10" t="str">
        <f t="shared" si="17"/>
        <v/>
      </c>
      <c r="O129" s="5"/>
      <c r="P129" s="5"/>
      <c r="Q129" s="5"/>
      <c r="R129" s="5"/>
      <c r="S129" s="9" t="str">
        <f t="shared" ca="1" si="18"/>
        <v>OK</v>
      </c>
      <c r="T129" s="5"/>
      <c r="U129" s="5" t="str">
        <f t="shared" si="19"/>
        <v/>
      </c>
      <c r="V129" s="5"/>
      <c r="W129" t="str">
        <f ca="1">IF(AND(B129&lt;&gt;"",N129&lt;&gt;"",O129="",N129&gt;=TODAY(),N129&lt;=TODAY()+7),COUNTIFS(B$4:B129,"&lt;&gt;",N$4:N129,"&gt;="&amp;TODAY(),N$4:N129,"&lt;="&amp;TODAY()+7,O$4:O129,""),"")</f>
        <v/>
      </c>
    </row>
    <row r="130" spans="1:23" s="1" customFormat="1" ht="18" customHeight="1" x14ac:dyDescent="0.45">
      <c r="A130" s="7"/>
      <c r="B130" s="7"/>
      <c r="C130" s="9" t="str">
        <f>IF(B130="","",VLOOKUP(B130,'Student Roster'!A:C,2,FALSE))</f>
        <v/>
      </c>
      <c r="D130" s="9" t="str">
        <f>IF(B130="","",VLOOKUP(B130,'Student Roster'!A:C,3,FALSE))</f>
        <v/>
      </c>
      <c r="E130" s="9" t="str">
        <f>IF(B130="","",VLOOKUP(B130,'Student Roster'!A:D,4,FALSE))</f>
        <v/>
      </c>
      <c r="F130" s="7"/>
      <c r="G130" s="7"/>
      <c r="H130" s="7"/>
      <c r="I130" s="7"/>
      <c r="J130" s="7"/>
      <c r="K130" s="7"/>
      <c r="L130" s="11" t="str">
        <f t="shared" ca="1" si="15"/>
        <v/>
      </c>
      <c r="M130" s="11" t="str">
        <f t="shared" si="16"/>
        <v/>
      </c>
      <c r="N130" s="10" t="str">
        <f t="shared" si="17"/>
        <v/>
      </c>
      <c r="O130" s="7"/>
      <c r="P130" s="7"/>
      <c r="Q130" s="7"/>
      <c r="R130" s="7"/>
      <c r="S130" s="9" t="str">
        <f t="shared" ca="1" si="18"/>
        <v>OK</v>
      </c>
      <c r="T130" s="7"/>
      <c r="U130" s="7" t="str">
        <f t="shared" si="19"/>
        <v/>
      </c>
      <c r="V130" s="7"/>
      <c r="W130" t="str">
        <f ca="1">IF(AND(B130&lt;&gt;"",N130&lt;&gt;"",O130="",N130&gt;=TODAY(),N130&lt;=TODAY()+7),COUNTIFS(B$4:B130,"&lt;&gt;",N$4:N130,"&gt;="&amp;TODAY(),N$4:N130,"&lt;="&amp;TODAY()+7,O$4:O130,""),"")</f>
        <v/>
      </c>
    </row>
    <row r="131" spans="1:23" s="1" customFormat="1" ht="18" customHeight="1" x14ac:dyDescent="0.45">
      <c r="A131" s="5"/>
      <c r="B131" s="5"/>
      <c r="C131" s="9" t="str">
        <f>IF(B131="","",VLOOKUP(B131,'Student Roster'!A:C,2,FALSE))</f>
        <v/>
      </c>
      <c r="D131" s="9" t="str">
        <f>IF(B131="","",VLOOKUP(B131,'Student Roster'!A:C,3,FALSE))</f>
        <v/>
      </c>
      <c r="E131" s="9" t="str">
        <f>IF(B131="","",VLOOKUP(B131,'Student Roster'!A:D,4,FALSE))</f>
        <v/>
      </c>
      <c r="F131" s="5"/>
      <c r="G131" s="5"/>
      <c r="H131" s="5"/>
      <c r="I131" s="5"/>
      <c r="J131" s="5"/>
      <c r="K131" s="5"/>
      <c r="L131" s="11" t="str">
        <f t="shared" ca="1" si="15"/>
        <v/>
      </c>
      <c r="M131" s="11" t="str">
        <f t="shared" si="16"/>
        <v/>
      </c>
      <c r="N131" s="10" t="str">
        <f t="shared" si="17"/>
        <v/>
      </c>
      <c r="O131" s="5"/>
      <c r="P131" s="5"/>
      <c r="Q131" s="5"/>
      <c r="R131" s="5"/>
      <c r="S131" s="9" t="str">
        <f t="shared" ca="1" si="18"/>
        <v>OK</v>
      </c>
      <c r="T131" s="5"/>
      <c r="U131" s="5" t="str">
        <f t="shared" si="19"/>
        <v/>
      </c>
      <c r="V131" s="5"/>
      <c r="W131" t="str">
        <f ca="1">IF(AND(B131&lt;&gt;"",N131&lt;&gt;"",O131="",N131&gt;=TODAY(),N131&lt;=TODAY()+7),COUNTIFS(B$4:B131,"&lt;&gt;",N$4:N131,"&gt;="&amp;TODAY(),N$4:N131,"&lt;="&amp;TODAY()+7,O$4:O131,""),"")</f>
        <v/>
      </c>
    </row>
    <row r="132" spans="1:23" s="1" customFormat="1" ht="18" customHeight="1" x14ac:dyDescent="0.45">
      <c r="A132" s="7"/>
      <c r="B132" s="7"/>
      <c r="C132" s="9" t="str">
        <f>IF(B132="","",VLOOKUP(B132,'Student Roster'!A:C,2,FALSE))</f>
        <v/>
      </c>
      <c r="D132" s="9" t="str">
        <f>IF(B132="","",VLOOKUP(B132,'Student Roster'!A:C,3,FALSE))</f>
        <v/>
      </c>
      <c r="E132" s="9" t="str">
        <f>IF(B132="","",VLOOKUP(B132,'Student Roster'!A:D,4,FALSE))</f>
        <v/>
      </c>
      <c r="F132" s="7"/>
      <c r="G132" s="7"/>
      <c r="H132" s="7"/>
      <c r="I132" s="7"/>
      <c r="J132" s="7"/>
      <c r="K132" s="7"/>
      <c r="L132" s="11" t="str">
        <f t="shared" ref="L132:L163" ca="1" si="20">IF(J132="","",IF(O132="",TODAY()-J132,O132-J132))</f>
        <v/>
      </c>
      <c r="M132" s="11" t="str">
        <f t="shared" ref="M132:M163" si="21">IF(J132="","",MAX(0,K132-L132))</f>
        <v/>
      </c>
      <c r="N132" s="10" t="str">
        <f t="shared" ref="N132:N163" si="22">IF(J132="","",J132+K132)</f>
        <v/>
      </c>
      <c r="O132" s="7"/>
      <c r="P132" s="7"/>
      <c r="Q132" s="7"/>
      <c r="R132" s="7"/>
      <c r="S132" s="9" t="str">
        <f t="shared" ref="S132:S163" ca="1" si="23">IF(AND(R132="Yes",L132&gt;=8),"⚠ APPROACHING 10-DAY","OK")</f>
        <v>OK</v>
      </c>
      <c r="T132" s="7"/>
      <c r="U132" s="7" t="str">
        <f t="shared" ref="U132:U163" si="24">IF(J132="","",IF(AND(T132="Yes",L132&lt;=K132),"Complete",IF(L132&gt;K132,"⚠ OVERDUE","In Progress")))</f>
        <v/>
      </c>
      <c r="V132" s="7"/>
      <c r="W132" t="str">
        <f ca="1">IF(AND(B132&lt;&gt;"",N132&lt;&gt;"",O132="",N132&gt;=TODAY(),N132&lt;=TODAY()+7),COUNTIFS(B$4:B132,"&lt;&gt;",N$4:N132,"&gt;="&amp;TODAY(),N$4:N132,"&lt;="&amp;TODAY()+7,O$4:O132,""),"")</f>
        <v/>
      </c>
    </row>
    <row r="133" spans="1:23" s="1" customFormat="1" ht="18" customHeight="1" x14ac:dyDescent="0.45">
      <c r="A133" s="5"/>
      <c r="B133" s="5"/>
      <c r="C133" s="9" t="str">
        <f>IF(B133="","",VLOOKUP(B133,'Student Roster'!A:C,2,FALSE))</f>
        <v/>
      </c>
      <c r="D133" s="9" t="str">
        <f>IF(B133="","",VLOOKUP(B133,'Student Roster'!A:C,3,FALSE))</f>
        <v/>
      </c>
      <c r="E133" s="9" t="str">
        <f>IF(B133="","",VLOOKUP(B133,'Student Roster'!A:D,4,FALSE))</f>
        <v/>
      </c>
      <c r="F133" s="5"/>
      <c r="G133" s="5"/>
      <c r="H133" s="5"/>
      <c r="I133" s="5"/>
      <c r="J133" s="5"/>
      <c r="K133" s="5"/>
      <c r="L133" s="11" t="str">
        <f t="shared" ca="1" si="20"/>
        <v/>
      </c>
      <c r="M133" s="11" t="str">
        <f t="shared" si="21"/>
        <v/>
      </c>
      <c r="N133" s="10" t="str">
        <f t="shared" si="22"/>
        <v/>
      </c>
      <c r="O133" s="5"/>
      <c r="P133" s="5"/>
      <c r="Q133" s="5"/>
      <c r="R133" s="5"/>
      <c r="S133" s="9" t="str">
        <f t="shared" ca="1" si="23"/>
        <v>OK</v>
      </c>
      <c r="T133" s="5"/>
      <c r="U133" s="5" t="str">
        <f t="shared" si="24"/>
        <v/>
      </c>
      <c r="V133" s="5"/>
      <c r="W133" t="str">
        <f ca="1">IF(AND(B133&lt;&gt;"",N133&lt;&gt;"",O133="",N133&gt;=TODAY(),N133&lt;=TODAY()+7),COUNTIFS(B$4:B133,"&lt;&gt;",N$4:N133,"&gt;="&amp;TODAY(),N$4:N133,"&lt;="&amp;TODAY()+7,O$4:O133,""),"")</f>
        <v/>
      </c>
    </row>
    <row r="134" spans="1:23" s="1" customFormat="1" ht="18" customHeight="1" x14ac:dyDescent="0.45">
      <c r="A134" s="7"/>
      <c r="B134" s="7"/>
      <c r="C134" s="9" t="str">
        <f>IF(B134="","",VLOOKUP(B134,'Student Roster'!A:C,2,FALSE))</f>
        <v/>
      </c>
      <c r="D134" s="9" t="str">
        <f>IF(B134="","",VLOOKUP(B134,'Student Roster'!A:C,3,FALSE))</f>
        <v/>
      </c>
      <c r="E134" s="9" t="str">
        <f>IF(B134="","",VLOOKUP(B134,'Student Roster'!A:D,4,FALSE))</f>
        <v/>
      </c>
      <c r="F134" s="7"/>
      <c r="G134" s="7"/>
      <c r="H134" s="7"/>
      <c r="I134" s="7"/>
      <c r="J134" s="7"/>
      <c r="K134" s="7"/>
      <c r="L134" s="11" t="str">
        <f t="shared" ca="1" si="20"/>
        <v/>
      </c>
      <c r="M134" s="11" t="str">
        <f t="shared" si="21"/>
        <v/>
      </c>
      <c r="N134" s="10" t="str">
        <f t="shared" si="22"/>
        <v/>
      </c>
      <c r="O134" s="7"/>
      <c r="P134" s="7"/>
      <c r="Q134" s="7"/>
      <c r="R134" s="7"/>
      <c r="S134" s="9" t="str">
        <f t="shared" ca="1" si="23"/>
        <v>OK</v>
      </c>
      <c r="T134" s="7"/>
      <c r="U134" s="7" t="str">
        <f t="shared" si="24"/>
        <v/>
      </c>
      <c r="V134" s="7"/>
      <c r="W134" t="str">
        <f ca="1">IF(AND(B134&lt;&gt;"",N134&lt;&gt;"",O134="",N134&gt;=TODAY(),N134&lt;=TODAY()+7),COUNTIFS(B$4:B134,"&lt;&gt;",N$4:N134,"&gt;="&amp;TODAY(),N$4:N134,"&lt;="&amp;TODAY()+7,O$4:O134,""),"")</f>
        <v/>
      </c>
    </row>
    <row r="135" spans="1:23" s="1" customFormat="1" ht="18" customHeight="1" x14ac:dyDescent="0.45">
      <c r="A135" s="5"/>
      <c r="B135" s="5"/>
      <c r="C135" s="9" t="str">
        <f>IF(B135="","",VLOOKUP(B135,'Student Roster'!A:C,2,FALSE))</f>
        <v/>
      </c>
      <c r="D135" s="9" t="str">
        <f>IF(B135="","",VLOOKUP(B135,'Student Roster'!A:C,3,FALSE))</f>
        <v/>
      </c>
      <c r="E135" s="9" t="str">
        <f>IF(B135="","",VLOOKUP(B135,'Student Roster'!A:D,4,FALSE))</f>
        <v/>
      </c>
      <c r="F135" s="5"/>
      <c r="G135" s="5"/>
      <c r="H135" s="5"/>
      <c r="I135" s="5"/>
      <c r="J135" s="5"/>
      <c r="K135" s="5"/>
      <c r="L135" s="11" t="str">
        <f t="shared" ca="1" si="20"/>
        <v/>
      </c>
      <c r="M135" s="11" t="str">
        <f t="shared" si="21"/>
        <v/>
      </c>
      <c r="N135" s="10" t="str">
        <f t="shared" si="22"/>
        <v/>
      </c>
      <c r="O135" s="5"/>
      <c r="P135" s="5"/>
      <c r="Q135" s="5"/>
      <c r="R135" s="5"/>
      <c r="S135" s="9" t="str">
        <f t="shared" ca="1" si="23"/>
        <v>OK</v>
      </c>
      <c r="T135" s="5"/>
      <c r="U135" s="5" t="str">
        <f t="shared" si="24"/>
        <v/>
      </c>
      <c r="V135" s="5"/>
      <c r="W135" t="str">
        <f ca="1">IF(AND(B135&lt;&gt;"",N135&lt;&gt;"",O135="",N135&gt;=TODAY(),N135&lt;=TODAY()+7),COUNTIFS(B$4:B135,"&lt;&gt;",N$4:N135,"&gt;="&amp;TODAY(),N$4:N135,"&lt;="&amp;TODAY()+7,O$4:O135,""),"")</f>
        <v/>
      </c>
    </row>
    <row r="136" spans="1:23" s="1" customFormat="1" ht="18" customHeight="1" x14ac:dyDescent="0.45">
      <c r="A136" s="7"/>
      <c r="B136" s="7"/>
      <c r="C136" s="9" t="str">
        <f>IF(B136="","",VLOOKUP(B136,'Student Roster'!A:C,2,FALSE))</f>
        <v/>
      </c>
      <c r="D136" s="9" t="str">
        <f>IF(B136="","",VLOOKUP(B136,'Student Roster'!A:C,3,FALSE))</f>
        <v/>
      </c>
      <c r="E136" s="9" t="str">
        <f>IF(B136="","",VLOOKUP(B136,'Student Roster'!A:D,4,FALSE))</f>
        <v/>
      </c>
      <c r="F136" s="7"/>
      <c r="G136" s="7"/>
      <c r="H136" s="7"/>
      <c r="I136" s="7"/>
      <c r="J136" s="7"/>
      <c r="K136" s="7"/>
      <c r="L136" s="11" t="str">
        <f t="shared" ca="1" si="20"/>
        <v/>
      </c>
      <c r="M136" s="11" t="str">
        <f t="shared" si="21"/>
        <v/>
      </c>
      <c r="N136" s="10" t="str">
        <f t="shared" si="22"/>
        <v/>
      </c>
      <c r="O136" s="7"/>
      <c r="P136" s="7"/>
      <c r="Q136" s="7"/>
      <c r="R136" s="7"/>
      <c r="S136" s="9" t="str">
        <f t="shared" ca="1" si="23"/>
        <v>OK</v>
      </c>
      <c r="T136" s="7"/>
      <c r="U136" s="7" t="str">
        <f t="shared" si="24"/>
        <v/>
      </c>
      <c r="V136" s="7"/>
      <c r="W136" t="str">
        <f ca="1">IF(AND(B136&lt;&gt;"",N136&lt;&gt;"",O136="",N136&gt;=TODAY(),N136&lt;=TODAY()+7),COUNTIFS(B$4:B136,"&lt;&gt;",N$4:N136,"&gt;="&amp;TODAY(),N$4:N136,"&lt;="&amp;TODAY()+7,O$4:O136,""),"")</f>
        <v/>
      </c>
    </row>
    <row r="137" spans="1:23" s="1" customFormat="1" ht="18" customHeight="1" x14ac:dyDescent="0.45">
      <c r="A137" s="5"/>
      <c r="B137" s="5"/>
      <c r="C137" s="9" t="str">
        <f>IF(B137="","",VLOOKUP(B137,'Student Roster'!A:C,2,FALSE))</f>
        <v/>
      </c>
      <c r="D137" s="9" t="str">
        <f>IF(B137="","",VLOOKUP(B137,'Student Roster'!A:C,3,FALSE))</f>
        <v/>
      </c>
      <c r="E137" s="9" t="str">
        <f>IF(B137="","",VLOOKUP(B137,'Student Roster'!A:D,4,FALSE))</f>
        <v/>
      </c>
      <c r="F137" s="5"/>
      <c r="G137" s="5"/>
      <c r="H137" s="5"/>
      <c r="I137" s="5"/>
      <c r="J137" s="5"/>
      <c r="K137" s="5"/>
      <c r="L137" s="11" t="str">
        <f t="shared" ca="1" si="20"/>
        <v/>
      </c>
      <c r="M137" s="11" t="str">
        <f t="shared" si="21"/>
        <v/>
      </c>
      <c r="N137" s="10" t="str">
        <f t="shared" si="22"/>
        <v/>
      </c>
      <c r="O137" s="5"/>
      <c r="P137" s="5"/>
      <c r="Q137" s="5"/>
      <c r="R137" s="5"/>
      <c r="S137" s="9" t="str">
        <f t="shared" ca="1" si="23"/>
        <v>OK</v>
      </c>
      <c r="T137" s="5"/>
      <c r="U137" s="5" t="str">
        <f t="shared" si="24"/>
        <v/>
      </c>
      <c r="V137" s="5"/>
      <c r="W137" t="str">
        <f ca="1">IF(AND(B137&lt;&gt;"",N137&lt;&gt;"",O137="",N137&gt;=TODAY(),N137&lt;=TODAY()+7),COUNTIFS(B$4:B137,"&lt;&gt;",N$4:N137,"&gt;="&amp;TODAY(),N$4:N137,"&lt;="&amp;TODAY()+7,O$4:O137,""),"")</f>
        <v/>
      </c>
    </row>
    <row r="138" spans="1:23" s="1" customFormat="1" ht="18" customHeight="1" x14ac:dyDescent="0.45">
      <c r="A138" s="7"/>
      <c r="B138" s="7"/>
      <c r="C138" s="9" t="str">
        <f>IF(B138="","",VLOOKUP(B138,'Student Roster'!A:C,2,FALSE))</f>
        <v/>
      </c>
      <c r="D138" s="9" t="str">
        <f>IF(B138="","",VLOOKUP(B138,'Student Roster'!A:C,3,FALSE))</f>
        <v/>
      </c>
      <c r="E138" s="9" t="str">
        <f>IF(B138="","",VLOOKUP(B138,'Student Roster'!A:D,4,FALSE))</f>
        <v/>
      </c>
      <c r="F138" s="7"/>
      <c r="G138" s="7"/>
      <c r="H138" s="7"/>
      <c r="I138" s="7"/>
      <c r="J138" s="7"/>
      <c r="K138" s="7"/>
      <c r="L138" s="11" t="str">
        <f t="shared" ca="1" si="20"/>
        <v/>
      </c>
      <c r="M138" s="11" t="str">
        <f t="shared" si="21"/>
        <v/>
      </c>
      <c r="N138" s="10" t="str">
        <f t="shared" si="22"/>
        <v/>
      </c>
      <c r="O138" s="7"/>
      <c r="P138" s="7"/>
      <c r="Q138" s="7"/>
      <c r="R138" s="7"/>
      <c r="S138" s="9" t="str">
        <f t="shared" ca="1" si="23"/>
        <v>OK</v>
      </c>
      <c r="T138" s="7"/>
      <c r="U138" s="7" t="str">
        <f t="shared" si="24"/>
        <v/>
      </c>
      <c r="V138" s="7"/>
      <c r="W138" t="str">
        <f ca="1">IF(AND(B138&lt;&gt;"",N138&lt;&gt;"",O138="",N138&gt;=TODAY(),N138&lt;=TODAY()+7),COUNTIFS(B$4:B138,"&lt;&gt;",N$4:N138,"&gt;="&amp;TODAY(),N$4:N138,"&lt;="&amp;TODAY()+7,O$4:O138,""),"")</f>
        <v/>
      </c>
    </row>
    <row r="139" spans="1:23" s="1" customFormat="1" ht="18" customHeight="1" x14ac:dyDescent="0.45">
      <c r="A139" s="5"/>
      <c r="B139" s="5"/>
      <c r="C139" s="9" t="str">
        <f>IF(B139="","",VLOOKUP(B139,'Student Roster'!A:C,2,FALSE))</f>
        <v/>
      </c>
      <c r="D139" s="9" t="str">
        <f>IF(B139="","",VLOOKUP(B139,'Student Roster'!A:C,3,FALSE))</f>
        <v/>
      </c>
      <c r="E139" s="9" t="str">
        <f>IF(B139="","",VLOOKUP(B139,'Student Roster'!A:D,4,FALSE))</f>
        <v/>
      </c>
      <c r="F139" s="5"/>
      <c r="G139" s="5"/>
      <c r="H139" s="5"/>
      <c r="I139" s="5"/>
      <c r="J139" s="5"/>
      <c r="K139" s="5"/>
      <c r="L139" s="11" t="str">
        <f t="shared" ca="1" si="20"/>
        <v/>
      </c>
      <c r="M139" s="11" t="str">
        <f t="shared" si="21"/>
        <v/>
      </c>
      <c r="N139" s="10" t="str">
        <f t="shared" si="22"/>
        <v/>
      </c>
      <c r="O139" s="5"/>
      <c r="P139" s="5"/>
      <c r="Q139" s="5"/>
      <c r="R139" s="5"/>
      <c r="S139" s="9" t="str">
        <f t="shared" ca="1" si="23"/>
        <v>OK</v>
      </c>
      <c r="T139" s="5"/>
      <c r="U139" s="5" t="str">
        <f t="shared" si="24"/>
        <v/>
      </c>
      <c r="V139" s="5"/>
      <c r="W139" t="str">
        <f ca="1">IF(AND(B139&lt;&gt;"",N139&lt;&gt;"",O139="",N139&gt;=TODAY(),N139&lt;=TODAY()+7),COUNTIFS(B$4:B139,"&lt;&gt;",N$4:N139,"&gt;="&amp;TODAY(),N$4:N139,"&lt;="&amp;TODAY()+7,O$4:O139,""),"")</f>
        <v/>
      </c>
    </row>
    <row r="140" spans="1:23" s="1" customFormat="1" ht="18" customHeight="1" x14ac:dyDescent="0.45">
      <c r="A140" s="7"/>
      <c r="B140" s="7"/>
      <c r="C140" s="9" t="str">
        <f>IF(B140="","",VLOOKUP(B140,'Student Roster'!A:C,2,FALSE))</f>
        <v/>
      </c>
      <c r="D140" s="9" t="str">
        <f>IF(B140="","",VLOOKUP(B140,'Student Roster'!A:C,3,FALSE))</f>
        <v/>
      </c>
      <c r="E140" s="9" t="str">
        <f>IF(B140="","",VLOOKUP(B140,'Student Roster'!A:D,4,FALSE))</f>
        <v/>
      </c>
      <c r="F140" s="7"/>
      <c r="G140" s="7"/>
      <c r="H140" s="7"/>
      <c r="I140" s="7"/>
      <c r="J140" s="7"/>
      <c r="K140" s="7"/>
      <c r="L140" s="11" t="str">
        <f t="shared" ca="1" si="20"/>
        <v/>
      </c>
      <c r="M140" s="11" t="str">
        <f t="shared" si="21"/>
        <v/>
      </c>
      <c r="N140" s="10" t="str">
        <f t="shared" si="22"/>
        <v/>
      </c>
      <c r="O140" s="7"/>
      <c r="P140" s="7"/>
      <c r="Q140" s="7"/>
      <c r="R140" s="7"/>
      <c r="S140" s="9" t="str">
        <f t="shared" ca="1" si="23"/>
        <v>OK</v>
      </c>
      <c r="T140" s="7"/>
      <c r="U140" s="7" t="str">
        <f t="shared" si="24"/>
        <v/>
      </c>
      <c r="V140" s="7"/>
      <c r="W140" t="str">
        <f ca="1">IF(AND(B140&lt;&gt;"",N140&lt;&gt;"",O140="",N140&gt;=TODAY(),N140&lt;=TODAY()+7),COUNTIFS(B$4:B140,"&lt;&gt;",N$4:N140,"&gt;="&amp;TODAY(),N$4:N140,"&lt;="&amp;TODAY()+7,O$4:O140,""),"")</f>
        <v/>
      </c>
    </row>
    <row r="141" spans="1:23" s="1" customFormat="1" ht="18" customHeight="1" x14ac:dyDescent="0.45">
      <c r="A141" s="5"/>
      <c r="B141" s="5"/>
      <c r="C141" s="9" t="str">
        <f>IF(B141="","",VLOOKUP(B141,'Student Roster'!A:C,2,FALSE))</f>
        <v/>
      </c>
      <c r="D141" s="9" t="str">
        <f>IF(B141="","",VLOOKUP(B141,'Student Roster'!A:C,3,FALSE))</f>
        <v/>
      </c>
      <c r="E141" s="9" t="str">
        <f>IF(B141="","",VLOOKUP(B141,'Student Roster'!A:D,4,FALSE))</f>
        <v/>
      </c>
      <c r="F141" s="5"/>
      <c r="G141" s="5"/>
      <c r="H141" s="5"/>
      <c r="I141" s="5"/>
      <c r="J141" s="5"/>
      <c r="K141" s="5"/>
      <c r="L141" s="11" t="str">
        <f t="shared" ca="1" si="20"/>
        <v/>
      </c>
      <c r="M141" s="11" t="str">
        <f t="shared" si="21"/>
        <v/>
      </c>
      <c r="N141" s="10" t="str">
        <f t="shared" si="22"/>
        <v/>
      </c>
      <c r="O141" s="5"/>
      <c r="P141" s="5"/>
      <c r="Q141" s="5"/>
      <c r="R141" s="5"/>
      <c r="S141" s="9" t="str">
        <f t="shared" ca="1" si="23"/>
        <v>OK</v>
      </c>
      <c r="T141" s="5"/>
      <c r="U141" s="5" t="str">
        <f t="shared" si="24"/>
        <v/>
      </c>
      <c r="V141" s="5"/>
      <c r="W141" t="str">
        <f ca="1">IF(AND(B141&lt;&gt;"",N141&lt;&gt;"",O141="",N141&gt;=TODAY(),N141&lt;=TODAY()+7),COUNTIFS(B$4:B141,"&lt;&gt;",N$4:N141,"&gt;="&amp;TODAY(),N$4:N141,"&lt;="&amp;TODAY()+7,O$4:O141,""),"")</f>
        <v/>
      </c>
    </row>
    <row r="142" spans="1:23" s="1" customFormat="1" ht="18" customHeight="1" x14ac:dyDescent="0.45">
      <c r="A142" s="7"/>
      <c r="B142" s="7"/>
      <c r="C142" s="9" t="str">
        <f>IF(B142="","",VLOOKUP(B142,'Student Roster'!A:C,2,FALSE))</f>
        <v/>
      </c>
      <c r="D142" s="9" t="str">
        <f>IF(B142="","",VLOOKUP(B142,'Student Roster'!A:C,3,FALSE))</f>
        <v/>
      </c>
      <c r="E142" s="9" t="str">
        <f>IF(B142="","",VLOOKUP(B142,'Student Roster'!A:D,4,FALSE))</f>
        <v/>
      </c>
      <c r="F142" s="7"/>
      <c r="G142" s="7"/>
      <c r="H142" s="7"/>
      <c r="I142" s="7"/>
      <c r="J142" s="7"/>
      <c r="K142" s="7"/>
      <c r="L142" s="11" t="str">
        <f t="shared" ca="1" si="20"/>
        <v/>
      </c>
      <c r="M142" s="11" t="str">
        <f t="shared" si="21"/>
        <v/>
      </c>
      <c r="N142" s="10" t="str">
        <f t="shared" si="22"/>
        <v/>
      </c>
      <c r="O142" s="7"/>
      <c r="P142" s="7"/>
      <c r="Q142" s="7"/>
      <c r="R142" s="7"/>
      <c r="S142" s="9" t="str">
        <f t="shared" ca="1" si="23"/>
        <v>OK</v>
      </c>
      <c r="T142" s="7"/>
      <c r="U142" s="7" t="str">
        <f t="shared" si="24"/>
        <v/>
      </c>
      <c r="V142" s="7"/>
      <c r="W142" t="str">
        <f ca="1">IF(AND(B142&lt;&gt;"",N142&lt;&gt;"",O142="",N142&gt;=TODAY(),N142&lt;=TODAY()+7),COUNTIFS(B$4:B142,"&lt;&gt;",N$4:N142,"&gt;="&amp;TODAY(),N$4:N142,"&lt;="&amp;TODAY()+7,O$4:O142,""),"")</f>
        <v/>
      </c>
    </row>
    <row r="143" spans="1:23" s="1" customFormat="1" ht="18" customHeight="1" x14ac:dyDescent="0.45">
      <c r="A143" s="5"/>
      <c r="B143" s="5"/>
      <c r="C143" s="9" t="str">
        <f>IF(B143="","",VLOOKUP(B143,'Student Roster'!A:C,2,FALSE))</f>
        <v/>
      </c>
      <c r="D143" s="9" t="str">
        <f>IF(B143="","",VLOOKUP(B143,'Student Roster'!A:C,3,FALSE))</f>
        <v/>
      </c>
      <c r="E143" s="9" t="str">
        <f>IF(B143="","",VLOOKUP(B143,'Student Roster'!A:D,4,FALSE))</f>
        <v/>
      </c>
      <c r="F143" s="5"/>
      <c r="G143" s="5"/>
      <c r="H143" s="5"/>
      <c r="I143" s="5"/>
      <c r="J143" s="5"/>
      <c r="K143" s="5"/>
      <c r="L143" s="11" t="str">
        <f t="shared" ca="1" si="20"/>
        <v/>
      </c>
      <c r="M143" s="11" t="str">
        <f t="shared" si="21"/>
        <v/>
      </c>
      <c r="N143" s="10" t="str">
        <f t="shared" si="22"/>
        <v/>
      </c>
      <c r="O143" s="5"/>
      <c r="P143" s="5"/>
      <c r="Q143" s="5"/>
      <c r="R143" s="5"/>
      <c r="S143" s="9" t="str">
        <f t="shared" ca="1" si="23"/>
        <v>OK</v>
      </c>
      <c r="T143" s="5"/>
      <c r="U143" s="5" t="str">
        <f t="shared" si="24"/>
        <v/>
      </c>
      <c r="V143" s="5"/>
      <c r="W143" t="str">
        <f ca="1">IF(AND(B143&lt;&gt;"",N143&lt;&gt;"",O143="",N143&gt;=TODAY(),N143&lt;=TODAY()+7),COUNTIFS(B$4:B143,"&lt;&gt;",N$4:N143,"&gt;="&amp;TODAY(),N$4:N143,"&lt;="&amp;TODAY()+7,O$4:O143,""),"")</f>
        <v/>
      </c>
    </row>
    <row r="144" spans="1:23" s="1" customFormat="1" ht="18" customHeight="1" x14ac:dyDescent="0.45">
      <c r="A144" s="7"/>
      <c r="B144" s="7"/>
      <c r="C144" s="9" t="str">
        <f>IF(B144="","",VLOOKUP(B144,'Student Roster'!A:C,2,FALSE))</f>
        <v/>
      </c>
      <c r="D144" s="9" t="str">
        <f>IF(B144="","",VLOOKUP(B144,'Student Roster'!A:C,3,FALSE))</f>
        <v/>
      </c>
      <c r="E144" s="9" t="str">
        <f>IF(B144="","",VLOOKUP(B144,'Student Roster'!A:D,4,FALSE))</f>
        <v/>
      </c>
      <c r="F144" s="7"/>
      <c r="G144" s="7"/>
      <c r="H144" s="7"/>
      <c r="I144" s="7"/>
      <c r="J144" s="7"/>
      <c r="K144" s="7"/>
      <c r="L144" s="11" t="str">
        <f t="shared" ca="1" si="20"/>
        <v/>
      </c>
      <c r="M144" s="11" t="str">
        <f t="shared" si="21"/>
        <v/>
      </c>
      <c r="N144" s="10" t="str">
        <f t="shared" si="22"/>
        <v/>
      </c>
      <c r="O144" s="7"/>
      <c r="P144" s="7"/>
      <c r="Q144" s="7"/>
      <c r="R144" s="7"/>
      <c r="S144" s="9" t="str">
        <f t="shared" ca="1" si="23"/>
        <v>OK</v>
      </c>
      <c r="T144" s="7"/>
      <c r="U144" s="7" t="str">
        <f t="shared" si="24"/>
        <v/>
      </c>
      <c r="V144" s="7"/>
      <c r="W144" t="str">
        <f ca="1">IF(AND(B144&lt;&gt;"",N144&lt;&gt;"",O144="",N144&gt;=TODAY(),N144&lt;=TODAY()+7),COUNTIFS(B$4:B144,"&lt;&gt;",N$4:N144,"&gt;="&amp;TODAY(),N$4:N144,"&lt;="&amp;TODAY()+7,O$4:O144,""),"")</f>
        <v/>
      </c>
    </row>
    <row r="145" spans="1:23" s="1" customFormat="1" ht="18" customHeight="1" x14ac:dyDescent="0.45">
      <c r="A145" s="5"/>
      <c r="B145" s="5"/>
      <c r="C145" s="9" t="str">
        <f>IF(B145="","",VLOOKUP(B145,'Student Roster'!A:C,2,FALSE))</f>
        <v/>
      </c>
      <c r="D145" s="9" t="str">
        <f>IF(B145="","",VLOOKUP(B145,'Student Roster'!A:C,3,FALSE))</f>
        <v/>
      </c>
      <c r="E145" s="9" t="str">
        <f>IF(B145="","",VLOOKUP(B145,'Student Roster'!A:D,4,FALSE))</f>
        <v/>
      </c>
      <c r="F145" s="5"/>
      <c r="G145" s="5"/>
      <c r="H145" s="5"/>
      <c r="I145" s="5"/>
      <c r="J145" s="5"/>
      <c r="K145" s="5"/>
      <c r="L145" s="11" t="str">
        <f t="shared" ca="1" si="20"/>
        <v/>
      </c>
      <c r="M145" s="11" t="str">
        <f t="shared" si="21"/>
        <v/>
      </c>
      <c r="N145" s="10" t="str">
        <f t="shared" si="22"/>
        <v/>
      </c>
      <c r="O145" s="5"/>
      <c r="P145" s="5"/>
      <c r="Q145" s="5"/>
      <c r="R145" s="5"/>
      <c r="S145" s="9" t="str">
        <f t="shared" ca="1" si="23"/>
        <v>OK</v>
      </c>
      <c r="T145" s="5"/>
      <c r="U145" s="5" t="str">
        <f t="shared" si="24"/>
        <v/>
      </c>
      <c r="V145" s="5"/>
      <c r="W145" t="str">
        <f ca="1">IF(AND(B145&lt;&gt;"",N145&lt;&gt;"",O145="",N145&gt;=TODAY(),N145&lt;=TODAY()+7),COUNTIFS(B$4:B145,"&lt;&gt;",N$4:N145,"&gt;="&amp;TODAY(),N$4:N145,"&lt;="&amp;TODAY()+7,O$4:O145,""),"")</f>
        <v/>
      </c>
    </row>
    <row r="146" spans="1:23" s="1" customFormat="1" ht="18" customHeight="1" x14ac:dyDescent="0.45">
      <c r="A146" s="7"/>
      <c r="B146" s="7"/>
      <c r="C146" s="9" t="str">
        <f>IF(B146="","",VLOOKUP(B146,'Student Roster'!A:C,2,FALSE))</f>
        <v/>
      </c>
      <c r="D146" s="9" t="str">
        <f>IF(B146="","",VLOOKUP(B146,'Student Roster'!A:C,3,FALSE))</f>
        <v/>
      </c>
      <c r="E146" s="9" t="str">
        <f>IF(B146="","",VLOOKUP(B146,'Student Roster'!A:D,4,FALSE))</f>
        <v/>
      </c>
      <c r="F146" s="7"/>
      <c r="G146" s="7"/>
      <c r="H146" s="7"/>
      <c r="I146" s="7"/>
      <c r="J146" s="7"/>
      <c r="K146" s="7"/>
      <c r="L146" s="11" t="str">
        <f t="shared" ca="1" si="20"/>
        <v/>
      </c>
      <c r="M146" s="11" t="str">
        <f t="shared" si="21"/>
        <v/>
      </c>
      <c r="N146" s="10" t="str">
        <f t="shared" si="22"/>
        <v/>
      </c>
      <c r="O146" s="7"/>
      <c r="P146" s="7"/>
      <c r="Q146" s="7"/>
      <c r="R146" s="7"/>
      <c r="S146" s="9" t="str">
        <f t="shared" ca="1" si="23"/>
        <v>OK</v>
      </c>
      <c r="T146" s="7"/>
      <c r="U146" s="7" t="str">
        <f t="shared" si="24"/>
        <v/>
      </c>
      <c r="V146" s="7"/>
      <c r="W146" t="str">
        <f ca="1">IF(AND(B146&lt;&gt;"",N146&lt;&gt;"",O146="",N146&gt;=TODAY(),N146&lt;=TODAY()+7),COUNTIFS(B$4:B146,"&lt;&gt;",N$4:N146,"&gt;="&amp;TODAY(),N$4:N146,"&lt;="&amp;TODAY()+7,O$4:O146,""),"")</f>
        <v/>
      </c>
    </row>
    <row r="147" spans="1:23" s="1" customFormat="1" ht="18" customHeight="1" x14ac:dyDescent="0.45">
      <c r="A147" s="5"/>
      <c r="B147" s="5"/>
      <c r="C147" s="9" t="str">
        <f>IF(B147="","",VLOOKUP(B147,'Student Roster'!A:C,2,FALSE))</f>
        <v/>
      </c>
      <c r="D147" s="9" t="str">
        <f>IF(B147="","",VLOOKUP(B147,'Student Roster'!A:C,3,FALSE))</f>
        <v/>
      </c>
      <c r="E147" s="9" t="str">
        <f>IF(B147="","",VLOOKUP(B147,'Student Roster'!A:D,4,FALSE))</f>
        <v/>
      </c>
      <c r="F147" s="5"/>
      <c r="G147" s="5"/>
      <c r="H147" s="5"/>
      <c r="I147" s="5"/>
      <c r="J147" s="5"/>
      <c r="K147" s="5"/>
      <c r="L147" s="11" t="str">
        <f t="shared" ca="1" si="20"/>
        <v/>
      </c>
      <c r="M147" s="11" t="str">
        <f t="shared" si="21"/>
        <v/>
      </c>
      <c r="N147" s="10" t="str">
        <f t="shared" si="22"/>
        <v/>
      </c>
      <c r="O147" s="5"/>
      <c r="P147" s="5"/>
      <c r="Q147" s="5"/>
      <c r="R147" s="5"/>
      <c r="S147" s="9" t="str">
        <f t="shared" ca="1" si="23"/>
        <v>OK</v>
      </c>
      <c r="T147" s="5"/>
      <c r="U147" s="5" t="str">
        <f t="shared" si="24"/>
        <v/>
      </c>
      <c r="V147" s="5"/>
      <c r="W147" t="str">
        <f ca="1">IF(AND(B147&lt;&gt;"",N147&lt;&gt;"",O147="",N147&gt;=TODAY(),N147&lt;=TODAY()+7),COUNTIFS(B$4:B147,"&lt;&gt;",N$4:N147,"&gt;="&amp;TODAY(),N$4:N147,"&lt;="&amp;TODAY()+7,O$4:O147,""),"")</f>
        <v/>
      </c>
    </row>
    <row r="148" spans="1:23" s="1" customFormat="1" ht="18" customHeight="1" x14ac:dyDescent="0.45">
      <c r="A148" s="7"/>
      <c r="B148" s="7"/>
      <c r="C148" s="9" t="str">
        <f>IF(B148="","",VLOOKUP(B148,'Student Roster'!A:C,2,FALSE))</f>
        <v/>
      </c>
      <c r="D148" s="9" t="str">
        <f>IF(B148="","",VLOOKUP(B148,'Student Roster'!A:C,3,FALSE))</f>
        <v/>
      </c>
      <c r="E148" s="9" t="str">
        <f>IF(B148="","",VLOOKUP(B148,'Student Roster'!A:D,4,FALSE))</f>
        <v/>
      </c>
      <c r="F148" s="7"/>
      <c r="G148" s="7"/>
      <c r="H148" s="7"/>
      <c r="I148" s="7"/>
      <c r="J148" s="7"/>
      <c r="K148" s="7"/>
      <c r="L148" s="11" t="str">
        <f t="shared" ca="1" si="20"/>
        <v/>
      </c>
      <c r="M148" s="11" t="str">
        <f t="shared" si="21"/>
        <v/>
      </c>
      <c r="N148" s="10" t="str">
        <f t="shared" si="22"/>
        <v/>
      </c>
      <c r="O148" s="7"/>
      <c r="P148" s="7"/>
      <c r="Q148" s="7"/>
      <c r="R148" s="7"/>
      <c r="S148" s="9" t="str">
        <f t="shared" ca="1" si="23"/>
        <v>OK</v>
      </c>
      <c r="T148" s="7"/>
      <c r="U148" s="7" t="str">
        <f t="shared" si="24"/>
        <v/>
      </c>
      <c r="V148" s="7"/>
      <c r="W148" t="str">
        <f ca="1">IF(AND(B148&lt;&gt;"",N148&lt;&gt;"",O148="",N148&gt;=TODAY(),N148&lt;=TODAY()+7),COUNTIFS(B$4:B148,"&lt;&gt;",N$4:N148,"&gt;="&amp;TODAY(),N$4:N148,"&lt;="&amp;TODAY()+7,O$4:O148,""),"")</f>
        <v/>
      </c>
    </row>
    <row r="149" spans="1:23" s="1" customFormat="1" ht="18" customHeight="1" x14ac:dyDescent="0.45">
      <c r="A149" s="5"/>
      <c r="B149" s="5"/>
      <c r="C149" s="9" t="str">
        <f>IF(B149="","",VLOOKUP(B149,'Student Roster'!A:C,2,FALSE))</f>
        <v/>
      </c>
      <c r="D149" s="9" t="str">
        <f>IF(B149="","",VLOOKUP(B149,'Student Roster'!A:C,3,FALSE))</f>
        <v/>
      </c>
      <c r="E149" s="9" t="str">
        <f>IF(B149="","",VLOOKUP(B149,'Student Roster'!A:D,4,FALSE))</f>
        <v/>
      </c>
      <c r="F149" s="5"/>
      <c r="G149" s="5"/>
      <c r="H149" s="5"/>
      <c r="I149" s="5"/>
      <c r="J149" s="5"/>
      <c r="K149" s="5"/>
      <c r="L149" s="11" t="str">
        <f t="shared" ca="1" si="20"/>
        <v/>
      </c>
      <c r="M149" s="11" t="str">
        <f t="shared" si="21"/>
        <v/>
      </c>
      <c r="N149" s="10" t="str">
        <f t="shared" si="22"/>
        <v/>
      </c>
      <c r="O149" s="5"/>
      <c r="P149" s="5"/>
      <c r="Q149" s="5"/>
      <c r="R149" s="5"/>
      <c r="S149" s="9" t="str">
        <f t="shared" ca="1" si="23"/>
        <v>OK</v>
      </c>
      <c r="T149" s="5"/>
      <c r="U149" s="5" t="str">
        <f t="shared" si="24"/>
        <v/>
      </c>
      <c r="V149" s="5"/>
      <c r="W149" t="str">
        <f ca="1">IF(AND(B149&lt;&gt;"",N149&lt;&gt;"",O149="",N149&gt;=TODAY(),N149&lt;=TODAY()+7),COUNTIFS(B$4:B149,"&lt;&gt;",N$4:N149,"&gt;="&amp;TODAY(),N$4:N149,"&lt;="&amp;TODAY()+7,O$4:O149,""),"")</f>
        <v/>
      </c>
    </row>
    <row r="150" spans="1:23" s="1" customFormat="1" ht="18" customHeight="1" x14ac:dyDescent="0.45">
      <c r="A150" s="7"/>
      <c r="B150" s="7"/>
      <c r="C150" s="9" t="str">
        <f>IF(B150="","",VLOOKUP(B150,'Student Roster'!A:C,2,FALSE))</f>
        <v/>
      </c>
      <c r="D150" s="9" t="str">
        <f>IF(B150="","",VLOOKUP(B150,'Student Roster'!A:C,3,FALSE))</f>
        <v/>
      </c>
      <c r="E150" s="9" t="str">
        <f>IF(B150="","",VLOOKUP(B150,'Student Roster'!A:D,4,FALSE))</f>
        <v/>
      </c>
      <c r="F150" s="7"/>
      <c r="G150" s="7"/>
      <c r="H150" s="7"/>
      <c r="I150" s="7"/>
      <c r="J150" s="7"/>
      <c r="K150" s="7"/>
      <c r="L150" s="11" t="str">
        <f t="shared" ca="1" si="20"/>
        <v/>
      </c>
      <c r="M150" s="11" t="str">
        <f t="shared" si="21"/>
        <v/>
      </c>
      <c r="N150" s="10" t="str">
        <f t="shared" si="22"/>
        <v/>
      </c>
      <c r="O150" s="7"/>
      <c r="P150" s="7"/>
      <c r="Q150" s="7"/>
      <c r="R150" s="7"/>
      <c r="S150" s="9" t="str">
        <f t="shared" ca="1" si="23"/>
        <v>OK</v>
      </c>
      <c r="T150" s="7"/>
      <c r="U150" s="7" t="str">
        <f t="shared" si="24"/>
        <v/>
      </c>
      <c r="V150" s="7"/>
      <c r="W150" t="str">
        <f ca="1">IF(AND(B150&lt;&gt;"",N150&lt;&gt;"",O150="",N150&gt;=TODAY(),N150&lt;=TODAY()+7),COUNTIFS(B$4:B150,"&lt;&gt;",N$4:N150,"&gt;="&amp;TODAY(),N$4:N150,"&lt;="&amp;TODAY()+7,O$4:O150,""),"")</f>
        <v/>
      </c>
    </row>
    <row r="151" spans="1:23" s="1" customFormat="1" ht="18" customHeight="1" x14ac:dyDescent="0.45">
      <c r="A151" s="5"/>
      <c r="B151" s="5"/>
      <c r="C151" s="9" t="str">
        <f>IF(B151="","",VLOOKUP(B151,'Student Roster'!A:C,2,FALSE))</f>
        <v/>
      </c>
      <c r="D151" s="9" t="str">
        <f>IF(B151="","",VLOOKUP(B151,'Student Roster'!A:C,3,FALSE))</f>
        <v/>
      </c>
      <c r="E151" s="9" t="str">
        <f>IF(B151="","",VLOOKUP(B151,'Student Roster'!A:D,4,FALSE))</f>
        <v/>
      </c>
      <c r="F151" s="5"/>
      <c r="G151" s="5"/>
      <c r="H151" s="5"/>
      <c r="I151" s="5"/>
      <c r="J151" s="5"/>
      <c r="K151" s="5"/>
      <c r="L151" s="11" t="str">
        <f t="shared" ca="1" si="20"/>
        <v/>
      </c>
      <c r="M151" s="11" t="str">
        <f t="shared" si="21"/>
        <v/>
      </c>
      <c r="N151" s="10" t="str">
        <f t="shared" si="22"/>
        <v/>
      </c>
      <c r="O151" s="5"/>
      <c r="P151" s="5"/>
      <c r="Q151" s="5"/>
      <c r="R151" s="5"/>
      <c r="S151" s="9" t="str">
        <f t="shared" ca="1" si="23"/>
        <v>OK</v>
      </c>
      <c r="T151" s="5"/>
      <c r="U151" s="5" t="str">
        <f t="shared" si="24"/>
        <v/>
      </c>
      <c r="V151" s="5"/>
      <c r="W151" t="str">
        <f ca="1">IF(AND(B151&lt;&gt;"",N151&lt;&gt;"",O151="",N151&gt;=TODAY(),N151&lt;=TODAY()+7),COUNTIFS(B$4:B151,"&lt;&gt;",N$4:N151,"&gt;="&amp;TODAY(),N$4:N151,"&lt;="&amp;TODAY()+7,O$4:O151,""),"")</f>
        <v/>
      </c>
    </row>
    <row r="152" spans="1:23" s="1" customFormat="1" ht="18" customHeight="1" x14ac:dyDescent="0.45">
      <c r="A152" s="7"/>
      <c r="B152" s="7"/>
      <c r="C152" s="9" t="str">
        <f>IF(B152="","",VLOOKUP(B152,'Student Roster'!A:C,2,FALSE))</f>
        <v/>
      </c>
      <c r="D152" s="9" t="str">
        <f>IF(B152="","",VLOOKUP(B152,'Student Roster'!A:C,3,FALSE))</f>
        <v/>
      </c>
      <c r="E152" s="9" t="str">
        <f>IF(B152="","",VLOOKUP(B152,'Student Roster'!A:D,4,FALSE))</f>
        <v/>
      </c>
      <c r="F152" s="7"/>
      <c r="G152" s="7"/>
      <c r="H152" s="7"/>
      <c r="I152" s="7"/>
      <c r="J152" s="7"/>
      <c r="K152" s="7"/>
      <c r="L152" s="11" t="str">
        <f t="shared" ca="1" si="20"/>
        <v/>
      </c>
      <c r="M152" s="11" t="str">
        <f t="shared" si="21"/>
        <v/>
      </c>
      <c r="N152" s="10" t="str">
        <f t="shared" si="22"/>
        <v/>
      </c>
      <c r="O152" s="7"/>
      <c r="P152" s="7"/>
      <c r="Q152" s="7"/>
      <c r="R152" s="7"/>
      <c r="S152" s="9" t="str">
        <f t="shared" ca="1" si="23"/>
        <v>OK</v>
      </c>
      <c r="T152" s="7"/>
      <c r="U152" s="7" t="str">
        <f t="shared" si="24"/>
        <v/>
      </c>
      <c r="V152" s="7"/>
      <c r="W152" t="str">
        <f ca="1">IF(AND(B152&lt;&gt;"",N152&lt;&gt;"",O152="",N152&gt;=TODAY(),N152&lt;=TODAY()+7),COUNTIFS(B$4:B152,"&lt;&gt;",N$4:N152,"&gt;="&amp;TODAY(),N$4:N152,"&lt;="&amp;TODAY()+7,O$4:O152,""),"")</f>
        <v/>
      </c>
    </row>
    <row r="153" spans="1:23" s="1" customFormat="1" ht="18" customHeight="1" x14ac:dyDescent="0.45">
      <c r="A153" s="5"/>
      <c r="B153" s="5"/>
      <c r="C153" s="9" t="str">
        <f>IF(B153="","",VLOOKUP(B153,'Student Roster'!A:C,2,FALSE))</f>
        <v/>
      </c>
      <c r="D153" s="9" t="str">
        <f>IF(B153="","",VLOOKUP(B153,'Student Roster'!A:C,3,FALSE))</f>
        <v/>
      </c>
      <c r="E153" s="9" t="str">
        <f>IF(B153="","",VLOOKUP(B153,'Student Roster'!A:D,4,FALSE))</f>
        <v/>
      </c>
      <c r="F153" s="5"/>
      <c r="G153" s="5"/>
      <c r="H153" s="5"/>
      <c r="I153" s="5"/>
      <c r="J153" s="5"/>
      <c r="K153" s="5"/>
      <c r="L153" s="11" t="str">
        <f t="shared" ca="1" si="20"/>
        <v/>
      </c>
      <c r="M153" s="11" t="str">
        <f t="shared" si="21"/>
        <v/>
      </c>
      <c r="N153" s="10" t="str">
        <f t="shared" si="22"/>
        <v/>
      </c>
      <c r="O153" s="5"/>
      <c r="P153" s="5"/>
      <c r="Q153" s="5"/>
      <c r="R153" s="5"/>
      <c r="S153" s="9" t="str">
        <f t="shared" ca="1" si="23"/>
        <v>OK</v>
      </c>
      <c r="T153" s="5"/>
      <c r="U153" s="5" t="str">
        <f t="shared" si="24"/>
        <v/>
      </c>
      <c r="V153" s="5"/>
      <c r="W153" t="str">
        <f ca="1">IF(AND(B153&lt;&gt;"",N153&lt;&gt;"",O153="",N153&gt;=TODAY(),N153&lt;=TODAY()+7),COUNTIFS(B$4:B153,"&lt;&gt;",N$4:N153,"&gt;="&amp;TODAY(),N$4:N153,"&lt;="&amp;TODAY()+7,O$4:O153,""),"")</f>
        <v/>
      </c>
    </row>
    <row r="154" spans="1:23" s="1" customFormat="1" ht="18" customHeight="1" x14ac:dyDescent="0.45">
      <c r="A154" s="7"/>
      <c r="B154" s="7"/>
      <c r="C154" s="9" t="str">
        <f>IF(B154="","",VLOOKUP(B154,'Student Roster'!A:C,2,FALSE))</f>
        <v/>
      </c>
      <c r="D154" s="9" t="str">
        <f>IF(B154="","",VLOOKUP(B154,'Student Roster'!A:C,3,FALSE))</f>
        <v/>
      </c>
      <c r="E154" s="9" t="str">
        <f>IF(B154="","",VLOOKUP(B154,'Student Roster'!A:D,4,FALSE))</f>
        <v/>
      </c>
      <c r="F154" s="7"/>
      <c r="G154" s="7"/>
      <c r="H154" s="7"/>
      <c r="I154" s="7"/>
      <c r="J154" s="7"/>
      <c r="K154" s="7"/>
      <c r="L154" s="11" t="str">
        <f t="shared" ca="1" si="20"/>
        <v/>
      </c>
      <c r="M154" s="11" t="str">
        <f t="shared" si="21"/>
        <v/>
      </c>
      <c r="N154" s="10" t="str">
        <f t="shared" si="22"/>
        <v/>
      </c>
      <c r="O154" s="7"/>
      <c r="P154" s="7"/>
      <c r="Q154" s="7"/>
      <c r="R154" s="7"/>
      <c r="S154" s="9" t="str">
        <f t="shared" ca="1" si="23"/>
        <v>OK</v>
      </c>
      <c r="T154" s="7"/>
      <c r="U154" s="7" t="str">
        <f t="shared" si="24"/>
        <v/>
      </c>
      <c r="V154" s="7"/>
      <c r="W154" t="str">
        <f ca="1">IF(AND(B154&lt;&gt;"",N154&lt;&gt;"",O154="",N154&gt;=TODAY(),N154&lt;=TODAY()+7),COUNTIFS(B$4:B154,"&lt;&gt;",N$4:N154,"&gt;="&amp;TODAY(),N$4:N154,"&lt;="&amp;TODAY()+7,O$4:O154,""),"")</f>
        <v/>
      </c>
    </row>
    <row r="155" spans="1:23" s="1" customFormat="1" ht="18" customHeight="1" x14ac:dyDescent="0.45">
      <c r="A155" s="5"/>
      <c r="B155" s="5"/>
      <c r="C155" s="9" t="str">
        <f>IF(B155="","",VLOOKUP(B155,'Student Roster'!A:C,2,FALSE))</f>
        <v/>
      </c>
      <c r="D155" s="9" t="str">
        <f>IF(B155="","",VLOOKUP(B155,'Student Roster'!A:C,3,FALSE))</f>
        <v/>
      </c>
      <c r="E155" s="9" t="str">
        <f>IF(B155="","",VLOOKUP(B155,'Student Roster'!A:D,4,FALSE))</f>
        <v/>
      </c>
      <c r="F155" s="5"/>
      <c r="G155" s="5"/>
      <c r="H155" s="5"/>
      <c r="I155" s="5"/>
      <c r="J155" s="5"/>
      <c r="K155" s="5"/>
      <c r="L155" s="11" t="str">
        <f t="shared" ca="1" si="20"/>
        <v/>
      </c>
      <c r="M155" s="11" t="str">
        <f t="shared" si="21"/>
        <v/>
      </c>
      <c r="N155" s="10" t="str">
        <f t="shared" si="22"/>
        <v/>
      </c>
      <c r="O155" s="5"/>
      <c r="P155" s="5"/>
      <c r="Q155" s="5"/>
      <c r="R155" s="5"/>
      <c r="S155" s="9" t="str">
        <f t="shared" ca="1" si="23"/>
        <v>OK</v>
      </c>
      <c r="T155" s="5"/>
      <c r="U155" s="5" t="str">
        <f t="shared" si="24"/>
        <v/>
      </c>
      <c r="V155" s="5"/>
      <c r="W155" t="str">
        <f ca="1">IF(AND(B155&lt;&gt;"",N155&lt;&gt;"",O155="",N155&gt;=TODAY(),N155&lt;=TODAY()+7),COUNTIFS(B$4:B155,"&lt;&gt;",N$4:N155,"&gt;="&amp;TODAY(),N$4:N155,"&lt;="&amp;TODAY()+7,O$4:O155,""),"")</f>
        <v/>
      </c>
    </row>
    <row r="156" spans="1:23" s="1" customFormat="1" ht="18" customHeight="1" x14ac:dyDescent="0.45">
      <c r="A156" s="7"/>
      <c r="B156" s="7"/>
      <c r="C156" s="9" t="str">
        <f>IF(B156="","",VLOOKUP(B156,'Student Roster'!A:C,2,FALSE))</f>
        <v/>
      </c>
      <c r="D156" s="9" t="str">
        <f>IF(B156="","",VLOOKUP(B156,'Student Roster'!A:C,3,FALSE))</f>
        <v/>
      </c>
      <c r="E156" s="9" t="str">
        <f>IF(B156="","",VLOOKUP(B156,'Student Roster'!A:D,4,FALSE))</f>
        <v/>
      </c>
      <c r="F156" s="7"/>
      <c r="G156" s="7"/>
      <c r="H156" s="7"/>
      <c r="I156" s="7"/>
      <c r="J156" s="7"/>
      <c r="K156" s="7"/>
      <c r="L156" s="11" t="str">
        <f t="shared" ca="1" si="20"/>
        <v/>
      </c>
      <c r="M156" s="11" t="str">
        <f t="shared" si="21"/>
        <v/>
      </c>
      <c r="N156" s="10" t="str">
        <f t="shared" si="22"/>
        <v/>
      </c>
      <c r="O156" s="7"/>
      <c r="P156" s="7"/>
      <c r="Q156" s="7"/>
      <c r="R156" s="7"/>
      <c r="S156" s="9" t="str">
        <f t="shared" ca="1" si="23"/>
        <v>OK</v>
      </c>
      <c r="T156" s="7"/>
      <c r="U156" s="7" t="str">
        <f t="shared" si="24"/>
        <v/>
      </c>
      <c r="V156" s="7"/>
      <c r="W156" t="str">
        <f ca="1">IF(AND(B156&lt;&gt;"",N156&lt;&gt;"",O156="",N156&gt;=TODAY(),N156&lt;=TODAY()+7),COUNTIFS(B$4:B156,"&lt;&gt;",N$4:N156,"&gt;="&amp;TODAY(),N$4:N156,"&lt;="&amp;TODAY()+7,O$4:O156,""),"")</f>
        <v/>
      </c>
    </row>
    <row r="157" spans="1:23" s="1" customFormat="1" ht="18" customHeight="1" x14ac:dyDescent="0.45">
      <c r="A157" s="5"/>
      <c r="B157" s="5"/>
      <c r="C157" s="9" t="str">
        <f>IF(B157="","",VLOOKUP(B157,'Student Roster'!A:C,2,FALSE))</f>
        <v/>
      </c>
      <c r="D157" s="9" t="str">
        <f>IF(B157="","",VLOOKUP(B157,'Student Roster'!A:C,3,FALSE))</f>
        <v/>
      </c>
      <c r="E157" s="9" t="str">
        <f>IF(B157="","",VLOOKUP(B157,'Student Roster'!A:D,4,FALSE))</f>
        <v/>
      </c>
      <c r="F157" s="5"/>
      <c r="G157" s="5"/>
      <c r="H157" s="5"/>
      <c r="I157" s="5"/>
      <c r="J157" s="5"/>
      <c r="K157" s="5"/>
      <c r="L157" s="11" t="str">
        <f t="shared" ca="1" si="20"/>
        <v/>
      </c>
      <c r="M157" s="11" t="str">
        <f t="shared" si="21"/>
        <v/>
      </c>
      <c r="N157" s="10" t="str">
        <f t="shared" si="22"/>
        <v/>
      </c>
      <c r="O157" s="5"/>
      <c r="P157" s="5"/>
      <c r="Q157" s="5"/>
      <c r="R157" s="5"/>
      <c r="S157" s="9" t="str">
        <f t="shared" ca="1" si="23"/>
        <v>OK</v>
      </c>
      <c r="T157" s="5"/>
      <c r="U157" s="5" t="str">
        <f t="shared" si="24"/>
        <v/>
      </c>
      <c r="V157" s="5"/>
      <c r="W157" t="str">
        <f ca="1">IF(AND(B157&lt;&gt;"",N157&lt;&gt;"",O157="",N157&gt;=TODAY(),N157&lt;=TODAY()+7),COUNTIFS(B$4:B157,"&lt;&gt;",N$4:N157,"&gt;="&amp;TODAY(),N$4:N157,"&lt;="&amp;TODAY()+7,O$4:O157,""),"")</f>
        <v/>
      </c>
    </row>
    <row r="158" spans="1:23" s="1" customFormat="1" ht="18" customHeight="1" x14ac:dyDescent="0.45">
      <c r="A158" s="7"/>
      <c r="B158" s="7"/>
      <c r="C158" s="9" t="str">
        <f>IF(B158="","",VLOOKUP(B158,'Student Roster'!A:C,2,FALSE))</f>
        <v/>
      </c>
      <c r="D158" s="9" t="str">
        <f>IF(B158="","",VLOOKUP(B158,'Student Roster'!A:C,3,FALSE))</f>
        <v/>
      </c>
      <c r="E158" s="9" t="str">
        <f>IF(B158="","",VLOOKUP(B158,'Student Roster'!A:D,4,FALSE))</f>
        <v/>
      </c>
      <c r="F158" s="7"/>
      <c r="G158" s="7"/>
      <c r="H158" s="7"/>
      <c r="I158" s="7"/>
      <c r="J158" s="7"/>
      <c r="K158" s="7"/>
      <c r="L158" s="11" t="str">
        <f t="shared" ca="1" si="20"/>
        <v/>
      </c>
      <c r="M158" s="11" t="str">
        <f t="shared" si="21"/>
        <v/>
      </c>
      <c r="N158" s="10" t="str">
        <f t="shared" si="22"/>
        <v/>
      </c>
      <c r="O158" s="7"/>
      <c r="P158" s="7"/>
      <c r="Q158" s="7"/>
      <c r="R158" s="7"/>
      <c r="S158" s="9" t="str">
        <f t="shared" ca="1" si="23"/>
        <v>OK</v>
      </c>
      <c r="T158" s="7"/>
      <c r="U158" s="7" t="str">
        <f t="shared" si="24"/>
        <v/>
      </c>
      <c r="V158" s="7"/>
      <c r="W158" t="str">
        <f ca="1">IF(AND(B158&lt;&gt;"",N158&lt;&gt;"",O158="",N158&gt;=TODAY(),N158&lt;=TODAY()+7),COUNTIFS(B$4:B158,"&lt;&gt;",N$4:N158,"&gt;="&amp;TODAY(),N$4:N158,"&lt;="&amp;TODAY()+7,O$4:O158,""),"")</f>
        <v/>
      </c>
    </row>
    <row r="159" spans="1:23" s="1" customFormat="1" ht="18" customHeight="1" x14ac:dyDescent="0.45">
      <c r="A159" s="5"/>
      <c r="B159" s="5"/>
      <c r="C159" s="9" t="str">
        <f>IF(B159="","",VLOOKUP(B159,'Student Roster'!A:C,2,FALSE))</f>
        <v/>
      </c>
      <c r="D159" s="9" t="str">
        <f>IF(B159="","",VLOOKUP(B159,'Student Roster'!A:C,3,FALSE))</f>
        <v/>
      </c>
      <c r="E159" s="9" t="str">
        <f>IF(B159="","",VLOOKUP(B159,'Student Roster'!A:D,4,FALSE))</f>
        <v/>
      </c>
      <c r="F159" s="5"/>
      <c r="G159" s="5"/>
      <c r="H159" s="5"/>
      <c r="I159" s="5"/>
      <c r="J159" s="5"/>
      <c r="K159" s="5"/>
      <c r="L159" s="11" t="str">
        <f t="shared" ca="1" si="20"/>
        <v/>
      </c>
      <c r="M159" s="11" t="str">
        <f t="shared" si="21"/>
        <v/>
      </c>
      <c r="N159" s="10" t="str">
        <f t="shared" si="22"/>
        <v/>
      </c>
      <c r="O159" s="5"/>
      <c r="P159" s="5"/>
      <c r="Q159" s="5"/>
      <c r="R159" s="5"/>
      <c r="S159" s="9" t="str">
        <f t="shared" ca="1" si="23"/>
        <v>OK</v>
      </c>
      <c r="T159" s="5"/>
      <c r="U159" s="5" t="str">
        <f t="shared" si="24"/>
        <v/>
      </c>
      <c r="V159" s="5"/>
      <c r="W159" t="str">
        <f ca="1">IF(AND(B159&lt;&gt;"",N159&lt;&gt;"",O159="",N159&gt;=TODAY(),N159&lt;=TODAY()+7),COUNTIFS(B$4:B159,"&lt;&gt;",N$4:N159,"&gt;="&amp;TODAY(),N$4:N159,"&lt;="&amp;TODAY()+7,O$4:O159,""),"")</f>
        <v/>
      </c>
    </row>
    <row r="160" spans="1:23" s="1" customFormat="1" ht="18" customHeight="1" x14ac:dyDescent="0.45">
      <c r="A160" s="7"/>
      <c r="B160" s="7"/>
      <c r="C160" s="9" t="str">
        <f>IF(B160="","",VLOOKUP(B160,'Student Roster'!A:C,2,FALSE))</f>
        <v/>
      </c>
      <c r="D160" s="9" t="str">
        <f>IF(B160="","",VLOOKUP(B160,'Student Roster'!A:C,3,FALSE))</f>
        <v/>
      </c>
      <c r="E160" s="9" t="str">
        <f>IF(B160="","",VLOOKUP(B160,'Student Roster'!A:D,4,FALSE))</f>
        <v/>
      </c>
      <c r="F160" s="7"/>
      <c r="G160" s="7"/>
      <c r="H160" s="7"/>
      <c r="I160" s="7"/>
      <c r="J160" s="7"/>
      <c r="K160" s="7"/>
      <c r="L160" s="11" t="str">
        <f t="shared" ca="1" si="20"/>
        <v/>
      </c>
      <c r="M160" s="11" t="str">
        <f t="shared" si="21"/>
        <v/>
      </c>
      <c r="N160" s="10" t="str">
        <f t="shared" si="22"/>
        <v/>
      </c>
      <c r="O160" s="7"/>
      <c r="P160" s="7"/>
      <c r="Q160" s="7"/>
      <c r="R160" s="7"/>
      <c r="S160" s="9" t="str">
        <f t="shared" ca="1" si="23"/>
        <v>OK</v>
      </c>
      <c r="T160" s="7"/>
      <c r="U160" s="7" t="str">
        <f t="shared" si="24"/>
        <v/>
      </c>
      <c r="V160" s="7"/>
      <c r="W160" t="str">
        <f ca="1">IF(AND(B160&lt;&gt;"",N160&lt;&gt;"",O160="",N160&gt;=TODAY(),N160&lt;=TODAY()+7),COUNTIFS(B$4:B160,"&lt;&gt;",N$4:N160,"&gt;="&amp;TODAY(),N$4:N160,"&lt;="&amp;TODAY()+7,O$4:O160,""),"")</f>
        <v/>
      </c>
    </row>
    <row r="161" spans="1:23" s="1" customFormat="1" ht="18" customHeight="1" x14ac:dyDescent="0.45">
      <c r="A161" s="5"/>
      <c r="B161" s="5"/>
      <c r="C161" s="9" t="str">
        <f>IF(B161="","",VLOOKUP(B161,'Student Roster'!A:C,2,FALSE))</f>
        <v/>
      </c>
      <c r="D161" s="9" t="str">
        <f>IF(B161="","",VLOOKUP(B161,'Student Roster'!A:C,3,FALSE))</f>
        <v/>
      </c>
      <c r="E161" s="9" t="str">
        <f>IF(B161="","",VLOOKUP(B161,'Student Roster'!A:D,4,FALSE))</f>
        <v/>
      </c>
      <c r="F161" s="5"/>
      <c r="G161" s="5"/>
      <c r="H161" s="5"/>
      <c r="I161" s="5"/>
      <c r="J161" s="5"/>
      <c r="K161" s="5"/>
      <c r="L161" s="11" t="str">
        <f t="shared" ca="1" si="20"/>
        <v/>
      </c>
      <c r="M161" s="11" t="str">
        <f t="shared" si="21"/>
        <v/>
      </c>
      <c r="N161" s="10" t="str">
        <f t="shared" si="22"/>
        <v/>
      </c>
      <c r="O161" s="5"/>
      <c r="P161" s="5"/>
      <c r="Q161" s="5"/>
      <c r="R161" s="5"/>
      <c r="S161" s="9" t="str">
        <f t="shared" ca="1" si="23"/>
        <v>OK</v>
      </c>
      <c r="T161" s="5"/>
      <c r="U161" s="5" t="str">
        <f t="shared" si="24"/>
        <v/>
      </c>
      <c r="V161" s="5"/>
      <c r="W161" t="str">
        <f ca="1">IF(AND(B161&lt;&gt;"",N161&lt;&gt;"",O161="",N161&gt;=TODAY(),N161&lt;=TODAY()+7),COUNTIFS(B$4:B161,"&lt;&gt;",N$4:N161,"&gt;="&amp;TODAY(),N$4:N161,"&lt;="&amp;TODAY()+7,O$4:O161,""),"")</f>
        <v/>
      </c>
    </row>
    <row r="162" spans="1:23" s="1" customFormat="1" ht="18" customHeight="1" x14ac:dyDescent="0.45">
      <c r="A162" s="7"/>
      <c r="B162" s="7"/>
      <c r="C162" s="9" t="str">
        <f>IF(B162="","",VLOOKUP(B162,'Student Roster'!A:C,2,FALSE))</f>
        <v/>
      </c>
      <c r="D162" s="9" t="str">
        <f>IF(B162="","",VLOOKUP(B162,'Student Roster'!A:C,3,FALSE))</f>
        <v/>
      </c>
      <c r="E162" s="9" t="str">
        <f>IF(B162="","",VLOOKUP(B162,'Student Roster'!A:D,4,FALSE))</f>
        <v/>
      </c>
      <c r="F162" s="7"/>
      <c r="G162" s="7"/>
      <c r="H162" s="7"/>
      <c r="I162" s="7"/>
      <c r="J162" s="7"/>
      <c r="K162" s="7"/>
      <c r="L162" s="11" t="str">
        <f t="shared" ca="1" si="20"/>
        <v/>
      </c>
      <c r="M162" s="11" t="str">
        <f t="shared" si="21"/>
        <v/>
      </c>
      <c r="N162" s="10" t="str">
        <f t="shared" si="22"/>
        <v/>
      </c>
      <c r="O162" s="7"/>
      <c r="P162" s="7"/>
      <c r="Q162" s="7"/>
      <c r="R162" s="7"/>
      <c r="S162" s="9" t="str">
        <f t="shared" ca="1" si="23"/>
        <v>OK</v>
      </c>
      <c r="T162" s="7"/>
      <c r="U162" s="7" t="str">
        <f t="shared" si="24"/>
        <v/>
      </c>
      <c r="V162" s="7"/>
      <c r="W162" t="str">
        <f ca="1">IF(AND(B162&lt;&gt;"",N162&lt;&gt;"",O162="",N162&gt;=TODAY(),N162&lt;=TODAY()+7),COUNTIFS(B$4:B162,"&lt;&gt;",N$4:N162,"&gt;="&amp;TODAY(),N$4:N162,"&lt;="&amp;TODAY()+7,O$4:O162,""),"")</f>
        <v/>
      </c>
    </row>
    <row r="163" spans="1:23" s="1" customFormat="1" ht="18" customHeight="1" x14ac:dyDescent="0.45">
      <c r="A163" s="5"/>
      <c r="B163" s="5"/>
      <c r="C163" s="9" t="str">
        <f>IF(B163="","",VLOOKUP(B163,'Student Roster'!A:C,2,FALSE))</f>
        <v/>
      </c>
      <c r="D163" s="9" t="str">
        <f>IF(B163="","",VLOOKUP(B163,'Student Roster'!A:C,3,FALSE))</f>
        <v/>
      </c>
      <c r="E163" s="9" t="str">
        <f>IF(B163="","",VLOOKUP(B163,'Student Roster'!A:D,4,FALSE))</f>
        <v/>
      </c>
      <c r="F163" s="5"/>
      <c r="G163" s="5"/>
      <c r="H163" s="5"/>
      <c r="I163" s="5"/>
      <c r="J163" s="5"/>
      <c r="K163" s="5"/>
      <c r="L163" s="11" t="str">
        <f t="shared" ca="1" si="20"/>
        <v/>
      </c>
      <c r="M163" s="11" t="str">
        <f t="shared" si="21"/>
        <v/>
      </c>
      <c r="N163" s="10" t="str">
        <f t="shared" si="22"/>
        <v/>
      </c>
      <c r="O163" s="5"/>
      <c r="P163" s="5"/>
      <c r="Q163" s="5"/>
      <c r="R163" s="5"/>
      <c r="S163" s="9" t="str">
        <f t="shared" ca="1" si="23"/>
        <v>OK</v>
      </c>
      <c r="T163" s="5"/>
      <c r="U163" s="5" t="str">
        <f t="shared" si="24"/>
        <v/>
      </c>
      <c r="V163" s="5"/>
      <c r="W163" t="str">
        <f ca="1">IF(AND(B163&lt;&gt;"",N163&lt;&gt;"",O163="",N163&gt;=TODAY(),N163&lt;=TODAY()+7),COUNTIFS(B$4:B163,"&lt;&gt;",N$4:N163,"&gt;="&amp;TODAY(),N$4:N163,"&lt;="&amp;TODAY()+7,O$4:O163,""),"")</f>
        <v/>
      </c>
    </row>
    <row r="164" spans="1:23" s="1" customFormat="1" ht="18" customHeight="1" x14ac:dyDescent="0.45">
      <c r="A164" s="7"/>
      <c r="B164" s="7"/>
      <c r="C164" s="9" t="str">
        <f>IF(B164="","",VLOOKUP(B164,'Student Roster'!A:C,2,FALSE))</f>
        <v/>
      </c>
      <c r="D164" s="9" t="str">
        <f>IF(B164="","",VLOOKUP(B164,'Student Roster'!A:C,3,FALSE))</f>
        <v/>
      </c>
      <c r="E164" s="9" t="str">
        <f>IF(B164="","",VLOOKUP(B164,'Student Roster'!A:D,4,FALSE))</f>
        <v/>
      </c>
      <c r="F164" s="7"/>
      <c r="G164" s="7"/>
      <c r="H164" s="7"/>
      <c r="I164" s="7"/>
      <c r="J164" s="7"/>
      <c r="K164" s="7"/>
      <c r="L164" s="11" t="str">
        <f t="shared" ref="L164:L195" ca="1" si="25">IF(J164="","",IF(O164="",TODAY()-J164,O164-J164))</f>
        <v/>
      </c>
      <c r="M164" s="11" t="str">
        <f t="shared" ref="M164:M195" si="26">IF(J164="","",MAX(0,K164-L164))</f>
        <v/>
      </c>
      <c r="N164" s="10" t="str">
        <f t="shared" ref="N164:N195" si="27">IF(J164="","",J164+K164)</f>
        <v/>
      </c>
      <c r="O164" s="7"/>
      <c r="P164" s="7"/>
      <c r="Q164" s="7"/>
      <c r="R164" s="7"/>
      <c r="S164" s="9" t="str">
        <f t="shared" ref="S164:S195" ca="1" si="28">IF(AND(R164="Yes",L164&gt;=8),"⚠ APPROACHING 10-DAY","OK")</f>
        <v>OK</v>
      </c>
      <c r="T164" s="7"/>
      <c r="U164" s="7" t="str">
        <f t="shared" ref="U164:U195" si="29">IF(J164="","",IF(AND(T164="Yes",L164&lt;=K164),"Complete",IF(L164&gt;K164,"⚠ OVERDUE","In Progress")))</f>
        <v/>
      </c>
      <c r="V164" s="7"/>
      <c r="W164" t="str">
        <f ca="1">IF(AND(B164&lt;&gt;"",N164&lt;&gt;"",O164="",N164&gt;=TODAY(),N164&lt;=TODAY()+7),COUNTIFS(B$4:B164,"&lt;&gt;",N$4:N164,"&gt;="&amp;TODAY(),N$4:N164,"&lt;="&amp;TODAY()+7,O$4:O164,""),"")</f>
        <v/>
      </c>
    </row>
    <row r="165" spans="1:23" s="1" customFormat="1" ht="18" customHeight="1" x14ac:dyDescent="0.45">
      <c r="A165" s="5"/>
      <c r="B165" s="5"/>
      <c r="C165" s="9" t="str">
        <f>IF(B165="","",VLOOKUP(B165,'Student Roster'!A:C,2,FALSE))</f>
        <v/>
      </c>
      <c r="D165" s="9" t="str">
        <f>IF(B165="","",VLOOKUP(B165,'Student Roster'!A:C,3,FALSE))</f>
        <v/>
      </c>
      <c r="E165" s="9" t="str">
        <f>IF(B165="","",VLOOKUP(B165,'Student Roster'!A:D,4,FALSE))</f>
        <v/>
      </c>
      <c r="F165" s="5"/>
      <c r="G165" s="5"/>
      <c r="H165" s="5"/>
      <c r="I165" s="5"/>
      <c r="J165" s="5"/>
      <c r="K165" s="5"/>
      <c r="L165" s="11" t="str">
        <f t="shared" ca="1" si="25"/>
        <v/>
      </c>
      <c r="M165" s="11" t="str">
        <f t="shared" si="26"/>
        <v/>
      </c>
      <c r="N165" s="10" t="str">
        <f t="shared" si="27"/>
        <v/>
      </c>
      <c r="O165" s="5"/>
      <c r="P165" s="5"/>
      <c r="Q165" s="5"/>
      <c r="R165" s="5"/>
      <c r="S165" s="9" t="str">
        <f t="shared" ca="1" si="28"/>
        <v>OK</v>
      </c>
      <c r="T165" s="5"/>
      <c r="U165" s="5" t="str">
        <f t="shared" si="29"/>
        <v/>
      </c>
      <c r="V165" s="5"/>
      <c r="W165" t="str">
        <f ca="1">IF(AND(B165&lt;&gt;"",N165&lt;&gt;"",O165="",N165&gt;=TODAY(),N165&lt;=TODAY()+7),COUNTIFS(B$4:B165,"&lt;&gt;",N$4:N165,"&gt;="&amp;TODAY(),N$4:N165,"&lt;="&amp;TODAY()+7,O$4:O165,""),"")</f>
        <v/>
      </c>
    </row>
    <row r="166" spans="1:23" s="1" customFormat="1" ht="18" customHeight="1" x14ac:dyDescent="0.45">
      <c r="A166" s="7"/>
      <c r="B166" s="7"/>
      <c r="C166" s="9" t="str">
        <f>IF(B166="","",VLOOKUP(B166,'Student Roster'!A:C,2,FALSE))</f>
        <v/>
      </c>
      <c r="D166" s="9" t="str">
        <f>IF(B166="","",VLOOKUP(B166,'Student Roster'!A:C,3,FALSE))</f>
        <v/>
      </c>
      <c r="E166" s="9" t="str">
        <f>IF(B166="","",VLOOKUP(B166,'Student Roster'!A:D,4,FALSE))</f>
        <v/>
      </c>
      <c r="F166" s="7"/>
      <c r="G166" s="7"/>
      <c r="H166" s="7"/>
      <c r="I166" s="7"/>
      <c r="J166" s="7"/>
      <c r="K166" s="7"/>
      <c r="L166" s="11" t="str">
        <f t="shared" ca="1" si="25"/>
        <v/>
      </c>
      <c r="M166" s="11" t="str">
        <f t="shared" si="26"/>
        <v/>
      </c>
      <c r="N166" s="10" t="str">
        <f t="shared" si="27"/>
        <v/>
      </c>
      <c r="O166" s="7"/>
      <c r="P166" s="7"/>
      <c r="Q166" s="7"/>
      <c r="R166" s="7"/>
      <c r="S166" s="9" t="str">
        <f t="shared" ca="1" si="28"/>
        <v>OK</v>
      </c>
      <c r="T166" s="7"/>
      <c r="U166" s="7" t="str">
        <f t="shared" si="29"/>
        <v/>
      </c>
      <c r="V166" s="7"/>
      <c r="W166" t="str">
        <f ca="1">IF(AND(B166&lt;&gt;"",N166&lt;&gt;"",O166="",N166&gt;=TODAY(),N166&lt;=TODAY()+7),COUNTIFS(B$4:B166,"&lt;&gt;",N$4:N166,"&gt;="&amp;TODAY(),N$4:N166,"&lt;="&amp;TODAY()+7,O$4:O166,""),"")</f>
        <v/>
      </c>
    </row>
    <row r="167" spans="1:23" s="1" customFormat="1" ht="18" customHeight="1" x14ac:dyDescent="0.45">
      <c r="A167" s="5"/>
      <c r="B167" s="5"/>
      <c r="C167" s="9" t="str">
        <f>IF(B167="","",VLOOKUP(B167,'Student Roster'!A:C,2,FALSE))</f>
        <v/>
      </c>
      <c r="D167" s="9" t="str">
        <f>IF(B167="","",VLOOKUP(B167,'Student Roster'!A:C,3,FALSE))</f>
        <v/>
      </c>
      <c r="E167" s="9" t="str">
        <f>IF(B167="","",VLOOKUP(B167,'Student Roster'!A:D,4,FALSE))</f>
        <v/>
      </c>
      <c r="F167" s="5"/>
      <c r="G167" s="5"/>
      <c r="H167" s="5"/>
      <c r="I167" s="5"/>
      <c r="J167" s="5"/>
      <c r="K167" s="5"/>
      <c r="L167" s="11" t="str">
        <f t="shared" ca="1" si="25"/>
        <v/>
      </c>
      <c r="M167" s="11" t="str">
        <f t="shared" si="26"/>
        <v/>
      </c>
      <c r="N167" s="10" t="str">
        <f t="shared" si="27"/>
        <v/>
      </c>
      <c r="O167" s="5"/>
      <c r="P167" s="5"/>
      <c r="Q167" s="5"/>
      <c r="R167" s="5"/>
      <c r="S167" s="9" t="str">
        <f t="shared" ca="1" si="28"/>
        <v>OK</v>
      </c>
      <c r="T167" s="5"/>
      <c r="U167" s="5" t="str">
        <f t="shared" si="29"/>
        <v/>
      </c>
      <c r="V167" s="5"/>
      <c r="W167" t="str">
        <f ca="1">IF(AND(B167&lt;&gt;"",N167&lt;&gt;"",O167="",N167&gt;=TODAY(),N167&lt;=TODAY()+7),COUNTIFS(B$4:B167,"&lt;&gt;",N$4:N167,"&gt;="&amp;TODAY(),N$4:N167,"&lt;="&amp;TODAY()+7,O$4:O167,""),"")</f>
        <v/>
      </c>
    </row>
    <row r="168" spans="1:23" s="1" customFormat="1" ht="18" customHeight="1" x14ac:dyDescent="0.45">
      <c r="A168" s="7"/>
      <c r="B168" s="7"/>
      <c r="C168" s="9" t="str">
        <f>IF(B168="","",VLOOKUP(B168,'Student Roster'!A:C,2,FALSE))</f>
        <v/>
      </c>
      <c r="D168" s="9" t="str">
        <f>IF(B168="","",VLOOKUP(B168,'Student Roster'!A:C,3,FALSE))</f>
        <v/>
      </c>
      <c r="E168" s="9" t="str">
        <f>IF(B168="","",VLOOKUP(B168,'Student Roster'!A:D,4,FALSE))</f>
        <v/>
      </c>
      <c r="F168" s="7"/>
      <c r="G168" s="7"/>
      <c r="H168" s="7"/>
      <c r="I168" s="7"/>
      <c r="J168" s="7"/>
      <c r="K168" s="7"/>
      <c r="L168" s="11" t="str">
        <f t="shared" ca="1" si="25"/>
        <v/>
      </c>
      <c r="M168" s="11" t="str">
        <f t="shared" si="26"/>
        <v/>
      </c>
      <c r="N168" s="10" t="str">
        <f t="shared" si="27"/>
        <v/>
      </c>
      <c r="O168" s="7"/>
      <c r="P168" s="7"/>
      <c r="Q168" s="7"/>
      <c r="R168" s="7"/>
      <c r="S168" s="9" t="str">
        <f t="shared" ca="1" si="28"/>
        <v>OK</v>
      </c>
      <c r="T168" s="7"/>
      <c r="U168" s="7" t="str">
        <f t="shared" si="29"/>
        <v/>
      </c>
      <c r="V168" s="7"/>
      <c r="W168" t="str">
        <f ca="1">IF(AND(B168&lt;&gt;"",N168&lt;&gt;"",O168="",N168&gt;=TODAY(),N168&lt;=TODAY()+7),COUNTIFS(B$4:B168,"&lt;&gt;",N$4:N168,"&gt;="&amp;TODAY(),N$4:N168,"&lt;="&amp;TODAY()+7,O$4:O168,""),"")</f>
        <v/>
      </c>
    </row>
    <row r="169" spans="1:23" s="1" customFormat="1" ht="18" customHeight="1" x14ac:dyDescent="0.45">
      <c r="A169" s="5"/>
      <c r="B169" s="5"/>
      <c r="C169" s="9" t="str">
        <f>IF(B169="","",VLOOKUP(B169,'Student Roster'!A:C,2,FALSE))</f>
        <v/>
      </c>
      <c r="D169" s="9" t="str">
        <f>IF(B169="","",VLOOKUP(B169,'Student Roster'!A:C,3,FALSE))</f>
        <v/>
      </c>
      <c r="E169" s="9" t="str">
        <f>IF(B169="","",VLOOKUP(B169,'Student Roster'!A:D,4,FALSE))</f>
        <v/>
      </c>
      <c r="F169" s="5"/>
      <c r="G169" s="5"/>
      <c r="H169" s="5"/>
      <c r="I169" s="5"/>
      <c r="J169" s="5"/>
      <c r="K169" s="5"/>
      <c r="L169" s="11" t="str">
        <f t="shared" ca="1" si="25"/>
        <v/>
      </c>
      <c r="M169" s="11" t="str">
        <f t="shared" si="26"/>
        <v/>
      </c>
      <c r="N169" s="10" t="str">
        <f t="shared" si="27"/>
        <v/>
      </c>
      <c r="O169" s="5"/>
      <c r="P169" s="5"/>
      <c r="Q169" s="5"/>
      <c r="R169" s="5"/>
      <c r="S169" s="9" t="str">
        <f t="shared" ca="1" si="28"/>
        <v>OK</v>
      </c>
      <c r="T169" s="5"/>
      <c r="U169" s="5" t="str">
        <f t="shared" si="29"/>
        <v/>
      </c>
      <c r="V169" s="5"/>
      <c r="W169" t="str">
        <f ca="1">IF(AND(B169&lt;&gt;"",N169&lt;&gt;"",O169="",N169&gt;=TODAY(),N169&lt;=TODAY()+7),COUNTIFS(B$4:B169,"&lt;&gt;",N$4:N169,"&gt;="&amp;TODAY(),N$4:N169,"&lt;="&amp;TODAY()+7,O$4:O169,""),"")</f>
        <v/>
      </c>
    </row>
    <row r="170" spans="1:23" s="1" customFormat="1" ht="18" customHeight="1" x14ac:dyDescent="0.45">
      <c r="A170" s="7"/>
      <c r="B170" s="7"/>
      <c r="C170" s="9" t="str">
        <f>IF(B170="","",VLOOKUP(B170,'Student Roster'!A:C,2,FALSE))</f>
        <v/>
      </c>
      <c r="D170" s="9" t="str">
        <f>IF(B170="","",VLOOKUP(B170,'Student Roster'!A:C,3,FALSE))</f>
        <v/>
      </c>
      <c r="E170" s="9" t="str">
        <f>IF(B170="","",VLOOKUP(B170,'Student Roster'!A:D,4,FALSE))</f>
        <v/>
      </c>
      <c r="F170" s="7"/>
      <c r="G170" s="7"/>
      <c r="H170" s="7"/>
      <c r="I170" s="7"/>
      <c r="J170" s="7"/>
      <c r="K170" s="7"/>
      <c r="L170" s="11" t="str">
        <f t="shared" ca="1" si="25"/>
        <v/>
      </c>
      <c r="M170" s="11" t="str">
        <f t="shared" si="26"/>
        <v/>
      </c>
      <c r="N170" s="10" t="str">
        <f t="shared" si="27"/>
        <v/>
      </c>
      <c r="O170" s="7"/>
      <c r="P170" s="7"/>
      <c r="Q170" s="7"/>
      <c r="R170" s="7"/>
      <c r="S170" s="9" t="str">
        <f t="shared" ca="1" si="28"/>
        <v>OK</v>
      </c>
      <c r="T170" s="7"/>
      <c r="U170" s="7" t="str">
        <f t="shared" si="29"/>
        <v/>
      </c>
      <c r="V170" s="7"/>
      <c r="W170" t="str">
        <f ca="1">IF(AND(B170&lt;&gt;"",N170&lt;&gt;"",O170="",N170&gt;=TODAY(),N170&lt;=TODAY()+7),COUNTIFS(B$4:B170,"&lt;&gt;",N$4:N170,"&gt;="&amp;TODAY(),N$4:N170,"&lt;="&amp;TODAY()+7,O$4:O170,""),"")</f>
        <v/>
      </c>
    </row>
    <row r="171" spans="1:23" s="1" customFormat="1" ht="18" customHeight="1" x14ac:dyDescent="0.45">
      <c r="A171" s="5"/>
      <c r="B171" s="5"/>
      <c r="C171" s="9" t="str">
        <f>IF(B171="","",VLOOKUP(B171,'Student Roster'!A:C,2,FALSE))</f>
        <v/>
      </c>
      <c r="D171" s="9" t="str">
        <f>IF(B171="","",VLOOKUP(B171,'Student Roster'!A:C,3,FALSE))</f>
        <v/>
      </c>
      <c r="E171" s="9" t="str">
        <f>IF(B171="","",VLOOKUP(B171,'Student Roster'!A:D,4,FALSE))</f>
        <v/>
      </c>
      <c r="F171" s="5"/>
      <c r="G171" s="5"/>
      <c r="H171" s="5"/>
      <c r="I171" s="5"/>
      <c r="J171" s="5"/>
      <c r="K171" s="5"/>
      <c r="L171" s="11" t="str">
        <f t="shared" ca="1" si="25"/>
        <v/>
      </c>
      <c r="M171" s="11" t="str">
        <f t="shared" si="26"/>
        <v/>
      </c>
      <c r="N171" s="10" t="str">
        <f t="shared" si="27"/>
        <v/>
      </c>
      <c r="O171" s="5"/>
      <c r="P171" s="5"/>
      <c r="Q171" s="5"/>
      <c r="R171" s="5"/>
      <c r="S171" s="9" t="str">
        <f t="shared" ca="1" si="28"/>
        <v>OK</v>
      </c>
      <c r="T171" s="5"/>
      <c r="U171" s="5" t="str">
        <f t="shared" si="29"/>
        <v/>
      </c>
      <c r="V171" s="5"/>
      <c r="W171" t="str">
        <f ca="1">IF(AND(B171&lt;&gt;"",N171&lt;&gt;"",O171="",N171&gt;=TODAY(),N171&lt;=TODAY()+7),COUNTIFS(B$4:B171,"&lt;&gt;",N$4:N171,"&gt;="&amp;TODAY(),N$4:N171,"&lt;="&amp;TODAY()+7,O$4:O171,""),"")</f>
        <v/>
      </c>
    </row>
    <row r="172" spans="1:23" s="1" customFormat="1" ht="18" customHeight="1" x14ac:dyDescent="0.45">
      <c r="A172" s="7"/>
      <c r="B172" s="7"/>
      <c r="C172" s="9" t="str">
        <f>IF(B172="","",VLOOKUP(B172,'Student Roster'!A:C,2,FALSE))</f>
        <v/>
      </c>
      <c r="D172" s="9" t="str">
        <f>IF(B172="","",VLOOKUP(B172,'Student Roster'!A:C,3,FALSE))</f>
        <v/>
      </c>
      <c r="E172" s="9" t="str">
        <f>IF(B172="","",VLOOKUP(B172,'Student Roster'!A:D,4,FALSE))</f>
        <v/>
      </c>
      <c r="F172" s="7"/>
      <c r="G172" s="7"/>
      <c r="H172" s="7"/>
      <c r="I172" s="7"/>
      <c r="J172" s="7"/>
      <c r="K172" s="7"/>
      <c r="L172" s="11" t="str">
        <f t="shared" ca="1" si="25"/>
        <v/>
      </c>
      <c r="M172" s="11" t="str">
        <f t="shared" si="26"/>
        <v/>
      </c>
      <c r="N172" s="10" t="str">
        <f t="shared" si="27"/>
        <v/>
      </c>
      <c r="O172" s="7"/>
      <c r="P172" s="7"/>
      <c r="Q172" s="7"/>
      <c r="R172" s="7"/>
      <c r="S172" s="9" t="str">
        <f t="shared" ca="1" si="28"/>
        <v>OK</v>
      </c>
      <c r="T172" s="7"/>
      <c r="U172" s="7" t="str">
        <f t="shared" si="29"/>
        <v/>
      </c>
      <c r="V172" s="7"/>
      <c r="W172" t="str">
        <f ca="1">IF(AND(B172&lt;&gt;"",N172&lt;&gt;"",O172="",N172&gt;=TODAY(),N172&lt;=TODAY()+7),COUNTIFS(B$4:B172,"&lt;&gt;",N$4:N172,"&gt;="&amp;TODAY(),N$4:N172,"&lt;="&amp;TODAY()+7,O$4:O172,""),"")</f>
        <v/>
      </c>
    </row>
    <row r="173" spans="1:23" s="1" customFormat="1" ht="18" customHeight="1" x14ac:dyDescent="0.45">
      <c r="A173" s="5"/>
      <c r="B173" s="5"/>
      <c r="C173" s="9" t="str">
        <f>IF(B173="","",VLOOKUP(B173,'Student Roster'!A:C,2,FALSE))</f>
        <v/>
      </c>
      <c r="D173" s="9" t="str">
        <f>IF(B173="","",VLOOKUP(B173,'Student Roster'!A:C,3,FALSE))</f>
        <v/>
      </c>
      <c r="E173" s="9" t="str">
        <f>IF(B173="","",VLOOKUP(B173,'Student Roster'!A:D,4,FALSE))</f>
        <v/>
      </c>
      <c r="F173" s="5"/>
      <c r="G173" s="5"/>
      <c r="H173" s="5"/>
      <c r="I173" s="5"/>
      <c r="J173" s="5"/>
      <c r="K173" s="5"/>
      <c r="L173" s="11" t="str">
        <f t="shared" ca="1" si="25"/>
        <v/>
      </c>
      <c r="M173" s="11" t="str">
        <f t="shared" si="26"/>
        <v/>
      </c>
      <c r="N173" s="10" t="str">
        <f t="shared" si="27"/>
        <v/>
      </c>
      <c r="O173" s="5"/>
      <c r="P173" s="5"/>
      <c r="Q173" s="5"/>
      <c r="R173" s="5"/>
      <c r="S173" s="9" t="str">
        <f t="shared" ca="1" si="28"/>
        <v>OK</v>
      </c>
      <c r="T173" s="5"/>
      <c r="U173" s="5" t="str">
        <f t="shared" si="29"/>
        <v/>
      </c>
      <c r="V173" s="5"/>
      <c r="W173" t="str">
        <f ca="1">IF(AND(B173&lt;&gt;"",N173&lt;&gt;"",O173="",N173&gt;=TODAY(),N173&lt;=TODAY()+7),COUNTIFS(B$4:B173,"&lt;&gt;",N$4:N173,"&gt;="&amp;TODAY(),N$4:N173,"&lt;="&amp;TODAY()+7,O$4:O173,""),"")</f>
        <v/>
      </c>
    </row>
    <row r="174" spans="1:23" s="1" customFormat="1" ht="18" customHeight="1" x14ac:dyDescent="0.45">
      <c r="A174" s="7"/>
      <c r="B174" s="7"/>
      <c r="C174" s="9" t="str">
        <f>IF(B174="","",VLOOKUP(B174,'Student Roster'!A:C,2,FALSE))</f>
        <v/>
      </c>
      <c r="D174" s="9" t="str">
        <f>IF(B174="","",VLOOKUP(B174,'Student Roster'!A:C,3,FALSE))</f>
        <v/>
      </c>
      <c r="E174" s="9" t="str">
        <f>IF(B174="","",VLOOKUP(B174,'Student Roster'!A:D,4,FALSE))</f>
        <v/>
      </c>
      <c r="F174" s="7"/>
      <c r="G174" s="7"/>
      <c r="H174" s="7"/>
      <c r="I174" s="7"/>
      <c r="J174" s="7"/>
      <c r="K174" s="7"/>
      <c r="L174" s="11" t="str">
        <f t="shared" ca="1" si="25"/>
        <v/>
      </c>
      <c r="M174" s="11" t="str">
        <f t="shared" si="26"/>
        <v/>
      </c>
      <c r="N174" s="10" t="str">
        <f t="shared" si="27"/>
        <v/>
      </c>
      <c r="O174" s="7"/>
      <c r="P174" s="7"/>
      <c r="Q174" s="7"/>
      <c r="R174" s="7"/>
      <c r="S174" s="9" t="str">
        <f t="shared" ca="1" si="28"/>
        <v>OK</v>
      </c>
      <c r="T174" s="7"/>
      <c r="U174" s="7" t="str">
        <f t="shared" si="29"/>
        <v/>
      </c>
      <c r="V174" s="7"/>
      <c r="W174" t="str">
        <f ca="1">IF(AND(B174&lt;&gt;"",N174&lt;&gt;"",O174="",N174&gt;=TODAY(),N174&lt;=TODAY()+7),COUNTIFS(B$4:B174,"&lt;&gt;",N$4:N174,"&gt;="&amp;TODAY(),N$4:N174,"&lt;="&amp;TODAY()+7,O$4:O174,""),"")</f>
        <v/>
      </c>
    </row>
    <row r="175" spans="1:23" s="1" customFormat="1" ht="18" customHeight="1" x14ac:dyDescent="0.45">
      <c r="A175" s="5"/>
      <c r="B175" s="5"/>
      <c r="C175" s="9" t="str">
        <f>IF(B175="","",VLOOKUP(B175,'Student Roster'!A:C,2,FALSE))</f>
        <v/>
      </c>
      <c r="D175" s="9" t="str">
        <f>IF(B175="","",VLOOKUP(B175,'Student Roster'!A:C,3,FALSE))</f>
        <v/>
      </c>
      <c r="E175" s="9" t="str">
        <f>IF(B175="","",VLOOKUP(B175,'Student Roster'!A:D,4,FALSE))</f>
        <v/>
      </c>
      <c r="F175" s="5"/>
      <c r="G175" s="5"/>
      <c r="H175" s="5"/>
      <c r="I175" s="5"/>
      <c r="J175" s="5"/>
      <c r="K175" s="5"/>
      <c r="L175" s="11" t="str">
        <f t="shared" ca="1" si="25"/>
        <v/>
      </c>
      <c r="M175" s="11" t="str">
        <f t="shared" si="26"/>
        <v/>
      </c>
      <c r="N175" s="10" t="str">
        <f t="shared" si="27"/>
        <v/>
      </c>
      <c r="O175" s="5"/>
      <c r="P175" s="5"/>
      <c r="Q175" s="5"/>
      <c r="R175" s="5"/>
      <c r="S175" s="9" t="str">
        <f t="shared" ca="1" si="28"/>
        <v>OK</v>
      </c>
      <c r="T175" s="5"/>
      <c r="U175" s="5" t="str">
        <f t="shared" si="29"/>
        <v/>
      </c>
      <c r="V175" s="5"/>
      <c r="W175" t="str">
        <f ca="1">IF(AND(B175&lt;&gt;"",N175&lt;&gt;"",O175="",N175&gt;=TODAY(),N175&lt;=TODAY()+7),COUNTIFS(B$4:B175,"&lt;&gt;",N$4:N175,"&gt;="&amp;TODAY(),N$4:N175,"&lt;="&amp;TODAY()+7,O$4:O175,""),"")</f>
        <v/>
      </c>
    </row>
    <row r="176" spans="1:23" s="1" customFormat="1" ht="18" customHeight="1" x14ac:dyDescent="0.45">
      <c r="A176" s="7"/>
      <c r="B176" s="7"/>
      <c r="C176" s="9" t="str">
        <f>IF(B176="","",VLOOKUP(B176,'Student Roster'!A:C,2,FALSE))</f>
        <v/>
      </c>
      <c r="D176" s="9" t="str">
        <f>IF(B176="","",VLOOKUP(B176,'Student Roster'!A:C,3,FALSE))</f>
        <v/>
      </c>
      <c r="E176" s="9" t="str">
        <f>IF(B176="","",VLOOKUP(B176,'Student Roster'!A:D,4,FALSE))</f>
        <v/>
      </c>
      <c r="F176" s="7"/>
      <c r="G176" s="7"/>
      <c r="H176" s="7"/>
      <c r="I176" s="7"/>
      <c r="J176" s="7"/>
      <c r="K176" s="7"/>
      <c r="L176" s="11" t="str">
        <f t="shared" ca="1" si="25"/>
        <v/>
      </c>
      <c r="M176" s="11" t="str">
        <f t="shared" si="26"/>
        <v/>
      </c>
      <c r="N176" s="10" t="str">
        <f t="shared" si="27"/>
        <v/>
      </c>
      <c r="O176" s="7"/>
      <c r="P176" s="7"/>
      <c r="Q176" s="7"/>
      <c r="R176" s="7"/>
      <c r="S176" s="9" t="str">
        <f t="shared" ca="1" si="28"/>
        <v>OK</v>
      </c>
      <c r="T176" s="7"/>
      <c r="U176" s="7" t="str">
        <f t="shared" si="29"/>
        <v/>
      </c>
      <c r="V176" s="7"/>
      <c r="W176" t="str">
        <f ca="1">IF(AND(B176&lt;&gt;"",N176&lt;&gt;"",O176="",N176&gt;=TODAY(),N176&lt;=TODAY()+7),COUNTIFS(B$4:B176,"&lt;&gt;",N$4:N176,"&gt;="&amp;TODAY(),N$4:N176,"&lt;="&amp;TODAY()+7,O$4:O176,""),"")</f>
        <v/>
      </c>
    </row>
    <row r="177" spans="1:23" s="1" customFormat="1" ht="18" customHeight="1" x14ac:dyDescent="0.45">
      <c r="A177" s="5"/>
      <c r="B177" s="5"/>
      <c r="C177" s="9" t="str">
        <f>IF(B177="","",VLOOKUP(B177,'Student Roster'!A:C,2,FALSE))</f>
        <v/>
      </c>
      <c r="D177" s="9" t="str">
        <f>IF(B177="","",VLOOKUP(B177,'Student Roster'!A:C,3,FALSE))</f>
        <v/>
      </c>
      <c r="E177" s="9" t="str">
        <f>IF(B177="","",VLOOKUP(B177,'Student Roster'!A:D,4,FALSE))</f>
        <v/>
      </c>
      <c r="F177" s="5"/>
      <c r="G177" s="5"/>
      <c r="H177" s="5"/>
      <c r="I177" s="5"/>
      <c r="J177" s="5"/>
      <c r="K177" s="5"/>
      <c r="L177" s="11" t="str">
        <f t="shared" ca="1" si="25"/>
        <v/>
      </c>
      <c r="M177" s="11" t="str">
        <f t="shared" si="26"/>
        <v/>
      </c>
      <c r="N177" s="10" t="str">
        <f t="shared" si="27"/>
        <v/>
      </c>
      <c r="O177" s="5"/>
      <c r="P177" s="5"/>
      <c r="Q177" s="5"/>
      <c r="R177" s="5"/>
      <c r="S177" s="9" t="str">
        <f t="shared" ca="1" si="28"/>
        <v>OK</v>
      </c>
      <c r="T177" s="5"/>
      <c r="U177" s="5" t="str">
        <f t="shared" si="29"/>
        <v/>
      </c>
      <c r="V177" s="5"/>
      <c r="W177" t="str">
        <f ca="1">IF(AND(B177&lt;&gt;"",N177&lt;&gt;"",O177="",N177&gt;=TODAY(),N177&lt;=TODAY()+7),COUNTIFS(B$4:B177,"&lt;&gt;",N$4:N177,"&gt;="&amp;TODAY(),N$4:N177,"&lt;="&amp;TODAY()+7,O$4:O177,""),"")</f>
        <v/>
      </c>
    </row>
    <row r="178" spans="1:23" s="1" customFormat="1" ht="18" customHeight="1" x14ac:dyDescent="0.45">
      <c r="A178" s="7"/>
      <c r="B178" s="7"/>
      <c r="C178" s="9" t="str">
        <f>IF(B178="","",VLOOKUP(B178,'Student Roster'!A:C,2,FALSE))</f>
        <v/>
      </c>
      <c r="D178" s="9" t="str">
        <f>IF(B178="","",VLOOKUP(B178,'Student Roster'!A:C,3,FALSE))</f>
        <v/>
      </c>
      <c r="E178" s="9" t="str">
        <f>IF(B178="","",VLOOKUP(B178,'Student Roster'!A:D,4,FALSE))</f>
        <v/>
      </c>
      <c r="F178" s="7"/>
      <c r="G178" s="7"/>
      <c r="H178" s="7"/>
      <c r="I178" s="7"/>
      <c r="J178" s="7"/>
      <c r="K178" s="7"/>
      <c r="L178" s="11" t="str">
        <f t="shared" ca="1" si="25"/>
        <v/>
      </c>
      <c r="M178" s="11" t="str">
        <f t="shared" si="26"/>
        <v/>
      </c>
      <c r="N178" s="10" t="str">
        <f t="shared" si="27"/>
        <v/>
      </c>
      <c r="O178" s="7"/>
      <c r="P178" s="7"/>
      <c r="Q178" s="7"/>
      <c r="R178" s="7"/>
      <c r="S178" s="9" t="str">
        <f t="shared" ca="1" si="28"/>
        <v>OK</v>
      </c>
      <c r="T178" s="7"/>
      <c r="U178" s="7" t="str">
        <f t="shared" si="29"/>
        <v/>
      </c>
      <c r="V178" s="7"/>
      <c r="W178" t="str">
        <f ca="1">IF(AND(B178&lt;&gt;"",N178&lt;&gt;"",O178="",N178&gt;=TODAY(),N178&lt;=TODAY()+7),COUNTIFS(B$4:B178,"&lt;&gt;",N$4:N178,"&gt;="&amp;TODAY(),N$4:N178,"&lt;="&amp;TODAY()+7,O$4:O178,""),"")</f>
        <v/>
      </c>
    </row>
    <row r="179" spans="1:23" s="1" customFormat="1" ht="18" customHeight="1" x14ac:dyDescent="0.45">
      <c r="A179" s="5"/>
      <c r="B179" s="5"/>
      <c r="C179" s="9" t="str">
        <f>IF(B179="","",VLOOKUP(B179,'Student Roster'!A:C,2,FALSE))</f>
        <v/>
      </c>
      <c r="D179" s="9" t="str">
        <f>IF(B179="","",VLOOKUP(B179,'Student Roster'!A:C,3,FALSE))</f>
        <v/>
      </c>
      <c r="E179" s="9" t="str">
        <f>IF(B179="","",VLOOKUP(B179,'Student Roster'!A:D,4,FALSE))</f>
        <v/>
      </c>
      <c r="F179" s="5"/>
      <c r="G179" s="5"/>
      <c r="H179" s="5"/>
      <c r="I179" s="5"/>
      <c r="J179" s="5"/>
      <c r="K179" s="5"/>
      <c r="L179" s="11" t="str">
        <f t="shared" ca="1" si="25"/>
        <v/>
      </c>
      <c r="M179" s="11" t="str">
        <f t="shared" si="26"/>
        <v/>
      </c>
      <c r="N179" s="10" t="str">
        <f t="shared" si="27"/>
        <v/>
      </c>
      <c r="O179" s="5"/>
      <c r="P179" s="5"/>
      <c r="Q179" s="5"/>
      <c r="R179" s="5"/>
      <c r="S179" s="9" t="str">
        <f t="shared" ca="1" si="28"/>
        <v>OK</v>
      </c>
      <c r="T179" s="5"/>
      <c r="U179" s="5" t="str">
        <f t="shared" si="29"/>
        <v/>
      </c>
      <c r="V179" s="5"/>
      <c r="W179" t="str">
        <f ca="1">IF(AND(B179&lt;&gt;"",N179&lt;&gt;"",O179="",N179&gt;=TODAY(),N179&lt;=TODAY()+7),COUNTIFS(B$4:B179,"&lt;&gt;",N$4:N179,"&gt;="&amp;TODAY(),N$4:N179,"&lt;="&amp;TODAY()+7,O$4:O179,""),"")</f>
        <v/>
      </c>
    </row>
    <row r="180" spans="1:23" s="1" customFormat="1" ht="18" customHeight="1" x14ac:dyDescent="0.45">
      <c r="A180" s="7"/>
      <c r="B180" s="7"/>
      <c r="C180" s="9" t="str">
        <f>IF(B180="","",VLOOKUP(B180,'Student Roster'!A:C,2,FALSE))</f>
        <v/>
      </c>
      <c r="D180" s="9" t="str">
        <f>IF(B180="","",VLOOKUP(B180,'Student Roster'!A:C,3,FALSE))</f>
        <v/>
      </c>
      <c r="E180" s="9" t="str">
        <f>IF(B180="","",VLOOKUP(B180,'Student Roster'!A:D,4,FALSE))</f>
        <v/>
      </c>
      <c r="F180" s="7"/>
      <c r="G180" s="7"/>
      <c r="H180" s="7"/>
      <c r="I180" s="7"/>
      <c r="J180" s="7"/>
      <c r="K180" s="7"/>
      <c r="L180" s="11" t="str">
        <f t="shared" ca="1" si="25"/>
        <v/>
      </c>
      <c r="M180" s="11" t="str">
        <f t="shared" si="26"/>
        <v/>
      </c>
      <c r="N180" s="10" t="str">
        <f t="shared" si="27"/>
        <v/>
      </c>
      <c r="O180" s="7"/>
      <c r="P180" s="7"/>
      <c r="Q180" s="7"/>
      <c r="R180" s="7"/>
      <c r="S180" s="9" t="str">
        <f t="shared" ca="1" si="28"/>
        <v>OK</v>
      </c>
      <c r="T180" s="7"/>
      <c r="U180" s="7" t="str">
        <f t="shared" si="29"/>
        <v/>
      </c>
      <c r="V180" s="7"/>
      <c r="W180" t="str">
        <f ca="1">IF(AND(B180&lt;&gt;"",N180&lt;&gt;"",O180="",N180&gt;=TODAY(),N180&lt;=TODAY()+7),COUNTIFS(B$4:B180,"&lt;&gt;",N$4:N180,"&gt;="&amp;TODAY(),N$4:N180,"&lt;="&amp;TODAY()+7,O$4:O180,""),"")</f>
        <v/>
      </c>
    </row>
    <row r="181" spans="1:23" s="1" customFormat="1" ht="18" customHeight="1" x14ac:dyDescent="0.45">
      <c r="A181" s="5"/>
      <c r="B181" s="5"/>
      <c r="C181" s="9" t="str">
        <f>IF(B181="","",VLOOKUP(B181,'Student Roster'!A:C,2,FALSE))</f>
        <v/>
      </c>
      <c r="D181" s="9" t="str">
        <f>IF(B181="","",VLOOKUP(B181,'Student Roster'!A:C,3,FALSE))</f>
        <v/>
      </c>
      <c r="E181" s="9" t="str">
        <f>IF(B181="","",VLOOKUP(B181,'Student Roster'!A:D,4,FALSE))</f>
        <v/>
      </c>
      <c r="F181" s="5"/>
      <c r="G181" s="5"/>
      <c r="H181" s="5"/>
      <c r="I181" s="5"/>
      <c r="J181" s="5"/>
      <c r="K181" s="5"/>
      <c r="L181" s="11" t="str">
        <f t="shared" ca="1" si="25"/>
        <v/>
      </c>
      <c r="M181" s="11" t="str">
        <f t="shared" si="26"/>
        <v/>
      </c>
      <c r="N181" s="10" t="str">
        <f t="shared" si="27"/>
        <v/>
      </c>
      <c r="O181" s="5"/>
      <c r="P181" s="5"/>
      <c r="Q181" s="5"/>
      <c r="R181" s="5"/>
      <c r="S181" s="9" t="str">
        <f t="shared" ca="1" si="28"/>
        <v>OK</v>
      </c>
      <c r="T181" s="5"/>
      <c r="U181" s="5" t="str">
        <f t="shared" si="29"/>
        <v/>
      </c>
      <c r="V181" s="5"/>
      <c r="W181" t="str">
        <f ca="1">IF(AND(B181&lt;&gt;"",N181&lt;&gt;"",O181="",N181&gt;=TODAY(),N181&lt;=TODAY()+7),COUNTIFS(B$4:B181,"&lt;&gt;",N$4:N181,"&gt;="&amp;TODAY(),N$4:N181,"&lt;="&amp;TODAY()+7,O$4:O181,""),"")</f>
        <v/>
      </c>
    </row>
    <row r="182" spans="1:23" s="1" customFormat="1" ht="18" customHeight="1" x14ac:dyDescent="0.45">
      <c r="A182" s="7"/>
      <c r="B182" s="7"/>
      <c r="C182" s="9" t="str">
        <f>IF(B182="","",VLOOKUP(B182,'Student Roster'!A:C,2,FALSE))</f>
        <v/>
      </c>
      <c r="D182" s="9" t="str">
        <f>IF(B182="","",VLOOKUP(B182,'Student Roster'!A:C,3,FALSE))</f>
        <v/>
      </c>
      <c r="E182" s="9" t="str">
        <f>IF(B182="","",VLOOKUP(B182,'Student Roster'!A:D,4,FALSE))</f>
        <v/>
      </c>
      <c r="F182" s="7"/>
      <c r="G182" s="7"/>
      <c r="H182" s="7"/>
      <c r="I182" s="7"/>
      <c r="J182" s="7"/>
      <c r="K182" s="7"/>
      <c r="L182" s="11" t="str">
        <f t="shared" ca="1" si="25"/>
        <v/>
      </c>
      <c r="M182" s="11" t="str">
        <f t="shared" si="26"/>
        <v/>
      </c>
      <c r="N182" s="10" t="str">
        <f t="shared" si="27"/>
        <v/>
      </c>
      <c r="O182" s="7"/>
      <c r="P182" s="7"/>
      <c r="Q182" s="7"/>
      <c r="R182" s="7"/>
      <c r="S182" s="9" t="str">
        <f t="shared" ca="1" si="28"/>
        <v>OK</v>
      </c>
      <c r="T182" s="7"/>
      <c r="U182" s="7" t="str">
        <f t="shared" si="29"/>
        <v/>
      </c>
      <c r="V182" s="7"/>
      <c r="W182" t="str">
        <f ca="1">IF(AND(B182&lt;&gt;"",N182&lt;&gt;"",O182="",N182&gt;=TODAY(),N182&lt;=TODAY()+7),COUNTIFS(B$4:B182,"&lt;&gt;",N$4:N182,"&gt;="&amp;TODAY(),N$4:N182,"&lt;="&amp;TODAY()+7,O$4:O182,""),"")</f>
        <v/>
      </c>
    </row>
    <row r="183" spans="1:23" s="1" customFormat="1" ht="18" customHeight="1" x14ac:dyDescent="0.45">
      <c r="A183" s="5"/>
      <c r="B183" s="5"/>
      <c r="C183" s="9" t="str">
        <f>IF(B183="","",VLOOKUP(B183,'Student Roster'!A:C,2,FALSE))</f>
        <v/>
      </c>
      <c r="D183" s="9" t="str">
        <f>IF(B183="","",VLOOKUP(B183,'Student Roster'!A:C,3,FALSE))</f>
        <v/>
      </c>
      <c r="E183" s="9" t="str">
        <f>IF(B183="","",VLOOKUP(B183,'Student Roster'!A:D,4,FALSE))</f>
        <v/>
      </c>
      <c r="F183" s="5"/>
      <c r="G183" s="5"/>
      <c r="H183" s="5"/>
      <c r="I183" s="5"/>
      <c r="J183" s="5"/>
      <c r="K183" s="5"/>
      <c r="L183" s="11" t="str">
        <f t="shared" ca="1" si="25"/>
        <v/>
      </c>
      <c r="M183" s="11" t="str">
        <f t="shared" si="26"/>
        <v/>
      </c>
      <c r="N183" s="10" t="str">
        <f t="shared" si="27"/>
        <v/>
      </c>
      <c r="O183" s="5"/>
      <c r="P183" s="5"/>
      <c r="Q183" s="5"/>
      <c r="R183" s="5"/>
      <c r="S183" s="9" t="str">
        <f t="shared" ca="1" si="28"/>
        <v>OK</v>
      </c>
      <c r="T183" s="5"/>
      <c r="U183" s="5" t="str">
        <f t="shared" si="29"/>
        <v/>
      </c>
      <c r="V183" s="5"/>
      <c r="W183" t="str">
        <f ca="1">IF(AND(B183&lt;&gt;"",N183&lt;&gt;"",O183="",N183&gt;=TODAY(),N183&lt;=TODAY()+7),COUNTIFS(B$4:B183,"&lt;&gt;",N$4:N183,"&gt;="&amp;TODAY(),N$4:N183,"&lt;="&amp;TODAY()+7,O$4:O183,""),"")</f>
        <v/>
      </c>
    </row>
    <row r="184" spans="1:23" s="1" customFormat="1" ht="18" customHeight="1" x14ac:dyDescent="0.45">
      <c r="A184" s="7"/>
      <c r="B184" s="7"/>
      <c r="C184" s="9" t="str">
        <f>IF(B184="","",VLOOKUP(B184,'Student Roster'!A:C,2,FALSE))</f>
        <v/>
      </c>
      <c r="D184" s="9" t="str">
        <f>IF(B184="","",VLOOKUP(B184,'Student Roster'!A:C,3,FALSE))</f>
        <v/>
      </c>
      <c r="E184" s="9" t="str">
        <f>IF(B184="","",VLOOKUP(B184,'Student Roster'!A:D,4,FALSE))</f>
        <v/>
      </c>
      <c r="F184" s="7"/>
      <c r="G184" s="7"/>
      <c r="H184" s="7"/>
      <c r="I184" s="7"/>
      <c r="J184" s="7"/>
      <c r="K184" s="7"/>
      <c r="L184" s="11" t="str">
        <f t="shared" ca="1" si="25"/>
        <v/>
      </c>
      <c r="M184" s="11" t="str">
        <f t="shared" si="26"/>
        <v/>
      </c>
      <c r="N184" s="10" t="str">
        <f t="shared" si="27"/>
        <v/>
      </c>
      <c r="O184" s="7"/>
      <c r="P184" s="7"/>
      <c r="Q184" s="7"/>
      <c r="R184" s="7"/>
      <c r="S184" s="9" t="str">
        <f t="shared" ca="1" si="28"/>
        <v>OK</v>
      </c>
      <c r="T184" s="7"/>
      <c r="U184" s="7" t="str">
        <f t="shared" si="29"/>
        <v/>
      </c>
      <c r="V184" s="7"/>
      <c r="W184" t="str">
        <f ca="1">IF(AND(B184&lt;&gt;"",N184&lt;&gt;"",O184="",N184&gt;=TODAY(),N184&lt;=TODAY()+7),COUNTIFS(B$4:B184,"&lt;&gt;",N$4:N184,"&gt;="&amp;TODAY(),N$4:N184,"&lt;="&amp;TODAY()+7,O$4:O184,""),"")</f>
        <v/>
      </c>
    </row>
    <row r="185" spans="1:23" s="1" customFormat="1" ht="18" customHeight="1" x14ac:dyDescent="0.45">
      <c r="A185" s="5"/>
      <c r="B185" s="5"/>
      <c r="C185" s="9" t="str">
        <f>IF(B185="","",VLOOKUP(B185,'Student Roster'!A:C,2,FALSE))</f>
        <v/>
      </c>
      <c r="D185" s="9" t="str">
        <f>IF(B185="","",VLOOKUP(B185,'Student Roster'!A:C,3,FALSE))</f>
        <v/>
      </c>
      <c r="E185" s="9" t="str">
        <f>IF(B185="","",VLOOKUP(B185,'Student Roster'!A:D,4,FALSE))</f>
        <v/>
      </c>
      <c r="F185" s="5"/>
      <c r="G185" s="5"/>
      <c r="H185" s="5"/>
      <c r="I185" s="5"/>
      <c r="J185" s="5"/>
      <c r="K185" s="5"/>
      <c r="L185" s="11" t="str">
        <f t="shared" ca="1" si="25"/>
        <v/>
      </c>
      <c r="M185" s="11" t="str">
        <f t="shared" si="26"/>
        <v/>
      </c>
      <c r="N185" s="10" t="str">
        <f t="shared" si="27"/>
        <v/>
      </c>
      <c r="O185" s="5"/>
      <c r="P185" s="5"/>
      <c r="Q185" s="5"/>
      <c r="R185" s="5"/>
      <c r="S185" s="9" t="str">
        <f t="shared" ca="1" si="28"/>
        <v>OK</v>
      </c>
      <c r="T185" s="5"/>
      <c r="U185" s="5" t="str">
        <f t="shared" si="29"/>
        <v/>
      </c>
      <c r="V185" s="5"/>
      <c r="W185" t="str">
        <f ca="1">IF(AND(B185&lt;&gt;"",N185&lt;&gt;"",O185="",N185&gt;=TODAY(),N185&lt;=TODAY()+7),COUNTIFS(B$4:B185,"&lt;&gt;",N$4:N185,"&gt;="&amp;TODAY(),N$4:N185,"&lt;="&amp;TODAY()+7,O$4:O185,""),"")</f>
        <v/>
      </c>
    </row>
    <row r="186" spans="1:23" s="1" customFormat="1" ht="18" customHeight="1" x14ac:dyDescent="0.45">
      <c r="A186" s="7"/>
      <c r="B186" s="7"/>
      <c r="C186" s="9" t="str">
        <f>IF(B186="","",VLOOKUP(B186,'Student Roster'!A:C,2,FALSE))</f>
        <v/>
      </c>
      <c r="D186" s="9" t="str">
        <f>IF(B186="","",VLOOKUP(B186,'Student Roster'!A:C,3,FALSE))</f>
        <v/>
      </c>
      <c r="E186" s="9" t="str">
        <f>IF(B186="","",VLOOKUP(B186,'Student Roster'!A:D,4,FALSE))</f>
        <v/>
      </c>
      <c r="F186" s="7"/>
      <c r="G186" s="7"/>
      <c r="H186" s="7"/>
      <c r="I186" s="7"/>
      <c r="J186" s="7"/>
      <c r="K186" s="7"/>
      <c r="L186" s="11" t="str">
        <f t="shared" ca="1" si="25"/>
        <v/>
      </c>
      <c r="M186" s="11" t="str">
        <f t="shared" si="26"/>
        <v/>
      </c>
      <c r="N186" s="10" t="str">
        <f t="shared" si="27"/>
        <v/>
      </c>
      <c r="O186" s="7"/>
      <c r="P186" s="7"/>
      <c r="Q186" s="7"/>
      <c r="R186" s="7"/>
      <c r="S186" s="9" t="str">
        <f t="shared" ca="1" si="28"/>
        <v>OK</v>
      </c>
      <c r="T186" s="7"/>
      <c r="U186" s="7" t="str">
        <f t="shared" si="29"/>
        <v/>
      </c>
      <c r="V186" s="7"/>
      <c r="W186" t="str">
        <f ca="1">IF(AND(B186&lt;&gt;"",N186&lt;&gt;"",O186="",N186&gt;=TODAY(),N186&lt;=TODAY()+7),COUNTIFS(B$4:B186,"&lt;&gt;",N$4:N186,"&gt;="&amp;TODAY(),N$4:N186,"&lt;="&amp;TODAY()+7,O$4:O186,""),"")</f>
        <v/>
      </c>
    </row>
    <row r="187" spans="1:23" s="1" customFormat="1" ht="18" customHeight="1" x14ac:dyDescent="0.45">
      <c r="A187" s="5"/>
      <c r="B187" s="5"/>
      <c r="C187" s="9" t="str">
        <f>IF(B187="","",VLOOKUP(B187,'Student Roster'!A:C,2,FALSE))</f>
        <v/>
      </c>
      <c r="D187" s="9" t="str">
        <f>IF(B187="","",VLOOKUP(B187,'Student Roster'!A:C,3,FALSE))</f>
        <v/>
      </c>
      <c r="E187" s="9" t="str">
        <f>IF(B187="","",VLOOKUP(B187,'Student Roster'!A:D,4,FALSE))</f>
        <v/>
      </c>
      <c r="F187" s="5"/>
      <c r="G187" s="5"/>
      <c r="H187" s="5"/>
      <c r="I187" s="5"/>
      <c r="J187" s="5"/>
      <c r="K187" s="5"/>
      <c r="L187" s="11" t="str">
        <f t="shared" ca="1" si="25"/>
        <v/>
      </c>
      <c r="M187" s="11" t="str">
        <f t="shared" si="26"/>
        <v/>
      </c>
      <c r="N187" s="10" t="str">
        <f t="shared" si="27"/>
        <v/>
      </c>
      <c r="O187" s="5"/>
      <c r="P187" s="5"/>
      <c r="Q187" s="5"/>
      <c r="R187" s="5"/>
      <c r="S187" s="9" t="str">
        <f t="shared" ca="1" si="28"/>
        <v>OK</v>
      </c>
      <c r="T187" s="5"/>
      <c r="U187" s="5" t="str">
        <f t="shared" si="29"/>
        <v/>
      </c>
      <c r="V187" s="5"/>
      <c r="W187" t="str">
        <f ca="1">IF(AND(B187&lt;&gt;"",N187&lt;&gt;"",O187="",N187&gt;=TODAY(),N187&lt;=TODAY()+7),COUNTIFS(B$4:B187,"&lt;&gt;",N$4:N187,"&gt;="&amp;TODAY(),N$4:N187,"&lt;="&amp;TODAY()+7,O$4:O187,""),"")</f>
        <v/>
      </c>
    </row>
    <row r="188" spans="1:23" s="1" customFormat="1" ht="18" customHeight="1" x14ac:dyDescent="0.45">
      <c r="A188" s="7"/>
      <c r="B188" s="7"/>
      <c r="C188" s="9" t="str">
        <f>IF(B188="","",VLOOKUP(B188,'Student Roster'!A:C,2,FALSE))</f>
        <v/>
      </c>
      <c r="D188" s="9" t="str">
        <f>IF(B188="","",VLOOKUP(B188,'Student Roster'!A:C,3,FALSE))</f>
        <v/>
      </c>
      <c r="E188" s="9" t="str">
        <f>IF(B188="","",VLOOKUP(B188,'Student Roster'!A:D,4,FALSE))</f>
        <v/>
      </c>
      <c r="F188" s="7"/>
      <c r="G188" s="7"/>
      <c r="H188" s="7"/>
      <c r="I188" s="7"/>
      <c r="J188" s="7"/>
      <c r="K188" s="7"/>
      <c r="L188" s="11" t="str">
        <f t="shared" ca="1" si="25"/>
        <v/>
      </c>
      <c r="M188" s="11" t="str">
        <f t="shared" si="26"/>
        <v/>
      </c>
      <c r="N188" s="10" t="str">
        <f t="shared" si="27"/>
        <v/>
      </c>
      <c r="O188" s="7"/>
      <c r="P188" s="7"/>
      <c r="Q188" s="7"/>
      <c r="R188" s="7"/>
      <c r="S188" s="9" t="str">
        <f t="shared" ca="1" si="28"/>
        <v>OK</v>
      </c>
      <c r="T188" s="7"/>
      <c r="U188" s="7" t="str">
        <f t="shared" si="29"/>
        <v/>
      </c>
      <c r="V188" s="7"/>
      <c r="W188" t="str">
        <f ca="1">IF(AND(B188&lt;&gt;"",N188&lt;&gt;"",O188="",N188&gt;=TODAY(),N188&lt;=TODAY()+7),COUNTIFS(B$4:B188,"&lt;&gt;",N$4:N188,"&gt;="&amp;TODAY(),N$4:N188,"&lt;="&amp;TODAY()+7,O$4:O188,""),"")</f>
        <v/>
      </c>
    </row>
    <row r="189" spans="1:23" s="1" customFormat="1" ht="18" customHeight="1" x14ac:dyDescent="0.45">
      <c r="A189" s="5"/>
      <c r="B189" s="5"/>
      <c r="C189" s="9" t="str">
        <f>IF(B189="","",VLOOKUP(B189,'Student Roster'!A:C,2,FALSE))</f>
        <v/>
      </c>
      <c r="D189" s="9" t="str">
        <f>IF(B189="","",VLOOKUP(B189,'Student Roster'!A:C,3,FALSE))</f>
        <v/>
      </c>
      <c r="E189" s="9" t="str">
        <f>IF(B189="","",VLOOKUP(B189,'Student Roster'!A:D,4,FALSE))</f>
        <v/>
      </c>
      <c r="F189" s="5"/>
      <c r="G189" s="5"/>
      <c r="H189" s="5"/>
      <c r="I189" s="5"/>
      <c r="J189" s="5"/>
      <c r="K189" s="5"/>
      <c r="L189" s="11" t="str">
        <f t="shared" ca="1" si="25"/>
        <v/>
      </c>
      <c r="M189" s="11" t="str">
        <f t="shared" si="26"/>
        <v/>
      </c>
      <c r="N189" s="10" t="str">
        <f t="shared" si="27"/>
        <v/>
      </c>
      <c r="O189" s="5"/>
      <c r="P189" s="5"/>
      <c r="Q189" s="5"/>
      <c r="R189" s="5"/>
      <c r="S189" s="9" t="str">
        <f t="shared" ca="1" si="28"/>
        <v>OK</v>
      </c>
      <c r="T189" s="5"/>
      <c r="U189" s="5" t="str">
        <f t="shared" si="29"/>
        <v/>
      </c>
      <c r="V189" s="5"/>
      <c r="W189" t="str">
        <f ca="1">IF(AND(B189&lt;&gt;"",N189&lt;&gt;"",O189="",N189&gt;=TODAY(),N189&lt;=TODAY()+7),COUNTIFS(B$4:B189,"&lt;&gt;",N$4:N189,"&gt;="&amp;TODAY(),N$4:N189,"&lt;="&amp;TODAY()+7,O$4:O189,""),"")</f>
        <v/>
      </c>
    </row>
    <row r="190" spans="1:23" s="1" customFormat="1" ht="18" customHeight="1" x14ac:dyDescent="0.45">
      <c r="A190" s="7"/>
      <c r="B190" s="7"/>
      <c r="C190" s="9" t="str">
        <f>IF(B190="","",VLOOKUP(B190,'Student Roster'!A:C,2,FALSE))</f>
        <v/>
      </c>
      <c r="D190" s="9" t="str">
        <f>IF(B190="","",VLOOKUP(B190,'Student Roster'!A:C,3,FALSE))</f>
        <v/>
      </c>
      <c r="E190" s="9" t="str">
        <f>IF(B190="","",VLOOKUP(B190,'Student Roster'!A:D,4,FALSE))</f>
        <v/>
      </c>
      <c r="F190" s="7"/>
      <c r="G190" s="7"/>
      <c r="H190" s="7"/>
      <c r="I190" s="7"/>
      <c r="J190" s="7"/>
      <c r="K190" s="7"/>
      <c r="L190" s="11" t="str">
        <f t="shared" ca="1" si="25"/>
        <v/>
      </c>
      <c r="M190" s="11" t="str">
        <f t="shared" si="26"/>
        <v/>
      </c>
      <c r="N190" s="10" t="str">
        <f t="shared" si="27"/>
        <v/>
      </c>
      <c r="O190" s="7"/>
      <c r="P190" s="7"/>
      <c r="Q190" s="7"/>
      <c r="R190" s="7"/>
      <c r="S190" s="9" t="str">
        <f t="shared" ca="1" si="28"/>
        <v>OK</v>
      </c>
      <c r="T190" s="7"/>
      <c r="U190" s="7" t="str">
        <f t="shared" si="29"/>
        <v/>
      </c>
      <c r="V190" s="7"/>
      <c r="W190" t="str">
        <f ca="1">IF(AND(B190&lt;&gt;"",N190&lt;&gt;"",O190="",N190&gt;=TODAY(),N190&lt;=TODAY()+7),COUNTIFS(B$4:B190,"&lt;&gt;",N$4:N190,"&gt;="&amp;TODAY(),N$4:N190,"&lt;="&amp;TODAY()+7,O$4:O190,""),"")</f>
        <v/>
      </c>
    </row>
    <row r="191" spans="1:23" s="1" customFormat="1" ht="18" customHeight="1" x14ac:dyDescent="0.45">
      <c r="A191" s="5"/>
      <c r="B191" s="5"/>
      <c r="C191" s="9" t="str">
        <f>IF(B191="","",VLOOKUP(B191,'Student Roster'!A:C,2,FALSE))</f>
        <v/>
      </c>
      <c r="D191" s="9" t="str">
        <f>IF(B191="","",VLOOKUP(B191,'Student Roster'!A:C,3,FALSE))</f>
        <v/>
      </c>
      <c r="E191" s="9" t="str">
        <f>IF(B191="","",VLOOKUP(B191,'Student Roster'!A:D,4,FALSE))</f>
        <v/>
      </c>
      <c r="F191" s="5"/>
      <c r="G191" s="5"/>
      <c r="H191" s="5"/>
      <c r="I191" s="5"/>
      <c r="J191" s="5"/>
      <c r="K191" s="5"/>
      <c r="L191" s="11" t="str">
        <f t="shared" ca="1" si="25"/>
        <v/>
      </c>
      <c r="M191" s="11" t="str">
        <f t="shared" si="26"/>
        <v/>
      </c>
      <c r="N191" s="10" t="str">
        <f t="shared" si="27"/>
        <v/>
      </c>
      <c r="O191" s="5"/>
      <c r="P191" s="5"/>
      <c r="Q191" s="5"/>
      <c r="R191" s="5"/>
      <c r="S191" s="9" t="str">
        <f t="shared" ca="1" si="28"/>
        <v>OK</v>
      </c>
      <c r="T191" s="5"/>
      <c r="U191" s="5" t="str">
        <f t="shared" si="29"/>
        <v/>
      </c>
      <c r="V191" s="5"/>
      <c r="W191" t="str">
        <f ca="1">IF(AND(B191&lt;&gt;"",N191&lt;&gt;"",O191="",N191&gt;=TODAY(),N191&lt;=TODAY()+7),COUNTIFS(B$4:B191,"&lt;&gt;",N$4:N191,"&gt;="&amp;TODAY(),N$4:N191,"&lt;="&amp;TODAY()+7,O$4:O191,""),"")</f>
        <v/>
      </c>
    </row>
    <row r="192" spans="1:23" s="1" customFormat="1" ht="18" customHeight="1" x14ac:dyDescent="0.45">
      <c r="A192" s="7"/>
      <c r="B192" s="7"/>
      <c r="C192" s="9" t="str">
        <f>IF(B192="","",VLOOKUP(B192,'Student Roster'!A:C,2,FALSE))</f>
        <v/>
      </c>
      <c r="D192" s="9" t="str">
        <f>IF(B192="","",VLOOKUP(B192,'Student Roster'!A:C,3,FALSE))</f>
        <v/>
      </c>
      <c r="E192" s="9" t="str">
        <f>IF(B192="","",VLOOKUP(B192,'Student Roster'!A:D,4,FALSE))</f>
        <v/>
      </c>
      <c r="F192" s="7"/>
      <c r="G192" s="7"/>
      <c r="H192" s="7"/>
      <c r="I192" s="7"/>
      <c r="J192" s="7"/>
      <c r="K192" s="7"/>
      <c r="L192" s="11" t="str">
        <f t="shared" ca="1" si="25"/>
        <v/>
      </c>
      <c r="M192" s="11" t="str">
        <f t="shared" si="26"/>
        <v/>
      </c>
      <c r="N192" s="10" t="str">
        <f t="shared" si="27"/>
        <v/>
      </c>
      <c r="O192" s="7"/>
      <c r="P192" s="7"/>
      <c r="Q192" s="7"/>
      <c r="R192" s="7"/>
      <c r="S192" s="9" t="str">
        <f t="shared" ca="1" si="28"/>
        <v>OK</v>
      </c>
      <c r="T192" s="7"/>
      <c r="U192" s="7" t="str">
        <f t="shared" si="29"/>
        <v/>
      </c>
      <c r="V192" s="7"/>
      <c r="W192" t="str">
        <f ca="1">IF(AND(B192&lt;&gt;"",N192&lt;&gt;"",O192="",N192&gt;=TODAY(),N192&lt;=TODAY()+7),COUNTIFS(B$4:B192,"&lt;&gt;",N$4:N192,"&gt;="&amp;TODAY(),N$4:N192,"&lt;="&amp;TODAY()+7,O$4:O192,""),"")</f>
        <v/>
      </c>
    </row>
    <row r="193" spans="1:23" s="1" customFormat="1" ht="18" customHeight="1" x14ac:dyDescent="0.45">
      <c r="A193" s="5"/>
      <c r="B193" s="5"/>
      <c r="C193" s="9" t="str">
        <f>IF(B193="","",VLOOKUP(B193,'Student Roster'!A:C,2,FALSE))</f>
        <v/>
      </c>
      <c r="D193" s="9" t="str">
        <f>IF(B193="","",VLOOKUP(B193,'Student Roster'!A:C,3,FALSE))</f>
        <v/>
      </c>
      <c r="E193" s="9" t="str">
        <f>IF(B193="","",VLOOKUP(B193,'Student Roster'!A:D,4,FALSE))</f>
        <v/>
      </c>
      <c r="F193" s="5"/>
      <c r="G193" s="5"/>
      <c r="H193" s="5"/>
      <c r="I193" s="5"/>
      <c r="J193" s="5"/>
      <c r="K193" s="5"/>
      <c r="L193" s="11" t="str">
        <f t="shared" ca="1" si="25"/>
        <v/>
      </c>
      <c r="M193" s="11" t="str">
        <f t="shared" si="26"/>
        <v/>
      </c>
      <c r="N193" s="10" t="str">
        <f t="shared" si="27"/>
        <v/>
      </c>
      <c r="O193" s="5"/>
      <c r="P193" s="5"/>
      <c r="Q193" s="5"/>
      <c r="R193" s="5"/>
      <c r="S193" s="9" t="str">
        <f t="shared" ca="1" si="28"/>
        <v>OK</v>
      </c>
      <c r="T193" s="5"/>
      <c r="U193" s="5" t="str">
        <f t="shared" si="29"/>
        <v/>
      </c>
      <c r="V193" s="5"/>
      <c r="W193" t="str">
        <f ca="1">IF(AND(B193&lt;&gt;"",N193&lt;&gt;"",O193="",N193&gt;=TODAY(),N193&lt;=TODAY()+7),COUNTIFS(B$4:B193,"&lt;&gt;",N$4:N193,"&gt;="&amp;TODAY(),N$4:N193,"&lt;="&amp;TODAY()+7,O$4:O193,""),"")</f>
        <v/>
      </c>
    </row>
    <row r="194" spans="1:23" s="1" customFormat="1" ht="18" customHeight="1" x14ac:dyDescent="0.45">
      <c r="A194" s="7"/>
      <c r="B194" s="7"/>
      <c r="C194" s="9" t="str">
        <f>IF(B194="","",VLOOKUP(B194,'Student Roster'!A:C,2,FALSE))</f>
        <v/>
      </c>
      <c r="D194" s="9" t="str">
        <f>IF(B194="","",VLOOKUP(B194,'Student Roster'!A:C,3,FALSE))</f>
        <v/>
      </c>
      <c r="E194" s="9" t="str">
        <f>IF(B194="","",VLOOKUP(B194,'Student Roster'!A:D,4,FALSE))</f>
        <v/>
      </c>
      <c r="F194" s="7"/>
      <c r="G194" s="7"/>
      <c r="H194" s="7"/>
      <c r="I194" s="7"/>
      <c r="J194" s="7"/>
      <c r="K194" s="7"/>
      <c r="L194" s="11" t="str">
        <f t="shared" ca="1" si="25"/>
        <v/>
      </c>
      <c r="M194" s="11" t="str">
        <f t="shared" si="26"/>
        <v/>
      </c>
      <c r="N194" s="10" t="str">
        <f t="shared" si="27"/>
        <v/>
      </c>
      <c r="O194" s="7"/>
      <c r="P194" s="7"/>
      <c r="Q194" s="7"/>
      <c r="R194" s="7"/>
      <c r="S194" s="9" t="str">
        <f t="shared" ca="1" si="28"/>
        <v>OK</v>
      </c>
      <c r="T194" s="7"/>
      <c r="U194" s="7" t="str">
        <f t="shared" si="29"/>
        <v/>
      </c>
      <c r="V194" s="7"/>
      <c r="W194" t="str">
        <f ca="1">IF(AND(B194&lt;&gt;"",N194&lt;&gt;"",O194="",N194&gt;=TODAY(),N194&lt;=TODAY()+7),COUNTIFS(B$4:B194,"&lt;&gt;",N$4:N194,"&gt;="&amp;TODAY(),N$4:N194,"&lt;="&amp;TODAY()+7,O$4:O194,""),"")</f>
        <v/>
      </c>
    </row>
    <row r="195" spans="1:23" s="1" customFormat="1" ht="18" customHeight="1" x14ac:dyDescent="0.45">
      <c r="A195" s="5"/>
      <c r="B195" s="5"/>
      <c r="C195" s="9" t="str">
        <f>IF(B195="","",VLOOKUP(B195,'Student Roster'!A:C,2,FALSE))</f>
        <v/>
      </c>
      <c r="D195" s="9" t="str">
        <f>IF(B195="","",VLOOKUP(B195,'Student Roster'!A:C,3,FALSE))</f>
        <v/>
      </c>
      <c r="E195" s="9" t="str">
        <f>IF(B195="","",VLOOKUP(B195,'Student Roster'!A:D,4,FALSE))</f>
        <v/>
      </c>
      <c r="F195" s="5"/>
      <c r="G195" s="5"/>
      <c r="H195" s="5"/>
      <c r="I195" s="5"/>
      <c r="J195" s="5"/>
      <c r="K195" s="5"/>
      <c r="L195" s="11" t="str">
        <f t="shared" ca="1" si="25"/>
        <v/>
      </c>
      <c r="M195" s="11" t="str">
        <f t="shared" si="26"/>
        <v/>
      </c>
      <c r="N195" s="10" t="str">
        <f t="shared" si="27"/>
        <v/>
      </c>
      <c r="O195" s="5"/>
      <c r="P195" s="5"/>
      <c r="Q195" s="5"/>
      <c r="R195" s="5"/>
      <c r="S195" s="9" t="str">
        <f t="shared" ca="1" si="28"/>
        <v>OK</v>
      </c>
      <c r="T195" s="5"/>
      <c r="U195" s="5" t="str">
        <f t="shared" si="29"/>
        <v/>
      </c>
      <c r="V195" s="5"/>
      <c r="W195" t="str">
        <f ca="1">IF(AND(B195&lt;&gt;"",N195&lt;&gt;"",O195="",N195&gt;=TODAY(),N195&lt;=TODAY()+7),COUNTIFS(B$4:B195,"&lt;&gt;",N$4:N195,"&gt;="&amp;TODAY(),N$4:N195,"&lt;="&amp;TODAY()+7,O$4:O195,""),"")</f>
        <v/>
      </c>
    </row>
    <row r="196" spans="1:23" s="1" customFormat="1" ht="18" customHeight="1" x14ac:dyDescent="0.45">
      <c r="A196" s="7"/>
      <c r="B196" s="7"/>
      <c r="C196" s="9" t="str">
        <f>IF(B196="","",VLOOKUP(B196,'Student Roster'!A:C,2,FALSE))</f>
        <v/>
      </c>
      <c r="D196" s="9" t="str">
        <f>IF(B196="","",VLOOKUP(B196,'Student Roster'!A:C,3,FALSE))</f>
        <v/>
      </c>
      <c r="E196" s="9" t="str">
        <f>IF(B196="","",VLOOKUP(B196,'Student Roster'!A:D,4,FALSE))</f>
        <v/>
      </c>
      <c r="F196" s="7"/>
      <c r="G196" s="7"/>
      <c r="H196" s="7"/>
      <c r="I196" s="7"/>
      <c r="J196" s="7"/>
      <c r="K196" s="7"/>
      <c r="L196" s="11" t="str">
        <f t="shared" ref="L196:L203" ca="1" si="30">IF(J196="","",IF(O196="",TODAY()-J196,O196-J196))</f>
        <v/>
      </c>
      <c r="M196" s="11" t="str">
        <f t="shared" ref="M196:M227" si="31">IF(J196="","",MAX(0,K196-L196))</f>
        <v/>
      </c>
      <c r="N196" s="10" t="str">
        <f t="shared" ref="N196:N203" si="32">IF(J196="","",J196+K196)</f>
        <v/>
      </c>
      <c r="O196" s="7"/>
      <c r="P196" s="7"/>
      <c r="Q196" s="7"/>
      <c r="R196" s="7"/>
      <c r="S196" s="9" t="str">
        <f t="shared" ref="S196:S227" ca="1" si="33">IF(AND(R196="Yes",L196&gt;=8),"⚠ APPROACHING 10-DAY","OK")</f>
        <v>OK</v>
      </c>
      <c r="T196" s="7"/>
      <c r="U196" s="7" t="str">
        <f t="shared" ref="U196:U227" si="34">IF(J196="","",IF(AND(T196="Yes",L196&lt;=K196),"Complete",IF(L196&gt;K196,"⚠ OVERDUE","In Progress")))</f>
        <v/>
      </c>
      <c r="V196" s="7"/>
      <c r="W196" t="str">
        <f ca="1">IF(AND(B196&lt;&gt;"",N196&lt;&gt;"",O196="",N196&gt;=TODAY(),N196&lt;=TODAY()+7),COUNTIFS(B$4:B196,"&lt;&gt;",N$4:N196,"&gt;="&amp;TODAY(),N$4:N196,"&lt;="&amp;TODAY()+7,O$4:O196,""),"")</f>
        <v/>
      </c>
    </row>
    <row r="197" spans="1:23" s="1" customFormat="1" ht="18" customHeight="1" x14ac:dyDescent="0.45">
      <c r="A197" s="5"/>
      <c r="B197" s="5"/>
      <c r="C197" s="9" t="str">
        <f>IF(B197="","",VLOOKUP(B197,'Student Roster'!A:C,2,FALSE))</f>
        <v/>
      </c>
      <c r="D197" s="9" t="str">
        <f>IF(B197="","",VLOOKUP(B197,'Student Roster'!A:C,3,FALSE))</f>
        <v/>
      </c>
      <c r="E197" s="9" t="str">
        <f>IF(B197="","",VLOOKUP(B197,'Student Roster'!A:D,4,FALSE))</f>
        <v/>
      </c>
      <c r="F197" s="5"/>
      <c r="G197" s="5"/>
      <c r="H197" s="5"/>
      <c r="I197" s="5"/>
      <c r="J197" s="5"/>
      <c r="K197" s="5"/>
      <c r="L197" s="11" t="str">
        <f t="shared" ca="1" si="30"/>
        <v/>
      </c>
      <c r="M197" s="11" t="str">
        <f t="shared" si="31"/>
        <v/>
      </c>
      <c r="N197" s="10" t="str">
        <f t="shared" si="32"/>
        <v/>
      </c>
      <c r="O197" s="5"/>
      <c r="P197" s="5"/>
      <c r="Q197" s="5"/>
      <c r="R197" s="5"/>
      <c r="S197" s="9" t="str">
        <f t="shared" ca="1" si="33"/>
        <v>OK</v>
      </c>
      <c r="T197" s="5"/>
      <c r="U197" s="5" t="str">
        <f t="shared" si="34"/>
        <v/>
      </c>
      <c r="V197" s="5"/>
      <c r="W197" t="str">
        <f ca="1">IF(AND(B197&lt;&gt;"",N197&lt;&gt;"",O197="",N197&gt;=TODAY(),N197&lt;=TODAY()+7),COUNTIFS(B$4:B197,"&lt;&gt;",N$4:N197,"&gt;="&amp;TODAY(),N$4:N197,"&lt;="&amp;TODAY()+7,O$4:O197,""),"")</f>
        <v/>
      </c>
    </row>
    <row r="198" spans="1:23" s="1" customFormat="1" ht="18" customHeight="1" x14ac:dyDescent="0.45">
      <c r="A198" s="7"/>
      <c r="B198" s="7"/>
      <c r="C198" s="9" t="str">
        <f>IF(B198="","",VLOOKUP(B198,'Student Roster'!A:C,2,FALSE))</f>
        <v/>
      </c>
      <c r="D198" s="9" t="str">
        <f>IF(B198="","",VLOOKUP(B198,'Student Roster'!A:C,3,FALSE))</f>
        <v/>
      </c>
      <c r="E198" s="9" t="str">
        <f>IF(B198="","",VLOOKUP(B198,'Student Roster'!A:D,4,FALSE))</f>
        <v/>
      </c>
      <c r="F198" s="7"/>
      <c r="G198" s="7"/>
      <c r="H198" s="7"/>
      <c r="I198" s="7"/>
      <c r="J198" s="7"/>
      <c r="K198" s="7"/>
      <c r="L198" s="11" t="str">
        <f t="shared" ca="1" si="30"/>
        <v/>
      </c>
      <c r="M198" s="11" t="str">
        <f t="shared" si="31"/>
        <v/>
      </c>
      <c r="N198" s="10" t="str">
        <f t="shared" si="32"/>
        <v/>
      </c>
      <c r="O198" s="7"/>
      <c r="P198" s="7"/>
      <c r="Q198" s="7"/>
      <c r="R198" s="7"/>
      <c r="S198" s="9" t="str">
        <f t="shared" ca="1" si="33"/>
        <v>OK</v>
      </c>
      <c r="T198" s="7"/>
      <c r="U198" s="7" t="str">
        <f t="shared" si="34"/>
        <v/>
      </c>
      <c r="V198" s="7"/>
      <c r="W198" t="str">
        <f ca="1">IF(AND(B198&lt;&gt;"",N198&lt;&gt;"",O198="",N198&gt;=TODAY(),N198&lt;=TODAY()+7),COUNTIFS(B$4:B198,"&lt;&gt;",N$4:N198,"&gt;="&amp;TODAY(),N$4:N198,"&lt;="&amp;TODAY()+7,O$4:O198,""),"")</f>
        <v/>
      </c>
    </row>
    <row r="199" spans="1:23" s="1" customFormat="1" ht="18" customHeight="1" x14ac:dyDescent="0.45">
      <c r="A199" s="5"/>
      <c r="B199" s="5"/>
      <c r="C199" s="9" t="str">
        <f>IF(B199="","",VLOOKUP(B199,'Student Roster'!A:C,2,FALSE))</f>
        <v/>
      </c>
      <c r="D199" s="9" t="str">
        <f>IF(B199="","",VLOOKUP(B199,'Student Roster'!A:C,3,FALSE))</f>
        <v/>
      </c>
      <c r="E199" s="9" t="str">
        <f>IF(B199="","",VLOOKUP(B199,'Student Roster'!A:D,4,FALSE))</f>
        <v/>
      </c>
      <c r="F199" s="5"/>
      <c r="G199" s="5"/>
      <c r="H199" s="5"/>
      <c r="I199" s="5"/>
      <c r="J199" s="5"/>
      <c r="K199" s="5"/>
      <c r="L199" s="11" t="str">
        <f t="shared" ca="1" si="30"/>
        <v/>
      </c>
      <c r="M199" s="11" t="str">
        <f t="shared" si="31"/>
        <v/>
      </c>
      <c r="N199" s="10" t="str">
        <f t="shared" si="32"/>
        <v/>
      </c>
      <c r="O199" s="5"/>
      <c r="P199" s="5"/>
      <c r="Q199" s="5"/>
      <c r="R199" s="5"/>
      <c r="S199" s="9" t="str">
        <f t="shared" ca="1" si="33"/>
        <v>OK</v>
      </c>
      <c r="T199" s="5"/>
      <c r="U199" s="5" t="str">
        <f t="shared" si="34"/>
        <v/>
      </c>
      <c r="V199" s="5"/>
      <c r="W199" t="str">
        <f ca="1">IF(AND(B199&lt;&gt;"",N199&lt;&gt;"",O199="",N199&gt;=TODAY(),N199&lt;=TODAY()+7),COUNTIFS(B$4:B199,"&lt;&gt;",N$4:N199,"&gt;="&amp;TODAY(),N$4:N199,"&lt;="&amp;TODAY()+7,O$4:O199,""),"")</f>
        <v/>
      </c>
    </row>
    <row r="200" spans="1:23" s="1" customFormat="1" ht="18" customHeight="1" x14ac:dyDescent="0.45">
      <c r="A200" s="7"/>
      <c r="B200" s="7"/>
      <c r="C200" s="9" t="str">
        <f>IF(B200="","",VLOOKUP(B200,'Student Roster'!A:C,2,FALSE))</f>
        <v/>
      </c>
      <c r="D200" s="9" t="str">
        <f>IF(B200="","",VLOOKUP(B200,'Student Roster'!A:C,3,FALSE))</f>
        <v/>
      </c>
      <c r="E200" s="9" t="str">
        <f>IF(B200="","",VLOOKUP(B200,'Student Roster'!A:D,4,FALSE))</f>
        <v/>
      </c>
      <c r="F200" s="7"/>
      <c r="G200" s="7"/>
      <c r="H200" s="7"/>
      <c r="I200" s="7"/>
      <c r="J200" s="7"/>
      <c r="K200" s="7"/>
      <c r="L200" s="11" t="str">
        <f t="shared" ca="1" si="30"/>
        <v/>
      </c>
      <c r="M200" s="11" t="str">
        <f t="shared" si="31"/>
        <v/>
      </c>
      <c r="N200" s="10" t="str">
        <f t="shared" si="32"/>
        <v/>
      </c>
      <c r="O200" s="7"/>
      <c r="P200" s="7"/>
      <c r="Q200" s="7"/>
      <c r="R200" s="7"/>
      <c r="S200" s="9" t="str">
        <f t="shared" ca="1" si="33"/>
        <v>OK</v>
      </c>
      <c r="T200" s="7"/>
      <c r="U200" s="7" t="str">
        <f t="shared" si="34"/>
        <v/>
      </c>
      <c r="V200" s="7"/>
      <c r="W200" t="str">
        <f ca="1">IF(AND(B200&lt;&gt;"",N200&lt;&gt;"",O200="",N200&gt;=TODAY(),N200&lt;=TODAY()+7),COUNTIFS(B$4:B200,"&lt;&gt;",N$4:N200,"&gt;="&amp;TODAY(),N$4:N200,"&lt;="&amp;TODAY()+7,O$4:O200,""),"")</f>
        <v/>
      </c>
    </row>
    <row r="201" spans="1:23" s="1" customFormat="1" ht="18" customHeight="1" x14ac:dyDescent="0.45">
      <c r="A201" s="5"/>
      <c r="B201" s="5"/>
      <c r="C201" s="9" t="str">
        <f>IF(B201="","",VLOOKUP(B201,'Student Roster'!A:C,2,FALSE))</f>
        <v/>
      </c>
      <c r="D201" s="9" t="str">
        <f>IF(B201="","",VLOOKUP(B201,'Student Roster'!A:C,3,FALSE))</f>
        <v/>
      </c>
      <c r="E201" s="9" t="str">
        <f>IF(B201="","",VLOOKUP(B201,'Student Roster'!A:D,4,FALSE))</f>
        <v/>
      </c>
      <c r="F201" s="5"/>
      <c r="G201" s="5"/>
      <c r="H201" s="5"/>
      <c r="I201" s="5"/>
      <c r="J201" s="5"/>
      <c r="K201" s="5"/>
      <c r="L201" s="11" t="str">
        <f t="shared" ca="1" si="30"/>
        <v/>
      </c>
      <c r="M201" s="11" t="str">
        <f t="shared" si="31"/>
        <v/>
      </c>
      <c r="N201" s="10" t="str">
        <f t="shared" si="32"/>
        <v/>
      </c>
      <c r="O201" s="5"/>
      <c r="P201" s="5"/>
      <c r="Q201" s="5"/>
      <c r="R201" s="5"/>
      <c r="S201" s="9" t="str">
        <f t="shared" ca="1" si="33"/>
        <v>OK</v>
      </c>
      <c r="T201" s="5"/>
      <c r="U201" s="5" t="str">
        <f t="shared" si="34"/>
        <v/>
      </c>
      <c r="V201" s="5"/>
      <c r="W201" t="str">
        <f ca="1">IF(AND(B201&lt;&gt;"",N201&lt;&gt;"",O201="",N201&gt;=TODAY(),N201&lt;=TODAY()+7),COUNTIFS(B$4:B201,"&lt;&gt;",N$4:N201,"&gt;="&amp;TODAY(),N$4:N201,"&lt;="&amp;TODAY()+7,O$4:O201,""),"")</f>
        <v/>
      </c>
    </row>
    <row r="202" spans="1:23" s="1" customFormat="1" ht="18" customHeight="1" x14ac:dyDescent="0.45">
      <c r="A202" s="7"/>
      <c r="B202" s="7"/>
      <c r="C202" s="9" t="str">
        <f>IF(B202="","",VLOOKUP(B202,'Student Roster'!A:C,2,FALSE))</f>
        <v/>
      </c>
      <c r="D202" s="9" t="str">
        <f>IF(B202="","",VLOOKUP(B202,'Student Roster'!A:C,3,FALSE))</f>
        <v/>
      </c>
      <c r="E202" s="9" t="str">
        <f>IF(B202="","",VLOOKUP(B202,'Student Roster'!A:D,4,FALSE))</f>
        <v/>
      </c>
      <c r="F202" s="7"/>
      <c r="G202" s="7"/>
      <c r="H202" s="7"/>
      <c r="I202" s="7"/>
      <c r="J202" s="7"/>
      <c r="K202" s="7"/>
      <c r="L202" s="11" t="str">
        <f t="shared" ca="1" si="30"/>
        <v/>
      </c>
      <c r="M202" s="11" t="str">
        <f t="shared" si="31"/>
        <v/>
      </c>
      <c r="N202" s="10" t="str">
        <f t="shared" si="32"/>
        <v/>
      </c>
      <c r="O202" s="7"/>
      <c r="P202" s="7"/>
      <c r="Q202" s="7"/>
      <c r="R202" s="7"/>
      <c r="S202" s="9" t="str">
        <f t="shared" ca="1" si="33"/>
        <v>OK</v>
      </c>
      <c r="T202" s="7"/>
      <c r="U202" s="7" t="str">
        <f t="shared" si="34"/>
        <v/>
      </c>
      <c r="V202" s="7"/>
      <c r="W202" t="str">
        <f ca="1">IF(AND(B202&lt;&gt;"",N202&lt;&gt;"",O202="",N202&gt;=TODAY(),N202&lt;=TODAY()+7),COUNTIFS(B$4:B202,"&lt;&gt;",N$4:N202,"&gt;="&amp;TODAY(),N$4:N202,"&lt;="&amp;TODAY()+7,O$4:O202,""),"")</f>
        <v/>
      </c>
    </row>
    <row r="203" spans="1:23" s="1" customFormat="1" ht="18" customHeight="1" x14ac:dyDescent="0.45">
      <c r="A203" s="5"/>
      <c r="B203" s="5"/>
      <c r="C203" s="9" t="str">
        <f>IF(B203="","",VLOOKUP(B203,'Student Roster'!A:C,2,FALSE))</f>
        <v/>
      </c>
      <c r="D203" s="9" t="str">
        <f>IF(B203="","",VLOOKUP(B203,'Student Roster'!A:C,3,FALSE))</f>
        <v/>
      </c>
      <c r="E203" s="9" t="str">
        <f>IF(B203="","",VLOOKUP(B203,'Student Roster'!A:D,4,FALSE))</f>
        <v/>
      </c>
      <c r="F203" s="5"/>
      <c r="G203" s="5"/>
      <c r="H203" s="5"/>
      <c r="I203" s="5"/>
      <c r="J203" s="5"/>
      <c r="K203" s="5"/>
      <c r="L203" s="11" t="str">
        <f t="shared" ca="1" si="30"/>
        <v/>
      </c>
      <c r="M203" s="11" t="str">
        <f t="shared" si="31"/>
        <v/>
      </c>
      <c r="N203" s="10" t="str">
        <f t="shared" si="32"/>
        <v/>
      </c>
      <c r="O203" s="5"/>
      <c r="P203" s="5"/>
      <c r="Q203" s="5"/>
      <c r="R203" s="5"/>
      <c r="S203" s="9" t="str">
        <f t="shared" ca="1" si="33"/>
        <v>OK</v>
      </c>
      <c r="T203" s="5"/>
      <c r="U203" s="5" t="str">
        <f t="shared" si="34"/>
        <v/>
      </c>
      <c r="V203" s="5"/>
      <c r="W203" t="str">
        <f ca="1">IF(AND(B203&lt;&gt;"",N203&lt;&gt;"",O203="",N203&gt;=TODAY(),N203&lt;=TODAY()+7),COUNTIFS(B$4:B203,"&lt;&gt;",N$4:N203,"&gt;="&amp;TODAY(),N$4:N203,"&lt;="&amp;TODAY()+7,O$4:O203,""),"")</f>
        <v/>
      </c>
    </row>
    <row r="204" spans="1:23" s="1" customFormat="1" ht="19.5" customHeight="1" x14ac:dyDescent="0.45">
      <c r="A204" s="73" t="s">
        <v>54</v>
      </c>
      <c r="B204" s="64"/>
      <c r="C204" s="64"/>
      <c r="D204" s="64"/>
      <c r="E204" s="64"/>
      <c r="F204" s="64"/>
      <c r="G204" s="64"/>
      <c r="H204" s="64"/>
      <c r="I204" s="64"/>
      <c r="J204" s="64"/>
      <c r="K204" s="64"/>
      <c r="L204" s="64"/>
      <c r="M204" s="64"/>
      <c r="N204" s="64"/>
      <c r="O204" s="64"/>
      <c r="P204" s="64"/>
      <c r="Q204" s="64"/>
      <c r="R204" s="64"/>
      <c r="S204" s="64"/>
      <c r="T204" s="64"/>
      <c r="U204" s="64"/>
      <c r="V204" s="64"/>
    </row>
  </sheetData>
  <mergeCells count="3">
    <mergeCell ref="A2:V2"/>
    <mergeCell ref="A1:V1"/>
    <mergeCell ref="A204:V204"/>
  </mergeCells>
  <conditionalFormatting sqref="A4:V203">
    <cfRule type="expression" dxfId="17" priority="2">
      <formula>AND($M4&lt;0,$O4="")</formula>
    </cfRule>
    <cfRule type="expression" dxfId="16" priority="3">
      <formula>AND($M4&gt;=0,$M4&lt;=2,$O4="")</formula>
    </cfRule>
    <cfRule type="expression" dxfId="15" priority="4">
      <formula>AND($M4&gt;2,$M4&lt;=5,$O4="")</formula>
    </cfRule>
    <cfRule type="expression" dxfId="14" priority="5">
      <formula>$O4&lt;&gt;""</formula>
    </cfRule>
  </conditionalFormatting>
  <conditionalFormatting sqref="S4:S203">
    <cfRule type="expression" dxfId="13" priority="6">
      <formula>$S4="⚠ APPROACHING 10-DAY LIMIT"</formula>
    </cfRule>
  </conditionalFormatting>
  <pageMargins left="0.75" right="0.75" top="1" bottom="1" header="0.511811023622047" footer="0.511811023622047"/>
  <pageSetup orientation="landscape" useFirstPageNumber="1" horizontalDpi="300" verticalDpi="300"/>
  <extLst>
    <ext xmlns:x14="http://schemas.microsoft.com/office/spreadsheetml/2009/9/main" uri="{CCE6A557-97BC-4b89-ADB6-D9C93CAAB3DF}">
      <x14:dataValidations xmlns:xm="http://schemas.microsoft.com/office/excel/2006/main" count="6">
        <x14:dataValidation type="list" allowBlank="1" xr:uid="{00000000-0002-0000-0200-000000000000}">
          <x14:formula1>
            <xm:f>Lists!$O$2:$O$7</xm:f>
          </x14:formula1>
          <xm:sqref>H4:H203</xm:sqref>
        </x14:dataValidation>
        <x14:dataValidation type="list" allowBlank="1" xr:uid="{00000000-0002-0000-0200-000001000000}">
          <x14:formula1>
            <xm:f>Lists!$C$2:$C$5</xm:f>
          </x14:formula1>
          <xm:sqref>I4:I203</xm:sqref>
        </x14:dataValidation>
        <x14:dataValidation type="list" allowBlank="1" xr:uid="{00000000-0002-0000-0200-000002000000}">
          <x14:formula1>
            <xm:f>Lists!$J$2:$J$7</xm:f>
          </x14:formula1>
          <xm:sqref>P4:P203</xm:sqref>
        </x14:dataValidation>
        <x14:dataValidation type="list" allowBlank="1" xr:uid="{00000000-0002-0000-0200-000003000000}">
          <x14:formula1>
            <xm:f>Lists!$D$2:$D$11</xm:f>
          </x14:formula1>
          <xm:sqref>Q4:Q203</xm:sqref>
        </x14:dataValidation>
        <x14:dataValidation type="list" allowBlank="1" xr:uid="{00000000-0002-0000-0200-000004000000}">
          <x14:formula1>
            <xm:f>Lists!$H$2:$H$3</xm:f>
          </x14:formula1>
          <xm:sqref>R4:R203 T4:T203</xm:sqref>
        </x14:dataValidation>
        <x14:dataValidation type="list" allowBlank="1" xr:uid="{00000000-0002-0000-0200-000006000000}">
          <x14:formula1>
            <xm:f>Lists!$M$2:$M$6</xm:f>
          </x14:formula1>
          <xm:sqref>U4:U203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B2D7F"/>
    <pageSetUpPr fitToPage="1"/>
  </sheetPr>
  <dimension ref="A1:Q504"/>
  <sheetViews>
    <sheetView zoomScaleNormal="100" workbookViewId="0">
      <pane ySplit="3" topLeftCell="A4" activePane="bottomLeft" state="frozen"/>
      <selection pane="bottomLeft"/>
    </sheetView>
  </sheetViews>
  <sheetFormatPr defaultColWidth="8.6640625" defaultRowHeight="14.25" x14ac:dyDescent="0.45"/>
  <cols>
    <col min="1" max="1" width="10" style="1" customWidth="1"/>
    <col min="2" max="2" width="14" style="1" customWidth="1"/>
    <col min="3" max="3" width="12" style="1" customWidth="1"/>
    <col min="4" max="4" width="16" style="1" customWidth="1"/>
    <col min="5" max="5" width="14" style="1" customWidth="1"/>
    <col min="6" max="6" width="13" style="1" customWidth="1"/>
    <col min="7" max="7" width="14" style="1" customWidth="1"/>
    <col min="8" max="8" width="30" style="1" customWidth="1"/>
    <col min="9" max="9" width="34" style="1" customWidth="1"/>
    <col min="10" max="10" width="12" style="1" customWidth="1"/>
    <col min="11" max="11" width="18" style="1" customWidth="1"/>
    <col min="12" max="12" width="20" style="1" customWidth="1"/>
    <col min="13" max="13" width="26" style="1" customWidth="1"/>
    <col min="14" max="14" width="28" style="1" customWidth="1"/>
    <col min="15" max="15" width="40" style="1" customWidth="1"/>
    <col min="16" max="16" width="14" style="1" customWidth="1"/>
    <col min="17" max="17" width="30" style="1" customWidth="1"/>
  </cols>
  <sheetData>
    <row r="1" spans="1:17" s="1" customFormat="1" ht="43.5" customHeight="1" x14ac:dyDescent="0.45">
      <c r="A1" s="72" t="s">
        <v>76</v>
      </c>
      <c r="B1" s="64"/>
      <c r="C1" s="64"/>
      <c r="D1" s="64"/>
      <c r="E1" s="64"/>
      <c r="F1" s="64"/>
      <c r="G1" s="64"/>
      <c r="H1" s="64"/>
      <c r="I1" s="64"/>
      <c r="J1" s="64"/>
      <c r="K1" s="64"/>
      <c r="L1" s="64"/>
      <c r="M1" s="64"/>
      <c r="N1" s="64"/>
      <c r="O1" s="64"/>
      <c r="P1" s="64"/>
      <c r="Q1" s="64"/>
    </row>
    <row r="2" spans="1:17" s="1" customFormat="1" ht="21.75" customHeight="1" x14ac:dyDescent="0.45">
      <c r="A2" s="74" t="s">
        <v>77</v>
      </c>
      <c r="B2" s="64"/>
      <c r="C2" s="64"/>
      <c r="D2" s="64"/>
      <c r="E2" s="64"/>
      <c r="F2" s="64"/>
      <c r="G2" s="64"/>
      <c r="H2" s="64"/>
      <c r="I2" s="64"/>
      <c r="J2" s="64"/>
      <c r="K2" s="64"/>
      <c r="L2" s="64"/>
      <c r="M2" s="64"/>
      <c r="N2" s="64"/>
      <c r="O2" s="64"/>
      <c r="P2" s="64"/>
      <c r="Q2" s="64"/>
    </row>
    <row r="3" spans="1:17" s="1" customFormat="1" ht="36" customHeight="1" x14ac:dyDescent="0.45">
      <c r="A3" s="8" t="s">
        <v>78</v>
      </c>
      <c r="B3" s="8" t="s">
        <v>57</v>
      </c>
      <c r="C3" s="8" t="s">
        <v>33</v>
      </c>
      <c r="D3" s="8" t="s">
        <v>58</v>
      </c>
      <c r="E3" s="8" t="s">
        <v>59</v>
      </c>
      <c r="F3" s="8" t="s">
        <v>79</v>
      </c>
      <c r="G3" s="8" t="s">
        <v>80</v>
      </c>
      <c r="H3" s="8" t="s">
        <v>81</v>
      </c>
      <c r="I3" s="8" t="s">
        <v>82</v>
      </c>
      <c r="J3" s="8" t="s">
        <v>83</v>
      </c>
      <c r="K3" s="8" t="s">
        <v>84</v>
      </c>
      <c r="L3" s="8" t="s">
        <v>85</v>
      </c>
      <c r="M3" s="8" t="s">
        <v>86</v>
      </c>
      <c r="N3" s="8" t="s">
        <v>87</v>
      </c>
      <c r="O3" s="8" t="s">
        <v>88</v>
      </c>
      <c r="P3" s="8" t="s">
        <v>89</v>
      </c>
      <c r="Q3" s="8" t="s">
        <v>90</v>
      </c>
    </row>
    <row r="4" spans="1:17" s="1" customFormat="1" ht="18" customHeight="1" x14ac:dyDescent="0.45">
      <c r="A4" s="7"/>
      <c r="B4" s="7"/>
      <c r="C4" s="7"/>
      <c r="D4" s="9" t="str">
        <f>IF(C4="","",VLOOKUP(C4,'Student Roster'!A:C,2,FALSE))</f>
        <v/>
      </c>
      <c r="E4" s="9" t="str">
        <f>IF(C4="","",VLOOKUP(C4,'Student Roster'!A:C,3,FALSE))</f>
        <v/>
      </c>
      <c r="F4" s="7"/>
      <c r="G4" s="7"/>
      <c r="H4" s="7"/>
      <c r="I4" s="7"/>
      <c r="J4" s="7"/>
      <c r="K4" s="7"/>
      <c r="L4" s="7"/>
      <c r="M4" s="7"/>
      <c r="N4" s="7"/>
      <c r="O4" s="7"/>
      <c r="P4" s="7"/>
      <c r="Q4" s="7"/>
    </row>
    <row r="5" spans="1:17" s="1" customFormat="1" ht="18" customHeight="1" x14ac:dyDescent="0.45">
      <c r="A5" s="5"/>
      <c r="B5" s="5"/>
      <c r="C5" s="5"/>
      <c r="D5" s="9" t="str">
        <f>IF(C5="","",VLOOKUP(C5,'Student Roster'!A:C,2,FALSE))</f>
        <v/>
      </c>
      <c r="E5" s="9" t="str">
        <f>IF(C5="","",VLOOKUP(C5,'Student Roster'!A:C,3,FALSE))</f>
        <v/>
      </c>
      <c r="F5" s="5"/>
      <c r="G5" s="5"/>
      <c r="H5" s="5"/>
      <c r="I5" s="5"/>
      <c r="J5" s="5"/>
      <c r="K5" s="5"/>
      <c r="L5" s="5"/>
      <c r="M5" s="5"/>
      <c r="N5" s="5"/>
      <c r="O5" s="5"/>
      <c r="P5" s="5"/>
      <c r="Q5" s="5"/>
    </row>
    <row r="6" spans="1:17" s="1" customFormat="1" ht="18" customHeight="1" x14ac:dyDescent="0.45">
      <c r="A6" s="7"/>
      <c r="B6" s="7"/>
      <c r="C6" s="7"/>
      <c r="D6" s="9" t="str">
        <f>IF(C6="","",VLOOKUP(C6,'Student Roster'!A:C,2,FALSE))</f>
        <v/>
      </c>
      <c r="E6" s="9" t="str">
        <f>IF(C6="","",VLOOKUP(C6,'Student Roster'!A:C,3,FALSE))</f>
        <v/>
      </c>
      <c r="F6" s="7"/>
      <c r="G6" s="7"/>
      <c r="H6" s="7"/>
      <c r="I6" s="7"/>
      <c r="J6" s="7"/>
      <c r="K6" s="7"/>
      <c r="L6" s="7"/>
      <c r="M6" s="7"/>
      <c r="N6" s="7"/>
      <c r="O6" s="7"/>
      <c r="P6" s="7"/>
      <c r="Q6" s="7"/>
    </row>
    <row r="7" spans="1:17" s="1" customFormat="1" ht="18" customHeight="1" x14ac:dyDescent="0.45">
      <c r="A7" s="5"/>
      <c r="B7" s="5"/>
      <c r="C7" s="5"/>
      <c r="D7" s="9" t="str">
        <f>IF(C7="","",VLOOKUP(C7,'Student Roster'!A:C,2,FALSE))</f>
        <v/>
      </c>
      <c r="E7" s="9" t="str">
        <f>IF(C7="","",VLOOKUP(C7,'Student Roster'!A:C,3,FALSE))</f>
        <v/>
      </c>
      <c r="F7" s="5"/>
      <c r="G7" s="5"/>
      <c r="H7" s="5"/>
      <c r="I7" s="5"/>
      <c r="J7" s="5"/>
      <c r="K7" s="5"/>
      <c r="L7" s="5"/>
      <c r="M7" s="5"/>
      <c r="N7" s="5"/>
      <c r="O7" s="5"/>
      <c r="P7" s="5"/>
      <c r="Q7" s="5"/>
    </row>
    <row r="8" spans="1:17" s="1" customFormat="1" ht="18" customHeight="1" x14ac:dyDescent="0.45">
      <c r="A8" s="7"/>
      <c r="B8" s="7"/>
      <c r="C8" s="7"/>
      <c r="D8" s="9" t="str">
        <f>IF(C8="","",VLOOKUP(C8,'Student Roster'!A:C,2,FALSE))</f>
        <v/>
      </c>
      <c r="E8" s="9" t="str">
        <f>IF(C8="","",VLOOKUP(C8,'Student Roster'!A:C,3,FALSE))</f>
        <v/>
      </c>
      <c r="F8" s="7"/>
      <c r="G8" s="7"/>
      <c r="H8" s="7"/>
      <c r="I8" s="7"/>
      <c r="J8" s="7"/>
      <c r="K8" s="7"/>
      <c r="L8" s="7"/>
      <c r="M8" s="7"/>
      <c r="N8" s="7"/>
      <c r="O8" s="7"/>
      <c r="P8" s="7"/>
      <c r="Q8" s="7"/>
    </row>
    <row r="9" spans="1:17" s="1" customFormat="1" ht="18" customHeight="1" x14ac:dyDescent="0.45">
      <c r="A9" s="5"/>
      <c r="B9" s="5"/>
      <c r="C9" s="5"/>
      <c r="D9" s="9" t="str">
        <f>IF(C9="","",VLOOKUP(C9,'Student Roster'!A:C,2,FALSE))</f>
        <v/>
      </c>
      <c r="E9" s="9" t="str">
        <f>IF(C9="","",VLOOKUP(C9,'Student Roster'!A:C,3,FALSE))</f>
        <v/>
      </c>
      <c r="F9" s="5"/>
      <c r="G9" s="5"/>
      <c r="H9" s="5"/>
      <c r="I9" s="5"/>
      <c r="J9" s="5"/>
      <c r="K9" s="5"/>
      <c r="L9" s="5"/>
      <c r="M9" s="5"/>
      <c r="N9" s="5"/>
      <c r="O9" s="5"/>
      <c r="P9" s="5"/>
      <c r="Q9" s="5"/>
    </row>
    <row r="10" spans="1:17" s="1" customFormat="1" ht="18" customHeight="1" x14ac:dyDescent="0.45">
      <c r="A10" s="7"/>
      <c r="B10" s="7"/>
      <c r="C10" s="7"/>
      <c r="D10" s="9" t="str">
        <f>IF(C10="","",VLOOKUP(C10,'Student Roster'!A:C,2,FALSE))</f>
        <v/>
      </c>
      <c r="E10" s="9" t="str">
        <f>IF(C10="","",VLOOKUP(C10,'Student Roster'!A:C,3,FALSE))</f>
        <v/>
      </c>
      <c r="F10" s="7"/>
      <c r="G10" s="7"/>
      <c r="H10" s="7"/>
      <c r="I10" s="7"/>
      <c r="J10" s="7"/>
      <c r="K10" s="7"/>
      <c r="L10" s="7"/>
      <c r="M10" s="7"/>
      <c r="N10" s="7"/>
      <c r="O10" s="7"/>
      <c r="P10" s="7"/>
      <c r="Q10" s="7"/>
    </row>
    <row r="11" spans="1:17" s="1" customFormat="1" ht="18" customHeight="1" x14ac:dyDescent="0.45">
      <c r="A11" s="5"/>
      <c r="B11" s="5"/>
      <c r="C11" s="5"/>
      <c r="D11" s="9" t="str">
        <f>IF(C11="","",VLOOKUP(C11,'Student Roster'!A:C,2,FALSE))</f>
        <v/>
      </c>
      <c r="E11" s="9" t="str">
        <f>IF(C11="","",VLOOKUP(C11,'Student Roster'!A:C,3,FALSE))</f>
        <v/>
      </c>
      <c r="F11" s="5"/>
      <c r="G11" s="5"/>
      <c r="H11" s="5"/>
      <c r="I11" s="5"/>
      <c r="J11" s="5"/>
      <c r="K11" s="5"/>
      <c r="L11" s="5"/>
      <c r="M11" s="5"/>
      <c r="N11" s="5"/>
      <c r="O11" s="5"/>
      <c r="P11" s="5"/>
      <c r="Q11" s="5"/>
    </row>
    <row r="12" spans="1:17" s="1" customFormat="1" ht="18" customHeight="1" x14ac:dyDescent="0.45">
      <c r="A12" s="7"/>
      <c r="B12" s="7"/>
      <c r="C12" s="7"/>
      <c r="D12" s="9" t="str">
        <f>IF(C12="","",VLOOKUP(C12,'Student Roster'!A:C,2,FALSE))</f>
        <v/>
      </c>
      <c r="E12" s="9" t="str">
        <f>IF(C12="","",VLOOKUP(C12,'Student Roster'!A:C,3,FALSE))</f>
        <v/>
      </c>
      <c r="F12" s="7"/>
      <c r="G12" s="7"/>
      <c r="H12" s="7"/>
      <c r="I12" s="7"/>
      <c r="J12" s="7"/>
      <c r="K12" s="7"/>
      <c r="L12" s="7"/>
      <c r="M12" s="7"/>
      <c r="N12" s="7"/>
      <c r="O12" s="7"/>
      <c r="P12" s="7"/>
      <c r="Q12" s="7"/>
    </row>
    <row r="13" spans="1:17" s="1" customFormat="1" ht="18" customHeight="1" x14ac:dyDescent="0.45">
      <c r="A13" s="5"/>
      <c r="B13" s="5"/>
      <c r="C13" s="5"/>
      <c r="D13" s="9" t="str">
        <f>IF(C13="","",VLOOKUP(C13,'Student Roster'!A:C,2,FALSE))</f>
        <v/>
      </c>
      <c r="E13" s="9" t="str">
        <f>IF(C13="","",VLOOKUP(C13,'Student Roster'!A:C,3,FALSE))</f>
        <v/>
      </c>
      <c r="F13" s="5"/>
      <c r="G13" s="5"/>
      <c r="H13" s="5"/>
      <c r="I13" s="5"/>
      <c r="J13" s="5"/>
      <c r="K13" s="5"/>
      <c r="L13" s="5"/>
      <c r="M13" s="5"/>
      <c r="N13" s="5"/>
      <c r="O13" s="5"/>
      <c r="P13" s="5"/>
      <c r="Q13" s="5"/>
    </row>
    <row r="14" spans="1:17" s="1" customFormat="1" ht="18" customHeight="1" x14ac:dyDescent="0.45">
      <c r="A14" s="7"/>
      <c r="B14" s="7"/>
      <c r="C14" s="7"/>
      <c r="D14" s="9" t="str">
        <f>IF(C14="","",VLOOKUP(C14,'Student Roster'!A:C,2,FALSE))</f>
        <v/>
      </c>
      <c r="E14" s="9" t="str">
        <f>IF(C14="","",VLOOKUP(C14,'Student Roster'!A:C,3,FALSE))</f>
        <v/>
      </c>
      <c r="F14" s="7"/>
      <c r="G14" s="7"/>
      <c r="H14" s="7"/>
      <c r="I14" s="7"/>
      <c r="J14" s="7"/>
      <c r="K14" s="7"/>
      <c r="L14" s="7"/>
      <c r="M14" s="7"/>
      <c r="N14" s="7"/>
      <c r="O14" s="7"/>
      <c r="P14" s="7"/>
      <c r="Q14" s="7"/>
    </row>
    <row r="15" spans="1:17" s="1" customFormat="1" ht="18" customHeight="1" x14ac:dyDescent="0.45">
      <c r="A15" s="5"/>
      <c r="B15" s="5"/>
      <c r="C15" s="5"/>
      <c r="D15" s="9" t="str">
        <f>IF(C15="","",VLOOKUP(C15,'Student Roster'!A:C,2,FALSE))</f>
        <v/>
      </c>
      <c r="E15" s="9" t="str">
        <f>IF(C15="","",VLOOKUP(C15,'Student Roster'!A:C,3,FALSE))</f>
        <v/>
      </c>
      <c r="F15" s="5"/>
      <c r="G15" s="5"/>
      <c r="H15" s="5"/>
      <c r="I15" s="5"/>
      <c r="J15" s="5"/>
      <c r="K15" s="5"/>
      <c r="L15" s="5"/>
      <c r="M15" s="5"/>
      <c r="N15" s="5"/>
      <c r="O15" s="5"/>
      <c r="P15" s="5"/>
      <c r="Q15" s="5"/>
    </row>
    <row r="16" spans="1:17" s="1" customFormat="1" ht="18" customHeight="1" x14ac:dyDescent="0.45">
      <c r="A16" s="7"/>
      <c r="B16" s="7"/>
      <c r="C16" s="7"/>
      <c r="D16" s="9" t="str">
        <f>IF(C16="","",VLOOKUP(C16,'Student Roster'!A:C,2,FALSE))</f>
        <v/>
      </c>
      <c r="E16" s="9" t="str">
        <f>IF(C16="","",VLOOKUP(C16,'Student Roster'!A:C,3,FALSE))</f>
        <v/>
      </c>
      <c r="F16" s="7"/>
      <c r="G16" s="7"/>
      <c r="H16" s="7"/>
      <c r="I16" s="7"/>
      <c r="J16" s="7"/>
      <c r="K16" s="7"/>
      <c r="L16" s="7"/>
      <c r="M16" s="7"/>
      <c r="N16" s="7"/>
      <c r="O16" s="7"/>
      <c r="P16" s="7"/>
      <c r="Q16" s="7"/>
    </row>
    <row r="17" spans="1:17" s="1" customFormat="1" ht="18" customHeight="1" x14ac:dyDescent="0.45">
      <c r="A17" s="5"/>
      <c r="B17" s="5"/>
      <c r="C17" s="5"/>
      <c r="D17" s="9" t="str">
        <f>IF(C17="","",VLOOKUP(C17,'Student Roster'!A:C,2,FALSE))</f>
        <v/>
      </c>
      <c r="E17" s="9" t="str">
        <f>IF(C17="","",VLOOKUP(C17,'Student Roster'!A:C,3,FALSE))</f>
        <v/>
      </c>
      <c r="F17" s="5"/>
      <c r="G17" s="5"/>
      <c r="H17" s="5"/>
      <c r="I17" s="5"/>
      <c r="J17" s="5"/>
      <c r="K17" s="5"/>
      <c r="L17" s="5"/>
      <c r="M17" s="5"/>
      <c r="N17" s="5"/>
      <c r="O17" s="5"/>
      <c r="P17" s="5"/>
      <c r="Q17" s="5"/>
    </row>
    <row r="18" spans="1:17" s="1" customFormat="1" ht="18" customHeight="1" x14ac:dyDescent="0.45">
      <c r="A18" s="7"/>
      <c r="B18" s="7"/>
      <c r="C18" s="7"/>
      <c r="D18" s="9" t="str">
        <f>IF(C18="","",VLOOKUP(C18,'Student Roster'!A:C,2,FALSE))</f>
        <v/>
      </c>
      <c r="E18" s="9" t="str">
        <f>IF(C18="","",VLOOKUP(C18,'Student Roster'!A:C,3,FALSE))</f>
        <v/>
      </c>
      <c r="F18" s="7"/>
      <c r="G18" s="7"/>
      <c r="H18" s="7"/>
      <c r="I18" s="7"/>
      <c r="J18" s="7"/>
      <c r="K18" s="7"/>
      <c r="L18" s="7"/>
      <c r="M18" s="7"/>
      <c r="N18" s="7"/>
      <c r="O18" s="7"/>
      <c r="P18" s="7"/>
      <c r="Q18" s="7"/>
    </row>
    <row r="19" spans="1:17" s="1" customFormat="1" ht="18" customHeight="1" x14ac:dyDescent="0.45">
      <c r="A19" s="5"/>
      <c r="B19" s="5"/>
      <c r="C19" s="5"/>
      <c r="D19" s="9" t="str">
        <f>IF(C19="","",VLOOKUP(C19,'Student Roster'!A:C,2,FALSE))</f>
        <v/>
      </c>
      <c r="E19" s="9" t="str">
        <f>IF(C19="","",VLOOKUP(C19,'Student Roster'!A:C,3,FALSE))</f>
        <v/>
      </c>
      <c r="F19" s="5"/>
      <c r="G19" s="5"/>
      <c r="H19" s="5"/>
      <c r="I19" s="5"/>
      <c r="J19" s="5"/>
      <c r="K19" s="5"/>
      <c r="L19" s="5"/>
      <c r="M19" s="5"/>
      <c r="N19" s="5"/>
      <c r="O19" s="5"/>
      <c r="P19" s="5"/>
      <c r="Q19" s="5"/>
    </row>
    <row r="20" spans="1:17" s="1" customFormat="1" ht="18" customHeight="1" x14ac:dyDescent="0.45">
      <c r="A20" s="7"/>
      <c r="B20" s="7"/>
      <c r="C20" s="7"/>
      <c r="D20" s="9" t="str">
        <f>IF(C20="","",VLOOKUP(C20,'Student Roster'!A:C,2,FALSE))</f>
        <v/>
      </c>
      <c r="E20" s="9" t="str">
        <f>IF(C20="","",VLOOKUP(C20,'Student Roster'!A:C,3,FALSE))</f>
        <v/>
      </c>
      <c r="F20" s="7"/>
      <c r="G20" s="7"/>
      <c r="H20" s="7"/>
      <c r="I20" s="7"/>
      <c r="J20" s="7"/>
      <c r="K20" s="7"/>
      <c r="L20" s="7"/>
      <c r="M20" s="7"/>
      <c r="N20" s="7"/>
      <c r="O20" s="7"/>
      <c r="P20" s="7"/>
      <c r="Q20" s="7"/>
    </row>
    <row r="21" spans="1:17" s="1" customFormat="1" ht="18" customHeight="1" x14ac:dyDescent="0.45">
      <c r="A21" s="5"/>
      <c r="B21" s="5"/>
      <c r="C21" s="5"/>
      <c r="D21" s="9" t="str">
        <f>IF(C21="","",VLOOKUP(C21,'Student Roster'!A:C,2,FALSE))</f>
        <v/>
      </c>
      <c r="E21" s="9" t="str">
        <f>IF(C21="","",VLOOKUP(C21,'Student Roster'!A:C,3,FALSE))</f>
        <v/>
      </c>
      <c r="F21" s="5"/>
      <c r="G21" s="5"/>
      <c r="H21" s="5"/>
      <c r="I21" s="5"/>
      <c r="J21" s="5"/>
      <c r="K21" s="5"/>
      <c r="L21" s="5"/>
      <c r="M21" s="5"/>
      <c r="N21" s="5"/>
      <c r="O21" s="5"/>
      <c r="P21" s="5"/>
      <c r="Q21" s="5"/>
    </row>
    <row r="22" spans="1:17" s="1" customFormat="1" ht="18" customHeight="1" x14ac:dyDescent="0.45">
      <c r="A22" s="7"/>
      <c r="B22" s="7"/>
      <c r="C22" s="7"/>
      <c r="D22" s="9" t="str">
        <f>IF(C22="","",VLOOKUP(C22,'Student Roster'!A:C,2,FALSE))</f>
        <v/>
      </c>
      <c r="E22" s="9" t="str">
        <f>IF(C22="","",VLOOKUP(C22,'Student Roster'!A:C,3,FALSE))</f>
        <v/>
      </c>
      <c r="F22" s="7"/>
      <c r="G22" s="7"/>
      <c r="H22" s="7"/>
      <c r="I22" s="7"/>
      <c r="J22" s="7"/>
      <c r="K22" s="7"/>
      <c r="L22" s="7"/>
      <c r="M22" s="7"/>
      <c r="N22" s="7"/>
      <c r="O22" s="7"/>
      <c r="P22" s="7"/>
      <c r="Q22" s="7"/>
    </row>
    <row r="23" spans="1:17" s="1" customFormat="1" ht="18" customHeight="1" x14ac:dyDescent="0.45">
      <c r="A23" s="5"/>
      <c r="B23" s="5"/>
      <c r="C23" s="5"/>
      <c r="D23" s="9" t="str">
        <f>IF(C23="","",VLOOKUP(C23,'Student Roster'!A:C,2,FALSE))</f>
        <v/>
      </c>
      <c r="E23" s="9" t="str">
        <f>IF(C23="","",VLOOKUP(C23,'Student Roster'!A:C,3,FALSE))</f>
        <v/>
      </c>
      <c r="F23" s="5"/>
      <c r="G23" s="5"/>
      <c r="H23" s="5"/>
      <c r="I23" s="5"/>
      <c r="J23" s="5"/>
      <c r="K23" s="5"/>
      <c r="L23" s="5"/>
      <c r="M23" s="5"/>
      <c r="N23" s="5"/>
      <c r="O23" s="5"/>
      <c r="P23" s="5"/>
      <c r="Q23" s="5"/>
    </row>
    <row r="24" spans="1:17" s="1" customFormat="1" ht="18" customHeight="1" x14ac:dyDescent="0.45">
      <c r="A24" s="7"/>
      <c r="B24" s="7"/>
      <c r="C24" s="7"/>
      <c r="D24" s="9" t="str">
        <f>IF(C24="","",VLOOKUP(C24,'Student Roster'!A:C,2,FALSE))</f>
        <v/>
      </c>
      <c r="E24" s="9" t="str">
        <f>IF(C24="","",VLOOKUP(C24,'Student Roster'!A:C,3,FALSE))</f>
        <v/>
      </c>
      <c r="F24" s="7"/>
      <c r="G24" s="7"/>
      <c r="H24" s="7"/>
      <c r="I24" s="7"/>
      <c r="J24" s="7"/>
      <c r="K24" s="7"/>
      <c r="L24" s="7"/>
      <c r="M24" s="7"/>
      <c r="N24" s="7"/>
      <c r="O24" s="7"/>
      <c r="P24" s="7"/>
      <c r="Q24" s="7"/>
    </row>
    <row r="25" spans="1:17" s="1" customFormat="1" ht="18" customHeight="1" x14ac:dyDescent="0.45">
      <c r="A25" s="5"/>
      <c r="B25" s="5"/>
      <c r="C25" s="5"/>
      <c r="D25" s="9" t="str">
        <f>IF(C25="","",VLOOKUP(C25,'Student Roster'!A:C,2,FALSE))</f>
        <v/>
      </c>
      <c r="E25" s="9" t="str">
        <f>IF(C25="","",VLOOKUP(C25,'Student Roster'!A:C,3,FALSE))</f>
        <v/>
      </c>
      <c r="F25" s="5"/>
      <c r="G25" s="5"/>
      <c r="H25" s="5"/>
      <c r="I25" s="5"/>
      <c r="J25" s="5"/>
      <c r="K25" s="5"/>
      <c r="L25" s="5"/>
      <c r="M25" s="5"/>
      <c r="N25" s="5"/>
      <c r="O25" s="5"/>
      <c r="P25" s="5"/>
      <c r="Q25" s="5"/>
    </row>
    <row r="26" spans="1:17" s="1" customFormat="1" ht="18" customHeight="1" x14ac:dyDescent="0.45">
      <c r="A26" s="7"/>
      <c r="B26" s="7"/>
      <c r="C26" s="7"/>
      <c r="D26" s="9" t="str">
        <f>IF(C26="","",VLOOKUP(C26,'Student Roster'!A:C,2,FALSE))</f>
        <v/>
      </c>
      <c r="E26" s="9" t="str">
        <f>IF(C26="","",VLOOKUP(C26,'Student Roster'!A:C,3,FALSE))</f>
        <v/>
      </c>
      <c r="F26" s="7"/>
      <c r="G26" s="7"/>
      <c r="H26" s="7"/>
      <c r="I26" s="7"/>
      <c r="J26" s="7"/>
      <c r="K26" s="7"/>
      <c r="L26" s="7"/>
      <c r="M26" s="7"/>
      <c r="N26" s="7"/>
      <c r="O26" s="7"/>
      <c r="P26" s="7"/>
      <c r="Q26" s="7"/>
    </row>
    <row r="27" spans="1:17" s="1" customFormat="1" ht="18" customHeight="1" x14ac:dyDescent="0.45">
      <c r="A27" s="5"/>
      <c r="B27" s="5"/>
      <c r="C27" s="5"/>
      <c r="D27" s="9" t="str">
        <f>IF(C27="","",VLOOKUP(C27,'Student Roster'!A:C,2,FALSE))</f>
        <v/>
      </c>
      <c r="E27" s="9" t="str">
        <f>IF(C27="","",VLOOKUP(C27,'Student Roster'!A:C,3,FALSE))</f>
        <v/>
      </c>
      <c r="F27" s="5"/>
      <c r="G27" s="5"/>
      <c r="H27" s="5"/>
      <c r="I27" s="5"/>
      <c r="J27" s="5"/>
      <c r="K27" s="5"/>
      <c r="L27" s="5"/>
      <c r="M27" s="5"/>
      <c r="N27" s="5"/>
      <c r="O27" s="5"/>
      <c r="P27" s="5"/>
      <c r="Q27" s="5"/>
    </row>
    <row r="28" spans="1:17" s="1" customFormat="1" ht="18" customHeight="1" x14ac:dyDescent="0.45">
      <c r="A28" s="7"/>
      <c r="B28" s="7"/>
      <c r="C28" s="7"/>
      <c r="D28" s="9" t="str">
        <f>IF(C28="","",VLOOKUP(C28,'Student Roster'!A:C,2,FALSE))</f>
        <v/>
      </c>
      <c r="E28" s="9" t="str">
        <f>IF(C28="","",VLOOKUP(C28,'Student Roster'!A:C,3,FALSE))</f>
        <v/>
      </c>
      <c r="F28" s="7"/>
      <c r="G28" s="7"/>
      <c r="H28" s="7"/>
      <c r="I28" s="7"/>
      <c r="J28" s="7"/>
      <c r="K28" s="7"/>
      <c r="L28" s="7"/>
      <c r="M28" s="7"/>
      <c r="N28" s="7"/>
      <c r="O28" s="7"/>
      <c r="P28" s="7"/>
      <c r="Q28" s="7"/>
    </row>
    <row r="29" spans="1:17" s="1" customFormat="1" ht="18" customHeight="1" x14ac:dyDescent="0.45">
      <c r="A29" s="5"/>
      <c r="B29" s="5"/>
      <c r="C29" s="5"/>
      <c r="D29" s="9" t="str">
        <f>IF(C29="","",VLOOKUP(C29,'Student Roster'!A:C,2,FALSE))</f>
        <v/>
      </c>
      <c r="E29" s="9" t="str">
        <f>IF(C29="","",VLOOKUP(C29,'Student Roster'!A:C,3,FALSE))</f>
        <v/>
      </c>
      <c r="F29" s="5"/>
      <c r="G29" s="5"/>
      <c r="H29" s="5"/>
      <c r="I29" s="5"/>
      <c r="J29" s="5"/>
      <c r="K29" s="5"/>
      <c r="L29" s="5"/>
      <c r="M29" s="5"/>
      <c r="N29" s="5"/>
      <c r="O29" s="5"/>
      <c r="P29" s="5"/>
      <c r="Q29" s="5"/>
    </row>
    <row r="30" spans="1:17" s="1" customFormat="1" ht="18" customHeight="1" x14ac:dyDescent="0.45">
      <c r="A30" s="7"/>
      <c r="B30" s="7"/>
      <c r="C30" s="7"/>
      <c r="D30" s="9" t="str">
        <f>IF(C30="","",VLOOKUP(C30,'Student Roster'!A:C,2,FALSE))</f>
        <v/>
      </c>
      <c r="E30" s="9" t="str">
        <f>IF(C30="","",VLOOKUP(C30,'Student Roster'!A:C,3,FALSE))</f>
        <v/>
      </c>
      <c r="F30" s="7"/>
      <c r="G30" s="7"/>
      <c r="H30" s="7"/>
      <c r="I30" s="7"/>
      <c r="J30" s="7"/>
      <c r="K30" s="7"/>
      <c r="L30" s="7"/>
      <c r="M30" s="7"/>
      <c r="N30" s="7"/>
      <c r="O30" s="7"/>
      <c r="P30" s="7"/>
      <c r="Q30" s="7"/>
    </row>
    <row r="31" spans="1:17" s="1" customFormat="1" ht="18" customHeight="1" x14ac:dyDescent="0.45">
      <c r="A31" s="5"/>
      <c r="B31" s="5"/>
      <c r="C31" s="5"/>
      <c r="D31" s="9" t="str">
        <f>IF(C31="","",VLOOKUP(C31,'Student Roster'!A:C,2,FALSE))</f>
        <v/>
      </c>
      <c r="E31" s="9" t="str">
        <f>IF(C31="","",VLOOKUP(C31,'Student Roster'!A:C,3,FALSE))</f>
        <v/>
      </c>
      <c r="F31" s="5"/>
      <c r="G31" s="5"/>
      <c r="H31" s="5"/>
      <c r="I31" s="5"/>
      <c r="J31" s="5"/>
      <c r="K31" s="5"/>
      <c r="L31" s="5"/>
      <c r="M31" s="5"/>
      <c r="N31" s="5"/>
      <c r="O31" s="5"/>
      <c r="P31" s="5"/>
      <c r="Q31" s="5"/>
    </row>
    <row r="32" spans="1:17" s="1" customFormat="1" ht="18" customHeight="1" x14ac:dyDescent="0.45">
      <c r="A32" s="7"/>
      <c r="B32" s="7"/>
      <c r="C32" s="7"/>
      <c r="D32" s="9" t="str">
        <f>IF(C32="","",VLOOKUP(C32,'Student Roster'!A:C,2,FALSE))</f>
        <v/>
      </c>
      <c r="E32" s="9" t="str">
        <f>IF(C32="","",VLOOKUP(C32,'Student Roster'!A:C,3,FALSE))</f>
        <v/>
      </c>
      <c r="F32" s="7"/>
      <c r="G32" s="7"/>
      <c r="H32" s="7"/>
      <c r="I32" s="7"/>
      <c r="J32" s="7"/>
      <c r="K32" s="7"/>
      <c r="L32" s="7"/>
      <c r="M32" s="7"/>
      <c r="N32" s="7"/>
      <c r="O32" s="7"/>
      <c r="P32" s="7"/>
      <c r="Q32" s="7"/>
    </row>
    <row r="33" spans="1:17" s="1" customFormat="1" ht="18" customHeight="1" x14ac:dyDescent="0.45">
      <c r="A33" s="5"/>
      <c r="B33" s="5"/>
      <c r="C33" s="5"/>
      <c r="D33" s="9" t="str">
        <f>IF(C33="","",VLOOKUP(C33,'Student Roster'!A:C,2,FALSE))</f>
        <v/>
      </c>
      <c r="E33" s="9" t="str">
        <f>IF(C33="","",VLOOKUP(C33,'Student Roster'!A:C,3,FALSE))</f>
        <v/>
      </c>
      <c r="F33" s="5"/>
      <c r="G33" s="5"/>
      <c r="H33" s="5"/>
      <c r="I33" s="5"/>
      <c r="J33" s="5"/>
      <c r="K33" s="5"/>
      <c r="L33" s="5"/>
      <c r="M33" s="5"/>
      <c r="N33" s="5"/>
      <c r="O33" s="5"/>
      <c r="P33" s="5"/>
      <c r="Q33" s="5"/>
    </row>
    <row r="34" spans="1:17" s="1" customFormat="1" ht="18" customHeight="1" x14ac:dyDescent="0.45">
      <c r="A34" s="7"/>
      <c r="B34" s="7"/>
      <c r="C34" s="7"/>
      <c r="D34" s="9" t="str">
        <f>IF(C34="","",VLOOKUP(C34,'Student Roster'!A:C,2,FALSE))</f>
        <v/>
      </c>
      <c r="E34" s="9" t="str">
        <f>IF(C34="","",VLOOKUP(C34,'Student Roster'!A:C,3,FALSE))</f>
        <v/>
      </c>
      <c r="F34" s="7"/>
      <c r="G34" s="7"/>
      <c r="H34" s="7"/>
      <c r="I34" s="7"/>
      <c r="J34" s="7"/>
      <c r="K34" s="7"/>
      <c r="L34" s="7"/>
      <c r="M34" s="7"/>
      <c r="N34" s="7"/>
      <c r="O34" s="7"/>
      <c r="P34" s="7"/>
      <c r="Q34" s="7"/>
    </row>
    <row r="35" spans="1:17" s="1" customFormat="1" ht="18" customHeight="1" x14ac:dyDescent="0.45">
      <c r="A35" s="5"/>
      <c r="B35" s="5"/>
      <c r="C35" s="5"/>
      <c r="D35" s="9" t="str">
        <f>IF(C35="","",VLOOKUP(C35,'Student Roster'!A:C,2,FALSE))</f>
        <v/>
      </c>
      <c r="E35" s="9" t="str">
        <f>IF(C35="","",VLOOKUP(C35,'Student Roster'!A:C,3,FALSE))</f>
        <v/>
      </c>
      <c r="F35" s="5"/>
      <c r="G35" s="5"/>
      <c r="H35" s="5"/>
      <c r="I35" s="5"/>
      <c r="J35" s="5"/>
      <c r="K35" s="5"/>
      <c r="L35" s="5"/>
      <c r="M35" s="5"/>
      <c r="N35" s="5"/>
      <c r="O35" s="5"/>
      <c r="P35" s="5"/>
      <c r="Q35" s="5"/>
    </row>
    <row r="36" spans="1:17" s="1" customFormat="1" ht="18" customHeight="1" x14ac:dyDescent="0.45">
      <c r="A36" s="7"/>
      <c r="B36" s="7"/>
      <c r="C36" s="7"/>
      <c r="D36" s="9" t="str">
        <f>IF(C36="","",VLOOKUP(C36,'Student Roster'!A:C,2,FALSE))</f>
        <v/>
      </c>
      <c r="E36" s="9" t="str">
        <f>IF(C36="","",VLOOKUP(C36,'Student Roster'!A:C,3,FALSE))</f>
        <v/>
      </c>
      <c r="F36" s="7"/>
      <c r="G36" s="7"/>
      <c r="H36" s="7"/>
      <c r="I36" s="7"/>
      <c r="J36" s="7"/>
      <c r="K36" s="7"/>
      <c r="L36" s="7"/>
      <c r="M36" s="7"/>
      <c r="N36" s="7"/>
      <c r="O36" s="7"/>
      <c r="P36" s="7"/>
      <c r="Q36" s="7"/>
    </row>
    <row r="37" spans="1:17" s="1" customFormat="1" ht="18" customHeight="1" x14ac:dyDescent="0.45">
      <c r="A37" s="5"/>
      <c r="B37" s="5"/>
      <c r="C37" s="5"/>
      <c r="D37" s="9" t="str">
        <f>IF(C37="","",VLOOKUP(C37,'Student Roster'!A:C,2,FALSE))</f>
        <v/>
      </c>
      <c r="E37" s="9" t="str">
        <f>IF(C37="","",VLOOKUP(C37,'Student Roster'!A:C,3,FALSE))</f>
        <v/>
      </c>
      <c r="F37" s="5"/>
      <c r="G37" s="5"/>
      <c r="H37" s="5"/>
      <c r="I37" s="5"/>
      <c r="J37" s="5"/>
      <c r="K37" s="5"/>
      <c r="L37" s="5"/>
      <c r="M37" s="5"/>
      <c r="N37" s="5"/>
      <c r="O37" s="5"/>
      <c r="P37" s="5"/>
      <c r="Q37" s="5"/>
    </row>
    <row r="38" spans="1:17" s="1" customFormat="1" ht="18" customHeight="1" x14ac:dyDescent="0.45">
      <c r="A38" s="7"/>
      <c r="B38" s="7"/>
      <c r="C38" s="7"/>
      <c r="D38" s="9" t="str">
        <f>IF(C38="","",VLOOKUP(C38,'Student Roster'!A:C,2,FALSE))</f>
        <v/>
      </c>
      <c r="E38" s="9" t="str">
        <f>IF(C38="","",VLOOKUP(C38,'Student Roster'!A:C,3,FALSE))</f>
        <v/>
      </c>
      <c r="F38" s="7"/>
      <c r="G38" s="7"/>
      <c r="H38" s="7"/>
      <c r="I38" s="7"/>
      <c r="J38" s="7"/>
      <c r="K38" s="7"/>
      <c r="L38" s="7"/>
      <c r="M38" s="7"/>
      <c r="N38" s="7"/>
      <c r="O38" s="7"/>
      <c r="P38" s="7"/>
      <c r="Q38" s="7"/>
    </row>
    <row r="39" spans="1:17" s="1" customFormat="1" ht="18" customHeight="1" x14ac:dyDescent="0.45">
      <c r="A39" s="5"/>
      <c r="B39" s="5"/>
      <c r="C39" s="5"/>
      <c r="D39" s="9" t="str">
        <f>IF(C39="","",VLOOKUP(C39,'Student Roster'!A:C,2,FALSE))</f>
        <v/>
      </c>
      <c r="E39" s="9" t="str">
        <f>IF(C39="","",VLOOKUP(C39,'Student Roster'!A:C,3,FALSE))</f>
        <v/>
      </c>
      <c r="F39" s="5"/>
      <c r="G39" s="5"/>
      <c r="H39" s="5"/>
      <c r="I39" s="5"/>
      <c r="J39" s="5"/>
      <c r="K39" s="5"/>
      <c r="L39" s="5"/>
      <c r="M39" s="5"/>
      <c r="N39" s="5"/>
      <c r="O39" s="5"/>
      <c r="P39" s="5"/>
      <c r="Q39" s="5"/>
    </row>
    <row r="40" spans="1:17" s="1" customFormat="1" ht="18" customHeight="1" x14ac:dyDescent="0.45">
      <c r="A40" s="7"/>
      <c r="B40" s="7"/>
      <c r="C40" s="7"/>
      <c r="D40" s="9" t="str">
        <f>IF(C40="","",VLOOKUP(C40,'Student Roster'!A:C,2,FALSE))</f>
        <v/>
      </c>
      <c r="E40" s="9" t="str">
        <f>IF(C40="","",VLOOKUP(C40,'Student Roster'!A:C,3,FALSE))</f>
        <v/>
      </c>
      <c r="F40" s="7"/>
      <c r="G40" s="7"/>
      <c r="H40" s="7"/>
      <c r="I40" s="7"/>
      <c r="J40" s="7"/>
      <c r="K40" s="7"/>
      <c r="L40" s="7"/>
      <c r="M40" s="7"/>
      <c r="N40" s="7"/>
      <c r="O40" s="7"/>
      <c r="P40" s="7"/>
      <c r="Q40" s="7"/>
    </row>
    <row r="41" spans="1:17" s="1" customFormat="1" ht="18" customHeight="1" x14ac:dyDescent="0.45">
      <c r="A41" s="5"/>
      <c r="B41" s="5"/>
      <c r="C41" s="5"/>
      <c r="D41" s="9" t="str">
        <f>IF(C41="","",VLOOKUP(C41,'Student Roster'!A:C,2,FALSE))</f>
        <v/>
      </c>
      <c r="E41" s="9" t="str">
        <f>IF(C41="","",VLOOKUP(C41,'Student Roster'!A:C,3,FALSE))</f>
        <v/>
      </c>
      <c r="F41" s="5"/>
      <c r="G41" s="5"/>
      <c r="H41" s="5"/>
      <c r="I41" s="5"/>
      <c r="J41" s="5"/>
      <c r="K41" s="5"/>
      <c r="L41" s="5"/>
      <c r="M41" s="5"/>
      <c r="N41" s="5"/>
      <c r="O41" s="5"/>
      <c r="P41" s="5"/>
      <c r="Q41" s="5"/>
    </row>
    <row r="42" spans="1:17" s="1" customFormat="1" ht="18" customHeight="1" x14ac:dyDescent="0.45">
      <c r="A42" s="7"/>
      <c r="B42" s="7"/>
      <c r="C42" s="7"/>
      <c r="D42" s="9" t="str">
        <f>IF(C42="","",VLOOKUP(C42,'Student Roster'!A:C,2,FALSE))</f>
        <v/>
      </c>
      <c r="E42" s="9" t="str">
        <f>IF(C42="","",VLOOKUP(C42,'Student Roster'!A:C,3,FALSE))</f>
        <v/>
      </c>
      <c r="F42" s="7"/>
      <c r="G42" s="7"/>
      <c r="H42" s="7"/>
      <c r="I42" s="7"/>
      <c r="J42" s="7"/>
      <c r="K42" s="7"/>
      <c r="L42" s="7"/>
      <c r="M42" s="7"/>
      <c r="N42" s="7"/>
      <c r="O42" s="7"/>
      <c r="P42" s="7"/>
      <c r="Q42" s="7"/>
    </row>
    <row r="43" spans="1:17" s="1" customFormat="1" ht="18" customHeight="1" x14ac:dyDescent="0.45">
      <c r="A43" s="5"/>
      <c r="B43" s="5"/>
      <c r="C43" s="5"/>
      <c r="D43" s="9" t="str">
        <f>IF(C43="","",VLOOKUP(C43,'Student Roster'!A:C,2,FALSE))</f>
        <v/>
      </c>
      <c r="E43" s="9" t="str">
        <f>IF(C43="","",VLOOKUP(C43,'Student Roster'!A:C,3,FALSE))</f>
        <v/>
      </c>
      <c r="F43" s="5"/>
      <c r="G43" s="5"/>
      <c r="H43" s="5"/>
      <c r="I43" s="5"/>
      <c r="J43" s="5"/>
      <c r="K43" s="5"/>
      <c r="L43" s="5"/>
      <c r="M43" s="5"/>
      <c r="N43" s="5"/>
      <c r="O43" s="5"/>
      <c r="P43" s="5"/>
      <c r="Q43" s="5"/>
    </row>
    <row r="44" spans="1:17" s="1" customFormat="1" ht="18" customHeight="1" x14ac:dyDescent="0.45">
      <c r="A44" s="7"/>
      <c r="B44" s="7"/>
      <c r="C44" s="7"/>
      <c r="D44" s="9" t="str">
        <f>IF(C44="","",VLOOKUP(C44,'Student Roster'!A:C,2,FALSE))</f>
        <v/>
      </c>
      <c r="E44" s="9" t="str">
        <f>IF(C44="","",VLOOKUP(C44,'Student Roster'!A:C,3,FALSE))</f>
        <v/>
      </c>
      <c r="F44" s="7"/>
      <c r="G44" s="7"/>
      <c r="H44" s="7"/>
      <c r="I44" s="7"/>
      <c r="J44" s="7"/>
      <c r="K44" s="7"/>
      <c r="L44" s="7"/>
      <c r="M44" s="7"/>
      <c r="N44" s="7"/>
      <c r="O44" s="7"/>
      <c r="P44" s="7"/>
      <c r="Q44" s="7"/>
    </row>
    <row r="45" spans="1:17" s="1" customFormat="1" ht="18" customHeight="1" x14ac:dyDescent="0.45">
      <c r="A45" s="5"/>
      <c r="B45" s="5"/>
      <c r="C45" s="5"/>
      <c r="D45" s="9" t="str">
        <f>IF(C45="","",VLOOKUP(C45,'Student Roster'!A:C,2,FALSE))</f>
        <v/>
      </c>
      <c r="E45" s="9" t="str">
        <f>IF(C45="","",VLOOKUP(C45,'Student Roster'!A:C,3,FALSE))</f>
        <v/>
      </c>
      <c r="F45" s="5"/>
      <c r="G45" s="5"/>
      <c r="H45" s="5"/>
      <c r="I45" s="5"/>
      <c r="J45" s="5"/>
      <c r="K45" s="5"/>
      <c r="L45" s="5"/>
      <c r="M45" s="5"/>
      <c r="N45" s="5"/>
      <c r="O45" s="5"/>
      <c r="P45" s="5"/>
      <c r="Q45" s="5"/>
    </row>
    <row r="46" spans="1:17" s="1" customFormat="1" ht="18" customHeight="1" x14ac:dyDescent="0.45">
      <c r="A46" s="7"/>
      <c r="B46" s="7"/>
      <c r="C46" s="7"/>
      <c r="D46" s="9" t="str">
        <f>IF(C46="","",VLOOKUP(C46,'Student Roster'!A:C,2,FALSE))</f>
        <v/>
      </c>
      <c r="E46" s="9" t="str">
        <f>IF(C46="","",VLOOKUP(C46,'Student Roster'!A:C,3,FALSE))</f>
        <v/>
      </c>
      <c r="F46" s="7"/>
      <c r="G46" s="7"/>
      <c r="H46" s="7"/>
      <c r="I46" s="7"/>
      <c r="J46" s="7"/>
      <c r="K46" s="7"/>
      <c r="L46" s="7"/>
      <c r="M46" s="7"/>
      <c r="N46" s="7"/>
      <c r="O46" s="7"/>
      <c r="P46" s="7"/>
      <c r="Q46" s="7"/>
    </row>
    <row r="47" spans="1:17" s="1" customFormat="1" ht="18" customHeight="1" x14ac:dyDescent="0.45">
      <c r="A47" s="5"/>
      <c r="B47" s="5"/>
      <c r="C47" s="5"/>
      <c r="D47" s="9" t="str">
        <f>IF(C47="","",VLOOKUP(C47,'Student Roster'!A:C,2,FALSE))</f>
        <v/>
      </c>
      <c r="E47" s="9" t="str">
        <f>IF(C47="","",VLOOKUP(C47,'Student Roster'!A:C,3,FALSE))</f>
        <v/>
      </c>
      <c r="F47" s="5"/>
      <c r="G47" s="5"/>
      <c r="H47" s="5"/>
      <c r="I47" s="5"/>
      <c r="J47" s="5"/>
      <c r="K47" s="5"/>
      <c r="L47" s="5"/>
      <c r="M47" s="5"/>
      <c r="N47" s="5"/>
      <c r="O47" s="5"/>
      <c r="P47" s="5"/>
      <c r="Q47" s="5"/>
    </row>
    <row r="48" spans="1:17" s="1" customFormat="1" ht="18" customHeight="1" x14ac:dyDescent="0.45">
      <c r="A48" s="7"/>
      <c r="B48" s="7"/>
      <c r="C48" s="7"/>
      <c r="D48" s="9" t="str">
        <f>IF(C48="","",VLOOKUP(C48,'Student Roster'!A:C,2,FALSE))</f>
        <v/>
      </c>
      <c r="E48" s="9" t="str">
        <f>IF(C48="","",VLOOKUP(C48,'Student Roster'!A:C,3,FALSE))</f>
        <v/>
      </c>
      <c r="F48" s="7"/>
      <c r="G48" s="7"/>
      <c r="H48" s="7"/>
      <c r="I48" s="7"/>
      <c r="J48" s="7"/>
      <c r="K48" s="7"/>
      <c r="L48" s="7"/>
      <c r="M48" s="7"/>
      <c r="N48" s="7"/>
      <c r="O48" s="7"/>
      <c r="P48" s="7"/>
      <c r="Q48" s="7"/>
    </row>
    <row r="49" spans="1:17" s="1" customFormat="1" ht="18" customHeight="1" x14ac:dyDescent="0.45">
      <c r="A49" s="5"/>
      <c r="B49" s="5"/>
      <c r="C49" s="5"/>
      <c r="D49" s="9" t="str">
        <f>IF(C49="","",VLOOKUP(C49,'Student Roster'!A:C,2,FALSE))</f>
        <v/>
      </c>
      <c r="E49" s="9" t="str">
        <f>IF(C49="","",VLOOKUP(C49,'Student Roster'!A:C,3,FALSE))</f>
        <v/>
      </c>
      <c r="F49" s="5"/>
      <c r="G49" s="5"/>
      <c r="H49" s="5"/>
      <c r="I49" s="5"/>
      <c r="J49" s="5"/>
      <c r="K49" s="5"/>
      <c r="L49" s="5"/>
      <c r="M49" s="5"/>
      <c r="N49" s="5"/>
      <c r="O49" s="5"/>
      <c r="P49" s="5"/>
      <c r="Q49" s="5"/>
    </row>
    <row r="50" spans="1:17" s="1" customFormat="1" ht="18" customHeight="1" x14ac:dyDescent="0.45">
      <c r="A50" s="7"/>
      <c r="B50" s="7"/>
      <c r="C50" s="7"/>
      <c r="D50" s="9" t="str">
        <f>IF(C50="","",VLOOKUP(C50,'Student Roster'!A:C,2,FALSE))</f>
        <v/>
      </c>
      <c r="E50" s="9" t="str">
        <f>IF(C50="","",VLOOKUP(C50,'Student Roster'!A:C,3,FALSE))</f>
        <v/>
      </c>
      <c r="F50" s="7"/>
      <c r="G50" s="7"/>
      <c r="H50" s="7"/>
      <c r="I50" s="7"/>
      <c r="J50" s="7"/>
      <c r="K50" s="7"/>
      <c r="L50" s="7"/>
      <c r="M50" s="7"/>
      <c r="N50" s="7"/>
      <c r="O50" s="7"/>
      <c r="P50" s="7"/>
      <c r="Q50" s="7"/>
    </row>
    <row r="51" spans="1:17" s="1" customFormat="1" ht="18" customHeight="1" x14ac:dyDescent="0.45">
      <c r="A51" s="5"/>
      <c r="B51" s="5"/>
      <c r="C51" s="5"/>
      <c r="D51" s="9" t="str">
        <f>IF(C51="","",VLOOKUP(C51,'Student Roster'!A:C,2,FALSE))</f>
        <v/>
      </c>
      <c r="E51" s="9" t="str">
        <f>IF(C51="","",VLOOKUP(C51,'Student Roster'!A:C,3,FALSE))</f>
        <v/>
      </c>
      <c r="F51" s="5"/>
      <c r="G51" s="5"/>
      <c r="H51" s="5"/>
      <c r="I51" s="5"/>
      <c r="J51" s="5"/>
      <c r="K51" s="5"/>
      <c r="L51" s="5"/>
      <c r="M51" s="5"/>
      <c r="N51" s="5"/>
      <c r="O51" s="5"/>
      <c r="P51" s="5"/>
      <c r="Q51" s="5"/>
    </row>
    <row r="52" spans="1:17" s="1" customFormat="1" ht="18" customHeight="1" x14ac:dyDescent="0.45">
      <c r="A52" s="7"/>
      <c r="B52" s="7"/>
      <c r="C52" s="7"/>
      <c r="D52" s="9" t="str">
        <f>IF(C52="","",VLOOKUP(C52,'Student Roster'!A:C,2,FALSE))</f>
        <v/>
      </c>
      <c r="E52" s="9" t="str">
        <f>IF(C52="","",VLOOKUP(C52,'Student Roster'!A:C,3,FALSE))</f>
        <v/>
      </c>
      <c r="F52" s="7"/>
      <c r="G52" s="7"/>
      <c r="H52" s="7"/>
      <c r="I52" s="7"/>
      <c r="J52" s="7"/>
      <c r="K52" s="7"/>
      <c r="L52" s="7"/>
      <c r="M52" s="7"/>
      <c r="N52" s="7"/>
      <c r="O52" s="7"/>
      <c r="P52" s="7"/>
      <c r="Q52" s="7"/>
    </row>
    <row r="53" spans="1:17" s="1" customFormat="1" ht="18" customHeight="1" x14ac:dyDescent="0.45">
      <c r="A53" s="5"/>
      <c r="B53" s="5"/>
      <c r="C53" s="5"/>
      <c r="D53" s="9" t="str">
        <f>IF(C53="","",VLOOKUP(C53,'Student Roster'!A:C,2,FALSE))</f>
        <v/>
      </c>
      <c r="E53" s="9" t="str">
        <f>IF(C53="","",VLOOKUP(C53,'Student Roster'!A:C,3,FALSE))</f>
        <v/>
      </c>
      <c r="F53" s="5"/>
      <c r="G53" s="5"/>
      <c r="H53" s="5"/>
      <c r="I53" s="5"/>
      <c r="J53" s="5"/>
      <c r="K53" s="5"/>
      <c r="L53" s="5"/>
      <c r="M53" s="5"/>
      <c r="N53" s="5"/>
      <c r="O53" s="5"/>
      <c r="P53" s="5"/>
      <c r="Q53" s="5"/>
    </row>
    <row r="54" spans="1:17" s="1" customFormat="1" ht="18" customHeight="1" x14ac:dyDescent="0.45">
      <c r="A54" s="7"/>
      <c r="B54" s="7"/>
      <c r="C54" s="7"/>
      <c r="D54" s="9" t="str">
        <f>IF(C54="","",VLOOKUP(C54,'Student Roster'!A:C,2,FALSE))</f>
        <v/>
      </c>
      <c r="E54" s="9" t="str">
        <f>IF(C54="","",VLOOKUP(C54,'Student Roster'!A:C,3,FALSE))</f>
        <v/>
      </c>
      <c r="F54" s="7"/>
      <c r="G54" s="7"/>
      <c r="H54" s="7"/>
      <c r="I54" s="7"/>
      <c r="J54" s="7"/>
      <c r="K54" s="7"/>
      <c r="L54" s="7"/>
      <c r="M54" s="7"/>
      <c r="N54" s="7"/>
      <c r="O54" s="7"/>
      <c r="P54" s="7"/>
      <c r="Q54" s="7"/>
    </row>
    <row r="55" spans="1:17" s="1" customFormat="1" ht="18" customHeight="1" x14ac:dyDescent="0.45">
      <c r="A55" s="5"/>
      <c r="B55" s="5"/>
      <c r="C55" s="5"/>
      <c r="D55" s="9" t="str">
        <f>IF(C55="","",VLOOKUP(C55,'Student Roster'!A:C,2,FALSE))</f>
        <v/>
      </c>
      <c r="E55" s="9" t="str">
        <f>IF(C55="","",VLOOKUP(C55,'Student Roster'!A:C,3,FALSE))</f>
        <v/>
      </c>
      <c r="F55" s="5"/>
      <c r="G55" s="5"/>
      <c r="H55" s="5"/>
      <c r="I55" s="5"/>
      <c r="J55" s="5"/>
      <c r="K55" s="5"/>
      <c r="L55" s="5"/>
      <c r="M55" s="5"/>
      <c r="N55" s="5"/>
      <c r="O55" s="5"/>
      <c r="P55" s="5"/>
      <c r="Q55" s="5"/>
    </row>
    <row r="56" spans="1:17" s="1" customFormat="1" ht="18" customHeight="1" x14ac:dyDescent="0.45">
      <c r="A56" s="7"/>
      <c r="B56" s="7"/>
      <c r="C56" s="7"/>
      <c r="D56" s="9" t="str">
        <f>IF(C56="","",VLOOKUP(C56,'Student Roster'!A:C,2,FALSE))</f>
        <v/>
      </c>
      <c r="E56" s="9" t="str">
        <f>IF(C56="","",VLOOKUP(C56,'Student Roster'!A:C,3,FALSE))</f>
        <v/>
      </c>
      <c r="F56" s="7"/>
      <c r="G56" s="7"/>
      <c r="H56" s="7"/>
      <c r="I56" s="7"/>
      <c r="J56" s="7"/>
      <c r="K56" s="7"/>
      <c r="L56" s="7"/>
      <c r="M56" s="7"/>
      <c r="N56" s="7"/>
      <c r="O56" s="7"/>
      <c r="P56" s="7"/>
      <c r="Q56" s="7"/>
    </row>
    <row r="57" spans="1:17" s="1" customFormat="1" ht="18" customHeight="1" x14ac:dyDescent="0.45">
      <c r="A57" s="5"/>
      <c r="B57" s="5"/>
      <c r="C57" s="5"/>
      <c r="D57" s="9" t="str">
        <f>IF(C57="","",VLOOKUP(C57,'Student Roster'!A:C,2,FALSE))</f>
        <v/>
      </c>
      <c r="E57" s="9" t="str">
        <f>IF(C57="","",VLOOKUP(C57,'Student Roster'!A:C,3,FALSE))</f>
        <v/>
      </c>
      <c r="F57" s="5"/>
      <c r="G57" s="5"/>
      <c r="H57" s="5"/>
      <c r="I57" s="5"/>
      <c r="J57" s="5"/>
      <c r="K57" s="5"/>
      <c r="L57" s="5"/>
      <c r="M57" s="5"/>
      <c r="N57" s="5"/>
      <c r="O57" s="5"/>
      <c r="P57" s="5"/>
      <c r="Q57" s="5"/>
    </row>
    <row r="58" spans="1:17" s="1" customFormat="1" ht="18" customHeight="1" x14ac:dyDescent="0.45">
      <c r="A58" s="7"/>
      <c r="B58" s="7"/>
      <c r="C58" s="7"/>
      <c r="D58" s="9" t="str">
        <f>IF(C58="","",VLOOKUP(C58,'Student Roster'!A:C,2,FALSE))</f>
        <v/>
      </c>
      <c r="E58" s="9" t="str">
        <f>IF(C58="","",VLOOKUP(C58,'Student Roster'!A:C,3,FALSE))</f>
        <v/>
      </c>
      <c r="F58" s="7"/>
      <c r="G58" s="7"/>
      <c r="H58" s="7"/>
      <c r="I58" s="7"/>
      <c r="J58" s="7"/>
      <c r="K58" s="7"/>
      <c r="L58" s="7"/>
      <c r="M58" s="7"/>
      <c r="N58" s="7"/>
      <c r="O58" s="7"/>
      <c r="P58" s="7"/>
      <c r="Q58" s="7"/>
    </row>
    <row r="59" spans="1:17" s="1" customFormat="1" ht="18" customHeight="1" x14ac:dyDescent="0.45">
      <c r="A59" s="5"/>
      <c r="B59" s="5"/>
      <c r="C59" s="5"/>
      <c r="D59" s="9" t="str">
        <f>IF(C59="","",VLOOKUP(C59,'Student Roster'!A:C,2,FALSE))</f>
        <v/>
      </c>
      <c r="E59" s="9" t="str">
        <f>IF(C59="","",VLOOKUP(C59,'Student Roster'!A:C,3,FALSE))</f>
        <v/>
      </c>
      <c r="F59" s="5"/>
      <c r="G59" s="5"/>
      <c r="H59" s="5"/>
      <c r="I59" s="5"/>
      <c r="J59" s="5"/>
      <c r="K59" s="5"/>
      <c r="L59" s="5"/>
      <c r="M59" s="5"/>
      <c r="N59" s="5"/>
      <c r="O59" s="5"/>
      <c r="P59" s="5"/>
      <c r="Q59" s="5"/>
    </row>
    <row r="60" spans="1:17" s="1" customFormat="1" ht="18" customHeight="1" x14ac:dyDescent="0.45">
      <c r="A60" s="7"/>
      <c r="B60" s="7"/>
      <c r="C60" s="7"/>
      <c r="D60" s="9" t="str">
        <f>IF(C60="","",VLOOKUP(C60,'Student Roster'!A:C,2,FALSE))</f>
        <v/>
      </c>
      <c r="E60" s="9" t="str">
        <f>IF(C60="","",VLOOKUP(C60,'Student Roster'!A:C,3,FALSE))</f>
        <v/>
      </c>
      <c r="F60" s="7"/>
      <c r="G60" s="7"/>
      <c r="H60" s="7"/>
      <c r="I60" s="7"/>
      <c r="J60" s="7"/>
      <c r="K60" s="7"/>
      <c r="L60" s="7"/>
      <c r="M60" s="7"/>
      <c r="N60" s="7"/>
      <c r="O60" s="7"/>
      <c r="P60" s="7"/>
      <c r="Q60" s="7"/>
    </row>
    <row r="61" spans="1:17" s="1" customFormat="1" ht="18" customHeight="1" x14ac:dyDescent="0.45">
      <c r="A61" s="5"/>
      <c r="B61" s="5"/>
      <c r="C61" s="5"/>
      <c r="D61" s="9" t="str">
        <f>IF(C61="","",VLOOKUP(C61,'Student Roster'!A:C,2,FALSE))</f>
        <v/>
      </c>
      <c r="E61" s="9" t="str">
        <f>IF(C61="","",VLOOKUP(C61,'Student Roster'!A:C,3,FALSE))</f>
        <v/>
      </c>
      <c r="F61" s="5"/>
      <c r="G61" s="5"/>
      <c r="H61" s="5"/>
      <c r="I61" s="5"/>
      <c r="J61" s="5"/>
      <c r="K61" s="5"/>
      <c r="L61" s="5"/>
      <c r="M61" s="5"/>
      <c r="N61" s="5"/>
      <c r="O61" s="5"/>
      <c r="P61" s="5"/>
      <c r="Q61" s="5"/>
    </row>
    <row r="62" spans="1:17" s="1" customFormat="1" ht="18" customHeight="1" x14ac:dyDescent="0.45">
      <c r="A62" s="7"/>
      <c r="B62" s="7"/>
      <c r="C62" s="7"/>
      <c r="D62" s="9" t="str">
        <f>IF(C62="","",VLOOKUP(C62,'Student Roster'!A:C,2,FALSE))</f>
        <v/>
      </c>
      <c r="E62" s="9" t="str">
        <f>IF(C62="","",VLOOKUP(C62,'Student Roster'!A:C,3,FALSE))</f>
        <v/>
      </c>
      <c r="F62" s="7"/>
      <c r="G62" s="7"/>
      <c r="H62" s="7"/>
      <c r="I62" s="7"/>
      <c r="J62" s="7"/>
      <c r="K62" s="7"/>
      <c r="L62" s="7"/>
      <c r="M62" s="7"/>
      <c r="N62" s="7"/>
      <c r="O62" s="7"/>
      <c r="P62" s="7"/>
      <c r="Q62" s="7"/>
    </row>
    <row r="63" spans="1:17" s="1" customFormat="1" ht="18" customHeight="1" x14ac:dyDescent="0.45">
      <c r="A63" s="5"/>
      <c r="B63" s="5"/>
      <c r="C63" s="5"/>
      <c r="D63" s="9" t="str">
        <f>IF(C63="","",VLOOKUP(C63,'Student Roster'!A:C,2,FALSE))</f>
        <v/>
      </c>
      <c r="E63" s="9" t="str">
        <f>IF(C63="","",VLOOKUP(C63,'Student Roster'!A:C,3,FALSE))</f>
        <v/>
      </c>
      <c r="F63" s="5"/>
      <c r="G63" s="5"/>
      <c r="H63" s="5"/>
      <c r="I63" s="5"/>
      <c r="J63" s="5"/>
      <c r="K63" s="5"/>
      <c r="L63" s="5"/>
      <c r="M63" s="5"/>
      <c r="N63" s="5"/>
      <c r="O63" s="5"/>
      <c r="P63" s="5"/>
      <c r="Q63" s="5"/>
    </row>
    <row r="64" spans="1:17" s="1" customFormat="1" ht="18" customHeight="1" x14ac:dyDescent="0.45">
      <c r="A64" s="7"/>
      <c r="B64" s="7"/>
      <c r="C64" s="7"/>
      <c r="D64" s="9" t="str">
        <f>IF(C64="","",VLOOKUP(C64,'Student Roster'!A:C,2,FALSE))</f>
        <v/>
      </c>
      <c r="E64" s="9" t="str">
        <f>IF(C64="","",VLOOKUP(C64,'Student Roster'!A:C,3,FALSE))</f>
        <v/>
      </c>
      <c r="F64" s="7"/>
      <c r="G64" s="7"/>
      <c r="H64" s="7"/>
      <c r="I64" s="7"/>
      <c r="J64" s="7"/>
      <c r="K64" s="7"/>
      <c r="L64" s="7"/>
      <c r="M64" s="7"/>
      <c r="N64" s="7"/>
      <c r="O64" s="7"/>
      <c r="P64" s="7"/>
      <c r="Q64" s="7"/>
    </row>
    <row r="65" spans="1:17" s="1" customFormat="1" ht="18" customHeight="1" x14ac:dyDescent="0.45">
      <c r="A65" s="5"/>
      <c r="B65" s="5"/>
      <c r="C65" s="5"/>
      <c r="D65" s="9" t="str">
        <f>IF(C65="","",VLOOKUP(C65,'Student Roster'!A:C,2,FALSE))</f>
        <v/>
      </c>
      <c r="E65" s="9" t="str">
        <f>IF(C65="","",VLOOKUP(C65,'Student Roster'!A:C,3,FALSE))</f>
        <v/>
      </c>
      <c r="F65" s="5"/>
      <c r="G65" s="5"/>
      <c r="H65" s="5"/>
      <c r="I65" s="5"/>
      <c r="J65" s="5"/>
      <c r="K65" s="5"/>
      <c r="L65" s="5"/>
      <c r="M65" s="5"/>
      <c r="N65" s="5"/>
      <c r="O65" s="5"/>
      <c r="P65" s="5"/>
      <c r="Q65" s="5"/>
    </row>
    <row r="66" spans="1:17" s="1" customFormat="1" ht="18" customHeight="1" x14ac:dyDescent="0.45">
      <c r="A66" s="7"/>
      <c r="B66" s="7"/>
      <c r="C66" s="7"/>
      <c r="D66" s="9" t="str">
        <f>IF(C66="","",VLOOKUP(C66,'Student Roster'!A:C,2,FALSE))</f>
        <v/>
      </c>
      <c r="E66" s="9" t="str">
        <f>IF(C66="","",VLOOKUP(C66,'Student Roster'!A:C,3,FALSE))</f>
        <v/>
      </c>
      <c r="F66" s="7"/>
      <c r="G66" s="7"/>
      <c r="H66" s="7"/>
      <c r="I66" s="7"/>
      <c r="J66" s="7"/>
      <c r="K66" s="7"/>
      <c r="L66" s="7"/>
      <c r="M66" s="7"/>
      <c r="N66" s="7"/>
      <c r="O66" s="7"/>
      <c r="P66" s="7"/>
      <c r="Q66" s="7"/>
    </row>
    <row r="67" spans="1:17" s="1" customFormat="1" ht="18" customHeight="1" x14ac:dyDescent="0.45">
      <c r="A67" s="5"/>
      <c r="B67" s="5"/>
      <c r="C67" s="5"/>
      <c r="D67" s="9" t="str">
        <f>IF(C67="","",VLOOKUP(C67,'Student Roster'!A:C,2,FALSE))</f>
        <v/>
      </c>
      <c r="E67" s="9" t="str">
        <f>IF(C67="","",VLOOKUP(C67,'Student Roster'!A:C,3,FALSE))</f>
        <v/>
      </c>
      <c r="F67" s="5"/>
      <c r="G67" s="5"/>
      <c r="H67" s="5"/>
      <c r="I67" s="5"/>
      <c r="J67" s="5"/>
      <c r="K67" s="5"/>
      <c r="L67" s="5"/>
      <c r="M67" s="5"/>
      <c r="N67" s="5"/>
      <c r="O67" s="5"/>
      <c r="P67" s="5"/>
      <c r="Q67" s="5"/>
    </row>
    <row r="68" spans="1:17" s="1" customFormat="1" ht="18" customHeight="1" x14ac:dyDescent="0.45">
      <c r="A68" s="7"/>
      <c r="B68" s="7"/>
      <c r="C68" s="7"/>
      <c r="D68" s="9" t="str">
        <f>IF(C68="","",VLOOKUP(C68,'Student Roster'!A:C,2,FALSE))</f>
        <v/>
      </c>
      <c r="E68" s="9" t="str">
        <f>IF(C68="","",VLOOKUP(C68,'Student Roster'!A:C,3,FALSE))</f>
        <v/>
      </c>
      <c r="F68" s="7"/>
      <c r="G68" s="7"/>
      <c r="H68" s="7"/>
      <c r="I68" s="7"/>
      <c r="J68" s="7"/>
      <c r="K68" s="7"/>
      <c r="L68" s="7"/>
      <c r="M68" s="7"/>
      <c r="N68" s="7"/>
      <c r="O68" s="7"/>
      <c r="P68" s="7"/>
      <c r="Q68" s="7"/>
    </row>
    <row r="69" spans="1:17" s="1" customFormat="1" ht="18" customHeight="1" x14ac:dyDescent="0.45">
      <c r="A69" s="5"/>
      <c r="B69" s="5"/>
      <c r="C69" s="5"/>
      <c r="D69" s="9" t="str">
        <f>IF(C69="","",VLOOKUP(C69,'Student Roster'!A:C,2,FALSE))</f>
        <v/>
      </c>
      <c r="E69" s="9" t="str">
        <f>IF(C69="","",VLOOKUP(C69,'Student Roster'!A:C,3,FALSE))</f>
        <v/>
      </c>
      <c r="F69" s="5"/>
      <c r="G69" s="5"/>
      <c r="H69" s="5"/>
      <c r="I69" s="5"/>
      <c r="J69" s="5"/>
      <c r="K69" s="5"/>
      <c r="L69" s="5"/>
      <c r="M69" s="5"/>
      <c r="N69" s="5"/>
      <c r="O69" s="5"/>
      <c r="P69" s="5"/>
      <c r="Q69" s="5"/>
    </row>
    <row r="70" spans="1:17" s="1" customFormat="1" ht="18" customHeight="1" x14ac:dyDescent="0.45">
      <c r="A70" s="7"/>
      <c r="B70" s="7"/>
      <c r="C70" s="7"/>
      <c r="D70" s="9" t="str">
        <f>IF(C70="","",VLOOKUP(C70,'Student Roster'!A:C,2,FALSE))</f>
        <v/>
      </c>
      <c r="E70" s="9" t="str">
        <f>IF(C70="","",VLOOKUP(C70,'Student Roster'!A:C,3,FALSE))</f>
        <v/>
      </c>
      <c r="F70" s="7"/>
      <c r="G70" s="7"/>
      <c r="H70" s="7"/>
      <c r="I70" s="7"/>
      <c r="J70" s="7"/>
      <c r="K70" s="7"/>
      <c r="L70" s="7"/>
      <c r="M70" s="7"/>
      <c r="N70" s="7"/>
      <c r="O70" s="7"/>
      <c r="P70" s="7"/>
      <c r="Q70" s="7"/>
    </row>
    <row r="71" spans="1:17" s="1" customFormat="1" ht="18" customHeight="1" x14ac:dyDescent="0.45">
      <c r="A71" s="5"/>
      <c r="B71" s="5"/>
      <c r="C71" s="5"/>
      <c r="D71" s="9" t="str">
        <f>IF(C71="","",VLOOKUP(C71,'Student Roster'!A:C,2,FALSE))</f>
        <v/>
      </c>
      <c r="E71" s="9" t="str">
        <f>IF(C71="","",VLOOKUP(C71,'Student Roster'!A:C,3,FALSE))</f>
        <v/>
      </c>
      <c r="F71" s="5"/>
      <c r="G71" s="5"/>
      <c r="H71" s="5"/>
      <c r="I71" s="5"/>
      <c r="J71" s="5"/>
      <c r="K71" s="5"/>
      <c r="L71" s="5"/>
      <c r="M71" s="5"/>
      <c r="N71" s="5"/>
      <c r="O71" s="5"/>
      <c r="P71" s="5"/>
      <c r="Q71" s="5"/>
    </row>
    <row r="72" spans="1:17" s="1" customFormat="1" ht="18" customHeight="1" x14ac:dyDescent="0.45">
      <c r="A72" s="7"/>
      <c r="B72" s="7"/>
      <c r="C72" s="7"/>
      <c r="D72" s="9" t="str">
        <f>IF(C72="","",VLOOKUP(C72,'Student Roster'!A:C,2,FALSE))</f>
        <v/>
      </c>
      <c r="E72" s="9" t="str">
        <f>IF(C72="","",VLOOKUP(C72,'Student Roster'!A:C,3,FALSE))</f>
        <v/>
      </c>
      <c r="F72" s="7"/>
      <c r="G72" s="7"/>
      <c r="H72" s="7"/>
      <c r="I72" s="7"/>
      <c r="J72" s="7"/>
      <c r="K72" s="7"/>
      <c r="L72" s="7"/>
      <c r="M72" s="7"/>
      <c r="N72" s="7"/>
      <c r="O72" s="7"/>
      <c r="P72" s="7"/>
      <c r="Q72" s="7"/>
    </row>
    <row r="73" spans="1:17" s="1" customFormat="1" ht="18" customHeight="1" x14ac:dyDescent="0.45">
      <c r="A73" s="5"/>
      <c r="B73" s="5"/>
      <c r="C73" s="5"/>
      <c r="D73" s="9" t="str">
        <f>IF(C73="","",VLOOKUP(C73,'Student Roster'!A:C,2,FALSE))</f>
        <v/>
      </c>
      <c r="E73" s="9" t="str">
        <f>IF(C73="","",VLOOKUP(C73,'Student Roster'!A:C,3,FALSE))</f>
        <v/>
      </c>
      <c r="F73" s="5"/>
      <c r="G73" s="5"/>
      <c r="H73" s="5"/>
      <c r="I73" s="5"/>
      <c r="J73" s="5"/>
      <c r="K73" s="5"/>
      <c r="L73" s="5"/>
      <c r="M73" s="5"/>
      <c r="N73" s="5"/>
      <c r="O73" s="5"/>
      <c r="P73" s="5"/>
      <c r="Q73" s="5"/>
    </row>
    <row r="74" spans="1:17" s="1" customFormat="1" ht="18" customHeight="1" x14ac:dyDescent="0.45">
      <c r="A74" s="7"/>
      <c r="B74" s="7"/>
      <c r="C74" s="7"/>
      <c r="D74" s="9" t="str">
        <f>IF(C74="","",VLOOKUP(C74,'Student Roster'!A:C,2,FALSE))</f>
        <v/>
      </c>
      <c r="E74" s="9" t="str">
        <f>IF(C74="","",VLOOKUP(C74,'Student Roster'!A:C,3,FALSE))</f>
        <v/>
      </c>
      <c r="F74" s="7"/>
      <c r="G74" s="7"/>
      <c r="H74" s="7"/>
      <c r="I74" s="7"/>
      <c r="J74" s="7"/>
      <c r="K74" s="7"/>
      <c r="L74" s="7"/>
      <c r="M74" s="7"/>
      <c r="N74" s="7"/>
      <c r="O74" s="7"/>
      <c r="P74" s="7"/>
      <c r="Q74" s="7"/>
    </row>
    <row r="75" spans="1:17" s="1" customFormat="1" ht="18" customHeight="1" x14ac:dyDescent="0.45">
      <c r="A75" s="5"/>
      <c r="B75" s="5"/>
      <c r="C75" s="5"/>
      <c r="D75" s="9" t="str">
        <f>IF(C75="","",VLOOKUP(C75,'Student Roster'!A:C,2,FALSE))</f>
        <v/>
      </c>
      <c r="E75" s="9" t="str">
        <f>IF(C75="","",VLOOKUP(C75,'Student Roster'!A:C,3,FALSE))</f>
        <v/>
      </c>
      <c r="F75" s="5"/>
      <c r="G75" s="5"/>
      <c r="H75" s="5"/>
      <c r="I75" s="5"/>
      <c r="J75" s="5"/>
      <c r="K75" s="5"/>
      <c r="L75" s="5"/>
      <c r="M75" s="5"/>
      <c r="N75" s="5"/>
      <c r="O75" s="5"/>
      <c r="P75" s="5"/>
      <c r="Q75" s="5"/>
    </row>
    <row r="76" spans="1:17" s="1" customFormat="1" ht="18" customHeight="1" x14ac:dyDescent="0.45">
      <c r="A76" s="7"/>
      <c r="B76" s="7"/>
      <c r="C76" s="7"/>
      <c r="D76" s="9" t="str">
        <f>IF(C76="","",VLOOKUP(C76,'Student Roster'!A:C,2,FALSE))</f>
        <v/>
      </c>
      <c r="E76" s="9" t="str">
        <f>IF(C76="","",VLOOKUP(C76,'Student Roster'!A:C,3,FALSE))</f>
        <v/>
      </c>
      <c r="F76" s="7"/>
      <c r="G76" s="7"/>
      <c r="H76" s="7"/>
      <c r="I76" s="7"/>
      <c r="J76" s="7"/>
      <c r="K76" s="7"/>
      <c r="L76" s="7"/>
      <c r="M76" s="7"/>
      <c r="N76" s="7"/>
      <c r="O76" s="7"/>
      <c r="P76" s="7"/>
      <c r="Q76" s="7"/>
    </row>
    <row r="77" spans="1:17" s="1" customFormat="1" ht="18" customHeight="1" x14ac:dyDescent="0.45">
      <c r="A77" s="5"/>
      <c r="B77" s="5"/>
      <c r="C77" s="5"/>
      <c r="D77" s="9" t="str">
        <f>IF(C77="","",VLOOKUP(C77,'Student Roster'!A:C,2,FALSE))</f>
        <v/>
      </c>
      <c r="E77" s="9" t="str">
        <f>IF(C77="","",VLOOKUP(C77,'Student Roster'!A:C,3,FALSE))</f>
        <v/>
      </c>
      <c r="F77" s="5"/>
      <c r="G77" s="5"/>
      <c r="H77" s="5"/>
      <c r="I77" s="5"/>
      <c r="J77" s="5"/>
      <c r="K77" s="5"/>
      <c r="L77" s="5"/>
      <c r="M77" s="5"/>
      <c r="N77" s="5"/>
      <c r="O77" s="5"/>
      <c r="P77" s="5"/>
      <c r="Q77" s="5"/>
    </row>
    <row r="78" spans="1:17" s="1" customFormat="1" ht="18" customHeight="1" x14ac:dyDescent="0.45">
      <c r="A78" s="7"/>
      <c r="B78" s="7"/>
      <c r="C78" s="7"/>
      <c r="D78" s="9" t="str">
        <f>IF(C78="","",VLOOKUP(C78,'Student Roster'!A:C,2,FALSE))</f>
        <v/>
      </c>
      <c r="E78" s="9" t="str">
        <f>IF(C78="","",VLOOKUP(C78,'Student Roster'!A:C,3,FALSE))</f>
        <v/>
      </c>
      <c r="F78" s="7"/>
      <c r="G78" s="7"/>
      <c r="H78" s="7"/>
      <c r="I78" s="7"/>
      <c r="J78" s="7"/>
      <c r="K78" s="7"/>
      <c r="L78" s="7"/>
      <c r="M78" s="7"/>
      <c r="N78" s="7"/>
      <c r="O78" s="7"/>
      <c r="P78" s="7"/>
      <c r="Q78" s="7"/>
    </row>
    <row r="79" spans="1:17" s="1" customFormat="1" ht="18" customHeight="1" x14ac:dyDescent="0.45">
      <c r="A79" s="5"/>
      <c r="B79" s="5"/>
      <c r="C79" s="5"/>
      <c r="D79" s="9" t="str">
        <f>IF(C79="","",VLOOKUP(C79,'Student Roster'!A:C,2,FALSE))</f>
        <v/>
      </c>
      <c r="E79" s="9" t="str">
        <f>IF(C79="","",VLOOKUP(C79,'Student Roster'!A:C,3,FALSE))</f>
        <v/>
      </c>
      <c r="F79" s="5"/>
      <c r="G79" s="5"/>
      <c r="H79" s="5"/>
      <c r="I79" s="5"/>
      <c r="J79" s="5"/>
      <c r="K79" s="5"/>
      <c r="L79" s="5"/>
      <c r="M79" s="5"/>
      <c r="N79" s="5"/>
      <c r="O79" s="5"/>
      <c r="P79" s="5"/>
      <c r="Q79" s="5"/>
    </row>
    <row r="80" spans="1:17" s="1" customFormat="1" ht="18" customHeight="1" x14ac:dyDescent="0.45">
      <c r="A80" s="7"/>
      <c r="B80" s="7"/>
      <c r="C80" s="7"/>
      <c r="D80" s="9" t="str">
        <f>IF(C80="","",VLOOKUP(C80,'Student Roster'!A:C,2,FALSE))</f>
        <v/>
      </c>
      <c r="E80" s="9" t="str">
        <f>IF(C80="","",VLOOKUP(C80,'Student Roster'!A:C,3,FALSE))</f>
        <v/>
      </c>
      <c r="F80" s="7"/>
      <c r="G80" s="7"/>
      <c r="H80" s="7"/>
      <c r="I80" s="7"/>
      <c r="J80" s="7"/>
      <c r="K80" s="7"/>
      <c r="L80" s="7"/>
      <c r="M80" s="7"/>
      <c r="N80" s="7"/>
      <c r="O80" s="7"/>
      <c r="P80" s="7"/>
      <c r="Q80" s="7"/>
    </row>
    <row r="81" spans="1:17" s="1" customFormat="1" ht="18" customHeight="1" x14ac:dyDescent="0.45">
      <c r="A81" s="5"/>
      <c r="B81" s="5"/>
      <c r="C81" s="5"/>
      <c r="D81" s="9" t="str">
        <f>IF(C81="","",VLOOKUP(C81,'Student Roster'!A:C,2,FALSE))</f>
        <v/>
      </c>
      <c r="E81" s="9" t="str">
        <f>IF(C81="","",VLOOKUP(C81,'Student Roster'!A:C,3,FALSE))</f>
        <v/>
      </c>
      <c r="F81" s="5"/>
      <c r="G81" s="5"/>
      <c r="H81" s="5"/>
      <c r="I81" s="5"/>
      <c r="J81" s="5"/>
      <c r="K81" s="5"/>
      <c r="L81" s="5"/>
      <c r="M81" s="5"/>
      <c r="N81" s="5"/>
      <c r="O81" s="5"/>
      <c r="P81" s="5"/>
      <c r="Q81" s="5"/>
    </row>
    <row r="82" spans="1:17" s="1" customFormat="1" ht="18" customHeight="1" x14ac:dyDescent="0.45">
      <c r="A82" s="7"/>
      <c r="B82" s="7"/>
      <c r="C82" s="7"/>
      <c r="D82" s="9" t="str">
        <f>IF(C82="","",VLOOKUP(C82,'Student Roster'!A:C,2,FALSE))</f>
        <v/>
      </c>
      <c r="E82" s="9" t="str">
        <f>IF(C82="","",VLOOKUP(C82,'Student Roster'!A:C,3,FALSE))</f>
        <v/>
      </c>
      <c r="F82" s="7"/>
      <c r="G82" s="7"/>
      <c r="H82" s="7"/>
      <c r="I82" s="7"/>
      <c r="J82" s="7"/>
      <c r="K82" s="7"/>
      <c r="L82" s="7"/>
      <c r="M82" s="7"/>
      <c r="N82" s="7"/>
      <c r="O82" s="7"/>
      <c r="P82" s="7"/>
      <c r="Q82" s="7"/>
    </row>
    <row r="83" spans="1:17" s="1" customFormat="1" ht="18" customHeight="1" x14ac:dyDescent="0.45">
      <c r="A83" s="5"/>
      <c r="B83" s="5"/>
      <c r="C83" s="5"/>
      <c r="D83" s="9" t="str">
        <f>IF(C83="","",VLOOKUP(C83,'Student Roster'!A:C,2,FALSE))</f>
        <v/>
      </c>
      <c r="E83" s="9" t="str">
        <f>IF(C83="","",VLOOKUP(C83,'Student Roster'!A:C,3,FALSE))</f>
        <v/>
      </c>
      <c r="F83" s="5"/>
      <c r="G83" s="5"/>
      <c r="H83" s="5"/>
      <c r="I83" s="5"/>
      <c r="J83" s="5"/>
      <c r="K83" s="5"/>
      <c r="L83" s="5"/>
      <c r="M83" s="5"/>
      <c r="N83" s="5"/>
      <c r="O83" s="5"/>
      <c r="P83" s="5"/>
      <c r="Q83" s="5"/>
    </row>
    <row r="84" spans="1:17" s="1" customFormat="1" ht="18" customHeight="1" x14ac:dyDescent="0.45">
      <c r="A84" s="7"/>
      <c r="B84" s="7"/>
      <c r="C84" s="7"/>
      <c r="D84" s="9" t="str">
        <f>IF(C84="","",VLOOKUP(C84,'Student Roster'!A:C,2,FALSE))</f>
        <v/>
      </c>
      <c r="E84" s="9" t="str">
        <f>IF(C84="","",VLOOKUP(C84,'Student Roster'!A:C,3,FALSE))</f>
        <v/>
      </c>
      <c r="F84" s="7"/>
      <c r="G84" s="7"/>
      <c r="H84" s="7"/>
      <c r="I84" s="7"/>
      <c r="J84" s="7"/>
      <c r="K84" s="7"/>
      <c r="L84" s="7"/>
      <c r="M84" s="7"/>
      <c r="N84" s="7"/>
      <c r="O84" s="7"/>
      <c r="P84" s="7"/>
      <c r="Q84" s="7"/>
    </row>
    <row r="85" spans="1:17" s="1" customFormat="1" ht="18" customHeight="1" x14ac:dyDescent="0.45">
      <c r="A85" s="5"/>
      <c r="B85" s="5"/>
      <c r="C85" s="5"/>
      <c r="D85" s="9" t="str">
        <f>IF(C85="","",VLOOKUP(C85,'Student Roster'!A:C,2,FALSE))</f>
        <v/>
      </c>
      <c r="E85" s="9" t="str">
        <f>IF(C85="","",VLOOKUP(C85,'Student Roster'!A:C,3,FALSE))</f>
        <v/>
      </c>
      <c r="F85" s="5"/>
      <c r="G85" s="5"/>
      <c r="H85" s="5"/>
      <c r="I85" s="5"/>
      <c r="J85" s="5"/>
      <c r="K85" s="5"/>
      <c r="L85" s="5"/>
      <c r="M85" s="5"/>
      <c r="N85" s="5"/>
      <c r="O85" s="5"/>
      <c r="P85" s="5"/>
      <c r="Q85" s="5"/>
    </row>
    <row r="86" spans="1:17" s="1" customFormat="1" ht="18" customHeight="1" x14ac:dyDescent="0.45">
      <c r="A86" s="7"/>
      <c r="B86" s="7"/>
      <c r="C86" s="7"/>
      <c r="D86" s="9" t="str">
        <f>IF(C86="","",VLOOKUP(C86,'Student Roster'!A:C,2,FALSE))</f>
        <v/>
      </c>
      <c r="E86" s="9" t="str">
        <f>IF(C86="","",VLOOKUP(C86,'Student Roster'!A:C,3,FALSE))</f>
        <v/>
      </c>
      <c r="F86" s="7"/>
      <c r="G86" s="7"/>
      <c r="H86" s="7"/>
      <c r="I86" s="7"/>
      <c r="J86" s="7"/>
      <c r="K86" s="7"/>
      <c r="L86" s="7"/>
      <c r="M86" s="7"/>
      <c r="N86" s="7"/>
      <c r="O86" s="7"/>
      <c r="P86" s="7"/>
      <c r="Q86" s="7"/>
    </row>
    <row r="87" spans="1:17" s="1" customFormat="1" ht="18" customHeight="1" x14ac:dyDescent="0.45">
      <c r="A87" s="5"/>
      <c r="B87" s="5"/>
      <c r="C87" s="5"/>
      <c r="D87" s="9" t="str">
        <f>IF(C87="","",VLOOKUP(C87,'Student Roster'!A:C,2,FALSE))</f>
        <v/>
      </c>
      <c r="E87" s="9" t="str">
        <f>IF(C87="","",VLOOKUP(C87,'Student Roster'!A:C,3,FALSE))</f>
        <v/>
      </c>
      <c r="F87" s="5"/>
      <c r="G87" s="5"/>
      <c r="H87" s="5"/>
      <c r="I87" s="5"/>
      <c r="J87" s="5"/>
      <c r="K87" s="5"/>
      <c r="L87" s="5"/>
      <c r="M87" s="5"/>
      <c r="N87" s="5"/>
      <c r="O87" s="5"/>
      <c r="P87" s="5"/>
      <c r="Q87" s="5"/>
    </row>
    <row r="88" spans="1:17" s="1" customFormat="1" ht="18" customHeight="1" x14ac:dyDescent="0.45">
      <c r="A88" s="7"/>
      <c r="B88" s="7"/>
      <c r="C88" s="7"/>
      <c r="D88" s="9" t="str">
        <f>IF(C88="","",VLOOKUP(C88,'Student Roster'!A:C,2,FALSE))</f>
        <v/>
      </c>
      <c r="E88" s="9" t="str">
        <f>IF(C88="","",VLOOKUP(C88,'Student Roster'!A:C,3,FALSE))</f>
        <v/>
      </c>
      <c r="F88" s="7"/>
      <c r="G88" s="7"/>
      <c r="H88" s="7"/>
      <c r="I88" s="7"/>
      <c r="J88" s="7"/>
      <c r="K88" s="7"/>
      <c r="L88" s="7"/>
      <c r="M88" s="7"/>
      <c r="N88" s="7"/>
      <c r="O88" s="7"/>
      <c r="P88" s="7"/>
      <c r="Q88" s="7"/>
    </row>
    <row r="89" spans="1:17" s="1" customFormat="1" ht="18" customHeight="1" x14ac:dyDescent="0.45">
      <c r="A89" s="5"/>
      <c r="B89" s="5"/>
      <c r="C89" s="5"/>
      <c r="D89" s="9" t="str">
        <f>IF(C89="","",VLOOKUP(C89,'Student Roster'!A:C,2,FALSE))</f>
        <v/>
      </c>
      <c r="E89" s="9" t="str">
        <f>IF(C89="","",VLOOKUP(C89,'Student Roster'!A:C,3,FALSE))</f>
        <v/>
      </c>
      <c r="F89" s="5"/>
      <c r="G89" s="5"/>
      <c r="H89" s="5"/>
      <c r="I89" s="5"/>
      <c r="J89" s="5"/>
      <c r="K89" s="5"/>
      <c r="L89" s="5"/>
      <c r="M89" s="5"/>
      <c r="N89" s="5"/>
      <c r="O89" s="5"/>
      <c r="P89" s="5"/>
      <c r="Q89" s="5"/>
    </row>
    <row r="90" spans="1:17" s="1" customFormat="1" ht="18" customHeight="1" x14ac:dyDescent="0.45">
      <c r="A90" s="7"/>
      <c r="B90" s="7"/>
      <c r="C90" s="7"/>
      <c r="D90" s="9" t="str">
        <f>IF(C90="","",VLOOKUP(C90,'Student Roster'!A:C,2,FALSE))</f>
        <v/>
      </c>
      <c r="E90" s="9" t="str">
        <f>IF(C90="","",VLOOKUP(C90,'Student Roster'!A:C,3,FALSE))</f>
        <v/>
      </c>
      <c r="F90" s="7"/>
      <c r="G90" s="7"/>
      <c r="H90" s="7"/>
      <c r="I90" s="7"/>
      <c r="J90" s="7"/>
      <c r="K90" s="7"/>
      <c r="L90" s="7"/>
      <c r="M90" s="7"/>
      <c r="N90" s="7"/>
      <c r="O90" s="7"/>
      <c r="P90" s="7"/>
      <c r="Q90" s="7"/>
    </row>
    <row r="91" spans="1:17" s="1" customFormat="1" ht="18" customHeight="1" x14ac:dyDescent="0.45">
      <c r="A91" s="5"/>
      <c r="B91" s="5"/>
      <c r="C91" s="5"/>
      <c r="D91" s="9" t="str">
        <f>IF(C91="","",VLOOKUP(C91,'Student Roster'!A:C,2,FALSE))</f>
        <v/>
      </c>
      <c r="E91" s="9" t="str">
        <f>IF(C91="","",VLOOKUP(C91,'Student Roster'!A:C,3,FALSE))</f>
        <v/>
      </c>
      <c r="F91" s="5"/>
      <c r="G91" s="5"/>
      <c r="H91" s="5"/>
      <c r="I91" s="5"/>
      <c r="J91" s="5"/>
      <c r="K91" s="5"/>
      <c r="L91" s="5"/>
      <c r="M91" s="5"/>
      <c r="N91" s="5"/>
      <c r="O91" s="5"/>
      <c r="P91" s="5"/>
      <c r="Q91" s="5"/>
    </row>
    <row r="92" spans="1:17" s="1" customFormat="1" ht="18" customHeight="1" x14ac:dyDescent="0.45">
      <c r="A92" s="7"/>
      <c r="B92" s="7"/>
      <c r="C92" s="7"/>
      <c r="D92" s="9" t="str">
        <f>IF(C92="","",VLOOKUP(C92,'Student Roster'!A:C,2,FALSE))</f>
        <v/>
      </c>
      <c r="E92" s="9" t="str">
        <f>IF(C92="","",VLOOKUP(C92,'Student Roster'!A:C,3,FALSE))</f>
        <v/>
      </c>
      <c r="F92" s="7"/>
      <c r="G92" s="7"/>
      <c r="H92" s="7"/>
      <c r="I92" s="7"/>
      <c r="J92" s="7"/>
      <c r="K92" s="7"/>
      <c r="L92" s="7"/>
      <c r="M92" s="7"/>
      <c r="N92" s="7"/>
      <c r="O92" s="7"/>
      <c r="P92" s="7"/>
      <c r="Q92" s="7"/>
    </row>
    <row r="93" spans="1:17" s="1" customFormat="1" ht="18" customHeight="1" x14ac:dyDescent="0.45">
      <c r="A93" s="5"/>
      <c r="B93" s="5"/>
      <c r="C93" s="5"/>
      <c r="D93" s="9" t="str">
        <f>IF(C93="","",VLOOKUP(C93,'Student Roster'!A:C,2,FALSE))</f>
        <v/>
      </c>
      <c r="E93" s="9" t="str">
        <f>IF(C93="","",VLOOKUP(C93,'Student Roster'!A:C,3,FALSE))</f>
        <v/>
      </c>
      <c r="F93" s="5"/>
      <c r="G93" s="5"/>
      <c r="H93" s="5"/>
      <c r="I93" s="5"/>
      <c r="J93" s="5"/>
      <c r="K93" s="5"/>
      <c r="L93" s="5"/>
      <c r="M93" s="5"/>
      <c r="N93" s="5"/>
      <c r="O93" s="5"/>
      <c r="P93" s="5"/>
      <c r="Q93" s="5"/>
    </row>
    <row r="94" spans="1:17" s="1" customFormat="1" ht="18" customHeight="1" x14ac:dyDescent="0.45">
      <c r="A94" s="7"/>
      <c r="B94" s="7"/>
      <c r="C94" s="7"/>
      <c r="D94" s="9" t="str">
        <f>IF(C94="","",VLOOKUP(C94,'Student Roster'!A:C,2,FALSE))</f>
        <v/>
      </c>
      <c r="E94" s="9" t="str">
        <f>IF(C94="","",VLOOKUP(C94,'Student Roster'!A:C,3,FALSE))</f>
        <v/>
      </c>
      <c r="F94" s="7"/>
      <c r="G94" s="7"/>
      <c r="H94" s="7"/>
      <c r="I94" s="7"/>
      <c r="J94" s="7"/>
      <c r="K94" s="7"/>
      <c r="L94" s="7"/>
      <c r="M94" s="7"/>
      <c r="N94" s="7"/>
      <c r="O94" s="7"/>
      <c r="P94" s="7"/>
      <c r="Q94" s="7"/>
    </row>
    <row r="95" spans="1:17" s="1" customFormat="1" ht="18" customHeight="1" x14ac:dyDescent="0.45">
      <c r="A95" s="5"/>
      <c r="B95" s="5"/>
      <c r="C95" s="5"/>
      <c r="D95" s="9" t="str">
        <f>IF(C95="","",VLOOKUP(C95,'Student Roster'!A:C,2,FALSE))</f>
        <v/>
      </c>
      <c r="E95" s="9" t="str">
        <f>IF(C95="","",VLOOKUP(C95,'Student Roster'!A:C,3,FALSE))</f>
        <v/>
      </c>
      <c r="F95" s="5"/>
      <c r="G95" s="5"/>
      <c r="H95" s="5"/>
      <c r="I95" s="5"/>
      <c r="J95" s="5"/>
      <c r="K95" s="5"/>
      <c r="L95" s="5"/>
      <c r="M95" s="5"/>
      <c r="N95" s="5"/>
      <c r="O95" s="5"/>
      <c r="P95" s="5"/>
      <c r="Q95" s="5"/>
    </row>
    <row r="96" spans="1:17" s="1" customFormat="1" ht="18" customHeight="1" x14ac:dyDescent="0.45">
      <c r="A96" s="7"/>
      <c r="B96" s="7"/>
      <c r="C96" s="7"/>
      <c r="D96" s="9" t="str">
        <f>IF(C96="","",VLOOKUP(C96,'Student Roster'!A:C,2,FALSE))</f>
        <v/>
      </c>
      <c r="E96" s="9" t="str">
        <f>IF(C96="","",VLOOKUP(C96,'Student Roster'!A:C,3,FALSE))</f>
        <v/>
      </c>
      <c r="F96" s="7"/>
      <c r="G96" s="7"/>
      <c r="H96" s="7"/>
      <c r="I96" s="7"/>
      <c r="J96" s="7"/>
      <c r="K96" s="7"/>
      <c r="L96" s="7"/>
      <c r="M96" s="7"/>
      <c r="N96" s="7"/>
      <c r="O96" s="7"/>
      <c r="P96" s="7"/>
      <c r="Q96" s="7"/>
    </row>
    <row r="97" spans="1:17" s="1" customFormat="1" ht="18" customHeight="1" x14ac:dyDescent="0.45">
      <c r="A97" s="5"/>
      <c r="B97" s="5"/>
      <c r="C97" s="5"/>
      <c r="D97" s="9" t="str">
        <f>IF(C97="","",VLOOKUP(C97,'Student Roster'!A:C,2,FALSE))</f>
        <v/>
      </c>
      <c r="E97" s="9" t="str">
        <f>IF(C97="","",VLOOKUP(C97,'Student Roster'!A:C,3,FALSE))</f>
        <v/>
      </c>
      <c r="F97" s="5"/>
      <c r="G97" s="5"/>
      <c r="H97" s="5"/>
      <c r="I97" s="5"/>
      <c r="J97" s="5"/>
      <c r="K97" s="5"/>
      <c r="L97" s="5"/>
      <c r="M97" s="5"/>
      <c r="N97" s="5"/>
      <c r="O97" s="5"/>
      <c r="P97" s="5"/>
      <c r="Q97" s="5"/>
    </row>
    <row r="98" spans="1:17" s="1" customFormat="1" ht="18" customHeight="1" x14ac:dyDescent="0.45">
      <c r="A98" s="7"/>
      <c r="B98" s="7"/>
      <c r="C98" s="7"/>
      <c r="D98" s="9" t="str">
        <f>IF(C98="","",VLOOKUP(C98,'Student Roster'!A:C,2,FALSE))</f>
        <v/>
      </c>
      <c r="E98" s="9" t="str">
        <f>IF(C98="","",VLOOKUP(C98,'Student Roster'!A:C,3,FALSE))</f>
        <v/>
      </c>
      <c r="F98" s="7"/>
      <c r="G98" s="7"/>
      <c r="H98" s="7"/>
      <c r="I98" s="7"/>
      <c r="J98" s="7"/>
      <c r="K98" s="7"/>
      <c r="L98" s="7"/>
      <c r="M98" s="7"/>
      <c r="N98" s="7"/>
      <c r="O98" s="7"/>
      <c r="P98" s="7"/>
      <c r="Q98" s="7"/>
    </row>
    <row r="99" spans="1:17" s="1" customFormat="1" ht="18" customHeight="1" x14ac:dyDescent="0.45">
      <c r="A99" s="5"/>
      <c r="B99" s="5"/>
      <c r="C99" s="5"/>
      <c r="D99" s="9" t="str">
        <f>IF(C99="","",VLOOKUP(C99,'Student Roster'!A:C,2,FALSE))</f>
        <v/>
      </c>
      <c r="E99" s="9" t="str">
        <f>IF(C99="","",VLOOKUP(C99,'Student Roster'!A:C,3,FALSE))</f>
        <v/>
      </c>
      <c r="F99" s="5"/>
      <c r="G99" s="5"/>
      <c r="H99" s="5"/>
      <c r="I99" s="5"/>
      <c r="J99" s="5"/>
      <c r="K99" s="5"/>
      <c r="L99" s="5"/>
      <c r="M99" s="5"/>
      <c r="N99" s="5"/>
      <c r="O99" s="5"/>
      <c r="P99" s="5"/>
      <c r="Q99" s="5"/>
    </row>
    <row r="100" spans="1:17" s="1" customFormat="1" ht="18" customHeight="1" x14ac:dyDescent="0.45">
      <c r="A100" s="7"/>
      <c r="B100" s="7"/>
      <c r="C100" s="7"/>
      <c r="D100" s="9" t="str">
        <f>IF(C100="","",VLOOKUP(C100,'Student Roster'!A:C,2,FALSE))</f>
        <v/>
      </c>
      <c r="E100" s="9" t="str">
        <f>IF(C100="","",VLOOKUP(C100,'Student Roster'!A:C,3,FALSE))</f>
        <v/>
      </c>
      <c r="F100" s="7"/>
      <c r="G100" s="7"/>
      <c r="H100" s="7"/>
      <c r="I100" s="7"/>
      <c r="J100" s="7"/>
      <c r="K100" s="7"/>
      <c r="L100" s="7"/>
      <c r="M100" s="7"/>
      <c r="N100" s="7"/>
      <c r="O100" s="7"/>
      <c r="P100" s="7"/>
      <c r="Q100" s="7"/>
    </row>
    <row r="101" spans="1:17" s="1" customFormat="1" ht="18" customHeight="1" x14ac:dyDescent="0.45">
      <c r="A101" s="5"/>
      <c r="B101" s="5"/>
      <c r="C101" s="5"/>
      <c r="D101" s="9" t="str">
        <f>IF(C101="","",VLOOKUP(C101,'Student Roster'!A:C,2,FALSE))</f>
        <v/>
      </c>
      <c r="E101" s="9" t="str">
        <f>IF(C101="","",VLOOKUP(C101,'Student Roster'!A:C,3,FALSE))</f>
        <v/>
      </c>
      <c r="F101" s="5"/>
      <c r="G101" s="5"/>
      <c r="H101" s="5"/>
      <c r="I101" s="5"/>
      <c r="J101" s="5"/>
      <c r="K101" s="5"/>
      <c r="L101" s="5"/>
      <c r="M101" s="5"/>
      <c r="N101" s="5"/>
      <c r="O101" s="5"/>
      <c r="P101" s="5"/>
      <c r="Q101" s="5"/>
    </row>
    <row r="102" spans="1:17" s="1" customFormat="1" ht="18" customHeight="1" x14ac:dyDescent="0.45">
      <c r="A102" s="7"/>
      <c r="B102" s="7"/>
      <c r="C102" s="7"/>
      <c r="D102" s="9" t="str">
        <f>IF(C102="","",VLOOKUP(C102,'Student Roster'!A:C,2,FALSE))</f>
        <v/>
      </c>
      <c r="E102" s="9" t="str">
        <f>IF(C102="","",VLOOKUP(C102,'Student Roster'!A:C,3,FALSE))</f>
        <v/>
      </c>
      <c r="F102" s="7"/>
      <c r="G102" s="7"/>
      <c r="H102" s="7"/>
      <c r="I102" s="7"/>
      <c r="J102" s="7"/>
      <c r="K102" s="7"/>
      <c r="L102" s="7"/>
      <c r="M102" s="7"/>
      <c r="N102" s="7"/>
      <c r="O102" s="7"/>
      <c r="P102" s="7"/>
      <c r="Q102" s="7"/>
    </row>
    <row r="103" spans="1:17" s="1" customFormat="1" ht="18" customHeight="1" x14ac:dyDescent="0.45">
      <c r="A103" s="5"/>
      <c r="B103" s="5"/>
      <c r="C103" s="5"/>
      <c r="D103" s="9" t="str">
        <f>IF(C103="","",VLOOKUP(C103,'Student Roster'!A:C,2,FALSE))</f>
        <v/>
      </c>
      <c r="E103" s="9" t="str">
        <f>IF(C103="","",VLOOKUP(C103,'Student Roster'!A:C,3,FALSE))</f>
        <v/>
      </c>
      <c r="F103" s="5"/>
      <c r="G103" s="5"/>
      <c r="H103" s="5"/>
      <c r="I103" s="5"/>
      <c r="J103" s="5"/>
      <c r="K103" s="5"/>
      <c r="L103" s="5"/>
      <c r="M103" s="5"/>
      <c r="N103" s="5"/>
      <c r="O103" s="5"/>
      <c r="P103" s="5"/>
      <c r="Q103" s="5"/>
    </row>
    <row r="104" spans="1:17" s="1" customFormat="1" ht="18" customHeight="1" x14ac:dyDescent="0.45">
      <c r="A104" s="7"/>
      <c r="B104" s="7"/>
      <c r="C104" s="7"/>
      <c r="D104" s="9" t="str">
        <f>IF(C104="","",VLOOKUP(C104,'Student Roster'!A:C,2,FALSE))</f>
        <v/>
      </c>
      <c r="E104" s="9" t="str">
        <f>IF(C104="","",VLOOKUP(C104,'Student Roster'!A:C,3,FALSE))</f>
        <v/>
      </c>
      <c r="F104" s="7"/>
      <c r="G104" s="7"/>
      <c r="H104" s="7"/>
      <c r="I104" s="7"/>
      <c r="J104" s="7"/>
      <c r="K104" s="7"/>
      <c r="L104" s="7"/>
      <c r="M104" s="7"/>
      <c r="N104" s="7"/>
      <c r="O104" s="7"/>
      <c r="P104" s="7"/>
      <c r="Q104" s="7"/>
    </row>
    <row r="105" spans="1:17" s="1" customFormat="1" ht="18" customHeight="1" x14ac:dyDescent="0.45">
      <c r="A105" s="5"/>
      <c r="B105" s="5"/>
      <c r="C105" s="5"/>
      <c r="D105" s="9" t="str">
        <f>IF(C105="","",VLOOKUP(C105,'Student Roster'!A:C,2,FALSE))</f>
        <v/>
      </c>
      <c r="E105" s="9" t="str">
        <f>IF(C105="","",VLOOKUP(C105,'Student Roster'!A:C,3,FALSE))</f>
        <v/>
      </c>
      <c r="F105" s="5"/>
      <c r="G105" s="5"/>
      <c r="H105" s="5"/>
      <c r="I105" s="5"/>
      <c r="J105" s="5"/>
      <c r="K105" s="5"/>
      <c r="L105" s="5"/>
      <c r="M105" s="5"/>
      <c r="N105" s="5"/>
      <c r="O105" s="5"/>
      <c r="P105" s="5"/>
      <c r="Q105" s="5"/>
    </row>
    <row r="106" spans="1:17" s="1" customFormat="1" ht="18" customHeight="1" x14ac:dyDescent="0.45">
      <c r="A106" s="7"/>
      <c r="B106" s="7"/>
      <c r="C106" s="7"/>
      <c r="D106" s="9" t="str">
        <f>IF(C106="","",VLOOKUP(C106,'Student Roster'!A:C,2,FALSE))</f>
        <v/>
      </c>
      <c r="E106" s="9" t="str">
        <f>IF(C106="","",VLOOKUP(C106,'Student Roster'!A:C,3,FALSE))</f>
        <v/>
      </c>
      <c r="F106" s="7"/>
      <c r="G106" s="7"/>
      <c r="H106" s="7"/>
      <c r="I106" s="7"/>
      <c r="J106" s="7"/>
      <c r="K106" s="7"/>
      <c r="L106" s="7"/>
      <c r="M106" s="7"/>
      <c r="N106" s="7"/>
      <c r="O106" s="7"/>
      <c r="P106" s="7"/>
      <c r="Q106" s="7"/>
    </row>
    <row r="107" spans="1:17" s="1" customFormat="1" ht="18" customHeight="1" x14ac:dyDescent="0.45">
      <c r="A107" s="5"/>
      <c r="B107" s="5"/>
      <c r="C107" s="5"/>
      <c r="D107" s="9" t="str">
        <f>IF(C107="","",VLOOKUP(C107,'Student Roster'!A:C,2,FALSE))</f>
        <v/>
      </c>
      <c r="E107" s="9" t="str">
        <f>IF(C107="","",VLOOKUP(C107,'Student Roster'!A:C,3,FALSE))</f>
        <v/>
      </c>
      <c r="F107" s="5"/>
      <c r="G107" s="5"/>
      <c r="H107" s="5"/>
      <c r="I107" s="5"/>
      <c r="J107" s="5"/>
      <c r="K107" s="5"/>
      <c r="L107" s="5"/>
      <c r="M107" s="5"/>
      <c r="N107" s="5"/>
      <c r="O107" s="5"/>
      <c r="P107" s="5"/>
      <c r="Q107" s="5"/>
    </row>
    <row r="108" spans="1:17" s="1" customFormat="1" ht="18" customHeight="1" x14ac:dyDescent="0.45">
      <c r="A108" s="7"/>
      <c r="B108" s="7"/>
      <c r="C108" s="7"/>
      <c r="D108" s="9" t="str">
        <f>IF(C108="","",VLOOKUP(C108,'Student Roster'!A:C,2,FALSE))</f>
        <v/>
      </c>
      <c r="E108" s="9" t="str">
        <f>IF(C108="","",VLOOKUP(C108,'Student Roster'!A:C,3,FALSE))</f>
        <v/>
      </c>
      <c r="F108" s="7"/>
      <c r="G108" s="7"/>
      <c r="H108" s="7"/>
      <c r="I108" s="7"/>
      <c r="J108" s="7"/>
      <c r="K108" s="7"/>
      <c r="L108" s="7"/>
      <c r="M108" s="7"/>
      <c r="N108" s="7"/>
      <c r="O108" s="7"/>
      <c r="P108" s="7"/>
      <c r="Q108" s="7"/>
    </row>
    <row r="109" spans="1:17" s="1" customFormat="1" ht="18" customHeight="1" x14ac:dyDescent="0.45">
      <c r="A109" s="5"/>
      <c r="B109" s="5"/>
      <c r="C109" s="5"/>
      <c r="D109" s="9" t="str">
        <f>IF(C109="","",VLOOKUP(C109,'Student Roster'!A:C,2,FALSE))</f>
        <v/>
      </c>
      <c r="E109" s="9" t="str">
        <f>IF(C109="","",VLOOKUP(C109,'Student Roster'!A:C,3,FALSE))</f>
        <v/>
      </c>
      <c r="F109" s="5"/>
      <c r="G109" s="5"/>
      <c r="H109" s="5"/>
      <c r="I109" s="5"/>
      <c r="J109" s="5"/>
      <c r="K109" s="5"/>
      <c r="L109" s="5"/>
      <c r="M109" s="5"/>
      <c r="N109" s="5"/>
      <c r="O109" s="5"/>
      <c r="P109" s="5"/>
      <c r="Q109" s="5"/>
    </row>
    <row r="110" spans="1:17" s="1" customFormat="1" ht="18" customHeight="1" x14ac:dyDescent="0.45">
      <c r="A110" s="7"/>
      <c r="B110" s="7"/>
      <c r="C110" s="7"/>
      <c r="D110" s="9" t="str">
        <f>IF(C110="","",VLOOKUP(C110,'Student Roster'!A:C,2,FALSE))</f>
        <v/>
      </c>
      <c r="E110" s="9" t="str">
        <f>IF(C110="","",VLOOKUP(C110,'Student Roster'!A:C,3,FALSE))</f>
        <v/>
      </c>
      <c r="F110" s="7"/>
      <c r="G110" s="7"/>
      <c r="H110" s="7"/>
      <c r="I110" s="7"/>
      <c r="J110" s="7"/>
      <c r="K110" s="7"/>
      <c r="L110" s="7"/>
      <c r="M110" s="7"/>
      <c r="N110" s="7"/>
      <c r="O110" s="7"/>
      <c r="P110" s="7"/>
      <c r="Q110" s="7"/>
    </row>
    <row r="111" spans="1:17" s="1" customFormat="1" ht="18" customHeight="1" x14ac:dyDescent="0.45">
      <c r="A111" s="5"/>
      <c r="B111" s="5"/>
      <c r="C111" s="5"/>
      <c r="D111" s="9" t="str">
        <f>IF(C111="","",VLOOKUP(C111,'Student Roster'!A:C,2,FALSE))</f>
        <v/>
      </c>
      <c r="E111" s="9" t="str">
        <f>IF(C111="","",VLOOKUP(C111,'Student Roster'!A:C,3,FALSE))</f>
        <v/>
      </c>
      <c r="F111" s="5"/>
      <c r="G111" s="5"/>
      <c r="H111" s="5"/>
      <c r="I111" s="5"/>
      <c r="J111" s="5"/>
      <c r="K111" s="5"/>
      <c r="L111" s="5"/>
      <c r="M111" s="5"/>
      <c r="N111" s="5"/>
      <c r="O111" s="5"/>
      <c r="P111" s="5"/>
      <c r="Q111" s="5"/>
    </row>
    <row r="112" spans="1:17" s="1" customFormat="1" ht="18" customHeight="1" x14ac:dyDescent="0.45">
      <c r="A112" s="7"/>
      <c r="B112" s="7"/>
      <c r="C112" s="7"/>
      <c r="D112" s="9" t="str">
        <f>IF(C112="","",VLOOKUP(C112,'Student Roster'!A:C,2,FALSE))</f>
        <v/>
      </c>
      <c r="E112" s="9" t="str">
        <f>IF(C112="","",VLOOKUP(C112,'Student Roster'!A:C,3,FALSE))</f>
        <v/>
      </c>
      <c r="F112" s="7"/>
      <c r="G112" s="7"/>
      <c r="H112" s="7"/>
      <c r="I112" s="7"/>
      <c r="J112" s="7"/>
      <c r="K112" s="7"/>
      <c r="L112" s="7"/>
      <c r="M112" s="7"/>
      <c r="N112" s="7"/>
      <c r="O112" s="7"/>
      <c r="P112" s="7"/>
      <c r="Q112" s="7"/>
    </row>
    <row r="113" spans="1:17" s="1" customFormat="1" ht="18" customHeight="1" x14ac:dyDescent="0.45">
      <c r="A113" s="5"/>
      <c r="B113" s="5"/>
      <c r="C113" s="5"/>
      <c r="D113" s="9" t="str">
        <f>IF(C113="","",VLOOKUP(C113,'Student Roster'!A:C,2,FALSE))</f>
        <v/>
      </c>
      <c r="E113" s="9" t="str">
        <f>IF(C113="","",VLOOKUP(C113,'Student Roster'!A:C,3,FALSE))</f>
        <v/>
      </c>
      <c r="F113" s="5"/>
      <c r="G113" s="5"/>
      <c r="H113" s="5"/>
      <c r="I113" s="5"/>
      <c r="J113" s="5"/>
      <c r="K113" s="5"/>
      <c r="L113" s="5"/>
      <c r="M113" s="5"/>
      <c r="N113" s="5"/>
      <c r="O113" s="5"/>
      <c r="P113" s="5"/>
      <c r="Q113" s="5"/>
    </row>
    <row r="114" spans="1:17" s="1" customFormat="1" ht="18" customHeight="1" x14ac:dyDescent="0.45">
      <c r="A114" s="7"/>
      <c r="B114" s="7"/>
      <c r="C114" s="7"/>
      <c r="D114" s="9" t="str">
        <f>IF(C114="","",VLOOKUP(C114,'Student Roster'!A:C,2,FALSE))</f>
        <v/>
      </c>
      <c r="E114" s="9" t="str">
        <f>IF(C114="","",VLOOKUP(C114,'Student Roster'!A:C,3,FALSE))</f>
        <v/>
      </c>
      <c r="F114" s="7"/>
      <c r="G114" s="7"/>
      <c r="H114" s="7"/>
      <c r="I114" s="7"/>
      <c r="J114" s="7"/>
      <c r="K114" s="7"/>
      <c r="L114" s="7"/>
      <c r="M114" s="7"/>
      <c r="N114" s="7"/>
      <c r="O114" s="7"/>
      <c r="P114" s="7"/>
      <c r="Q114" s="7"/>
    </row>
    <row r="115" spans="1:17" s="1" customFormat="1" ht="18" customHeight="1" x14ac:dyDescent="0.45">
      <c r="A115" s="5"/>
      <c r="B115" s="5"/>
      <c r="C115" s="5"/>
      <c r="D115" s="9" t="str">
        <f>IF(C115="","",VLOOKUP(C115,'Student Roster'!A:C,2,FALSE))</f>
        <v/>
      </c>
      <c r="E115" s="9" t="str">
        <f>IF(C115="","",VLOOKUP(C115,'Student Roster'!A:C,3,FALSE))</f>
        <v/>
      </c>
      <c r="F115" s="5"/>
      <c r="G115" s="5"/>
      <c r="H115" s="5"/>
      <c r="I115" s="5"/>
      <c r="J115" s="5"/>
      <c r="K115" s="5"/>
      <c r="L115" s="5"/>
      <c r="M115" s="5"/>
      <c r="N115" s="5"/>
      <c r="O115" s="5"/>
      <c r="P115" s="5"/>
      <c r="Q115" s="5"/>
    </row>
    <row r="116" spans="1:17" s="1" customFormat="1" ht="18" customHeight="1" x14ac:dyDescent="0.45">
      <c r="A116" s="7"/>
      <c r="B116" s="7"/>
      <c r="C116" s="7"/>
      <c r="D116" s="9" t="str">
        <f>IF(C116="","",VLOOKUP(C116,'Student Roster'!A:C,2,FALSE))</f>
        <v/>
      </c>
      <c r="E116" s="9" t="str">
        <f>IF(C116="","",VLOOKUP(C116,'Student Roster'!A:C,3,FALSE))</f>
        <v/>
      </c>
      <c r="F116" s="7"/>
      <c r="G116" s="7"/>
      <c r="H116" s="7"/>
      <c r="I116" s="7"/>
      <c r="J116" s="7"/>
      <c r="K116" s="7"/>
      <c r="L116" s="7"/>
      <c r="M116" s="7"/>
      <c r="N116" s="7"/>
      <c r="O116" s="7"/>
      <c r="P116" s="7"/>
      <c r="Q116" s="7"/>
    </row>
    <row r="117" spans="1:17" s="1" customFormat="1" ht="18" customHeight="1" x14ac:dyDescent="0.45">
      <c r="A117" s="5"/>
      <c r="B117" s="5"/>
      <c r="C117" s="5"/>
      <c r="D117" s="9" t="str">
        <f>IF(C117="","",VLOOKUP(C117,'Student Roster'!A:C,2,FALSE))</f>
        <v/>
      </c>
      <c r="E117" s="9" t="str">
        <f>IF(C117="","",VLOOKUP(C117,'Student Roster'!A:C,3,FALSE))</f>
        <v/>
      </c>
      <c r="F117" s="5"/>
      <c r="G117" s="5"/>
      <c r="H117" s="5"/>
      <c r="I117" s="5"/>
      <c r="J117" s="5"/>
      <c r="K117" s="5"/>
      <c r="L117" s="5"/>
      <c r="M117" s="5"/>
      <c r="N117" s="5"/>
      <c r="O117" s="5"/>
      <c r="P117" s="5"/>
      <c r="Q117" s="5"/>
    </row>
    <row r="118" spans="1:17" s="1" customFormat="1" ht="18" customHeight="1" x14ac:dyDescent="0.45">
      <c r="A118" s="7"/>
      <c r="B118" s="7"/>
      <c r="C118" s="7"/>
      <c r="D118" s="9" t="str">
        <f>IF(C118="","",VLOOKUP(C118,'Student Roster'!A:C,2,FALSE))</f>
        <v/>
      </c>
      <c r="E118" s="9" t="str">
        <f>IF(C118="","",VLOOKUP(C118,'Student Roster'!A:C,3,FALSE))</f>
        <v/>
      </c>
      <c r="F118" s="7"/>
      <c r="G118" s="7"/>
      <c r="H118" s="7"/>
      <c r="I118" s="7"/>
      <c r="J118" s="7"/>
      <c r="K118" s="7"/>
      <c r="L118" s="7"/>
      <c r="M118" s="7"/>
      <c r="N118" s="7"/>
      <c r="O118" s="7"/>
      <c r="P118" s="7"/>
      <c r="Q118" s="7"/>
    </row>
    <row r="119" spans="1:17" s="1" customFormat="1" ht="18" customHeight="1" x14ac:dyDescent="0.45">
      <c r="A119" s="5"/>
      <c r="B119" s="5"/>
      <c r="C119" s="5"/>
      <c r="D119" s="9" t="str">
        <f>IF(C119="","",VLOOKUP(C119,'Student Roster'!A:C,2,FALSE))</f>
        <v/>
      </c>
      <c r="E119" s="9" t="str">
        <f>IF(C119="","",VLOOKUP(C119,'Student Roster'!A:C,3,FALSE))</f>
        <v/>
      </c>
      <c r="F119" s="5"/>
      <c r="G119" s="5"/>
      <c r="H119" s="5"/>
      <c r="I119" s="5"/>
      <c r="J119" s="5"/>
      <c r="K119" s="5"/>
      <c r="L119" s="5"/>
      <c r="M119" s="5"/>
      <c r="N119" s="5"/>
      <c r="O119" s="5"/>
      <c r="P119" s="5"/>
      <c r="Q119" s="5"/>
    </row>
    <row r="120" spans="1:17" s="1" customFormat="1" ht="18" customHeight="1" x14ac:dyDescent="0.45">
      <c r="A120" s="7"/>
      <c r="B120" s="7"/>
      <c r="C120" s="7"/>
      <c r="D120" s="9" t="str">
        <f>IF(C120="","",VLOOKUP(C120,'Student Roster'!A:C,2,FALSE))</f>
        <v/>
      </c>
      <c r="E120" s="9" t="str">
        <f>IF(C120="","",VLOOKUP(C120,'Student Roster'!A:C,3,FALSE))</f>
        <v/>
      </c>
      <c r="F120" s="7"/>
      <c r="G120" s="7"/>
      <c r="H120" s="7"/>
      <c r="I120" s="7"/>
      <c r="J120" s="7"/>
      <c r="K120" s="7"/>
      <c r="L120" s="7"/>
      <c r="M120" s="7"/>
      <c r="N120" s="7"/>
      <c r="O120" s="7"/>
      <c r="P120" s="7"/>
      <c r="Q120" s="7"/>
    </row>
    <row r="121" spans="1:17" s="1" customFormat="1" ht="18" customHeight="1" x14ac:dyDescent="0.45">
      <c r="A121" s="5"/>
      <c r="B121" s="5"/>
      <c r="C121" s="5"/>
      <c r="D121" s="9" t="str">
        <f>IF(C121="","",VLOOKUP(C121,'Student Roster'!A:C,2,FALSE))</f>
        <v/>
      </c>
      <c r="E121" s="9" t="str">
        <f>IF(C121="","",VLOOKUP(C121,'Student Roster'!A:C,3,FALSE))</f>
        <v/>
      </c>
      <c r="F121" s="5"/>
      <c r="G121" s="5"/>
      <c r="H121" s="5"/>
      <c r="I121" s="5"/>
      <c r="J121" s="5"/>
      <c r="K121" s="5"/>
      <c r="L121" s="5"/>
      <c r="M121" s="5"/>
      <c r="N121" s="5"/>
      <c r="O121" s="5"/>
      <c r="P121" s="5"/>
      <c r="Q121" s="5"/>
    </row>
    <row r="122" spans="1:17" s="1" customFormat="1" ht="18" customHeight="1" x14ac:dyDescent="0.45">
      <c r="A122" s="7"/>
      <c r="B122" s="7"/>
      <c r="C122" s="7"/>
      <c r="D122" s="9" t="str">
        <f>IF(C122="","",VLOOKUP(C122,'Student Roster'!A:C,2,FALSE))</f>
        <v/>
      </c>
      <c r="E122" s="9" t="str">
        <f>IF(C122="","",VLOOKUP(C122,'Student Roster'!A:C,3,FALSE))</f>
        <v/>
      </c>
      <c r="F122" s="7"/>
      <c r="G122" s="7"/>
      <c r="H122" s="7"/>
      <c r="I122" s="7"/>
      <c r="J122" s="7"/>
      <c r="K122" s="7"/>
      <c r="L122" s="7"/>
      <c r="M122" s="7"/>
      <c r="N122" s="7"/>
      <c r="O122" s="7"/>
      <c r="P122" s="7"/>
      <c r="Q122" s="7"/>
    </row>
    <row r="123" spans="1:17" s="1" customFormat="1" ht="18" customHeight="1" x14ac:dyDescent="0.45">
      <c r="A123" s="5"/>
      <c r="B123" s="5"/>
      <c r="C123" s="5"/>
      <c r="D123" s="9" t="str">
        <f>IF(C123="","",VLOOKUP(C123,'Student Roster'!A:C,2,FALSE))</f>
        <v/>
      </c>
      <c r="E123" s="9" t="str">
        <f>IF(C123="","",VLOOKUP(C123,'Student Roster'!A:C,3,FALSE))</f>
        <v/>
      </c>
      <c r="F123" s="5"/>
      <c r="G123" s="5"/>
      <c r="H123" s="5"/>
      <c r="I123" s="5"/>
      <c r="J123" s="5"/>
      <c r="K123" s="5"/>
      <c r="L123" s="5"/>
      <c r="M123" s="5"/>
      <c r="N123" s="5"/>
      <c r="O123" s="5"/>
      <c r="P123" s="5"/>
      <c r="Q123" s="5"/>
    </row>
    <row r="124" spans="1:17" s="1" customFormat="1" ht="18" customHeight="1" x14ac:dyDescent="0.45">
      <c r="A124" s="7"/>
      <c r="B124" s="7"/>
      <c r="C124" s="7"/>
      <c r="D124" s="9" t="str">
        <f>IF(C124="","",VLOOKUP(C124,'Student Roster'!A:C,2,FALSE))</f>
        <v/>
      </c>
      <c r="E124" s="9" t="str">
        <f>IF(C124="","",VLOOKUP(C124,'Student Roster'!A:C,3,FALSE))</f>
        <v/>
      </c>
      <c r="F124" s="7"/>
      <c r="G124" s="7"/>
      <c r="H124" s="7"/>
      <c r="I124" s="7"/>
      <c r="J124" s="7"/>
      <c r="K124" s="7"/>
      <c r="L124" s="7"/>
      <c r="M124" s="7"/>
      <c r="N124" s="7"/>
      <c r="O124" s="7"/>
      <c r="P124" s="7"/>
      <c r="Q124" s="7"/>
    </row>
    <row r="125" spans="1:17" s="1" customFormat="1" ht="18" customHeight="1" x14ac:dyDescent="0.45">
      <c r="A125" s="5"/>
      <c r="B125" s="5"/>
      <c r="C125" s="5"/>
      <c r="D125" s="9" t="str">
        <f>IF(C125="","",VLOOKUP(C125,'Student Roster'!A:C,2,FALSE))</f>
        <v/>
      </c>
      <c r="E125" s="9" t="str">
        <f>IF(C125="","",VLOOKUP(C125,'Student Roster'!A:C,3,FALSE))</f>
        <v/>
      </c>
      <c r="F125" s="5"/>
      <c r="G125" s="5"/>
      <c r="H125" s="5"/>
      <c r="I125" s="5"/>
      <c r="J125" s="5"/>
      <c r="K125" s="5"/>
      <c r="L125" s="5"/>
      <c r="M125" s="5"/>
      <c r="N125" s="5"/>
      <c r="O125" s="5"/>
      <c r="P125" s="5"/>
      <c r="Q125" s="5"/>
    </row>
    <row r="126" spans="1:17" s="1" customFormat="1" ht="18" customHeight="1" x14ac:dyDescent="0.45">
      <c r="A126" s="7"/>
      <c r="B126" s="7"/>
      <c r="C126" s="7"/>
      <c r="D126" s="9" t="str">
        <f>IF(C126="","",VLOOKUP(C126,'Student Roster'!A:C,2,FALSE))</f>
        <v/>
      </c>
      <c r="E126" s="9" t="str">
        <f>IF(C126="","",VLOOKUP(C126,'Student Roster'!A:C,3,FALSE))</f>
        <v/>
      </c>
      <c r="F126" s="7"/>
      <c r="G126" s="7"/>
      <c r="H126" s="7"/>
      <c r="I126" s="7"/>
      <c r="J126" s="7"/>
      <c r="K126" s="7"/>
      <c r="L126" s="7"/>
      <c r="M126" s="7"/>
      <c r="N126" s="7"/>
      <c r="O126" s="7"/>
      <c r="P126" s="7"/>
      <c r="Q126" s="7"/>
    </row>
    <row r="127" spans="1:17" s="1" customFormat="1" ht="18" customHeight="1" x14ac:dyDescent="0.45">
      <c r="A127" s="5"/>
      <c r="B127" s="5"/>
      <c r="C127" s="5"/>
      <c r="D127" s="9" t="str">
        <f>IF(C127="","",VLOOKUP(C127,'Student Roster'!A:C,2,FALSE))</f>
        <v/>
      </c>
      <c r="E127" s="9" t="str">
        <f>IF(C127="","",VLOOKUP(C127,'Student Roster'!A:C,3,FALSE))</f>
        <v/>
      </c>
      <c r="F127" s="5"/>
      <c r="G127" s="5"/>
      <c r="H127" s="5"/>
      <c r="I127" s="5"/>
      <c r="J127" s="5"/>
      <c r="K127" s="5"/>
      <c r="L127" s="5"/>
      <c r="M127" s="5"/>
      <c r="N127" s="5"/>
      <c r="O127" s="5"/>
      <c r="P127" s="5"/>
      <c r="Q127" s="5"/>
    </row>
    <row r="128" spans="1:17" s="1" customFormat="1" ht="18" customHeight="1" x14ac:dyDescent="0.45">
      <c r="A128" s="7"/>
      <c r="B128" s="7"/>
      <c r="C128" s="7"/>
      <c r="D128" s="9" t="str">
        <f>IF(C128="","",VLOOKUP(C128,'Student Roster'!A:C,2,FALSE))</f>
        <v/>
      </c>
      <c r="E128" s="9" t="str">
        <f>IF(C128="","",VLOOKUP(C128,'Student Roster'!A:C,3,FALSE))</f>
        <v/>
      </c>
      <c r="F128" s="7"/>
      <c r="G128" s="7"/>
      <c r="H128" s="7"/>
      <c r="I128" s="7"/>
      <c r="J128" s="7"/>
      <c r="K128" s="7"/>
      <c r="L128" s="7"/>
      <c r="M128" s="7"/>
      <c r="N128" s="7"/>
      <c r="O128" s="7"/>
      <c r="P128" s="7"/>
      <c r="Q128" s="7"/>
    </row>
    <row r="129" spans="1:17" s="1" customFormat="1" ht="18" customHeight="1" x14ac:dyDescent="0.45">
      <c r="A129" s="5"/>
      <c r="B129" s="5"/>
      <c r="C129" s="5"/>
      <c r="D129" s="9" t="str">
        <f>IF(C129="","",VLOOKUP(C129,'Student Roster'!A:C,2,FALSE))</f>
        <v/>
      </c>
      <c r="E129" s="9" t="str">
        <f>IF(C129="","",VLOOKUP(C129,'Student Roster'!A:C,3,FALSE))</f>
        <v/>
      </c>
      <c r="F129" s="5"/>
      <c r="G129" s="5"/>
      <c r="H129" s="5"/>
      <c r="I129" s="5"/>
      <c r="J129" s="5"/>
      <c r="K129" s="5"/>
      <c r="L129" s="5"/>
      <c r="M129" s="5"/>
      <c r="N129" s="5"/>
      <c r="O129" s="5"/>
      <c r="P129" s="5"/>
      <c r="Q129" s="5"/>
    </row>
    <row r="130" spans="1:17" s="1" customFormat="1" ht="18" customHeight="1" x14ac:dyDescent="0.45">
      <c r="A130" s="7"/>
      <c r="B130" s="7"/>
      <c r="C130" s="7"/>
      <c r="D130" s="9" t="str">
        <f>IF(C130="","",VLOOKUP(C130,'Student Roster'!A:C,2,FALSE))</f>
        <v/>
      </c>
      <c r="E130" s="9" t="str">
        <f>IF(C130="","",VLOOKUP(C130,'Student Roster'!A:C,3,FALSE))</f>
        <v/>
      </c>
      <c r="F130" s="7"/>
      <c r="G130" s="7"/>
      <c r="H130" s="7"/>
      <c r="I130" s="7"/>
      <c r="J130" s="7"/>
      <c r="K130" s="7"/>
      <c r="L130" s="7"/>
      <c r="M130" s="7"/>
      <c r="N130" s="7"/>
      <c r="O130" s="7"/>
      <c r="P130" s="7"/>
      <c r="Q130" s="7"/>
    </row>
    <row r="131" spans="1:17" s="1" customFormat="1" ht="18" customHeight="1" x14ac:dyDescent="0.45">
      <c r="A131" s="5"/>
      <c r="B131" s="5"/>
      <c r="C131" s="5"/>
      <c r="D131" s="9" t="str">
        <f>IF(C131="","",VLOOKUP(C131,'Student Roster'!A:C,2,FALSE))</f>
        <v/>
      </c>
      <c r="E131" s="9" t="str">
        <f>IF(C131="","",VLOOKUP(C131,'Student Roster'!A:C,3,FALSE))</f>
        <v/>
      </c>
      <c r="F131" s="5"/>
      <c r="G131" s="5"/>
      <c r="H131" s="5"/>
      <c r="I131" s="5"/>
      <c r="J131" s="5"/>
      <c r="K131" s="5"/>
      <c r="L131" s="5"/>
      <c r="M131" s="5"/>
      <c r="N131" s="5"/>
      <c r="O131" s="5"/>
      <c r="P131" s="5"/>
      <c r="Q131" s="5"/>
    </row>
    <row r="132" spans="1:17" s="1" customFormat="1" ht="18" customHeight="1" x14ac:dyDescent="0.45">
      <c r="A132" s="7"/>
      <c r="B132" s="7"/>
      <c r="C132" s="7"/>
      <c r="D132" s="9" t="str">
        <f>IF(C132="","",VLOOKUP(C132,'Student Roster'!A:C,2,FALSE))</f>
        <v/>
      </c>
      <c r="E132" s="9" t="str">
        <f>IF(C132="","",VLOOKUP(C132,'Student Roster'!A:C,3,FALSE))</f>
        <v/>
      </c>
      <c r="F132" s="7"/>
      <c r="G132" s="7"/>
      <c r="H132" s="7"/>
      <c r="I132" s="7"/>
      <c r="J132" s="7"/>
      <c r="K132" s="7"/>
      <c r="L132" s="7"/>
      <c r="M132" s="7"/>
      <c r="N132" s="7"/>
      <c r="O132" s="7"/>
      <c r="P132" s="7"/>
      <c r="Q132" s="7"/>
    </row>
    <row r="133" spans="1:17" s="1" customFormat="1" ht="18" customHeight="1" x14ac:dyDescent="0.45">
      <c r="A133" s="5"/>
      <c r="B133" s="5"/>
      <c r="C133" s="5"/>
      <c r="D133" s="9" t="str">
        <f>IF(C133="","",VLOOKUP(C133,'Student Roster'!A:C,2,FALSE))</f>
        <v/>
      </c>
      <c r="E133" s="9" t="str">
        <f>IF(C133="","",VLOOKUP(C133,'Student Roster'!A:C,3,FALSE))</f>
        <v/>
      </c>
      <c r="F133" s="5"/>
      <c r="G133" s="5"/>
      <c r="H133" s="5"/>
      <c r="I133" s="5"/>
      <c r="J133" s="5"/>
      <c r="K133" s="5"/>
      <c r="L133" s="5"/>
      <c r="M133" s="5"/>
      <c r="N133" s="5"/>
      <c r="O133" s="5"/>
      <c r="P133" s="5"/>
      <c r="Q133" s="5"/>
    </row>
    <row r="134" spans="1:17" s="1" customFormat="1" ht="18" customHeight="1" x14ac:dyDescent="0.45">
      <c r="A134" s="7"/>
      <c r="B134" s="7"/>
      <c r="C134" s="7"/>
      <c r="D134" s="9" t="str">
        <f>IF(C134="","",VLOOKUP(C134,'Student Roster'!A:C,2,FALSE))</f>
        <v/>
      </c>
      <c r="E134" s="9" t="str">
        <f>IF(C134="","",VLOOKUP(C134,'Student Roster'!A:C,3,FALSE))</f>
        <v/>
      </c>
      <c r="F134" s="7"/>
      <c r="G134" s="7"/>
      <c r="H134" s="7"/>
      <c r="I134" s="7"/>
      <c r="J134" s="7"/>
      <c r="K134" s="7"/>
      <c r="L134" s="7"/>
      <c r="M134" s="7"/>
      <c r="N134" s="7"/>
      <c r="O134" s="7"/>
      <c r="P134" s="7"/>
      <c r="Q134" s="7"/>
    </row>
    <row r="135" spans="1:17" s="1" customFormat="1" ht="18" customHeight="1" x14ac:dyDescent="0.45">
      <c r="A135" s="5"/>
      <c r="B135" s="5"/>
      <c r="C135" s="5"/>
      <c r="D135" s="9" t="str">
        <f>IF(C135="","",VLOOKUP(C135,'Student Roster'!A:C,2,FALSE))</f>
        <v/>
      </c>
      <c r="E135" s="9" t="str">
        <f>IF(C135="","",VLOOKUP(C135,'Student Roster'!A:C,3,FALSE))</f>
        <v/>
      </c>
      <c r="F135" s="5"/>
      <c r="G135" s="5"/>
      <c r="H135" s="5"/>
      <c r="I135" s="5"/>
      <c r="J135" s="5"/>
      <c r="K135" s="5"/>
      <c r="L135" s="5"/>
      <c r="M135" s="5"/>
      <c r="N135" s="5"/>
      <c r="O135" s="5"/>
      <c r="P135" s="5"/>
      <c r="Q135" s="5"/>
    </row>
    <row r="136" spans="1:17" s="1" customFormat="1" ht="18" customHeight="1" x14ac:dyDescent="0.45">
      <c r="A136" s="7"/>
      <c r="B136" s="7"/>
      <c r="C136" s="7"/>
      <c r="D136" s="9" t="str">
        <f>IF(C136="","",VLOOKUP(C136,'Student Roster'!A:C,2,FALSE))</f>
        <v/>
      </c>
      <c r="E136" s="9" t="str">
        <f>IF(C136="","",VLOOKUP(C136,'Student Roster'!A:C,3,FALSE))</f>
        <v/>
      </c>
      <c r="F136" s="7"/>
      <c r="G136" s="7"/>
      <c r="H136" s="7"/>
      <c r="I136" s="7"/>
      <c r="J136" s="7"/>
      <c r="K136" s="7"/>
      <c r="L136" s="7"/>
      <c r="M136" s="7"/>
      <c r="N136" s="7"/>
      <c r="O136" s="7"/>
      <c r="P136" s="7"/>
      <c r="Q136" s="7"/>
    </row>
    <row r="137" spans="1:17" s="1" customFormat="1" ht="18" customHeight="1" x14ac:dyDescent="0.45">
      <c r="A137" s="5"/>
      <c r="B137" s="5"/>
      <c r="C137" s="5"/>
      <c r="D137" s="9" t="str">
        <f>IF(C137="","",VLOOKUP(C137,'Student Roster'!A:C,2,FALSE))</f>
        <v/>
      </c>
      <c r="E137" s="9" t="str">
        <f>IF(C137="","",VLOOKUP(C137,'Student Roster'!A:C,3,FALSE))</f>
        <v/>
      </c>
      <c r="F137" s="5"/>
      <c r="G137" s="5"/>
      <c r="H137" s="5"/>
      <c r="I137" s="5"/>
      <c r="J137" s="5"/>
      <c r="K137" s="5"/>
      <c r="L137" s="5"/>
      <c r="M137" s="5"/>
      <c r="N137" s="5"/>
      <c r="O137" s="5"/>
      <c r="P137" s="5"/>
      <c r="Q137" s="5"/>
    </row>
    <row r="138" spans="1:17" s="1" customFormat="1" ht="18" customHeight="1" x14ac:dyDescent="0.45">
      <c r="A138" s="7"/>
      <c r="B138" s="7"/>
      <c r="C138" s="7"/>
      <c r="D138" s="9" t="str">
        <f>IF(C138="","",VLOOKUP(C138,'Student Roster'!A:C,2,FALSE))</f>
        <v/>
      </c>
      <c r="E138" s="9" t="str">
        <f>IF(C138="","",VLOOKUP(C138,'Student Roster'!A:C,3,FALSE))</f>
        <v/>
      </c>
      <c r="F138" s="7"/>
      <c r="G138" s="7"/>
      <c r="H138" s="7"/>
      <c r="I138" s="7"/>
      <c r="J138" s="7"/>
      <c r="K138" s="7"/>
      <c r="L138" s="7"/>
      <c r="M138" s="7"/>
      <c r="N138" s="7"/>
      <c r="O138" s="7"/>
      <c r="P138" s="7"/>
      <c r="Q138" s="7"/>
    </row>
    <row r="139" spans="1:17" s="1" customFormat="1" ht="18" customHeight="1" x14ac:dyDescent="0.45">
      <c r="A139" s="5"/>
      <c r="B139" s="5"/>
      <c r="C139" s="5"/>
      <c r="D139" s="9" t="str">
        <f>IF(C139="","",VLOOKUP(C139,'Student Roster'!A:C,2,FALSE))</f>
        <v/>
      </c>
      <c r="E139" s="9" t="str">
        <f>IF(C139="","",VLOOKUP(C139,'Student Roster'!A:C,3,FALSE))</f>
        <v/>
      </c>
      <c r="F139" s="5"/>
      <c r="G139" s="5"/>
      <c r="H139" s="5"/>
      <c r="I139" s="5"/>
      <c r="J139" s="5"/>
      <c r="K139" s="5"/>
      <c r="L139" s="5"/>
      <c r="M139" s="5"/>
      <c r="N139" s="5"/>
      <c r="O139" s="5"/>
      <c r="P139" s="5"/>
      <c r="Q139" s="5"/>
    </row>
    <row r="140" spans="1:17" s="1" customFormat="1" ht="18" customHeight="1" x14ac:dyDescent="0.45">
      <c r="A140" s="7"/>
      <c r="B140" s="7"/>
      <c r="C140" s="7"/>
      <c r="D140" s="9" t="str">
        <f>IF(C140="","",VLOOKUP(C140,'Student Roster'!A:C,2,FALSE))</f>
        <v/>
      </c>
      <c r="E140" s="9" t="str">
        <f>IF(C140="","",VLOOKUP(C140,'Student Roster'!A:C,3,FALSE))</f>
        <v/>
      </c>
      <c r="F140" s="7"/>
      <c r="G140" s="7"/>
      <c r="H140" s="7"/>
      <c r="I140" s="7"/>
      <c r="J140" s="7"/>
      <c r="K140" s="7"/>
      <c r="L140" s="7"/>
      <c r="M140" s="7"/>
      <c r="N140" s="7"/>
      <c r="O140" s="7"/>
      <c r="P140" s="7"/>
      <c r="Q140" s="7"/>
    </row>
    <row r="141" spans="1:17" s="1" customFormat="1" ht="18" customHeight="1" x14ac:dyDescent="0.45">
      <c r="A141" s="5"/>
      <c r="B141" s="5"/>
      <c r="C141" s="5"/>
      <c r="D141" s="9" t="str">
        <f>IF(C141="","",VLOOKUP(C141,'Student Roster'!A:C,2,FALSE))</f>
        <v/>
      </c>
      <c r="E141" s="9" t="str">
        <f>IF(C141="","",VLOOKUP(C141,'Student Roster'!A:C,3,FALSE))</f>
        <v/>
      </c>
      <c r="F141" s="5"/>
      <c r="G141" s="5"/>
      <c r="H141" s="5"/>
      <c r="I141" s="5"/>
      <c r="J141" s="5"/>
      <c r="K141" s="5"/>
      <c r="L141" s="5"/>
      <c r="M141" s="5"/>
      <c r="N141" s="5"/>
      <c r="O141" s="5"/>
      <c r="P141" s="5"/>
      <c r="Q141" s="5"/>
    </row>
    <row r="142" spans="1:17" s="1" customFormat="1" ht="18" customHeight="1" x14ac:dyDescent="0.45">
      <c r="A142" s="7"/>
      <c r="B142" s="7"/>
      <c r="C142" s="7"/>
      <c r="D142" s="9" t="str">
        <f>IF(C142="","",VLOOKUP(C142,'Student Roster'!A:C,2,FALSE))</f>
        <v/>
      </c>
      <c r="E142" s="9" t="str">
        <f>IF(C142="","",VLOOKUP(C142,'Student Roster'!A:C,3,FALSE))</f>
        <v/>
      </c>
      <c r="F142" s="7"/>
      <c r="G142" s="7"/>
      <c r="H142" s="7"/>
      <c r="I142" s="7"/>
      <c r="J142" s="7"/>
      <c r="K142" s="7"/>
      <c r="L142" s="7"/>
      <c r="M142" s="7"/>
      <c r="N142" s="7"/>
      <c r="O142" s="7"/>
      <c r="P142" s="7"/>
      <c r="Q142" s="7"/>
    </row>
    <row r="143" spans="1:17" s="1" customFormat="1" ht="18" customHeight="1" x14ac:dyDescent="0.45">
      <c r="A143" s="5"/>
      <c r="B143" s="5"/>
      <c r="C143" s="5"/>
      <c r="D143" s="9" t="str">
        <f>IF(C143="","",VLOOKUP(C143,'Student Roster'!A:C,2,FALSE))</f>
        <v/>
      </c>
      <c r="E143" s="9" t="str">
        <f>IF(C143="","",VLOOKUP(C143,'Student Roster'!A:C,3,FALSE))</f>
        <v/>
      </c>
      <c r="F143" s="5"/>
      <c r="G143" s="5"/>
      <c r="H143" s="5"/>
      <c r="I143" s="5"/>
      <c r="J143" s="5"/>
      <c r="K143" s="5"/>
      <c r="L143" s="5"/>
      <c r="M143" s="5"/>
      <c r="N143" s="5"/>
      <c r="O143" s="5"/>
      <c r="P143" s="5"/>
      <c r="Q143" s="5"/>
    </row>
    <row r="144" spans="1:17" s="1" customFormat="1" ht="18" customHeight="1" x14ac:dyDescent="0.45">
      <c r="A144" s="7"/>
      <c r="B144" s="7"/>
      <c r="C144" s="7"/>
      <c r="D144" s="9" t="str">
        <f>IF(C144="","",VLOOKUP(C144,'Student Roster'!A:C,2,FALSE))</f>
        <v/>
      </c>
      <c r="E144" s="9" t="str">
        <f>IF(C144="","",VLOOKUP(C144,'Student Roster'!A:C,3,FALSE))</f>
        <v/>
      </c>
      <c r="F144" s="7"/>
      <c r="G144" s="7"/>
      <c r="H144" s="7"/>
      <c r="I144" s="7"/>
      <c r="J144" s="7"/>
      <c r="K144" s="7"/>
      <c r="L144" s="7"/>
      <c r="M144" s="7"/>
      <c r="N144" s="7"/>
      <c r="O144" s="7"/>
      <c r="P144" s="7"/>
      <c r="Q144" s="7"/>
    </row>
    <row r="145" spans="1:17" s="1" customFormat="1" ht="18" customHeight="1" x14ac:dyDescent="0.45">
      <c r="A145" s="5"/>
      <c r="B145" s="5"/>
      <c r="C145" s="5"/>
      <c r="D145" s="9" t="str">
        <f>IF(C145="","",VLOOKUP(C145,'Student Roster'!A:C,2,FALSE))</f>
        <v/>
      </c>
      <c r="E145" s="9" t="str">
        <f>IF(C145="","",VLOOKUP(C145,'Student Roster'!A:C,3,FALSE))</f>
        <v/>
      </c>
      <c r="F145" s="5"/>
      <c r="G145" s="5"/>
      <c r="H145" s="5"/>
      <c r="I145" s="5"/>
      <c r="J145" s="5"/>
      <c r="K145" s="5"/>
      <c r="L145" s="5"/>
      <c r="M145" s="5"/>
      <c r="N145" s="5"/>
      <c r="O145" s="5"/>
      <c r="P145" s="5"/>
      <c r="Q145" s="5"/>
    </row>
    <row r="146" spans="1:17" s="1" customFormat="1" ht="18" customHeight="1" x14ac:dyDescent="0.45">
      <c r="A146" s="7"/>
      <c r="B146" s="7"/>
      <c r="C146" s="7"/>
      <c r="D146" s="9" t="str">
        <f>IF(C146="","",VLOOKUP(C146,'Student Roster'!A:C,2,FALSE))</f>
        <v/>
      </c>
      <c r="E146" s="9" t="str">
        <f>IF(C146="","",VLOOKUP(C146,'Student Roster'!A:C,3,FALSE))</f>
        <v/>
      </c>
      <c r="F146" s="7"/>
      <c r="G146" s="7"/>
      <c r="H146" s="7"/>
      <c r="I146" s="7"/>
      <c r="J146" s="7"/>
      <c r="K146" s="7"/>
      <c r="L146" s="7"/>
      <c r="M146" s="7"/>
      <c r="N146" s="7"/>
      <c r="O146" s="7"/>
      <c r="P146" s="7"/>
      <c r="Q146" s="7"/>
    </row>
    <row r="147" spans="1:17" s="1" customFormat="1" ht="18" customHeight="1" x14ac:dyDescent="0.45">
      <c r="A147" s="5"/>
      <c r="B147" s="5"/>
      <c r="C147" s="5"/>
      <c r="D147" s="9" t="str">
        <f>IF(C147="","",VLOOKUP(C147,'Student Roster'!A:C,2,FALSE))</f>
        <v/>
      </c>
      <c r="E147" s="9" t="str">
        <f>IF(C147="","",VLOOKUP(C147,'Student Roster'!A:C,3,FALSE))</f>
        <v/>
      </c>
      <c r="F147" s="5"/>
      <c r="G147" s="5"/>
      <c r="H147" s="5"/>
      <c r="I147" s="5"/>
      <c r="J147" s="5"/>
      <c r="K147" s="5"/>
      <c r="L147" s="5"/>
      <c r="M147" s="5"/>
      <c r="N147" s="5"/>
      <c r="O147" s="5"/>
      <c r="P147" s="5"/>
      <c r="Q147" s="5"/>
    </row>
    <row r="148" spans="1:17" s="1" customFormat="1" ht="18" customHeight="1" x14ac:dyDescent="0.45">
      <c r="A148" s="7"/>
      <c r="B148" s="7"/>
      <c r="C148" s="7"/>
      <c r="D148" s="9" t="str">
        <f>IF(C148="","",VLOOKUP(C148,'Student Roster'!A:C,2,FALSE))</f>
        <v/>
      </c>
      <c r="E148" s="9" t="str">
        <f>IF(C148="","",VLOOKUP(C148,'Student Roster'!A:C,3,FALSE))</f>
        <v/>
      </c>
      <c r="F148" s="7"/>
      <c r="G148" s="7"/>
      <c r="H148" s="7"/>
      <c r="I148" s="7"/>
      <c r="J148" s="7"/>
      <c r="K148" s="7"/>
      <c r="L148" s="7"/>
      <c r="M148" s="7"/>
      <c r="N148" s="7"/>
      <c r="O148" s="7"/>
      <c r="P148" s="7"/>
      <c r="Q148" s="7"/>
    </row>
    <row r="149" spans="1:17" s="1" customFormat="1" ht="18" customHeight="1" x14ac:dyDescent="0.45">
      <c r="A149" s="5"/>
      <c r="B149" s="5"/>
      <c r="C149" s="5"/>
      <c r="D149" s="9" t="str">
        <f>IF(C149="","",VLOOKUP(C149,'Student Roster'!A:C,2,FALSE))</f>
        <v/>
      </c>
      <c r="E149" s="9" t="str">
        <f>IF(C149="","",VLOOKUP(C149,'Student Roster'!A:C,3,FALSE))</f>
        <v/>
      </c>
      <c r="F149" s="5"/>
      <c r="G149" s="5"/>
      <c r="H149" s="5"/>
      <c r="I149" s="5"/>
      <c r="J149" s="5"/>
      <c r="K149" s="5"/>
      <c r="L149" s="5"/>
      <c r="M149" s="5"/>
      <c r="N149" s="5"/>
      <c r="O149" s="5"/>
      <c r="P149" s="5"/>
      <c r="Q149" s="5"/>
    </row>
    <row r="150" spans="1:17" s="1" customFormat="1" ht="18" customHeight="1" x14ac:dyDescent="0.45">
      <c r="A150" s="7"/>
      <c r="B150" s="7"/>
      <c r="C150" s="7"/>
      <c r="D150" s="9" t="str">
        <f>IF(C150="","",VLOOKUP(C150,'Student Roster'!A:C,2,FALSE))</f>
        <v/>
      </c>
      <c r="E150" s="9" t="str">
        <f>IF(C150="","",VLOOKUP(C150,'Student Roster'!A:C,3,FALSE))</f>
        <v/>
      </c>
      <c r="F150" s="7"/>
      <c r="G150" s="7"/>
      <c r="H150" s="7"/>
      <c r="I150" s="7"/>
      <c r="J150" s="7"/>
      <c r="K150" s="7"/>
      <c r="L150" s="7"/>
      <c r="M150" s="7"/>
      <c r="N150" s="7"/>
      <c r="O150" s="7"/>
      <c r="P150" s="7"/>
      <c r="Q150" s="7"/>
    </row>
    <row r="151" spans="1:17" s="1" customFormat="1" ht="18" customHeight="1" x14ac:dyDescent="0.45">
      <c r="A151" s="5"/>
      <c r="B151" s="5"/>
      <c r="C151" s="5"/>
      <c r="D151" s="9" t="str">
        <f>IF(C151="","",VLOOKUP(C151,'Student Roster'!A:C,2,FALSE))</f>
        <v/>
      </c>
      <c r="E151" s="9" t="str">
        <f>IF(C151="","",VLOOKUP(C151,'Student Roster'!A:C,3,FALSE))</f>
        <v/>
      </c>
      <c r="F151" s="5"/>
      <c r="G151" s="5"/>
      <c r="H151" s="5"/>
      <c r="I151" s="5"/>
      <c r="J151" s="5"/>
      <c r="K151" s="5"/>
      <c r="L151" s="5"/>
      <c r="M151" s="5"/>
      <c r="N151" s="5"/>
      <c r="O151" s="5"/>
      <c r="P151" s="5"/>
      <c r="Q151" s="5"/>
    </row>
    <row r="152" spans="1:17" s="1" customFormat="1" ht="18" customHeight="1" x14ac:dyDescent="0.45">
      <c r="A152" s="7"/>
      <c r="B152" s="7"/>
      <c r="C152" s="7"/>
      <c r="D152" s="9" t="str">
        <f>IF(C152="","",VLOOKUP(C152,'Student Roster'!A:C,2,FALSE))</f>
        <v/>
      </c>
      <c r="E152" s="9" t="str">
        <f>IF(C152="","",VLOOKUP(C152,'Student Roster'!A:C,3,FALSE))</f>
        <v/>
      </c>
      <c r="F152" s="7"/>
      <c r="G152" s="7"/>
      <c r="H152" s="7"/>
      <c r="I152" s="7"/>
      <c r="J152" s="7"/>
      <c r="K152" s="7"/>
      <c r="L152" s="7"/>
      <c r="M152" s="7"/>
      <c r="N152" s="7"/>
      <c r="O152" s="7"/>
      <c r="P152" s="7"/>
      <c r="Q152" s="7"/>
    </row>
    <row r="153" spans="1:17" s="1" customFormat="1" ht="18" customHeight="1" x14ac:dyDescent="0.45">
      <c r="A153" s="5"/>
      <c r="B153" s="5"/>
      <c r="C153" s="5"/>
      <c r="D153" s="9" t="str">
        <f>IF(C153="","",VLOOKUP(C153,'Student Roster'!A:C,2,FALSE))</f>
        <v/>
      </c>
      <c r="E153" s="9" t="str">
        <f>IF(C153="","",VLOOKUP(C153,'Student Roster'!A:C,3,FALSE))</f>
        <v/>
      </c>
      <c r="F153" s="5"/>
      <c r="G153" s="5"/>
      <c r="H153" s="5"/>
      <c r="I153" s="5"/>
      <c r="J153" s="5"/>
      <c r="K153" s="5"/>
      <c r="L153" s="5"/>
      <c r="M153" s="5"/>
      <c r="N153" s="5"/>
      <c r="O153" s="5"/>
      <c r="P153" s="5"/>
      <c r="Q153" s="5"/>
    </row>
    <row r="154" spans="1:17" s="1" customFormat="1" ht="18" customHeight="1" x14ac:dyDescent="0.45">
      <c r="A154" s="7"/>
      <c r="B154" s="7"/>
      <c r="C154" s="7"/>
      <c r="D154" s="9" t="str">
        <f>IF(C154="","",VLOOKUP(C154,'Student Roster'!A:C,2,FALSE))</f>
        <v/>
      </c>
      <c r="E154" s="9" t="str">
        <f>IF(C154="","",VLOOKUP(C154,'Student Roster'!A:C,3,FALSE))</f>
        <v/>
      </c>
      <c r="F154" s="7"/>
      <c r="G154" s="7"/>
      <c r="H154" s="7"/>
      <c r="I154" s="7"/>
      <c r="J154" s="7"/>
      <c r="K154" s="7"/>
      <c r="L154" s="7"/>
      <c r="M154" s="7"/>
      <c r="N154" s="7"/>
      <c r="O154" s="7"/>
      <c r="P154" s="7"/>
      <c r="Q154" s="7"/>
    </row>
    <row r="155" spans="1:17" s="1" customFormat="1" ht="18" customHeight="1" x14ac:dyDescent="0.45">
      <c r="A155" s="5"/>
      <c r="B155" s="5"/>
      <c r="C155" s="5"/>
      <c r="D155" s="9" t="str">
        <f>IF(C155="","",VLOOKUP(C155,'Student Roster'!A:C,2,FALSE))</f>
        <v/>
      </c>
      <c r="E155" s="9" t="str">
        <f>IF(C155="","",VLOOKUP(C155,'Student Roster'!A:C,3,FALSE))</f>
        <v/>
      </c>
      <c r="F155" s="5"/>
      <c r="G155" s="5"/>
      <c r="H155" s="5"/>
      <c r="I155" s="5"/>
      <c r="J155" s="5"/>
      <c r="K155" s="5"/>
      <c r="L155" s="5"/>
      <c r="M155" s="5"/>
      <c r="N155" s="5"/>
      <c r="O155" s="5"/>
      <c r="P155" s="5"/>
      <c r="Q155" s="5"/>
    </row>
    <row r="156" spans="1:17" s="1" customFormat="1" ht="18" customHeight="1" x14ac:dyDescent="0.45">
      <c r="A156" s="7"/>
      <c r="B156" s="7"/>
      <c r="C156" s="7"/>
      <c r="D156" s="9" t="str">
        <f>IF(C156="","",VLOOKUP(C156,'Student Roster'!A:C,2,FALSE))</f>
        <v/>
      </c>
      <c r="E156" s="9" t="str">
        <f>IF(C156="","",VLOOKUP(C156,'Student Roster'!A:C,3,FALSE))</f>
        <v/>
      </c>
      <c r="F156" s="7"/>
      <c r="G156" s="7"/>
      <c r="H156" s="7"/>
      <c r="I156" s="7"/>
      <c r="J156" s="7"/>
      <c r="K156" s="7"/>
      <c r="L156" s="7"/>
      <c r="M156" s="7"/>
      <c r="N156" s="7"/>
      <c r="O156" s="7"/>
      <c r="P156" s="7"/>
      <c r="Q156" s="7"/>
    </row>
    <row r="157" spans="1:17" s="1" customFormat="1" ht="18" customHeight="1" x14ac:dyDescent="0.45">
      <c r="A157" s="5"/>
      <c r="B157" s="5"/>
      <c r="C157" s="5"/>
      <c r="D157" s="9" t="str">
        <f>IF(C157="","",VLOOKUP(C157,'Student Roster'!A:C,2,FALSE))</f>
        <v/>
      </c>
      <c r="E157" s="9" t="str">
        <f>IF(C157="","",VLOOKUP(C157,'Student Roster'!A:C,3,FALSE))</f>
        <v/>
      </c>
      <c r="F157" s="5"/>
      <c r="G157" s="5"/>
      <c r="H157" s="5"/>
      <c r="I157" s="5"/>
      <c r="J157" s="5"/>
      <c r="K157" s="5"/>
      <c r="L157" s="5"/>
      <c r="M157" s="5"/>
      <c r="N157" s="5"/>
      <c r="O157" s="5"/>
      <c r="P157" s="5"/>
      <c r="Q157" s="5"/>
    </row>
    <row r="158" spans="1:17" s="1" customFormat="1" ht="18" customHeight="1" x14ac:dyDescent="0.45">
      <c r="A158" s="7"/>
      <c r="B158" s="7"/>
      <c r="C158" s="7"/>
      <c r="D158" s="9" t="str">
        <f>IF(C158="","",VLOOKUP(C158,'Student Roster'!A:C,2,FALSE))</f>
        <v/>
      </c>
      <c r="E158" s="9" t="str">
        <f>IF(C158="","",VLOOKUP(C158,'Student Roster'!A:C,3,FALSE))</f>
        <v/>
      </c>
      <c r="F158" s="7"/>
      <c r="G158" s="7"/>
      <c r="H158" s="7"/>
      <c r="I158" s="7"/>
      <c r="J158" s="7"/>
      <c r="K158" s="7"/>
      <c r="L158" s="7"/>
      <c r="M158" s="7"/>
      <c r="N158" s="7"/>
      <c r="O158" s="7"/>
      <c r="P158" s="7"/>
      <c r="Q158" s="7"/>
    </row>
    <row r="159" spans="1:17" s="1" customFormat="1" ht="18" customHeight="1" x14ac:dyDescent="0.45">
      <c r="A159" s="5"/>
      <c r="B159" s="5"/>
      <c r="C159" s="5"/>
      <c r="D159" s="9" t="str">
        <f>IF(C159="","",VLOOKUP(C159,'Student Roster'!A:C,2,FALSE))</f>
        <v/>
      </c>
      <c r="E159" s="9" t="str">
        <f>IF(C159="","",VLOOKUP(C159,'Student Roster'!A:C,3,FALSE))</f>
        <v/>
      </c>
      <c r="F159" s="5"/>
      <c r="G159" s="5"/>
      <c r="H159" s="5"/>
      <c r="I159" s="5"/>
      <c r="J159" s="5"/>
      <c r="K159" s="5"/>
      <c r="L159" s="5"/>
      <c r="M159" s="5"/>
      <c r="N159" s="5"/>
      <c r="O159" s="5"/>
      <c r="P159" s="5"/>
      <c r="Q159" s="5"/>
    </row>
    <row r="160" spans="1:17" s="1" customFormat="1" ht="18" customHeight="1" x14ac:dyDescent="0.45">
      <c r="A160" s="7"/>
      <c r="B160" s="7"/>
      <c r="C160" s="7"/>
      <c r="D160" s="9" t="str">
        <f>IF(C160="","",VLOOKUP(C160,'Student Roster'!A:C,2,FALSE))</f>
        <v/>
      </c>
      <c r="E160" s="9" t="str">
        <f>IF(C160="","",VLOOKUP(C160,'Student Roster'!A:C,3,FALSE))</f>
        <v/>
      </c>
      <c r="F160" s="7"/>
      <c r="G160" s="7"/>
      <c r="H160" s="7"/>
      <c r="I160" s="7"/>
      <c r="J160" s="7"/>
      <c r="K160" s="7"/>
      <c r="L160" s="7"/>
      <c r="M160" s="7"/>
      <c r="N160" s="7"/>
      <c r="O160" s="7"/>
      <c r="P160" s="7"/>
      <c r="Q160" s="7"/>
    </row>
    <row r="161" spans="1:17" s="1" customFormat="1" ht="18" customHeight="1" x14ac:dyDescent="0.45">
      <c r="A161" s="5"/>
      <c r="B161" s="5"/>
      <c r="C161" s="5"/>
      <c r="D161" s="9" t="str">
        <f>IF(C161="","",VLOOKUP(C161,'Student Roster'!A:C,2,FALSE))</f>
        <v/>
      </c>
      <c r="E161" s="9" t="str">
        <f>IF(C161="","",VLOOKUP(C161,'Student Roster'!A:C,3,FALSE))</f>
        <v/>
      </c>
      <c r="F161" s="5"/>
      <c r="G161" s="5"/>
      <c r="H161" s="5"/>
      <c r="I161" s="5"/>
      <c r="J161" s="5"/>
      <c r="K161" s="5"/>
      <c r="L161" s="5"/>
      <c r="M161" s="5"/>
      <c r="N161" s="5"/>
      <c r="O161" s="5"/>
      <c r="P161" s="5"/>
      <c r="Q161" s="5"/>
    </row>
    <row r="162" spans="1:17" s="1" customFormat="1" ht="18" customHeight="1" x14ac:dyDescent="0.45">
      <c r="A162" s="7"/>
      <c r="B162" s="7"/>
      <c r="C162" s="7"/>
      <c r="D162" s="9" t="str">
        <f>IF(C162="","",VLOOKUP(C162,'Student Roster'!A:C,2,FALSE))</f>
        <v/>
      </c>
      <c r="E162" s="9" t="str">
        <f>IF(C162="","",VLOOKUP(C162,'Student Roster'!A:C,3,FALSE))</f>
        <v/>
      </c>
      <c r="F162" s="7"/>
      <c r="G162" s="7"/>
      <c r="H162" s="7"/>
      <c r="I162" s="7"/>
      <c r="J162" s="7"/>
      <c r="K162" s="7"/>
      <c r="L162" s="7"/>
      <c r="M162" s="7"/>
      <c r="N162" s="7"/>
      <c r="O162" s="7"/>
      <c r="P162" s="7"/>
      <c r="Q162" s="7"/>
    </row>
    <row r="163" spans="1:17" s="1" customFormat="1" ht="18" customHeight="1" x14ac:dyDescent="0.45">
      <c r="A163" s="5"/>
      <c r="B163" s="5"/>
      <c r="C163" s="5"/>
      <c r="D163" s="9" t="str">
        <f>IF(C163="","",VLOOKUP(C163,'Student Roster'!A:C,2,FALSE))</f>
        <v/>
      </c>
      <c r="E163" s="9" t="str">
        <f>IF(C163="","",VLOOKUP(C163,'Student Roster'!A:C,3,FALSE))</f>
        <v/>
      </c>
      <c r="F163" s="5"/>
      <c r="G163" s="5"/>
      <c r="H163" s="5"/>
      <c r="I163" s="5"/>
      <c r="J163" s="5"/>
      <c r="K163" s="5"/>
      <c r="L163" s="5"/>
      <c r="M163" s="5"/>
      <c r="N163" s="5"/>
      <c r="O163" s="5"/>
      <c r="P163" s="5"/>
      <c r="Q163" s="5"/>
    </row>
    <row r="164" spans="1:17" s="1" customFormat="1" ht="18" customHeight="1" x14ac:dyDescent="0.45">
      <c r="A164" s="7"/>
      <c r="B164" s="7"/>
      <c r="C164" s="7"/>
      <c r="D164" s="9" t="str">
        <f>IF(C164="","",VLOOKUP(C164,'Student Roster'!A:C,2,FALSE))</f>
        <v/>
      </c>
      <c r="E164" s="9" t="str">
        <f>IF(C164="","",VLOOKUP(C164,'Student Roster'!A:C,3,FALSE))</f>
        <v/>
      </c>
      <c r="F164" s="7"/>
      <c r="G164" s="7"/>
      <c r="H164" s="7"/>
      <c r="I164" s="7"/>
      <c r="J164" s="7"/>
      <c r="K164" s="7"/>
      <c r="L164" s="7"/>
      <c r="M164" s="7"/>
      <c r="N164" s="7"/>
      <c r="O164" s="7"/>
      <c r="P164" s="7"/>
      <c r="Q164" s="7"/>
    </row>
    <row r="165" spans="1:17" s="1" customFormat="1" ht="18" customHeight="1" x14ac:dyDescent="0.45">
      <c r="A165" s="5"/>
      <c r="B165" s="5"/>
      <c r="C165" s="5"/>
      <c r="D165" s="9" t="str">
        <f>IF(C165="","",VLOOKUP(C165,'Student Roster'!A:C,2,FALSE))</f>
        <v/>
      </c>
      <c r="E165" s="9" t="str">
        <f>IF(C165="","",VLOOKUP(C165,'Student Roster'!A:C,3,FALSE))</f>
        <v/>
      </c>
      <c r="F165" s="5"/>
      <c r="G165" s="5"/>
      <c r="H165" s="5"/>
      <c r="I165" s="5"/>
      <c r="J165" s="5"/>
      <c r="K165" s="5"/>
      <c r="L165" s="5"/>
      <c r="M165" s="5"/>
      <c r="N165" s="5"/>
      <c r="O165" s="5"/>
      <c r="P165" s="5"/>
      <c r="Q165" s="5"/>
    </row>
    <row r="166" spans="1:17" s="1" customFormat="1" ht="18" customHeight="1" x14ac:dyDescent="0.45">
      <c r="A166" s="7"/>
      <c r="B166" s="7"/>
      <c r="C166" s="7"/>
      <c r="D166" s="9" t="str">
        <f>IF(C166="","",VLOOKUP(C166,'Student Roster'!A:C,2,FALSE))</f>
        <v/>
      </c>
      <c r="E166" s="9" t="str">
        <f>IF(C166="","",VLOOKUP(C166,'Student Roster'!A:C,3,FALSE))</f>
        <v/>
      </c>
      <c r="F166" s="7"/>
      <c r="G166" s="7"/>
      <c r="H166" s="7"/>
      <c r="I166" s="7"/>
      <c r="J166" s="7"/>
      <c r="K166" s="7"/>
      <c r="L166" s="7"/>
      <c r="M166" s="7"/>
      <c r="N166" s="7"/>
      <c r="O166" s="7"/>
      <c r="P166" s="7"/>
      <c r="Q166" s="7"/>
    </row>
    <row r="167" spans="1:17" s="1" customFormat="1" ht="18" customHeight="1" x14ac:dyDescent="0.45">
      <c r="A167" s="5"/>
      <c r="B167" s="5"/>
      <c r="C167" s="5"/>
      <c r="D167" s="9" t="str">
        <f>IF(C167="","",VLOOKUP(C167,'Student Roster'!A:C,2,FALSE))</f>
        <v/>
      </c>
      <c r="E167" s="9" t="str">
        <f>IF(C167="","",VLOOKUP(C167,'Student Roster'!A:C,3,FALSE))</f>
        <v/>
      </c>
      <c r="F167" s="5"/>
      <c r="G167" s="5"/>
      <c r="H167" s="5"/>
      <c r="I167" s="5"/>
      <c r="J167" s="5"/>
      <c r="K167" s="5"/>
      <c r="L167" s="5"/>
      <c r="M167" s="5"/>
      <c r="N167" s="5"/>
      <c r="O167" s="5"/>
      <c r="P167" s="5"/>
      <c r="Q167" s="5"/>
    </row>
    <row r="168" spans="1:17" s="1" customFormat="1" ht="18" customHeight="1" x14ac:dyDescent="0.45">
      <c r="A168" s="7"/>
      <c r="B168" s="7"/>
      <c r="C168" s="7"/>
      <c r="D168" s="9" t="str">
        <f>IF(C168="","",VLOOKUP(C168,'Student Roster'!A:C,2,FALSE))</f>
        <v/>
      </c>
      <c r="E168" s="9" t="str">
        <f>IF(C168="","",VLOOKUP(C168,'Student Roster'!A:C,3,FALSE))</f>
        <v/>
      </c>
      <c r="F168" s="7"/>
      <c r="G168" s="7"/>
      <c r="H168" s="7"/>
      <c r="I168" s="7"/>
      <c r="J168" s="7"/>
      <c r="K168" s="7"/>
      <c r="L168" s="7"/>
      <c r="M168" s="7"/>
      <c r="N168" s="7"/>
      <c r="O168" s="7"/>
      <c r="P168" s="7"/>
      <c r="Q168" s="7"/>
    </row>
    <row r="169" spans="1:17" s="1" customFormat="1" ht="18" customHeight="1" x14ac:dyDescent="0.45">
      <c r="A169" s="5"/>
      <c r="B169" s="5"/>
      <c r="C169" s="5"/>
      <c r="D169" s="9" t="str">
        <f>IF(C169="","",VLOOKUP(C169,'Student Roster'!A:C,2,FALSE))</f>
        <v/>
      </c>
      <c r="E169" s="9" t="str">
        <f>IF(C169="","",VLOOKUP(C169,'Student Roster'!A:C,3,FALSE))</f>
        <v/>
      </c>
      <c r="F169" s="5"/>
      <c r="G169" s="5"/>
      <c r="H169" s="5"/>
      <c r="I169" s="5"/>
      <c r="J169" s="5"/>
      <c r="K169" s="5"/>
      <c r="L169" s="5"/>
      <c r="M169" s="5"/>
      <c r="N169" s="5"/>
      <c r="O169" s="5"/>
      <c r="P169" s="5"/>
      <c r="Q169" s="5"/>
    </row>
    <row r="170" spans="1:17" s="1" customFormat="1" ht="18" customHeight="1" x14ac:dyDescent="0.45">
      <c r="A170" s="7"/>
      <c r="B170" s="7"/>
      <c r="C170" s="7"/>
      <c r="D170" s="9" t="str">
        <f>IF(C170="","",VLOOKUP(C170,'Student Roster'!A:C,2,FALSE))</f>
        <v/>
      </c>
      <c r="E170" s="9" t="str">
        <f>IF(C170="","",VLOOKUP(C170,'Student Roster'!A:C,3,FALSE))</f>
        <v/>
      </c>
      <c r="F170" s="7"/>
      <c r="G170" s="7"/>
      <c r="H170" s="7"/>
      <c r="I170" s="7"/>
      <c r="J170" s="7"/>
      <c r="K170" s="7"/>
      <c r="L170" s="7"/>
      <c r="M170" s="7"/>
      <c r="N170" s="7"/>
      <c r="O170" s="7"/>
      <c r="P170" s="7"/>
      <c r="Q170" s="7"/>
    </row>
    <row r="171" spans="1:17" s="1" customFormat="1" ht="18" customHeight="1" x14ac:dyDescent="0.45">
      <c r="A171" s="5"/>
      <c r="B171" s="5"/>
      <c r="C171" s="5"/>
      <c r="D171" s="9" t="str">
        <f>IF(C171="","",VLOOKUP(C171,'Student Roster'!A:C,2,FALSE))</f>
        <v/>
      </c>
      <c r="E171" s="9" t="str">
        <f>IF(C171="","",VLOOKUP(C171,'Student Roster'!A:C,3,FALSE))</f>
        <v/>
      </c>
      <c r="F171" s="5"/>
      <c r="G171" s="5"/>
      <c r="H171" s="5"/>
      <c r="I171" s="5"/>
      <c r="J171" s="5"/>
      <c r="K171" s="5"/>
      <c r="L171" s="5"/>
      <c r="M171" s="5"/>
      <c r="N171" s="5"/>
      <c r="O171" s="5"/>
      <c r="P171" s="5"/>
      <c r="Q171" s="5"/>
    </row>
    <row r="172" spans="1:17" s="1" customFormat="1" ht="18" customHeight="1" x14ac:dyDescent="0.45">
      <c r="A172" s="7"/>
      <c r="B172" s="7"/>
      <c r="C172" s="7"/>
      <c r="D172" s="9" t="str">
        <f>IF(C172="","",VLOOKUP(C172,'Student Roster'!A:C,2,FALSE))</f>
        <v/>
      </c>
      <c r="E172" s="9" t="str">
        <f>IF(C172="","",VLOOKUP(C172,'Student Roster'!A:C,3,FALSE))</f>
        <v/>
      </c>
      <c r="F172" s="7"/>
      <c r="G172" s="7"/>
      <c r="H172" s="7"/>
      <c r="I172" s="7"/>
      <c r="J172" s="7"/>
      <c r="K172" s="7"/>
      <c r="L172" s="7"/>
      <c r="M172" s="7"/>
      <c r="N172" s="7"/>
      <c r="O172" s="7"/>
      <c r="P172" s="7"/>
      <c r="Q172" s="7"/>
    </row>
    <row r="173" spans="1:17" s="1" customFormat="1" ht="18" customHeight="1" x14ac:dyDescent="0.45">
      <c r="A173" s="5"/>
      <c r="B173" s="5"/>
      <c r="C173" s="5"/>
      <c r="D173" s="9" t="str">
        <f>IF(C173="","",VLOOKUP(C173,'Student Roster'!A:C,2,FALSE))</f>
        <v/>
      </c>
      <c r="E173" s="9" t="str">
        <f>IF(C173="","",VLOOKUP(C173,'Student Roster'!A:C,3,FALSE))</f>
        <v/>
      </c>
      <c r="F173" s="5"/>
      <c r="G173" s="5"/>
      <c r="H173" s="5"/>
      <c r="I173" s="5"/>
      <c r="J173" s="5"/>
      <c r="K173" s="5"/>
      <c r="L173" s="5"/>
      <c r="M173" s="5"/>
      <c r="N173" s="5"/>
      <c r="O173" s="5"/>
      <c r="P173" s="5"/>
      <c r="Q173" s="5"/>
    </row>
    <row r="174" spans="1:17" s="1" customFormat="1" ht="18" customHeight="1" x14ac:dyDescent="0.45">
      <c r="A174" s="7"/>
      <c r="B174" s="7"/>
      <c r="C174" s="7"/>
      <c r="D174" s="9" t="str">
        <f>IF(C174="","",VLOOKUP(C174,'Student Roster'!A:C,2,FALSE))</f>
        <v/>
      </c>
      <c r="E174" s="9" t="str">
        <f>IF(C174="","",VLOOKUP(C174,'Student Roster'!A:C,3,FALSE))</f>
        <v/>
      </c>
      <c r="F174" s="7"/>
      <c r="G174" s="7"/>
      <c r="H174" s="7"/>
      <c r="I174" s="7"/>
      <c r="J174" s="7"/>
      <c r="K174" s="7"/>
      <c r="L174" s="7"/>
      <c r="M174" s="7"/>
      <c r="N174" s="7"/>
      <c r="O174" s="7"/>
      <c r="P174" s="7"/>
      <c r="Q174" s="7"/>
    </row>
    <row r="175" spans="1:17" s="1" customFormat="1" ht="18" customHeight="1" x14ac:dyDescent="0.45">
      <c r="A175" s="5"/>
      <c r="B175" s="5"/>
      <c r="C175" s="5"/>
      <c r="D175" s="9" t="str">
        <f>IF(C175="","",VLOOKUP(C175,'Student Roster'!A:C,2,FALSE))</f>
        <v/>
      </c>
      <c r="E175" s="9" t="str">
        <f>IF(C175="","",VLOOKUP(C175,'Student Roster'!A:C,3,FALSE))</f>
        <v/>
      </c>
      <c r="F175" s="5"/>
      <c r="G175" s="5"/>
      <c r="H175" s="5"/>
      <c r="I175" s="5"/>
      <c r="J175" s="5"/>
      <c r="K175" s="5"/>
      <c r="L175" s="5"/>
      <c r="M175" s="5"/>
      <c r="N175" s="5"/>
      <c r="O175" s="5"/>
      <c r="P175" s="5"/>
      <c r="Q175" s="5"/>
    </row>
    <row r="176" spans="1:17" s="1" customFormat="1" ht="18" customHeight="1" x14ac:dyDescent="0.45">
      <c r="A176" s="7"/>
      <c r="B176" s="7"/>
      <c r="C176" s="7"/>
      <c r="D176" s="9" t="str">
        <f>IF(C176="","",VLOOKUP(C176,'Student Roster'!A:C,2,FALSE))</f>
        <v/>
      </c>
      <c r="E176" s="9" t="str">
        <f>IF(C176="","",VLOOKUP(C176,'Student Roster'!A:C,3,FALSE))</f>
        <v/>
      </c>
      <c r="F176" s="7"/>
      <c r="G176" s="7"/>
      <c r="H176" s="7"/>
      <c r="I176" s="7"/>
      <c r="J176" s="7"/>
      <c r="K176" s="7"/>
      <c r="L176" s="7"/>
      <c r="M176" s="7"/>
      <c r="N176" s="7"/>
      <c r="O176" s="7"/>
      <c r="P176" s="7"/>
      <c r="Q176" s="7"/>
    </row>
    <row r="177" spans="1:17" s="1" customFormat="1" ht="18" customHeight="1" x14ac:dyDescent="0.45">
      <c r="A177" s="5"/>
      <c r="B177" s="5"/>
      <c r="C177" s="5"/>
      <c r="D177" s="9" t="str">
        <f>IF(C177="","",VLOOKUP(C177,'Student Roster'!A:C,2,FALSE))</f>
        <v/>
      </c>
      <c r="E177" s="9" t="str">
        <f>IF(C177="","",VLOOKUP(C177,'Student Roster'!A:C,3,FALSE))</f>
        <v/>
      </c>
      <c r="F177" s="5"/>
      <c r="G177" s="5"/>
      <c r="H177" s="5"/>
      <c r="I177" s="5"/>
      <c r="J177" s="5"/>
      <c r="K177" s="5"/>
      <c r="L177" s="5"/>
      <c r="M177" s="5"/>
      <c r="N177" s="5"/>
      <c r="O177" s="5"/>
      <c r="P177" s="5"/>
      <c r="Q177" s="5"/>
    </row>
    <row r="178" spans="1:17" s="1" customFormat="1" ht="18" customHeight="1" x14ac:dyDescent="0.45">
      <c r="A178" s="7"/>
      <c r="B178" s="7"/>
      <c r="C178" s="7"/>
      <c r="D178" s="9" t="str">
        <f>IF(C178="","",VLOOKUP(C178,'Student Roster'!A:C,2,FALSE))</f>
        <v/>
      </c>
      <c r="E178" s="9" t="str">
        <f>IF(C178="","",VLOOKUP(C178,'Student Roster'!A:C,3,FALSE))</f>
        <v/>
      </c>
      <c r="F178" s="7"/>
      <c r="G178" s="7"/>
      <c r="H178" s="7"/>
      <c r="I178" s="7"/>
      <c r="J178" s="7"/>
      <c r="K178" s="7"/>
      <c r="L178" s="7"/>
      <c r="M178" s="7"/>
      <c r="N178" s="7"/>
      <c r="O178" s="7"/>
      <c r="P178" s="7"/>
      <c r="Q178" s="7"/>
    </row>
    <row r="179" spans="1:17" s="1" customFormat="1" ht="18" customHeight="1" x14ac:dyDescent="0.45">
      <c r="A179" s="5"/>
      <c r="B179" s="5"/>
      <c r="C179" s="5"/>
      <c r="D179" s="9" t="str">
        <f>IF(C179="","",VLOOKUP(C179,'Student Roster'!A:C,2,FALSE))</f>
        <v/>
      </c>
      <c r="E179" s="9" t="str">
        <f>IF(C179="","",VLOOKUP(C179,'Student Roster'!A:C,3,FALSE))</f>
        <v/>
      </c>
      <c r="F179" s="5"/>
      <c r="G179" s="5"/>
      <c r="H179" s="5"/>
      <c r="I179" s="5"/>
      <c r="J179" s="5"/>
      <c r="K179" s="5"/>
      <c r="L179" s="5"/>
      <c r="M179" s="5"/>
      <c r="N179" s="5"/>
      <c r="O179" s="5"/>
      <c r="P179" s="5"/>
      <c r="Q179" s="5"/>
    </row>
    <row r="180" spans="1:17" s="1" customFormat="1" ht="18" customHeight="1" x14ac:dyDescent="0.45">
      <c r="A180" s="7"/>
      <c r="B180" s="7"/>
      <c r="C180" s="7"/>
      <c r="D180" s="9" t="str">
        <f>IF(C180="","",VLOOKUP(C180,'Student Roster'!A:C,2,FALSE))</f>
        <v/>
      </c>
      <c r="E180" s="9" t="str">
        <f>IF(C180="","",VLOOKUP(C180,'Student Roster'!A:C,3,FALSE))</f>
        <v/>
      </c>
      <c r="F180" s="7"/>
      <c r="G180" s="7"/>
      <c r="H180" s="7"/>
      <c r="I180" s="7"/>
      <c r="J180" s="7"/>
      <c r="K180" s="7"/>
      <c r="L180" s="7"/>
      <c r="M180" s="7"/>
      <c r="N180" s="7"/>
      <c r="O180" s="7"/>
      <c r="P180" s="7"/>
      <c r="Q180" s="7"/>
    </row>
    <row r="181" spans="1:17" s="1" customFormat="1" ht="18" customHeight="1" x14ac:dyDescent="0.45">
      <c r="A181" s="5"/>
      <c r="B181" s="5"/>
      <c r="C181" s="5"/>
      <c r="D181" s="9" t="str">
        <f>IF(C181="","",VLOOKUP(C181,'Student Roster'!A:C,2,FALSE))</f>
        <v/>
      </c>
      <c r="E181" s="9" t="str">
        <f>IF(C181="","",VLOOKUP(C181,'Student Roster'!A:C,3,FALSE))</f>
        <v/>
      </c>
      <c r="F181" s="5"/>
      <c r="G181" s="5"/>
      <c r="H181" s="5"/>
      <c r="I181" s="5"/>
      <c r="J181" s="5"/>
      <c r="K181" s="5"/>
      <c r="L181" s="5"/>
      <c r="M181" s="5"/>
      <c r="N181" s="5"/>
      <c r="O181" s="5"/>
      <c r="P181" s="5"/>
      <c r="Q181" s="5"/>
    </row>
    <row r="182" spans="1:17" s="1" customFormat="1" ht="18" customHeight="1" x14ac:dyDescent="0.45">
      <c r="A182" s="7"/>
      <c r="B182" s="7"/>
      <c r="C182" s="7"/>
      <c r="D182" s="9" t="str">
        <f>IF(C182="","",VLOOKUP(C182,'Student Roster'!A:C,2,FALSE))</f>
        <v/>
      </c>
      <c r="E182" s="9" t="str">
        <f>IF(C182="","",VLOOKUP(C182,'Student Roster'!A:C,3,FALSE))</f>
        <v/>
      </c>
      <c r="F182" s="7"/>
      <c r="G182" s="7"/>
      <c r="H182" s="7"/>
      <c r="I182" s="7"/>
      <c r="J182" s="7"/>
      <c r="K182" s="7"/>
      <c r="L182" s="7"/>
      <c r="M182" s="7"/>
      <c r="N182" s="7"/>
      <c r="O182" s="7"/>
      <c r="P182" s="7"/>
      <c r="Q182" s="7"/>
    </row>
    <row r="183" spans="1:17" s="1" customFormat="1" ht="18" customHeight="1" x14ac:dyDescent="0.45">
      <c r="A183" s="5"/>
      <c r="B183" s="5"/>
      <c r="C183" s="5"/>
      <c r="D183" s="9" t="str">
        <f>IF(C183="","",VLOOKUP(C183,'Student Roster'!A:C,2,FALSE))</f>
        <v/>
      </c>
      <c r="E183" s="9" t="str">
        <f>IF(C183="","",VLOOKUP(C183,'Student Roster'!A:C,3,FALSE))</f>
        <v/>
      </c>
      <c r="F183" s="5"/>
      <c r="G183" s="5"/>
      <c r="H183" s="5"/>
      <c r="I183" s="5"/>
      <c r="J183" s="5"/>
      <c r="K183" s="5"/>
      <c r="L183" s="5"/>
      <c r="M183" s="5"/>
      <c r="N183" s="5"/>
      <c r="O183" s="5"/>
      <c r="P183" s="5"/>
      <c r="Q183" s="5"/>
    </row>
    <row r="184" spans="1:17" s="1" customFormat="1" ht="18" customHeight="1" x14ac:dyDescent="0.45">
      <c r="A184" s="7"/>
      <c r="B184" s="7"/>
      <c r="C184" s="7"/>
      <c r="D184" s="9" t="str">
        <f>IF(C184="","",VLOOKUP(C184,'Student Roster'!A:C,2,FALSE))</f>
        <v/>
      </c>
      <c r="E184" s="9" t="str">
        <f>IF(C184="","",VLOOKUP(C184,'Student Roster'!A:C,3,FALSE))</f>
        <v/>
      </c>
      <c r="F184" s="7"/>
      <c r="G184" s="7"/>
      <c r="H184" s="7"/>
      <c r="I184" s="7"/>
      <c r="J184" s="7"/>
      <c r="K184" s="7"/>
      <c r="L184" s="7"/>
      <c r="M184" s="7"/>
      <c r="N184" s="7"/>
      <c r="O184" s="7"/>
      <c r="P184" s="7"/>
      <c r="Q184" s="7"/>
    </row>
    <row r="185" spans="1:17" s="1" customFormat="1" ht="18" customHeight="1" x14ac:dyDescent="0.45">
      <c r="A185" s="5"/>
      <c r="B185" s="5"/>
      <c r="C185" s="5"/>
      <c r="D185" s="9" t="str">
        <f>IF(C185="","",VLOOKUP(C185,'Student Roster'!A:C,2,FALSE))</f>
        <v/>
      </c>
      <c r="E185" s="9" t="str">
        <f>IF(C185="","",VLOOKUP(C185,'Student Roster'!A:C,3,FALSE))</f>
        <v/>
      </c>
      <c r="F185" s="5"/>
      <c r="G185" s="5"/>
      <c r="H185" s="5"/>
      <c r="I185" s="5"/>
      <c r="J185" s="5"/>
      <c r="K185" s="5"/>
      <c r="L185" s="5"/>
      <c r="M185" s="5"/>
      <c r="N185" s="5"/>
      <c r="O185" s="5"/>
      <c r="P185" s="5"/>
      <c r="Q185" s="5"/>
    </row>
    <row r="186" spans="1:17" s="1" customFormat="1" ht="18" customHeight="1" x14ac:dyDescent="0.45">
      <c r="A186" s="7"/>
      <c r="B186" s="7"/>
      <c r="C186" s="7"/>
      <c r="D186" s="9" t="str">
        <f>IF(C186="","",VLOOKUP(C186,'Student Roster'!A:C,2,FALSE))</f>
        <v/>
      </c>
      <c r="E186" s="9" t="str">
        <f>IF(C186="","",VLOOKUP(C186,'Student Roster'!A:C,3,FALSE))</f>
        <v/>
      </c>
      <c r="F186" s="7"/>
      <c r="G186" s="7"/>
      <c r="H186" s="7"/>
      <c r="I186" s="7"/>
      <c r="J186" s="7"/>
      <c r="K186" s="7"/>
      <c r="L186" s="7"/>
      <c r="M186" s="7"/>
      <c r="N186" s="7"/>
      <c r="O186" s="7"/>
      <c r="P186" s="7"/>
      <c r="Q186" s="7"/>
    </row>
    <row r="187" spans="1:17" s="1" customFormat="1" ht="18" customHeight="1" x14ac:dyDescent="0.45">
      <c r="A187" s="5"/>
      <c r="B187" s="5"/>
      <c r="C187" s="5"/>
      <c r="D187" s="9" t="str">
        <f>IF(C187="","",VLOOKUP(C187,'Student Roster'!A:C,2,FALSE))</f>
        <v/>
      </c>
      <c r="E187" s="9" t="str">
        <f>IF(C187="","",VLOOKUP(C187,'Student Roster'!A:C,3,FALSE))</f>
        <v/>
      </c>
      <c r="F187" s="5"/>
      <c r="G187" s="5"/>
      <c r="H187" s="5"/>
      <c r="I187" s="5"/>
      <c r="J187" s="5"/>
      <c r="K187" s="5"/>
      <c r="L187" s="5"/>
      <c r="M187" s="5"/>
      <c r="N187" s="5"/>
      <c r="O187" s="5"/>
      <c r="P187" s="5"/>
      <c r="Q187" s="5"/>
    </row>
    <row r="188" spans="1:17" s="1" customFormat="1" ht="18" customHeight="1" x14ac:dyDescent="0.45">
      <c r="A188" s="7"/>
      <c r="B188" s="7"/>
      <c r="C188" s="7"/>
      <c r="D188" s="9" t="str">
        <f>IF(C188="","",VLOOKUP(C188,'Student Roster'!A:C,2,FALSE))</f>
        <v/>
      </c>
      <c r="E188" s="9" t="str">
        <f>IF(C188="","",VLOOKUP(C188,'Student Roster'!A:C,3,FALSE))</f>
        <v/>
      </c>
      <c r="F188" s="7"/>
      <c r="G188" s="7"/>
      <c r="H188" s="7"/>
      <c r="I188" s="7"/>
      <c r="J188" s="7"/>
      <c r="K188" s="7"/>
      <c r="L188" s="7"/>
      <c r="M188" s="7"/>
      <c r="N188" s="7"/>
      <c r="O188" s="7"/>
      <c r="P188" s="7"/>
      <c r="Q188" s="7"/>
    </row>
    <row r="189" spans="1:17" s="1" customFormat="1" ht="18" customHeight="1" x14ac:dyDescent="0.45">
      <c r="A189" s="5"/>
      <c r="B189" s="5"/>
      <c r="C189" s="5"/>
      <c r="D189" s="9" t="str">
        <f>IF(C189="","",VLOOKUP(C189,'Student Roster'!A:C,2,FALSE))</f>
        <v/>
      </c>
      <c r="E189" s="9" t="str">
        <f>IF(C189="","",VLOOKUP(C189,'Student Roster'!A:C,3,FALSE))</f>
        <v/>
      </c>
      <c r="F189" s="5"/>
      <c r="G189" s="5"/>
      <c r="H189" s="5"/>
      <c r="I189" s="5"/>
      <c r="J189" s="5"/>
      <c r="K189" s="5"/>
      <c r="L189" s="5"/>
      <c r="M189" s="5"/>
      <c r="N189" s="5"/>
      <c r="O189" s="5"/>
      <c r="P189" s="5"/>
      <c r="Q189" s="5"/>
    </row>
    <row r="190" spans="1:17" s="1" customFormat="1" ht="18" customHeight="1" x14ac:dyDescent="0.45">
      <c r="A190" s="7"/>
      <c r="B190" s="7"/>
      <c r="C190" s="7"/>
      <c r="D190" s="9" t="str">
        <f>IF(C190="","",VLOOKUP(C190,'Student Roster'!A:C,2,FALSE))</f>
        <v/>
      </c>
      <c r="E190" s="9" t="str">
        <f>IF(C190="","",VLOOKUP(C190,'Student Roster'!A:C,3,FALSE))</f>
        <v/>
      </c>
      <c r="F190" s="7"/>
      <c r="G190" s="7"/>
      <c r="H190" s="7"/>
      <c r="I190" s="7"/>
      <c r="J190" s="7"/>
      <c r="K190" s="7"/>
      <c r="L190" s="7"/>
      <c r="M190" s="7"/>
      <c r="N190" s="7"/>
      <c r="O190" s="7"/>
      <c r="P190" s="7"/>
      <c r="Q190" s="7"/>
    </row>
    <row r="191" spans="1:17" s="1" customFormat="1" ht="18" customHeight="1" x14ac:dyDescent="0.45">
      <c r="A191" s="5"/>
      <c r="B191" s="5"/>
      <c r="C191" s="5"/>
      <c r="D191" s="9" t="str">
        <f>IF(C191="","",VLOOKUP(C191,'Student Roster'!A:C,2,FALSE))</f>
        <v/>
      </c>
      <c r="E191" s="9" t="str">
        <f>IF(C191="","",VLOOKUP(C191,'Student Roster'!A:C,3,FALSE))</f>
        <v/>
      </c>
      <c r="F191" s="5"/>
      <c r="G191" s="5"/>
      <c r="H191" s="5"/>
      <c r="I191" s="5"/>
      <c r="J191" s="5"/>
      <c r="K191" s="5"/>
      <c r="L191" s="5"/>
      <c r="M191" s="5"/>
      <c r="N191" s="5"/>
      <c r="O191" s="5"/>
      <c r="P191" s="5"/>
      <c r="Q191" s="5"/>
    </row>
    <row r="192" spans="1:17" s="1" customFormat="1" ht="18" customHeight="1" x14ac:dyDescent="0.45">
      <c r="A192" s="7"/>
      <c r="B192" s="7"/>
      <c r="C192" s="7"/>
      <c r="D192" s="9" t="str">
        <f>IF(C192="","",VLOOKUP(C192,'Student Roster'!A:C,2,FALSE))</f>
        <v/>
      </c>
      <c r="E192" s="9" t="str">
        <f>IF(C192="","",VLOOKUP(C192,'Student Roster'!A:C,3,FALSE))</f>
        <v/>
      </c>
      <c r="F192" s="7"/>
      <c r="G192" s="7"/>
      <c r="H192" s="7"/>
      <c r="I192" s="7"/>
      <c r="J192" s="7"/>
      <c r="K192" s="7"/>
      <c r="L192" s="7"/>
      <c r="M192" s="7"/>
      <c r="N192" s="7"/>
      <c r="O192" s="7"/>
      <c r="P192" s="7"/>
      <c r="Q192" s="7"/>
    </row>
    <row r="193" spans="1:17" s="1" customFormat="1" ht="18" customHeight="1" x14ac:dyDescent="0.45">
      <c r="A193" s="5"/>
      <c r="B193" s="5"/>
      <c r="C193" s="5"/>
      <c r="D193" s="9" t="str">
        <f>IF(C193="","",VLOOKUP(C193,'Student Roster'!A:C,2,FALSE))</f>
        <v/>
      </c>
      <c r="E193" s="9" t="str">
        <f>IF(C193="","",VLOOKUP(C193,'Student Roster'!A:C,3,FALSE))</f>
        <v/>
      </c>
      <c r="F193" s="5"/>
      <c r="G193" s="5"/>
      <c r="H193" s="5"/>
      <c r="I193" s="5"/>
      <c r="J193" s="5"/>
      <c r="K193" s="5"/>
      <c r="L193" s="5"/>
      <c r="M193" s="5"/>
      <c r="N193" s="5"/>
      <c r="O193" s="5"/>
      <c r="P193" s="5"/>
      <c r="Q193" s="5"/>
    </row>
    <row r="194" spans="1:17" s="1" customFormat="1" ht="18" customHeight="1" x14ac:dyDescent="0.45">
      <c r="A194" s="7"/>
      <c r="B194" s="7"/>
      <c r="C194" s="7"/>
      <c r="D194" s="9" t="str">
        <f>IF(C194="","",VLOOKUP(C194,'Student Roster'!A:C,2,FALSE))</f>
        <v/>
      </c>
      <c r="E194" s="9" t="str">
        <f>IF(C194="","",VLOOKUP(C194,'Student Roster'!A:C,3,FALSE))</f>
        <v/>
      </c>
      <c r="F194" s="7"/>
      <c r="G194" s="7"/>
      <c r="H194" s="7"/>
      <c r="I194" s="7"/>
      <c r="J194" s="7"/>
      <c r="K194" s="7"/>
      <c r="L194" s="7"/>
      <c r="M194" s="7"/>
      <c r="N194" s="7"/>
      <c r="O194" s="7"/>
      <c r="P194" s="7"/>
      <c r="Q194" s="7"/>
    </row>
    <row r="195" spans="1:17" s="1" customFormat="1" ht="18" customHeight="1" x14ac:dyDescent="0.45">
      <c r="A195" s="5"/>
      <c r="B195" s="5"/>
      <c r="C195" s="5"/>
      <c r="D195" s="9" t="str">
        <f>IF(C195="","",VLOOKUP(C195,'Student Roster'!A:C,2,FALSE))</f>
        <v/>
      </c>
      <c r="E195" s="9" t="str">
        <f>IF(C195="","",VLOOKUP(C195,'Student Roster'!A:C,3,FALSE))</f>
        <v/>
      </c>
      <c r="F195" s="5"/>
      <c r="G195" s="5"/>
      <c r="H195" s="5"/>
      <c r="I195" s="5"/>
      <c r="J195" s="5"/>
      <c r="K195" s="5"/>
      <c r="L195" s="5"/>
      <c r="M195" s="5"/>
      <c r="N195" s="5"/>
      <c r="O195" s="5"/>
      <c r="P195" s="5"/>
      <c r="Q195" s="5"/>
    </row>
    <row r="196" spans="1:17" s="1" customFormat="1" ht="18" customHeight="1" x14ac:dyDescent="0.45">
      <c r="A196" s="7"/>
      <c r="B196" s="7"/>
      <c r="C196" s="7"/>
      <c r="D196" s="9" t="str">
        <f>IF(C196="","",VLOOKUP(C196,'Student Roster'!A:C,2,FALSE))</f>
        <v/>
      </c>
      <c r="E196" s="9" t="str">
        <f>IF(C196="","",VLOOKUP(C196,'Student Roster'!A:C,3,FALSE))</f>
        <v/>
      </c>
      <c r="F196" s="7"/>
      <c r="G196" s="7"/>
      <c r="H196" s="7"/>
      <c r="I196" s="7"/>
      <c r="J196" s="7"/>
      <c r="K196" s="7"/>
      <c r="L196" s="7"/>
      <c r="M196" s="7"/>
      <c r="N196" s="7"/>
      <c r="O196" s="7"/>
      <c r="P196" s="7"/>
      <c r="Q196" s="7"/>
    </row>
    <row r="197" spans="1:17" s="1" customFormat="1" ht="18" customHeight="1" x14ac:dyDescent="0.45">
      <c r="A197" s="5"/>
      <c r="B197" s="5"/>
      <c r="C197" s="5"/>
      <c r="D197" s="9" t="str">
        <f>IF(C197="","",VLOOKUP(C197,'Student Roster'!A:C,2,FALSE))</f>
        <v/>
      </c>
      <c r="E197" s="9" t="str">
        <f>IF(C197="","",VLOOKUP(C197,'Student Roster'!A:C,3,FALSE))</f>
        <v/>
      </c>
      <c r="F197" s="5"/>
      <c r="G197" s="5"/>
      <c r="H197" s="5"/>
      <c r="I197" s="5"/>
      <c r="J197" s="5"/>
      <c r="K197" s="5"/>
      <c r="L197" s="5"/>
      <c r="M197" s="5"/>
      <c r="N197" s="5"/>
      <c r="O197" s="5"/>
      <c r="P197" s="5"/>
      <c r="Q197" s="5"/>
    </row>
    <row r="198" spans="1:17" s="1" customFormat="1" ht="18" customHeight="1" x14ac:dyDescent="0.45">
      <c r="A198" s="7"/>
      <c r="B198" s="7"/>
      <c r="C198" s="7"/>
      <c r="D198" s="9" t="str">
        <f>IF(C198="","",VLOOKUP(C198,'Student Roster'!A:C,2,FALSE))</f>
        <v/>
      </c>
      <c r="E198" s="9" t="str">
        <f>IF(C198="","",VLOOKUP(C198,'Student Roster'!A:C,3,FALSE))</f>
        <v/>
      </c>
      <c r="F198" s="7"/>
      <c r="G198" s="7"/>
      <c r="H198" s="7"/>
      <c r="I198" s="7"/>
      <c r="J198" s="7"/>
      <c r="K198" s="7"/>
      <c r="L198" s="7"/>
      <c r="M198" s="7"/>
      <c r="N198" s="7"/>
      <c r="O198" s="7"/>
      <c r="P198" s="7"/>
      <c r="Q198" s="7"/>
    </row>
    <row r="199" spans="1:17" s="1" customFormat="1" ht="18" customHeight="1" x14ac:dyDescent="0.45">
      <c r="A199" s="5"/>
      <c r="B199" s="5"/>
      <c r="C199" s="5"/>
      <c r="D199" s="9" t="str">
        <f>IF(C199="","",VLOOKUP(C199,'Student Roster'!A:C,2,FALSE))</f>
        <v/>
      </c>
      <c r="E199" s="9" t="str">
        <f>IF(C199="","",VLOOKUP(C199,'Student Roster'!A:C,3,FALSE))</f>
        <v/>
      </c>
      <c r="F199" s="5"/>
      <c r="G199" s="5"/>
      <c r="H199" s="5"/>
      <c r="I199" s="5"/>
      <c r="J199" s="5"/>
      <c r="K199" s="5"/>
      <c r="L199" s="5"/>
      <c r="M199" s="5"/>
      <c r="N199" s="5"/>
      <c r="O199" s="5"/>
      <c r="P199" s="5"/>
      <c r="Q199" s="5"/>
    </row>
    <row r="200" spans="1:17" s="1" customFormat="1" ht="18" customHeight="1" x14ac:dyDescent="0.45">
      <c r="A200" s="7"/>
      <c r="B200" s="7"/>
      <c r="C200" s="7"/>
      <c r="D200" s="9" t="str">
        <f>IF(C200="","",VLOOKUP(C200,'Student Roster'!A:C,2,FALSE))</f>
        <v/>
      </c>
      <c r="E200" s="9" t="str">
        <f>IF(C200="","",VLOOKUP(C200,'Student Roster'!A:C,3,FALSE))</f>
        <v/>
      </c>
      <c r="F200" s="7"/>
      <c r="G200" s="7"/>
      <c r="H200" s="7"/>
      <c r="I200" s="7"/>
      <c r="J200" s="7"/>
      <c r="K200" s="7"/>
      <c r="L200" s="7"/>
      <c r="M200" s="7"/>
      <c r="N200" s="7"/>
      <c r="O200" s="7"/>
      <c r="P200" s="7"/>
      <c r="Q200" s="7"/>
    </row>
    <row r="201" spans="1:17" s="1" customFormat="1" ht="18" customHeight="1" x14ac:dyDescent="0.45">
      <c r="A201" s="5"/>
      <c r="B201" s="5"/>
      <c r="C201" s="5"/>
      <c r="D201" s="9" t="str">
        <f>IF(C201="","",VLOOKUP(C201,'Student Roster'!A:C,2,FALSE))</f>
        <v/>
      </c>
      <c r="E201" s="9" t="str">
        <f>IF(C201="","",VLOOKUP(C201,'Student Roster'!A:C,3,FALSE))</f>
        <v/>
      </c>
      <c r="F201" s="5"/>
      <c r="G201" s="5"/>
      <c r="H201" s="5"/>
      <c r="I201" s="5"/>
      <c r="J201" s="5"/>
      <c r="K201" s="5"/>
      <c r="L201" s="5"/>
      <c r="M201" s="5"/>
      <c r="N201" s="5"/>
      <c r="O201" s="5"/>
      <c r="P201" s="5"/>
      <c r="Q201" s="5"/>
    </row>
    <row r="202" spans="1:17" s="1" customFormat="1" ht="18" customHeight="1" x14ac:dyDescent="0.45">
      <c r="A202" s="7"/>
      <c r="B202" s="7"/>
      <c r="C202" s="7"/>
      <c r="D202" s="9" t="str">
        <f>IF(C202="","",VLOOKUP(C202,'Student Roster'!A:C,2,FALSE))</f>
        <v/>
      </c>
      <c r="E202" s="9" t="str">
        <f>IF(C202="","",VLOOKUP(C202,'Student Roster'!A:C,3,FALSE))</f>
        <v/>
      </c>
      <c r="F202" s="7"/>
      <c r="G202" s="7"/>
      <c r="H202" s="7"/>
      <c r="I202" s="7"/>
      <c r="J202" s="7"/>
      <c r="K202" s="7"/>
      <c r="L202" s="7"/>
      <c r="M202" s="7"/>
      <c r="N202" s="7"/>
      <c r="O202" s="7"/>
      <c r="P202" s="7"/>
      <c r="Q202" s="7"/>
    </row>
    <row r="203" spans="1:17" s="1" customFormat="1" ht="18" customHeight="1" x14ac:dyDescent="0.45">
      <c r="A203" s="5"/>
      <c r="B203" s="5"/>
      <c r="C203" s="5"/>
      <c r="D203" s="9" t="str">
        <f>IF(C203="","",VLOOKUP(C203,'Student Roster'!A:C,2,FALSE))</f>
        <v/>
      </c>
      <c r="E203" s="9" t="str">
        <f>IF(C203="","",VLOOKUP(C203,'Student Roster'!A:C,3,FALSE))</f>
        <v/>
      </c>
      <c r="F203" s="5"/>
      <c r="G203" s="5"/>
      <c r="H203" s="5"/>
      <c r="I203" s="5"/>
      <c r="J203" s="5"/>
      <c r="K203" s="5"/>
      <c r="L203" s="5"/>
      <c r="M203" s="5"/>
      <c r="N203" s="5"/>
      <c r="O203" s="5"/>
      <c r="P203" s="5"/>
      <c r="Q203" s="5"/>
    </row>
    <row r="204" spans="1:17" s="1" customFormat="1" ht="18" customHeight="1" x14ac:dyDescent="0.45">
      <c r="A204" s="7"/>
      <c r="B204" s="7"/>
      <c r="C204" s="7"/>
      <c r="D204" s="9" t="str">
        <f>IF(C204="","",VLOOKUP(C204,'Student Roster'!A:C,2,FALSE))</f>
        <v/>
      </c>
      <c r="E204" s="9" t="str">
        <f>IF(C204="","",VLOOKUP(C204,'Student Roster'!A:C,3,FALSE))</f>
        <v/>
      </c>
      <c r="F204" s="7"/>
      <c r="G204" s="7"/>
      <c r="H204" s="7"/>
      <c r="I204" s="7"/>
      <c r="J204" s="7"/>
      <c r="K204" s="7"/>
      <c r="L204" s="7"/>
      <c r="M204" s="7"/>
      <c r="N204" s="7"/>
      <c r="O204" s="7"/>
      <c r="P204" s="7"/>
      <c r="Q204" s="7"/>
    </row>
    <row r="205" spans="1:17" s="1" customFormat="1" ht="18" customHeight="1" x14ac:dyDescent="0.45">
      <c r="A205" s="5"/>
      <c r="B205" s="5"/>
      <c r="C205" s="5"/>
      <c r="D205" s="9" t="str">
        <f>IF(C205="","",VLOOKUP(C205,'Student Roster'!A:C,2,FALSE))</f>
        <v/>
      </c>
      <c r="E205" s="9" t="str">
        <f>IF(C205="","",VLOOKUP(C205,'Student Roster'!A:C,3,FALSE))</f>
        <v/>
      </c>
      <c r="F205" s="5"/>
      <c r="G205" s="5"/>
      <c r="H205" s="5"/>
      <c r="I205" s="5"/>
      <c r="J205" s="5"/>
      <c r="K205" s="5"/>
      <c r="L205" s="5"/>
      <c r="M205" s="5"/>
      <c r="N205" s="5"/>
      <c r="O205" s="5"/>
      <c r="P205" s="5"/>
      <c r="Q205" s="5"/>
    </row>
    <row r="206" spans="1:17" s="1" customFormat="1" ht="18" customHeight="1" x14ac:dyDescent="0.45">
      <c r="A206" s="7"/>
      <c r="B206" s="7"/>
      <c r="C206" s="7"/>
      <c r="D206" s="9" t="str">
        <f>IF(C206="","",VLOOKUP(C206,'Student Roster'!A:C,2,FALSE))</f>
        <v/>
      </c>
      <c r="E206" s="9" t="str">
        <f>IF(C206="","",VLOOKUP(C206,'Student Roster'!A:C,3,FALSE))</f>
        <v/>
      </c>
      <c r="F206" s="7"/>
      <c r="G206" s="7"/>
      <c r="H206" s="7"/>
      <c r="I206" s="7"/>
      <c r="J206" s="7"/>
      <c r="K206" s="7"/>
      <c r="L206" s="7"/>
      <c r="M206" s="7"/>
      <c r="N206" s="7"/>
      <c r="O206" s="7"/>
      <c r="P206" s="7"/>
      <c r="Q206" s="7"/>
    </row>
    <row r="207" spans="1:17" s="1" customFormat="1" ht="18" customHeight="1" x14ac:dyDescent="0.45">
      <c r="A207" s="5"/>
      <c r="B207" s="5"/>
      <c r="C207" s="5"/>
      <c r="D207" s="9" t="str">
        <f>IF(C207="","",VLOOKUP(C207,'Student Roster'!A:C,2,FALSE))</f>
        <v/>
      </c>
      <c r="E207" s="9" t="str">
        <f>IF(C207="","",VLOOKUP(C207,'Student Roster'!A:C,3,FALSE))</f>
        <v/>
      </c>
      <c r="F207" s="5"/>
      <c r="G207" s="5"/>
      <c r="H207" s="5"/>
      <c r="I207" s="5"/>
      <c r="J207" s="5"/>
      <c r="K207" s="5"/>
      <c r="L207" s="5"/>
      <c r="M207" s="5"/>
      <c r="N207" s="5"/>
      <c r="O207" s="5"/>
      <c r="P207" s="5"/>
      <c r="Q207" s="5"/>
    </row>
    <row r="208" spans="1:17" s="1" customFormat="1" ht="18" customHeight="1" x14ac:dyDescent="0.45">
      <c r="A208" s="7"/>
      <c r="B208" s="7"/>
      <c r="C208" s="7"/>
      <c r="D208" s="9" t="str">
        <f>IF(C208="","",VLOOKUP(C208,'Student Roster'!A:C,2,FALSE))</f>
        <v/>
      </c>
      <c r="E208" s="9" t="str">
        <f>IF(C208="","",VLOOKUP(C208,'Student Roster'!A:C,3,FALSE))</f>
        <v/>
      </c>
      <c r="F208" s="7"/>
      <c r="G208" s="7"/>
      <c r="H208" s="7"/>
      <c r="I208" s="7"/>
      <c r="J208" s="7"/>
      <c r="K208" s="7"/>
      <c r="L208" s="7"/>
      <c r="M208" s="7"/>
      <c r="N208" s="7"/>
      <c r="O208" s="7"/>
      <c r="P208" s="7"/>
      <c r="Q208" s="7"/>
    </row>
    <row r="209" spans="1:17" s="1" customFormat="1" ht="18" customHeight="1" x14ac:dyDescent="0.45">
      <c r="A209" s="5"/>
      <c r="B209" s="5"/>
      <c r="C209" s="5"/>
      <c r="D209" s="9" t="str">
        <f>IF(C209="","",VLOOKUP(C209,'Student Roster'!A:C,2,FALSE))</f>
        <v/>
      </c>
      <c r="E209" s="9" t="str">
        <f>IF(C209="","",VLOOKUP(C209,'Student Roster'!A:C,3,FALSE))</f>
        <v/>
      </c>
      <c r="F209" s="5"/>
      <c r="G209" s="5"/>
      <c r="H209" s="5"/>
      <c r="I209" s="5"/>
      <c r="J209" s="5"/>
      <c r="K209" s="5"/>
      <c r="L209" s="5"/>
      <c r="M209" s="5"/>
      <c r="N209" s="5"/>
      <c r="O209" s="5"/>
      <c r="P209" s="5"/>
      <c r="Q209" s="5"/>
    </row>
    <row r="210" spans="1:17" s="1" customFormat="1" ht="18" customHeight="1" x14ac:dyDescent="0.45">
      <c r="A210" s="7"/>
      <c r="B210" s="7"/>
      <c r="C210" s="7"/>
      <c r="D210" s="9" t="str">
        <f>IF(C210="","",VLOOKUP(C210,'Student Roster'!A:C,2,FALSE))</f>
        <v/>
      </c>
      <c r="E210" s="9" t="str">
        <f>IF(C210="","",VLOOKUP(C210,'Student Roster'!A:C,3,FALSE))</f>
        <v/>
      </c>
      <c r="F210" s="7"/>
      <c r="G210" s="7"/>
      <c r="H210" s="7"/>
      <c r="I210" s="7"/>
      <c r="J210" s="7"/>
      <c r="K210" s="7"/>
      <c r="L210" s="7"/>
      <c r="M210" s="7"/>
      <c r="N210" s="7"/>
      <c r="O210" s="7"/>
      <c r="P210" s="7"/>
      <c r="Q210" s="7"/>
    </row>
    <row r="211" spans="1:17" s="1" customFormat="1" ht="18" customHeight="1" x14ac:dyDescent="0.45">
      <c r="A211" s="5"/>
      <c r="B211" s="5"/>
      <c r="C211" s="5"/>
      <c r="D211" s="9" t="str">
        <f>IF(C211="","",VLOOKUP(C211,'Student Roster'!A:C,2,FALSE))</f>
        <v/>
      </c>
      <c r="E211" s="9" t="str">
        <f>IF(C211="","",VLOOKUP(C211,'Student Roster'!A:C,3,FALSE))</f>
        <v/>
      </c>
      <c r="F211" s="5"/>
      <c r="G211" s="5"/>
      <c r="H211" s="5"/>
      <c r="I211" s="5"/>
      <c r="J211" s="5"/>
      <c r="K211" s="5"/>
      <c r="L211" s="5"/>
      <c r="M211" s="5"/>
      <c r="N211" s="5"/>
      <c r="O211" s="5"/>
      <c r="P211" s="5"/>
      <c r="Q211" s="5"/>
    </row>
    <row r="212" spans="1:17" s="1" customFormat="1" ht="18" customHeight="1" x14ac:dyDescent="0.45">
      <c r="A212" s="7"/>
      <c r="B212" s="7"/>
      <c r="C212" s="7"/>
      <c r="D212" s="9" t="str">
        <f>IF(C212="","",VLOOKUP(C212,'Student Roster'!A:C,2,FALSE))</f>
        <v/>
      </c>
      <c r="E212" s="9" t="str">
        <f>IF(C212="","",VLOOKUP(C212,'Student Roster'!A:C,3,FALSE))</f>
        <v/>
      </c>
      <c r="F212" s="7"/>
      <c r="G212" s="7"/>
      <c r="H212" s="7"/>
      <c r="I212" s="7"/>
      <c r="J212" s="7"/>
      <c r="K212" s="7"/>
      <c r="L212" s="7"/>
      <c r="M212" s="7"/>
      <c r="N212" s="7"/>
      <c r="O212" s="7"/>
      <c r="P212" s="7"/>
      <c r="Q212" s="7"/>
    </row>
    <row r="213" spans="1:17" s="1" customFormat="1" ht="18" customHeight="1" x14ac:dyDescent="0.45">
      <c r="A213" s="5"/>
      <c r="B213" s="5"/>
      <c r="C213" s="5"/>
      <c r="D213" s="9" t="str">
        <f>IF(C213="","",VLOOKUP(C213,'Student Roster'!A:C,2,FALSE))</f>
        <v/>
      </c>
      <c r="E213" s="9" t="str">
        <f>IF(C213="","",VLOOKUP(C213,'Student Roster'!A:C,3,FALSE))</f>
        <v/>
      </c>
      <c r="F213" s="5"/>
      <c r="G213" s="5"/>
      <c r="H213" s="5"/>
      <c r="I213" s="5"/>
      <c r="J213" s="5"/>
      <c r="K213" s="5"/>
      <c r="L213" s="5"/>
      <c r="M213" s="5"/>
      <c r="N213" s="5"/>
      <c r="O213" s="5"/>
      <c r="P213" s="5"/>
      <c r="Q213" s="5"/>
    </row>
    <row r="214" spans="1:17" s="1" customFormat="1" ht="18" customHeight="1" x14ac:dyDescent="0.45">
      <c r="A214" s="7"/>
      <c r="B214" s="7"/>
      <c r="C214" s="7"/>
      <c r="D214" s="9" t="str">
        <f>IF(C214="","",VLOOKUP(C214,'Student Roster'!A:C,2,FALSE))</f>
        <v/>
      </c>
      <c r="E214" s="9" t="str">
        <f>IF(C214="","",VLOOKUP(C214,'Student Roster'!A:C,3,FALSE))</f>
        <v/>
      </c>
      <c r="F214" s="7"/>
      <c r="G214" s="7"/>
      <c r="H214" s="7"/>
      <c r="I214" s="7"/>
      <c r="J214" s="7"/>
      <c r="K214" s="7"/>
      <c r="L214" s="7"/>
      <c r="M214" s="7"/>
      <c r="N214" s="7"/>
      <c r="O214" s="7"/>
      <c r="P214" s="7"/>
      <c r="Q214" s="7"/>
    </row>
    <row r="215" spans="1:17" s="1" customFormat="1" ht="18" customHeight="1" x14ac:dyDescent="0.45">
      <c r="A215" s="5"/>
      <c r="B215" s="5"/>
      <c r="C215" s="5"/>
      <c r="D215" s="9" t="str">
        <f>IF(C215="","",VLOOKUP(C215,'Student Roster'!A:C,2,FALSE))</f>
        <v/>
      </c>
      <c r="E215" s="9" t="str">
        <f>IF(C215="","",VLOOKUP(C215,'Student Roster'!A:C,3,FALSE))</f>
        <v/>
      </c>
      <c r="F215" s="5"/>
      <c r="G215" s="5"/>
      <c r="H215" s="5"/>
      <c r="I215" s="5"/>
      <c r="J215" s="5"/>
      <c r="K215" s="5"/>
      <c r="L215" s="5"/>
      <c r="M215" s="5"/>
      <c r="N215" s="5"/>
      <c r="O215" s="5"/>
      <c r="P215" s="5"/>
      <c r="Q215" s="5"/>
    </row>
    <row r="216" spans="1:17" s="1" customFormat="1" ht="18" customHeight="1" x14ac:dyDescent="0.45">
      <c r="A216" s="7"/>
      <c r="B216" s="7"/>
      <c r="C216" s="7"/>
      <c r="D216" s="9" t="str">
        <f>IF(C216="","",VLOOKUP(C216,'Student Roster'!A:C,2,FALSE))</f>
        <v/>
      </c>
      <c r="E216" s="9" t="str">
        <f>IF(C216="","",VLOOKUP(C216,'Student Roster'!A:C,3,FALSE))</f>
        <v/>
      </c>
      <c r="F216" s="7"/>
      <c r="G216" s="7"/>
      <c r="H216" s="7"/>
      <c r="I216" s="7"/>
      <c r="J216" s="7"/>
      <c r="K216" s="7"/>
      <c r="L216" s="7"/>
      <c r="M216" s="7"/>
      <c r="N216" s="7"/>
      <c r="O216" s="7"/>
      <c r="P216" s="7"/>
      <c r="Q216" s="7"/>
    </row>
    <row r="217" spans="1:17" s="1" customFormat="1" ht="18" customHeight="1" x14ac:dyDescent="0.45">
      <c r="A217" s="5"/>
      <c r="B217" s="5"/>
      <c r="C217" s="5"/>
      <c r="D217" s="9" t="str">
        <f>IF(C217="","",VLOOKUP(C217,'Student Roster'!A:C,2,FALSE))</f>
        <v/>
      </c>
      <c r="E217" s="9" t="str">
        <f>IF(C217="","",VLOOKUP(C217,'Student Roster'!A:C,3,FALSE))</f>
        <v/>
      </c>
      <c r="F217" s="5"/>
      <c r="G217" s="5"/>
      <c r="H217" s="5"/>
      <c r="I217" s="5"/>
      <c r="J217" s="5"/>
      <c r="K217" s="5"/>
      <c r="L217" s="5"/>
      <c r="M217" s="5"/>
      <c r="N217" s="5"/>
      <c r="O217" s="5"/>
      <c r="P217" s="5"/>
      <c r="Q217" s="5"/>
    </row>
    <row r="218" spans="1:17" s="1" customFormat="1" ht="18" customHeight="1" x14ac:dyDescent="0.45">
      <c r="A218" s="7"/>
      <c r="B218" s="7"/>
      <c r="C218" s="7"/>
      <c r="D218" s="9" t="str">
        <f>IF(C218="","",VLOOKUP(C218,'Student Roster'!A:C,2,FALSE))</f>
        <v/>
      </c>
      <c r="E218" s="9" t="str">
        <f>IF(C218="","",VLOOKUP(C218,'Student Roster'!A:C,3,FALSE))</f>
        <v/>
      </c>
      <c r="F218" s="7"/>
      <c r="G218" s="7"/>
      <c r="H218" s="7"/>
      <c r="I218" s="7"/>
      <c r="J218" s="7"/>
      <c r="K218" s="7"/>
      <c r="L218" s="7"/>
      <c r="M218" s="7"/>
      <c r="N218" s="7"/>
      <c r="O218" s="7"/>
      <c r="P218" s="7"/>
      <c r="Q218" s="7"/>
    </row>
    <row r="219" spans="1:17" s="1" customFormat="1" ht="18" customHeight="1" x14ac:dyDescent="0.45">
      <c r="A219" s="5"/>
      <c r="B219" s="5"/>
      <c r="C219" s="5"/>
      <c r="D219" s="9" t="str">
        <f>IF(C219="","",VLOOKUP(C219,'Student Roster'!A:C,2,FALSE))</f>
        <v/>
      </c>
      <c r="E219" s="9" t="str">
        <f>IF(C219="","",VLOOKUP(C219,'Student Roster'!A:C,3,FALSE))</f>
        <v/>
      </c>
      <c r="F219" s="5"/>
      <c r="G219" s="5"/>
      <c r="H219" s="5"/>
      <c r="I219" s="5"/>
      <c r="J219" s="5"/>
      <c r="K219" s="5"/>
      <c r="L219" s="5"/>
      <c r="M219" s="5"/>
      <c r="N219" s="5"/>
      <c r="O219" s="5"/>
      <c r="P219" s="5"/>
      <c r="Q219" s="5"/>
    </row>
    <row r="220" spans="1:17" s="1" customFormat="1" ht="18" customHeight="1" x14ac:dyDescent="0.45">
      <c r="A220" s="7"/>
      <c r="B220" s="7"/>
      <c r="C220" s="7"/>
      <c r="D220" s="9" t="str">
        <f>IF(C220="","",VLOOKUP(C220,'Student Roster'!A:C,2,FALSE))</f>
        <v/>
      </c>
      <c r="E220" s="9" t="str">
        <f>IF(C220="","",VLOOKUP(C220,'Student Roster'!A:C,3,FALSE))</f>
        <v/>
      </c>
      <c r="F220" s="7"/>
      <c r="G220" s="7"/>
      <c r="H220" s="7"/>
      <c r="I220" s="7"/>
      <c r="J220" s="7"/>
      <c r="K220" s="7"/>
      <c r="L220" s="7"/>
      <c r="M220" s="7"/>
      <c r="N220" s="7"/>
      <c r="O220" s="7"/>
      <c r="P220" s="7"/>
      <c r="Q220" s="7"/>
    </row>
    <row r="221" spans="1:17" s="1" customFormat="1" ht="18" customHeight="1" x14ac:dyDescent="0.45">
      <c r="A221" s="5"/>
      <c r="B221" s="5"/>
      <c r="C221" s="5"/>
      <c r="D221" s="9" t="str">
        <f>IF(C221="","",VLOOKUP(C221,'Student Roster'!A:C,2,FALSE))</f>
        <v/>
      </c>
      <c r="E221" s="9" t="str">
        <f>IF(C221="","",VLOOKUP(C221,'Student Roster'!A:C,3,FALSE))</f>
        <v/>
      </c>
      <c r="F221" s="5"/>
      <c r="G221" s="5"/>
      <c r="H221" s="5"/>
      <c r="I221" s="5"/>
      <c r="J221" s="5"/>
      <c r="K221" s="5"/>
      <c r="L221" s="5"/>
      <c r="M221" s="5"/>
      <c r="N221" s="5"/>
      <c r="O221" s="5"/>
      <c r="P221" s="5"/>
      <c r="Q221" s="5"/>
    </row>
    <row r="222" spans="1:17" s="1" customFormat="1" ht="18" customHeight="1" x14ac:dyDescent="0.45">
      <c r="A222" s="7"/>
      <c r="B222" s="7"/>
      <c r="C222" s="7"/>
      <c r="D222" s="9" t="str">
        <f>IF(C222="","",VLOOKUP(C222,'Student Roster'!A:C,2,FALSE))</f>
        <v/>
      </c>
      <c r="E222" s="9" t="str">
        <f>IF(C222="","",VLOOKUP(C222,'Student Roster'!A:C,3,FALSE))</f>
        <v/>
      </c>
      <c r="F222" s="7"/>
      <c r="G222" s="7"/>
      <c r="H222" s="7"/>
      <c r="I222" s="7"/>
      <c r="J222" s="7"/>
      <c r="K222" s="7"/>
      <c r="L222" s="7"/>
      <c r="M222" s="7"/>
      <c r="N222" s="7"/>
      <c r="O222" s="7"/>
      <c r="P222" s="7"/>
      <c r="Q222" s="7"/>
    </row>
    <row r="223" spans="1:17" s="1" customFormat="1" ht="18" customHeight="1" x14ac:dyDescent="0.45">
      <c r="A223" s="5"/>
      <c r="B223" s="5"/>
      <c r="C223" s="5"/>
      <c r="D223" s="9" t="str">
        <f>IF(C223="","",VLOOKUP(C223,'Student Roster'!A:C,2,FALSE))</f>
        <v/>
      </c>
      <c r="E223" s="9" t="str">
        <f>IF(C223="","",VLOOKUP(C223,'Student Roster'!A:C,3,FALSE))</f>
        <v/>
      </c>
      <c r="F223" s="5"/>
      <c r="G223" s="5"/>
      <c r="H223" s="5"/>
      <c r="I223" s="5"/>
      <c r="J223" s="5"/>
      <c r="K223" s="5"/>
      <c r="L223" s="5"/>
      <c r="M223" s="5"/>
      <c r="N223" s="5"/>
      <c r="O223" s="5"/>
      <c r="P223" s="5"/>
      <c r="Q223" s="5"/>
    </row>
    <row r="224" spans="1:17" s="1" customFormat="1" ht="18" customHeight="1" x14ac:dyDescent="0.45">
      <c r="A224" s="7"/>
      <c r="B224" s="7"/>
      <c r="C224" s="7"/>
      <c r="D224" s="9" t="str">
        <f>IF(C224="","",VLOOKUP(C224,'Student Roster'!A:C,2,FALSE))</f>
        <v/>
      </c>
      <c r="E224" s="9" t="str">
        <f>IF(C224="","",VLOOKUP(C224,'Student Roster'!A:C,3,FALSE))</f>
        <v/>
      </c>
      <c r="F224" s="7"/>
      <c r="G224" s="7"/>
      <c r="H224" s="7"/>
      <c r="I224" s="7"/>
      <c r="J224" s="7"/>
      <c r="K224" s="7"/>
      <c r="L224" s="7"/>
      <c r="M224" s="7"/>
      <c r="N224" s="7"/>
      <c r="O224" s="7"/>
      <c r="P224" s="7"/>
      <c r="Q224" s="7"/>
    </row>
    <row r="225" spans="1:17" s="1" customFormat="1" ht="18" customHeight="1" x14ac:dyDescent="0.45">
      <c r="A225" s="5"/>
      <c r="B225" s="5"/>
      <c r="C225" s="5"/>
      <c r="D225" s="9" t="str">
        <f>IF(C225="","",VLOOKUP(C225,'Student Roster'!A:C,2,FALSE))</f>
        <v/>
      </c>
      <c r="E225" s="9" t="str">
        <f>IF(C225="","",VLOOKUP(C225,'Student Roster'!A:C,3,FALSE))</f>
        <v/>
      </c>
      <c r="F225" s="5"/>
      <c r="G225" s="5"/>
      <c r="H225" s="5"/>
      <c r="I225" s="5"/>
      <c r="J225" s="5"/>
      <c r="K225" s="5"/>
      <c r="L225" s="5"/>
      <c r="M225" s="5"/>
      <c r="N225" s="5"/>
      <c r="O225" s="5"/>
      <c r="P225" s="5"/>
      <c r="Q225" s="5"/>
    </row>
    <row r="226" spans="1:17" s="1" customFormat="1" ht="18" customHeight="1" x14ac:dyDescent="0.45">
      <c r="A226" s="7"/>
      <c r="B226" s="7"/>
      <c r="C226" s="7"/>
      <c r="D226" s="9" t="str">
        <f>IF(C226="","",VLOOKUP(C226,'Student Roster'!A:C,2,FALSE))</f>
        <v/>
      </c>
      <c r="E226" s="9" t="str">
        <f>IF(C226="","",VLOOKUP(C226,'Student Roster'!A:C,3,FALSE))</f>
        <v/>
      </c>
      <c r="F226" s="7"/>
      <c r="G226" s="7"/>
      <c r="H226" s="7"/>
      <c r="I226" s="7"/>
      <c r="J226" s="7"/>
      <c r="K226" s="7"/>
      <c r="L226" s="7"/>
      <c r="M226" s="7"/>
      <c r="N226" s="7"/>
      <c r="O226" s="7"/>
      <c r="P226" s="7"/>
      <c r="Q226" s="7"/>
    </row>
    <row r="227" spans="1:17" s="1" customFormat="1" ht="18" customHeight="1" x14ac:dyDescent="0.45">
      <c r="A227" s="5"/>
      <c r="B227" s="5"/>
      <c r="C227" s="5"/>
      <c r="D227" s="9" t="str">
        <f>IF(C227="","",VLOOKUP(C227,'Student Roster'!A:C,2,FALSE))</f>
        <v/>
      </c>
      <c r="E227" s="9" t="str">
        <f>IF(C227="","",VLOOKUP(C227,'Student Roster'!A:C,3,FALSE))</f>
        <v/>
      </c>
      <c r="F227" s="5"/>
      <c r="G227" s="5"/>
      <c r="H227" s="5"/>
      <c r="I227" s="5"/>
      <c r="J227" s="5"/>
      <c r="K227" s="5"/>
      <c r="L227" s="5"/>
      <c r="M227" s="5"/>
      <c r="N227" s="5"/>
      <c r="O227" s="5"/>
      <c r="P227" s="5"/>
      <c r="Q227" s="5"/>
    </row>
    <row r="228" spans="1:17" s="1" customFormat="1" ht="18" customHeight="1" x14ac:dyDescent="0.45">
      <c r="A228" s="7"/>
      <c r="B228" s="7"/>
      <c r="C228" s="7"/>
      <c r="D228" s="9" t="str">
        <f>IF(C228="","",VLOOKUP(C228,'Student Roster'!A:C,2,FALSE))</f>
        <v/>
      </c>
      <c r="E228" s="9" t="str">
        <f>IF(C228="","",VLOOKUP(C228,'Student Roster'!A:C,3,FALSE))</f>
        <v/>
      </c>
      <c r="F228" s="7"/>
      <c r="G228" s="7"/>
      <c r="H228" s="7"/>
      <c r="I228" s="7"/>
      <c r="J228" s="7"/>
      <c r="K228" s="7"/>
      <c r="L228" s="7"/>
      <c r="M228" s="7"/>
      <c r="N228" s="7"/>
      <c r="O228" s="7"/>
      <c r="P228" s="7"/>
      <c r="Q228" s="7"/>
    </row>
    <row r="229" spans="1:17" s="1" customFormat="1" ht="18" customHeight="1" x14ac:dyDescent="0.45">
      <c r="A229" s="5"/>
      <c r="B229" s="5"/>
      <c r="C229" s="5"/>
      <c r="D229" s="9" t="str">
        <f>IF(C229="","",VLOOKUP(C229,'Student Roster'!A:C,2,FALSE))</f>
        <v/>
      </c>
      <c r="E229" s="9" t="str">
        <f>IF(C229="","",VLOOKUP(C229,'Student Roster'!A:C,3,FALSE))</f>
        <v/>
      </c>
      <c r="F229" s="5"/>
      <c r="G229" s="5"/>
      <c r="H229" s="5"/>
      <c r="I229" s="5"/>
      <c r="J229" s="5"/>
      <c r="K229" s="5"/>
      <c r="L229" s="5"/>
      <c r="M229" s="5"/>
      <c r="N229" s="5"/>
      <c r="O229" s="5"/>
      <c r="P229" s="5"/>
      <c r="Q229" s="5"/>
    </row>
    <row r="230" spans="1:17" s="1" customFormat="1" ht="18" customHeight="1" x14ac:dyDescent="0.45">
      <c r="A230" s="7"/>
      <c r="B230" s="7"/>
      <c r="C230" s="7"/>
      <c r="D230" s="9" t="str">
        <f>IF(C230="","",VLOOKUP(C230,'Student Roster'!A:C,2,FALSE))</f>
        <v/>
      </c>
      <c r="E230" s="9" t="str">
        <f>IF(C230="","",VLOOKUP(C230,'Student Roster'!A:C,3,FALSE))</f>
        <v/>
      </c>
      <c r="F230" s="7"/>
      <c r="G230" s="7"/>
      <c r="H230" s="7"/>
      <c r="I230" s="7"/>
      <c r="J230" s="7"/>
      <c r="K230" s="7"/>
      <c r="L230" s="7"/>
      <c r="M230" s="7"/>
      <c r="N230" s="7"/>
      <c r="O230" s="7"/>
      <c r="P230" s="7"/>
      <c r="Q230" s="7"/>
    </row>
    <row r="231" spans="1:17" s="1" customFormat="1" ht="18" customHeight="1" x14ac:dyDescent="0.45">
      <c r="A231" s="5"/>
      <c r="B231" s="5"/>
      <c r="C231" s="5"/>
      <c r="D231" s="9" t="str">
        <f>IF(C231="","",VLOOKUP(C231,'Student Roster'!A:C,2,FALSE))</f>
        <v/>
      </c>
      <c r="E231" s="9" t="str">
        <f>IF(C231="","",VLOOKUP(C231,'Student Roster'!A:C,3,FALSE))</f>
        <v/>
      </c>
      <c r="F231" s="5"/>
      <c r="G231" s="5"/>
      <c r="H231" s="5"/>
      <c r="I231" s="5"/>
      <c r="J231" s="5"/>
      <c r="K231" s="5"/>
      <c r="L231" s="5"/>
      <c r="M231" s="5"/>
      <c r="N231" s="5"/>
      <c r="O231" s="5"/>
      <c r="P231" s="5"/>
      <c r="Q231" s="5"/>
    </row>
    <row r="232" spans="1:17" s="1" customFormat="1" ht="18" customHeight="1" x14ac:dyDescent="0.45">
      <c r="A232" s="7"/>
      <c r="B232" s="7"/>
      <c r="C232" s="7"/>
      <c r="D232" s="9" t="str">
        <f>IF(C232="","",VLOOKUP(C232,'Student Roster'!A:C,2,FALSE))</f>
        <v/>
      </c>
      <c r="E232" s="9" t="str">
        <f>IF(C232="","",VLOOKUP(C232,'Student Roster'!A:C,3,FALSE))</f>
        <v/>
      </c>
      <c r="F232" s="7"/>
      <c r="G232" s="7"/>
      <c r="H232" s="7"/>
      <c r="I232" s="7"/>
      <c r="J232" s="7"/>
      <c r="K232" s="7"/>
      <c r="L232" s="7"/>
      <c r="M232" s="7"/>
      <c r="N232" s="7"/>
      <c r="O232" s="7"/>
      <c r="P232" s="7"/>
      <c r="Q232" s="7"/>
    </row>
    <row r="233" spans="1:17" s="1" customFormat="1" ht="18" customHeight="1" x14ac:dyDescent="0.45">
      <c r="A233" s="5"/>
      <c r="B233" s="5"/>
      <c r="C233" s="5"/>
      <c r="D233" s="9" t="str">
        <f>IF(C233="","",VLOOKUP(C233,'Student Roster'!A:C,2,FALSE))</f>
        <v/>
      </c>
      <c r="E233" s="9" t="str">
        <f>IF(C233="","",VLOOKUP(C233,'Student Roster'!A:C,3,FALSE))</f>
        <v/>
      </c>
      <c r="F233" s="5"/>
      <c r="G233" s="5"/>
      <c r="H233" s="5"/>
      <c r="I233" s="5"/>
      <c r="J233" s="5"/>
      <c r="K233" s="5"/>
      <c r="L233" s="5"/>
      <c r="M233" s="5"/>
      <c r="N233" s="5"/>
      <c r="O233" s="5"/>
      <c r="P233" s="5"/>
      <c r="Q233" s="5"/>
    </row>
    <row r="234" spans="1:17" s="1" customFormat="1" ht="18" customHeight="1" x14ac:dyDescent="0.45">
      <c r="A234" s="7"/>
      <c r="B234" s="7"/>
      <c r="C234" s="7"/>
      <c r="D234" s="9" t="str">
        <f>IF(C234="","",VLOOKUP(C234,'Student Roster'!A:C,2,FALSE))</f>
        <v/>
      </c>
      <c r="E234" s="9" t="str">
        <f>IF(C234="","",VLOOKUP(C234,'Student Roster'!A:C,3,FALSE))</f>
        <v/>
      </c>
      <c r="F234" s="7"/>
      <c r="G234" s="7"/>
      <c r="H234" s="7"/>
      <c r="I234" s="7"/>
      <c r="J234" s="7"/>
      <c r="K234" s="7"/>
      <c r="L234" s="7"/>
      <c r="M234" s="7"/>
      <c r="N234" s="7"/>
      <c r="O234" s="7"/>
      <c r="P234" s="7"/>
      <c r="Q234" s="7"/>
    </row>
    <row r="235" spans="1:17" s="1" customFormat="1" ht="18" customHeight="1" x14ac:dyDescent="0.45">
      <c r="A235" s="5"/>
      <c r="B235" s="5"/>
      <c r="C235" s="5"/>
      <c r="D235" s="9" t="str">
        <f>IF(C235="","",VLOOKUP(C235,'Student Roster'!A:C,2,FALSE))</f>
        <v/>
      </c>
      <c r="E235" s="9" t="str">
        <f>IF(C235="","",VLOOKUP(C235,'Student Roster'!A:C,3,FALSE))</f>
        <v/>
      </c>
      <c r="F235" s="5"/>
      <c r="G235" s="5"/>
      <c r="H235" s="5"/>
      <c r="I235" s="5"/>
      <c r="J235" s="5"/>
      <c r="K235" s="5"/>
      <c r="L235" s="5"/>
      <c r="M235" s="5"/>
      <c r="N235" s="5"/>
      <c r="O235" s="5"/>
      <c r="P235" s="5"/>
      <c r="Q235" s="5"/>
    </row>
    <row r="236" spans="1:17" s="1" customFormat="1" ht="18" customHeight="1" x14ac:dyDescent="0.45">
      <c r="A236" s="7"/>
      <c r="B236" s="7"/>
      <c r="C236" s="7"/>
      <c r="D236" s="9" t="str">
        <f>IF(C236="","",VLOOKUP(C236,'Student Roster'!A:C,2,FALSE))</f>
        <v/>
      </c>
      <c r="E236" s="9" t="str">
        <f>IF(C236="","",VLOOKUP(C236,'Student Roster'!A:C,3,FALSE))</f>
        <v/>
      </c>
      <c r="F236" s="7"/>
      <c r="G236" s="7"/>
      <c r="H236" s="7"/>
      <c r="I236" s="7"/>
      <c r="J236" s="7"/>
      <c r="K236" s="7"/>
      <c r="L236" s="7"/>
      <c r="M236" s="7"/>
      <c r="N236" s="7"/>
      <c r="O236" s="7"/>
      <c r="P236" s="7"/>
      <c r="Q236" s="7"/>
    </row>
    <row r="237" spans="1:17" s="1" customFormat="1" ht="18" customHeight="1" x14ac:dyDescent="0.45">
      <c r="A237" s="5"/>
      <c r="B237" s="5"/>
      <c r="C237" s="5"/>
      <c r="D237" s="9" t="str">
        <f>IF(C237="","",VLOOKUP(C237,'Student Roster'!A:C,2,FALSE))</f>
        <v/>
      </c>
      <c r="E237" s="9" t="str">
        <f>IF(C237="","",VLOOKUP(C237,'Student Roster'!A:C,3,FALSE))</f>
        <v/>
      </c>
      <c r="F237" s="5"/>
      <c r="G237" s="5"/>
      <c r="H237" s="5"/>
      <c r="I237" s="5"/>
      <c r="J237" s="5"/>
      <c r="K237" s="5"/>
      <c r="L237" s="5"/>
      <c r="M237" s="5"/>
      <c r="N237" s="5"/>
      <c r="O237" s="5"/>
      <c r="P237" s="5"/>
      <c r="Q237" s="5"/>
    </row>
    <row r="238" spans="1:17" s="1" customFormat="1" ht="18" customHeight="1" x14ac:dyDescent="0.45">
      <c r="A238" s="7"/>
      <c r="B238" s="7"/>
      <c r="C238" s="7"/>
      <c r="D238" s="9" t="str">
        <f>IF(C238="","",VLOOKUP(C238,'Student Roster'!A:C,2,FALSE))</f>
        <v/>
      </c>
      <c r="E238" s="9" t="str">
        <f>IF(C238="","",VLOOKUP(C238,'Student Roster'!A:C,3,FALSE))</f>
        <v/>
      </c>
      <c r="F238" s="7"/>
      <c r="G238" s="7"/>
      <c r="H238" s="7"/>
      <c r="I238" s="7"/>
      <c r="J238" s="7"/>
      <c r="K238" s="7"/>
      <c r="L238" s="7"/>
      <c r="M238" s="7"/>
      <c r="N238" s="7"/>
      <c r="O238" s="7"/>
      <c r="P238" s="7"/>
      <c r="Q238" s="7"/>
    </row>
    <row r="239" spans="1:17" s="1" customFormat="1" ht="18" customHeight="1" x14ac:dyDescent="0.45">
      <c r="A239" s="5"/>
      <c r="B239" s="5"/>
      <c r="C239" s="5"/>
      <c r="D239" s="9" t="str">
        <f>IF(C239="","",VLOOKUP(C239,'Student Roster'!A:C,2,FALSE))</f>
        <v/>
      </c>
      <c r="E239" s="9" t="str">
        <f>IF(C239="","",VLOOKUP(C239,'Student Roster'!A:C,3,FALSE))</f>
        <v/>
      </c>
      <c r="F239" s="5"/>
      <c r="G239" s="5"/>
      <c r="H239" s="5"/>
      <c r="I239" s="5"/>
      <c r="J239" s="5"/>
      <c r="K239" s="5"/>
      <c r="L239" s="5"/>
      <c r="M239" s="5"/>
      <c r="N239" s="5"/>
      <c r="O239" s="5"/>
      <c r="P239" s="5"/>
      <c r="Q239" s="5"/>
    </row>
    <row r="240" spans="1:17" s="1" customFormat="1" ht="18" customHeight="1" x14ac:dyDescent="0.45">
      <c r="A240" s="7"/>
      <c r="B240" s="7"/>
      <c r="C240" s="7"/>
      <c r="D240" s="9" t="str">
        <f>IF(C240="","",VLOOKUP(C240,'Student Roster'!A:C,2,FALSE))</f>
        <v/>
      </c>
      <c r="E240" s="9" t="str">
        <f>IF(C240="","",VLOOKUP(C240,'Student Roster'!A:C,3,FALSE))</f>
        <v/>
      </c>
      <c r="F240" s="7"/>
      <c r="G240" s="7"/>
      <c r="H240" s="7"/>
      <c r="I240" s="7"/>
      <c r="J240" s="7"/>
      <c r="K240" s="7"/>
      <c r="L240" s="7"/>
      <c r="M240" s="7"/>
      <c r="N240" s="7"/>
      <c r="O240" s="7"/>
      <c r="P240" s="7"/>
      <c r="Q240" s="7"/>
    </row>
    <row r="241" spans="1:17" s="1" customFormat="1" ht="18" customHeight="1" x14ac:dyDescent="0.45">
      <c r="A241" s="5"/>
      <c r="B241" s="5"/>
      <c r="C241" s="5"/>
      <c r="D241" s="9" t="str">
        <f>IF(C241="","",VLOOKUP(C241,'Student Roster'!A:C,2,FALSE))</f>
        <v/>
      </c>
      <c r="E241" s="9" t="str">
        <f>IF(C241="","",VLOOKUP(C241,'Student Roster'!A:C,3,FALSE))</f>
        <v/>
      </c>
      <c r="F241" s="5"/>
      <c r="G241" s="5"/>
      <c r="H241" s="5"/>
      <c r="I241" s="5"/>
      <c r="J241" s="5"/>
      <c r="K241" s="5"/>
      <c r="L241" s="5"/>
      <c r="M241" s="5"/>
      <c r="N241" s="5"/>
      <c r="O241" s="5"/>
      <c r="P241" s="5"/>
      <c r="Q241" s="5"/>
    </row>
    <row r="242" spans="1:17" s="1" customFormat="1" ht="18" customHeight="1" x14ac:dyDescent="0.45">
      <c r="A242" s="7"/>
      <c r="B242" s="7"/>
      <c r="C242" s="7"/>
      <c r="D242" s="9" t="str">
        <f>IF(C242="","",VLOOKUP(C242,'Student Roster'!A:C,2,FALSE))</f>
        <v/>
      </c>
      <c r="E242" s="9" t="str">
        <f>IF(C242="","",VLOOKUP(C242,'Student Roster'!A:C,3,FALSE))</f>
        <v/>
      </c>
      <c r="F242" s="7"/>
      <c r="G242" s="7"/>
      <c r="H242" s="7"/>
      <c r="I242" s="7"/>
      <c r="J242" s="7"/>
      <c r="K242" s="7"/>
      <c r="L242" s="7"/>
      <c r="M242" s="7"/>
      <c r="N242" s="7"/>
      <c r="O242" s="7"/>
      <c r="P242" s="7"/>
      <c r="Q242" s="7"/>
    </row>
    <row r="243" spans="1:17" s="1" customFormat="1" ht="18" customHeight="1" x14ac:dyDescent="0.45">
      <c r="A243" s="5"/>
      <c r="B243" s="5"/>
      <c r="C243" s="5"/>
      <c r="D243" s="9" t="str">
        <f>IF(C243="","",VLOOKUP(C243,'Student Roster'!A:C,2,FALSE))</f>
        <v/>
      </c>
      <c r="E243" s="9" t="str">
        <f>IF(C243="","",VLOOKUP(C243,'Student Roster'!A:C,3,FALSE))</f>
        <v/>
      </c>
      <c r="F243" s="5"/>
      <c r="G243" s="5"/>
      <c r="H243" s="5"/>
      <c r="I243" s="5"/>
      <c r="J243" s="5"/>
      <c r="K243" s="5"/>
      <c r="L243" s="5"/>
      <c r="M243" s="5"/>
      <c r="N243" s="5"/>
      <c r="O243" s="5"/>
      <c r="P243" s="5"/>
      <c r="Q243" s="5"/>
    </row>
    <row r="244" spans="1:17" s="1" customFormat="1" ht="18" customHeight="1" x14ac:dyDescent="0.45">
      <c r="A244" s="7"/>
      <c r="B244" s="7"/>
      <c r="C244" s="7"/>
      <c r="D244" s="9" t="str">
        <f>IF(C244="","",VLOOKUP(C244,'Student Roster'!A:C,2,FALSE))</f>
        <v/>
      </c>
      <c r="E244" s="9" t="str">
        <f>IF(C244="","",VLOOKUP(C244,'Student Roster'!A:C,3,FALSE))</f>
        <v/>
      </c>
      <c r="F244" s="7"/>
      <c r="G244" s="7"/>
      <c r="H244" s="7"/>
      <c r="I244" s="7"/>
      <c r="J244" s="7"/>
      <c r="K244" s="7"/>
      <c r="L244" s="7"/>
      <c r="M244" s="7"/>
      <c r="N244" s="7"/>
      <c r="O244" s="7"/>
      <c r="P244" s="7"/>
      <c r="Q244" s="7"/>
    </row>
    <row r="245" spans="1:17" s="1" customFormat="1" ht="18" customHeight="1" x14ac:dyDescent="0.45">
      <c r="A245" s="5"/>
      <c r="B245" s="5"/>
      <c r="C245" s="5"/>
      <c r="D245" s="9" t="str">
        <f>IF(C245="","",VLOOKUP(C245,'Student Roster'!A:C,2,FALSE))</f>
        <v/>
      </c>
      <c r="E245" s="9" t="str">
        <f>IF(C245="","",VLOOKUP(C245,'Student Roster'!A:C,3,FALSE))</f>
        <v/>
      </c>
      <c r="F245" s="5"/>
      <c r="G245" s="5"/>
      <c r="H245" s="5"/>
      <c r="I245" s="5"/>
      <c r="J245" s="5"/>
      <c r="K245" s="5"/>
      <c r="L245" s="5"/>
      <c r="M245" s="5"/>
      <c r="N245" s="5"/>
      <c r="O245" s="5"/>
      <c r="P245" s="5"/>
      <c r="Q245" s="5"/>
    </row>
    <row r="246" spans="1:17" s="1" customFormat="1" ht="18" customHeight="1" x14ac:dyDescent="0.45">
      <c r="A246" s="7"/>
      <c r="B246" s="7"/>
      <c r="C246" s="7"/>
      <c r="D246" s="9" t="str">
        <f>IF(C246="","",VLOOKUP(C246,'Student Roster'!A:C,2,FALSE))</f>
        <v/>
      </c>
      <c r="E246" s="9" t="str">
        <f>IF(C246="","",VLOOKUP(C246,'Student Roster'!A:C,3,FALSE))</f>
        <v/>
      </c>
      <c r="F246" s="7"/>
      <c r="G246" s="7"/>
      <c r="H246" s="7"/>
      <c r="I246" s="7"/>
      <c r="J246" s="7"/>
      <c r="K246" s="7"/>
      <c r="L246" s="7"/>
      <c r="M246" s="7"/>
      <c r="N246" s="7"/>
      <c r="O246" s="7"/>
      <c r="P246" s="7"/>
      <c r="Q246" s="7"/>
    </row>
    <row r="247" spans="1:17" s="1" customFormat="1" ht="18" customHeight="1" x14ac:dyDescent="0.45">
      <c r="A247" s="5"/>
      <c r="B247" s="5"/>
      <c r="C247" s="5"/>
      <c r="D247" s="9" t="str">
        <f>IF(C247="","",VLOOKUP(C247,'Student Roster'!A:C,2,FALSE))</f>
        <v/>
      </c>
      <c r="E247" s="9" t="str">
        <f>IF(C247="","",VLOOKUP(C247,'Student Roster'!A:C,3,FALSE))</f>
        <v/>
      </c>
      <c r="F247" s="5"/>
      <c r="G247" s="5"/>
      <c r="H247" s="5"/>
      <c r="I247" s="5"/>
      <c r="J247" s="5"/>
      <c r="K247" s="5"/>
      <c r="L247" s="5"/>
      <c r="M247" s="5"/>
      <c r="N247" s="5"/>
      <c r="O247" s="5"/>
      <c r="P247" s="5"/>
      <c r="Q247" s="5"/>
    </row>
    <row r="248" spans="1:17" s="1" customFormat="1" ht="18" customHeight="1" x14ac:dyDescent="0.45">
      <c r="A248" s="7"/>
      <c r="B248" s="7"/>
      <c r="C248" s="7"/>
      <c r="D248" s="9" t="str">
        <f>IF(C248="","",VLOOKUP(C248,'Student Roster'!A:C,2,FALSE))</f>
        <v/>
      </c>
      <c r="E248" s="9" t="str">
        <f>IF(C248="","",VLOOKUP(C248,'Student Roster'!A:C,3,FALSE))</f>
        <v/>
      </c>
      <c r="F248" s="7"/>
      <c r="G248" s="7"/>
      <c r="H248" s="7"/>
      <c r="I248" s="7"/>
      <c r="J248" s="7"/>
      <c r="K248" s="7"/>
      <c r="L248" s="7"/>
      <c r="M248" s="7"/>
      <c r="N248" s="7"/>
      <c r="O248" s="7"/>
      <c r="P248" s="7"/>
      <c r="Q248" s="7"/>
    </row>
    <row r="249" spans="1:17" s="1" customFormat="1" ht="18" customHeight="1" x14ac:dyDescent="0.45">
      <c r="A249" s="5"/>
      <c r="B249" s="5"/>
      <c r="C249" s="5"/>
      <c r="D249" s="9" t="str">
        <f>IF(C249="","",VLOOKUP(C249,'Student Roster'!A:C,2,FALSE))</f>
        <v/>
      </c>
      <c r="E249" s="9" t="str">
        <f>IF(C249="","",VLOOKUP(C249,'Student Roster'!A:C,3,FALSE))</f>
        <v/>
      </c>
      <c r="F249" s="5"/>
      <c r="G249" s="5"/>
      <c r="H249" s="5"/>
      <c r="I249" s="5"/>
      <c r="J249" s="5"/>
      <c r="K249" s="5"/>
      <c r="L249" s="5"/>
      <c r="M249" s="5"/>
      <c r="N249" s="5"/>
      <c r="O249" s="5"/>
      <c r="P249" s="5"/>
      <c r="Q249" s="5"/>
    </row>
    <row r="250" spans="1:17" s="1" customFormat="1" ht="18" customHeight="1" x14ac:dyDescent="0.45">
      <c r="A250" s="7"/>
      <c r="B250" s="7"/>
      <c r="C250" s="7"/>
      <c r="D250" s="9" t="str">
        <f>IF(C250="","",VLOOKUP(C250,'Student Roster'!A:C,2,FALSE))</f>
        <v/>
      </c>
      <c r="E250" s="9" t="str">
        <f>IF(C250="","",VLOOKUP(C250,'Student Roster'!A:C,3,FALSE))</f>
        <v/>
      </c>
      <c r="F250" s="7"/>
      <c r="G250" s="7"/>
      <c r="H250" s="7"/>
      <c r="I250" s="7"/>
      <c r="J250" s="7"/>
      <c r="K250" s="7"/>
      <c r="L250" s="7"/>
      <c r="M250" s="7"/>
      <c r="N250" s="7"/>
      <c r="O250" s="7"/>
      <c r="P250" s="7"/>
      <c r="Q250" s="7"/>
    </row>
    <row r="251" spans="1:17" s="1" customFormat="1" ht="18" customHeight="1" x14ac:dyDescent="0.45">
      <c r="A251" s="5"/>
      <c r="B251" s="5"/>
      <c r="C251" s="5"/>
      <c r="D251" s="9" t="str">
        <f>IF(C251="","",VLOOKUP(C251,'Student Roster'!A:C,2,FALSE))</f>
        <v/>
      </c>
      <c r="E251" s="9" t="str">
        <f>IF(C251="","",VLOOKUP(C251,'Student Roster'!A:C,3,FALSE))</f>
        <v/>
      </c>
      <c r="F251" s="5"/>
      <c r="G251" s="5"/>
      <c r="H251" s="5"/>
      <c r="I251" s="5"/>
      <c r="J251" s="5"/>
      <c r="K251" s="5"/>
      <c r="L251" s="5"/>
      <c r="M251" s="5"/>
      <c r="N251" s="5"/>
      <c r="O251" s="5"/>
      <c r="P251" s="5"/>
      <c r="Q251" s="5"/>
    </row>
    <row r="252" spans="1:17" s="1" customFormat="1" ht="18" customHeight="1" x14ac:dyDescent="0.45">
      <c r="A252" s="7"/>
      <c r="B252" s="7"/>
      <c r="C252" s="7"/>
      <c r="D252" s="9" t="str">
        <f>IF(C252="","",VLOOKUP(C252,'Student Roster'!A:C,2,FALSE))</f>
        <v/>
      </c>
      <c r="E252" s="9" t="str">
        <f>IF(C252="","",VLOOKUP(C252,'Student Roster'!A:C,3,FALSE))</f>
        <v/>
      </c>
      <c r="F252" s="7"/>
      <c r="G252" s="7"/>
      <c r="H252" s="7"/>
      <c r="I252" s="7"/>
      <c r="J252" s="7"/>
      <c r="K252" s="7"/>
      <c r="L252" s="7"/>
      <c r="M252" s="7"/>
      <c r="N252" s="7"/>
      <c r="O252" s="7"/>
      <c r="P252" s="7"/>
      <c r="Q252" s="7"/>
    </row>
    <row r="253" spans="1:17" s="1" customFormat="1" ht="18" customHeight="1" x14ac:dyDescent="0.45">
      <c r="A253" s="5"/>
      <c r="B253" s="5"/>
      <c r="C253" s="5"/>
      <c r="D253" s="9" t="str">
        <f>IF(C253="","",VLOOKUP(C253,'Student Roster'!A:C,2,FALSE))</f>
        <v/>
      </c>
      <c r="E253" s="9" t="str">
        <f>IF(C253="","",VLOOKUP(C253,'Student Roster'!A:C,3,FALSE))</f>
        <v/>
      </c>
      <c r="F253" s="5"/>
      <c r="G253" s="5"/>
      <c r="H253" s="5"/>
      <c r="I253" s="5"/>
      <c r="J253" s="5"/>
      <c r="K253" s="5"/>
      <c r="L253" s="5"/>
      <c r="M253" s="5"/>
      <c r="N253" s="5"/>
      <c r="O253" s="5"/>
      <c r="P253" s="5"/>
      <c r="Q253" s="5"/>
    </row>
    <row r="254" spans="1:17" s="1" customFormat="1" ht="18" customHeight="1" x14ac:dyDescent="0.45">
      <c r="A254" s="7"/>
      <c r="B254" s="7"/>
      <c r="C254" s="7"/>
      <c r="D254" s="9" t="str">
        <f>IF(C254="","",VLOOKUP(C254,'Student Roster'!A:C,2,FALSE))</f>
        <v/>
      </c>
      <c r="E254" s="9" t="str">
        <f>IF(C254="","",VLOOKUP(C254,'Student Roster'!A:C,3,FALSE))</f>
        <v/>
      </c>
      <c r="F254" s="7"/>
      <c r="G254" s="7"/>
      <c r="H254" s="7"/>
      <c r="I254" s="7"/>
      <c r="J254" s="7"/>
      <c r="K254" s="7"/>
      <c r="L254" s="7"/>
      <c r="M254" s="7"/>
      <c r="N254" s="7"/>
      <c r="O254" s="7"/>
      <c r="P254" s="7"/>
      <c r="Q254" s="7"/>
    </row>
    <row r="255" spans="1:17" s="1" customFormat="1" ht="18" customHeight="1" x14ac:dyDescent="0.45">
      <c r="A255" s="5"/>
      <c r="B255" s="5"/>
      <c r="C255" s="5"/>
      <c r="D255" s="9" t="str">
        <f>IF(C255="","",VLOOKUP(C255,'Student Roster'!A:C,2,FALSE))</f>
        <v/>
      </c>
      <c r="E255" s="9" t="str">
        <f>IF(C255="","",VLOOKUP(C255,'Student Roster'!A:C,3,FALSE))</f>
        <v/>
      </c>
      <c r="F255" s="5"/>
      <c r="G255" s="5"/>
      <c r="H255" s="5"/>
      <c r="I255" s="5"/>
      <c r="J255" s="5"/>
      <c r="K255" s="5"/>
      <c r="L255" s="5"/>
      <c r="M255" s="5"/>
      <c r="N255" s="5"/>
      <c r="O255" s="5"/>
      <c r="P255" s="5"/>
      <c r="Q255" s="5"/>
    </row>
    <row r="256" spans="1:17" s="1" customFormat="1" ht="18" customHeight="1" x14ac:dyDescent="0.45">
      <c r="A256" s="7"/>
      <c r="B256" s="7"/>
      <c r="C256" s="7"/>
      <c r="D256" s="9" t="str">
        <f>IF(C256="","",VLOOKUP(C256,'Student Roster'!A:C,2,FALSE))</f>
        <v/>
      </c>
      <c r="E256" s="9" t="str">
        <f>IF(C256="","",VLOOKUP(C256,'Student Roster'!A:C,3,FALSE))</f>
        <v/>
      </c>
      <c r="F256" s="7"/>
      <c r="G256" s="7"/>
      <c r="H256" s="7"/>
      <c r="I256" s="7"/>
      <c r="J256" s="7"/>
      <c r="K256" s="7"/>
      <c r="L256" s="7"/>
      <c r="M256" s="7"/>
      <c r="N256" s="7"/>
      <c r="O256" s="7"/>
      <c r="P256" s="7"/>
      <c r="Q256" s="7"/>
    </row>
    <row r="257" spans="1:17" s="1" customFormat="1" ht="18" customHeight="1" x14ac:dyDescent="0.45">
      <c r="A257" s="5"/>
      <c r="B257" s="5"/>
      <c r="C257" s="5"/>
      <c r="D257" s="9" t="str">
        <f>IF(C257="","",VLOOKUP(C257,'Student Roster'!A:C,2,FALSE))</f>
        <v/>
      </c>
      <c r="E257" s="9" t="str">
        <f>IF(C257="","",VLOOKUP(C257,'Student Roster'!A:C,3,FALSE))</f>
        <v/>
      </c>
      <c r="F257" s="5"/>
      <c r="G257" s="5"/>
      <c r="H257" s="5"/>
      <c r="I257" s="5"/>
      <c r="J257" s="5"/>
      <c r="K257" s="5"/>
      <c r="L257" s="5"/>
      <c r="M257" s="5"/>
      <c r="N257" s="5"/>
      <c r="O257" s="5"/>
      <c r="P257" s="5"/>
      <c r="Q257" s="5"/>
    </row>
    <row r="258" spans="1:17" s="1" customFormat="1" ht="18" customHeight="1" x14ac:dyDescent="0.45">
      <c r="A258" s="7"/>
      <c r="B258" s="7"/>
      <c r="C258" s="7"/>
      <c r="D258" s="9" t="str">
        <f>IF(C258="","",VLOOKUP(C258,'Student Roster'!A:C,2,FALSE))</f>
        <v/>
      </c>
      <c r="E258" s="9" t="str">
        <f>IF(C258="","",VLOOKUP(C258,'Student Roster'!A:C,3,FALSE))</f>
        <v/>
      </c>
      <c r="F258" s="7"/>
      <c r="G258" s="7"/>
      <c r="H258" s="7"/>
      <c r="I258" s="7"/>
      <c r="J258" s="7"/>
      <c r="K258" s="7"/>
      <c r="L258" s="7"/>
      <c r="M258" s="7"/>
      <c r="N258" s="7"/>
      <c r="O258" s="7"/>
      <c r="P258" s="7"/>
      <c r="Q258" s="7"/>
    </row>
    <row r="259" spans="1:17" s="1" customFormat="1" ht="18" customHeight="1" x14ac:dyDescent="0.45">
      <c r="A259" s="5"/>
      <c r="B259" s="5"/>
      <c r="C259" s="5"/>
      <c r="D259" s="9" t="str">
        <f>IF(C259="","",VLOOKUP(C259,'Student Roster'!A:C,2,FALSE))</f>
        <v/>
      </c>
      <c r="E259" s="9" t="str">
        <f>IF(C259="","",VLOOKUP(C259,'Student Roster'!A:C,3,FALSE))</f>
        <v/>
      </c>
      <c r="F259" s="5"/>
      <c r="G259" s="5"/>
      <c r="H259" s="5"/>
      <c r="I259" s="5"/>
      <c r="J259" s="5"/>
      <c r="K259" s="5"/>
      <c r="L259" s="5"/>
      <c r="M259" s="5"/>
      <c r="N259" s="5"/>
      <c r="O259" s="5"/>
      <c r="P259" s="5"/>
      <c r="Q259" s="5"/>
    </row>
    <row r="260" spans="1:17" s="1" customFormat="1" ht="18" customHeight="1" x14ac:dyDescent="0.45">
      <c r="A260" s="7"/>
      <c r="B260" s="7"/>
      <c r="C260" s="7"/>
      <c r="D260" s="9" t="str">
        <f>IF(C260="","",VLOOKUP(C260,'Student Roster'!A:C,2,FALSE))</f>
        <v/>
      </c>
      <c r="E260" s="9" t="str">
        <f>IF(C260="","",VLOOKUP(C260,'Student Roster'!A:C,3,FALSE))</f>
        <v/>
      </c>
      <c r="F260" s="7"/>
      <c r="G260" s="7"/>
      <c r="H260" s="7"/>
      <c r="I260" s="7"/>
      <c r="J260" s="7"/>
      <c r="K260" s="7"/>
      <c r="L260" s="7"/>
      <c r="M260" s="7"/>
      <c r="N260" s="7"/>
      <c r="O260" s="7"/>
      <c r="P260" s="7"/>
      <c r="Q260" s="7"/>
    </row>
    <row r="261" spans="1:17" s="1" customFormat="1" ht="18" customHeight="1" x14ac:dyDescent="0.45">
      <c r="A261" s="5"/>
      <c r="B261" s="5"/>
      <c r="C261" s="5"/>
      <c r="D261" s="9" t="str">
        <f>IF(C261="","",VLOOKUP(C261,'Student Roster'!A:C,2,FALSE))</f>
        <v/>
      </c>
      <c r="E261" s="9" t="str">
        <f>IF(C261="","",VLOOKUP(C261,'Student Roster'!A:C,3,FALSE))</f>
        <v/>
      </c>
      <c r="F261" s="5"/>
      <c r="G261" s="5"/>
      <c r="H261" s="5"/>
      <c r="I261" s="5"/>
      <c r="J261" s="5"/>
      <c r="K261" s="5"/>
      <c r="L261" s="5"/>
      <c r="M261" s="5"/>
      <c r="N261" s="5"/>
      <c r="O261" s="5"/>
      <c r="P261" s="5"/>
      <c r="Q261" s="5"/>
    </row>
    <row r="262" spans="1:17" s="1" customFormat="1" ht="18" customHeight="1" x14ac:dyDescent="0.45">
      <c r="A262" s="7"/>
      <c r="B262" s="7"/>
      <c r="C262" s="7"/>
      <c r="D262" s="9" t="str">
        <f>IF(C262="","",VLOOKUP(C262,'Student Roster'!A:C,2,FALSE))</f>
        <v/>
      </c>
      <c r="E262" s="9" t="str">
        <f>IF(C262="","",VLOOKUP(C262,'Student Roster'!A:C,3,FALSE))</f>
        <v/>
      </c>
      <c r="F262" s="7"/>
      <c r="G262" s="7"/>
      <c r="H262" s="7"/>
      <c r="I262" s="7"/>
      <c r="J262" s="7"/>
      <c r="K262" s="7"/>
      <c r="L262" s="7"/>
      <c r="M262" s="7"/>
      <c r="N262" s="7"/>
      <c r="O262" s="7"/>
      <c r="P262" s="7"/>
      <c r="Q262" s="7"/>
    </row>
    <row r="263" spans="1:17" s="1" customFormat="1" ht="18" customHeight="1" x14ac:dyDescent="0.45">
      <c r="A263" s="5"/>
      <c r="B263" s="5"/>
      <c r="C263" s="5"/>
      <c r="D263" s="9" t="str">
        <f>IF(C263="","",VLOOKUP(C263,'Student Roster'!A:C,2,FALSE))</f>
        <v/>
      </c>
      <c r="E263" s="9" t="str">
        <f>IF(C263="","",VLOOKUP(C263,'Student Roster'!A:C,3,FALSE))</f>
        <v/>
      </c>
      <c r="F263" s="5"/>
      <c r="G263" s="5"/>
      <c r="H263" s="5"/>
      <c r="I263" s="5"/>
      <c r="J263" s="5"/>
      <c r="K263" s="5"/>
      <c r="L263" s="5"/>
      <c r="M263" s="5"/>
      <c r="N263" s="5"/>
      <c r="O263" s="5"/>
      <c r="P263" s="5"/>
      <c r="Q263" s="5"/>
    </row>
    <row r="264" spans="1:17" s="1" customFormat="1" ht="18" customHeight="1" x14ac:dyDescent="0.45">
      <c r="A264" s="7"/>
      <c r="B264" s="7"/>
      <c r="C264" s="7"/>
      <c r="D264" s="9" t="str">
        <f>IF(C264="","",VLOOKUP(C264,'Student Roster'!A:C,2,FALSE))</f>
        <v/>
      </c>
      <c r="E264" s="9" t="str">
        <f>IF(C264="","",VLOOKUP(C264,'Student Roster'!A:C,3,FALSE))</f>
        <v/>
      </c>
      <c r="F264" s="7"/>
      <c r="G264" s="7"/>
      <c r="H264" s="7"/>
      <c r="I264" s="7"/>
      <c r="J264" s="7"/>
      <c r="K264" s="7"/>
      <c r="L264" s="7"/>
      <c r="M264" s="7"/>
      <c r="N264" s="7"/>
      <c r="O264" s="7"/>
      <c r="P264" s="7"/>
      <c r="Q264" s="7"/>
    </row>
    <row r="265" spans="1:17" s="1" customFormat="1" ht="18" customHeight="1" x14ac:dyDescent="0.45">
      <c r="A265" s="5"/>
      <c r="B265" s="5"/>
      <c r="C265" s="5"/>
      <c r="D265" s="9" t="str">
        <f>IF(C265="","",VLOOKUP(C265,'Student Roster'!A:C,2,FALSE))</f>
        <v/>
      </c>
      <c r="E265" s="9" t="str">
        <f>IF(C265="","",VLOOKUP(C265,'Student Roster'!A:C,3,FALSE))</f>
        <v/>
      </c>
      <c r="F265" s="5"/>
      <c r="G265" s="5"/>
      <c r="H265" s="5"/>
      <c r="I265" s="5"/>
      <c r="J265" s="5"/>
      <c r="K265" s="5"/>
      <c r="L265" s="5"/>
      <c r="M265" s="5"/>
      <c r="N265" s="5"/>
      <c r="O265" s="5"/>
      <c r="P265" s="5"/>
      <c r="Q265" s="5"/>
    </row>
    <row r="266" spans="1:17" s="1" customFormat="1" ht="18" customHeight="1" x14ac:dyDescent="0.45">
      <c r="A266" s="7"/>
      <c r="B266" s="7"/>
      <c r="C266" s="7"/>
      <c r="D266" s="9" t="str">
        <f>IF(C266="","",VLOOKUP(C266,'Student Roster'!A:C,2,FALSE))</f>
        <v/>
      </c>
      <c r="E266" s="9" t="str">
        <f>IF(C266="","",VLOOKUP(C266,'Student Roster'!A:C,3,FALSE))</f>
        <v/>
      </c>
      <c r="F266" s="7"/>
      <c r="G266" s="7"/>
      <c r="H266" s="7"/>
      <c r="I266" s="7"/>
      <c r="J266" s="7"/>
      <c r="K266" s="7"/>
      <c r="L266" s="7"/>
      <c r="M266" s="7"/>
      <c r="N266" s="7"/>
      <c r="O266" s="7"/>
      <c r="P266" s="7"/>
      <c r="Q266" s="7"/>
    </row>
    <row r="267" spans="1:17" s="1" customFormat="1" ht="18" customHeight="1" x14ac:dyDescent="0.45">
      <c r="A267" s="5"/>
      <c r="B267" s="5"/>
      <c r="C267" s="5"/>
      <c r="D267" s="9" t="str">
        <f>IF(C267="","",VLOOKUP(C267,'Student Roster'!A:C,2,FALSE))</f>
        <v/>
      </c>
      <c r="E267" s="9" t="str">
        <f>IF(C267="","",VLOOKUP(C267,'Student Roster'!A:C,3,FALSE))</f>
        <v/>
      </c>
      <c r="F267" s="5"/>
      <c r="G267" s="5"/>
      <c r="H267" s="5"/>
      <c r="I267" s="5"/>
      <c r="J267" s="5"/>
      <c r="K267" s="5"/>
      <c r="L267" s="5"/>
      <c r="M267" s="5"/>
      <c r="N267" s="5"/>
      <c r="O267" s="5"/>
      <c r="P267" s="5"/>
      <c r="Q267" s="5"/>
    </row>
    <row r="268" spans="1:17" s="1" customFormat="1" ht="18" customHeight="1" x14ac:dyDescent="0.45">
      <c r="A268" s="7"/>
      <c r="B268" s="7"/>
      <c r="C268" s="7"/>
      <c r="D268" s="9" t="str">
        <f>IF(C268="","",VLOOKUP(C268,'Student Roster'!A:C,2,FALSE))</f>
        <v/>
      </c>
      <c r="E268" s="9" t="str">
        <f>IF(C268="","",VLOOKUP(C268,'Student Roster'!A:C,3,FALSE))</f>
        <v/>
      </c>
      <c r="F268" s="7"/>
      <c r="G268" s="7"/>
      <c r="H268" s="7"/>
      <c r="I268" s="7"/>
      <c r="J268" s="7"/>
      <c r="K268" s="7"/>
      <c r="L268" s="7"/>
      <c r="M268" s="7"/>
      <c r="N268" s="7"/>
      <c r="O268" s="7"/>
      <c r="P268" s="7"/>
      <c r="Q268" s="7"/>
    </row>
    <row r="269" spans="1:17" s="1" customFormat="1" ht="18" customHeight="1" x14ac:dyDescent="0.45">
      <c r="A269" s="5"/>
      <c r="B269" s="5"/>
      <c r="C269" s="5"/>
      <c r="D269" s="9" t="str">
        <f>IF(C269="","",VLOOKUP(C269,'Student Roster'!A:C,2,FALSE))</f>
        <v/>
      </c>
      <c r="E269" s="9" t="str">
        <f>IF(C269="","",VLOOKUP(C269,'Student Roster'!A:C,3,FALSE))</f>
        <v/>
      </c>
      <c r="F269" s="5"/>
      <c r="G269" s="5"/>
      <c r="H269" s="5"/>
      <c r="I269" s="5"/>
      <c r="J269" s="5"/>
      <c r="K269" s="5"/>
      <c r="L269" s="5"/>
      <c r="M269" s="5"/>
      <c r="N269" s="5"/>
      <c r="O269" s="5"/>
      <c r="P269" s="5"/>
      <c r="Q269" s="5"/>
    </row>
    <row r="270" spans="1:17" s="1" customFormat="1" ht="18" customHeight="1" x14ac:dyDescent="0.45">
      <c r="A270" s="7"/>
      <c r="B270" s="7"/>
      <c r="C270" s="7"/>
      <c r="D270" s="9" t="str">
        <f>IF(C270="","",VLOOKUP(C270,'Student Roster'!A:C,2,FALSE))</f>
        <v/>
      </c>
      <c r="E270" s="9" t="str">
        <f>IF(C270="","",VLOOKUP(C270,'Student Roster'!A:C,3,FALSE))</f>
        <v/>
      </c>
      <c r="F270" s="7"/>
      <c r="G270" s="7"/>
      <c r="H270" s="7"/>
      <c r="I270" s="7"/>
      <c r="J270" s="7"/>
      <c r="K270" s="7"/>
      <c r="L270" s="7"/>
      <c r="M270" s="7"/>
      <c r="N270" s="7"/>
      <c r="O270" s="7"/>
      <c r="P270" s="7"/>
      <c r="Q270" s="7"/>
    </row>
    <row r="271" spans="1:17" s="1" customFormat="1" ht="18" customHeight="1" x14ac:dyDescent="0.45">
      <c r="A271" s="5"/>
      <c r="B271" s="5"/>
      <c r="C271" s="5"/>
      <c r="D271" s="9" t="str">
        <f>IF(C271="","",VLOOKUP(C271,'Student Roster'!A:C,2,FALSE))</f>
        <v/>
      </c>
      <c r="E271" s="9" t="str">
        <f>IF(C271="","",VLOOKUP(C271,'Student Roster'!A:C,3,FALSE))</f>
        <v/>
      </c>
      <c r="F271" s="5"/>
      <c r="G271" s="5"/>
      <c r="H271" s="5"/>
      <c r="I271" s="5"/>
      <c r="J271" s="5"/>
      <c r="K271" s="5"/>
      <c r="L271" s="5"/>
      <c r="M271" s="5"/>
      <c r="N271" s="5"/>
      <c r="O271" s="5"/>
      <c r="P271" s="5"/>
      <c r="Q271" s="5"/>
    </row>
    <row r="272" spans="1:17" s="1" customFormat="1" ht="18" customHeight="1" x14ac:dyDescent="0.45">
      <c r="A272" s="7"/>
      <c r="B272" s="7"/>
      <c r="C272" s="7"/>
      <c r="D272" s="9" t="str">
        <f>IF(C272="","",VLOOKUP(C272,'Student Roster'!A:C,2,FALSE))</f>
        <v/>
      </c>
      <c r="E272" s="9" t="str">
        <f>IF(C272="","",VLOOKUP(C272,'Student Roster'!A:C,3,FALSE))</f>
        <v/>
      </c>
      <c r="F272" s="7"/>
      <c r="G272" s="7"/>
      <c r="H272" s="7"/>
      <c r="I272" s="7"/>
      <c r="J272" s="7"/>
      <c r="K272" s="7"/>
      <c r="L272" s="7"/>
      <c r="M272" s="7"/>
      <c r="N272" s="7"/>
      <c r="O272" s="7"/>
      <c r="P272" s="7"/>
      <c r="Q272" s="7"/>
    </row>
    <row r="273" spans="1:17" s="1" customFormat="1" ht="18" customHeight="1" x14ac:dyDescent="0.45">
      <c r="A273" s="5"/>
      <c r="B273" s="5"/>
      <c r="C273" s="5"/>
      <c r="D273" s="9" t="str">
        <f>IF(C273="","",VLOOKUP(C273,'Student Roster'!A:C,2,FALSE))</f>
        <v/>
      </c>
      <c r="E273" s="9" t="str">
        <f>IF(C273="","",VLOOKUP(C273,'Student Roster'!A:C,3,FALSE))</f>
        <v/>
      </c>
      <c r="F273" s="5"/>
      <c r="G273" s="5"/>
      <c r="H273" s="5"/>
      <c r="I273" s="5"/>
      <c r="J273" s="5"/>
      <c r="K273" s="5"/>
      <c r="L273" s="5"/>
      <c r="M273" s="5"/>
      <c r="N273" s="5"/>
      <c r="O273" s="5"/>
      <c r="P273" s="5"/>
      <c r="Q273" s="5"/>
    </row>
    <row r="274" spans="1:17" s="1" customFormat="1" ht="18" customHeight="1" x14ac:dyDescent="0.45">
      <c r="A274" s="7"/>
      <c r="B274" s="7"/>
      <c r="C274" s="7"/>
      <c r="D274" s="9" t="str">
        <f>IF(C274="","",VLOOKUP(C274,'Student Roster'!A:C,2,FALSE))</f>
        <v/>
      </c>
      <c r="E274" s="9" t="str">
        <f>IF(C274="","",VLOOKUP(C274,'Student Roster'!A:C,3,FALSE))</f>
        <v/>
      </c>
      <c r="F274" s="7"/>
      <c r="G274" s="7"/>
      <c r="H274" s="7"/>
      <c r="I274" s="7"/>
      <c r="J274" s="7"/>
      <c r="K274" s="7"/>
      <c r="L274" s="7"/>
      <c r="M274" s="7"/>
      <c r="N274" s="7"/>
      <c r="O274" s="7"/>
      <c r="P274" s="7"/>
      <c r="Q274" s="7"/>
    </row>
    <row r="275" spans="1:17" s="1" customFormat="1" ht="18" customHeight="1" x14ac:dyDescent="0.45">
      <c r="A275" s="5"/>
      <c r="B275" s="5"/>
      <c r="C275" s="5"/>
      <c r="D275" s="9" t="str">
        <f>IF(C275="","",VLOOKUP(C275,'Student Roster'!A:C,2,FALSE))</f>
        <v/>
      </c>
      <c r="E275" s="9" t="str">
        <f>IF(C275="","",VLOOKUP(C275,'Student Roster'!A:C,3,FALSE))</f>
        <v/>
      </c>
      <c r="F275" s="5"/>
      <c r="G275" s="5"/>
      <c r="H275" s="5"/>
      <c r="I275" s="5"/>
      <c r="J275" s="5"/>
      <c r="K275" s="5"/>
      <c r="L275" s="5"/>
      <c r="M275" s="5"/>
      <c r="N275" s="5"/>
      <c r="O275" s="5"/>
      <c r="P275" s="5"/>
      <c r="Q275" s="5"/>
    </row>
    <row r="276" spans="1:17" s="1" customFormat="1" ht="18" customHeight="1" x14ac:dyDescent="0.45">
      <c r="A276" s="7"/>
      <c r="B276" s="7"/>
      <c r="C276" s="7"/>
      <c r="D276" s="9" t="str">
        <f>IF(C276="","",VLOOKUP(C276,'Student Roster'!A:C,2,FALSE))</f>
        <v/>
      </c>
      <c r="E276" s="9" t="str">
        <f>IF(C276="","",VLOOKUP(C276,'Student Roster'!A:C,3,FALSE))</f>
        <v/>
      </c>
      <c r="F276" s="7"/>
      <c r="G276" s="7"/>
      <c r="H276" s="7"/>
      <c r="I276" s="7"/>
      <c r="J276" s="7"/>
      <c r="K276" s="7"/>
      <c r="L276" s="7"/>
      <c r="M276" s="7"/>
      <c r="N276" s="7"/>
      <c r="O276" s="7"/>
      <c r="P276" s="7"/>
      <c r="Q276" s="7"/>
    </row>
    <row r="277" spans="1:17" s="1" customFormat="1" ht="18" customHeight="1" x14ac:dyDescent="0.45">
      <c r="A277" s="5"/>
      <c r="B277" s="5"/>
      <c r="C277" s="5"/>
      <c r="D277" s="9" t="str">
        <f>IF(C277="","",VLOOKUP(C277,'Student Roster'!A:C,2,FALSE))</f>
        <v/>
      </c>
      <c r="E277" s="9" t="str">
        <f>IF(C277="","",VLOOKUP(C277,'Student Roster'!A:C,3,FALSE))</f>
        <v/>
      </c>
      <c r="F277" s="5"/>
      <c r="G277" s="5"/>
      <c r="H277" s="5"/>
      <c r="I277" s="5"/>
      <c r="J277" s="5"/>
      <c r="K277" s="5"/>
      <c r="L277" s="5"/>
      <c r="M277" s="5"/>
      <c r="N277" s="5"/>
      <c r="O277" s="5"/>
      <c r="P277" s="5"/>
      <c r="Q277" s="5"/>
    </row>
    <row r="278" spans="1:17" s="1" customFormat="1" ht="18" customHeight="1" x14ac:dyDescent="0.45">
      <c r="A278" s="7"/>
      <c r="B278" s="7"/>
      <c r="C278" s="7"/>
      <c r="D278" s="9" t="str">
        <f>IF(C278="","",VLOOKUP(C278,'Student Roster'!A:C,2,FALSE))</f>
        <v/>
      </c>
      <c r="E278" s="9" t="str">
        <f>IF(C278="","",VLOOKUP(C278,'Student Roster'!A:C,3,FALSE))</f>
        <v/>
      </c>
      <c r="F278" s="7"/>
      <c r="G278" s="7"/>
      <c r="H278" s="7"/>
      <c r="I278" s="7"/>
      <c r="J278" s="7"/>
      <c r="K278" s="7"/>
      <c r="L278" s="7"/>
      <c r="M278" s="7"/>
      <c r="N278" s="7"/>
      <c r="O278" s="7"/>
      <c r="P278" s="7"/>
      <c r="Q278" s="7"/>
    </row>
    <row r="279" spans="1:17" s="1" customFormat="1" ht="18" customHeight="1" x14ac:dyDescent="0.45">
      <c r="A279" s="5"/>
      <c r="B279" s="5"/>
      <c r="C279" s="5"/>
      <c r="D279" s="9" t="str">
        <f>IF(C279="","",VLOOKUP(C279,'Student Roster'!A:C,2,FALSE))</f>
        <v/>
      </c>
      <c r="E279" s="9" t="str">
        <f>IF(C279="","",VLOOKUP(C279,'Student Roster'!A:C,3,FALSE))</f>
        <v/>
      </c>
      <c r="F279" s="5"/>
      <c r="G279" s="5"/>
      <c r="H279" s="5"/>
      <c r="I279" s="5"/>
      <c r="J279" s="5"/>
      <c r="K279" s="5"/>
      <c r="L279" s="5"/>
      <c r="M279" s="5"/>
      <c r="N279" s="5"/>
      <c r="O279" s="5"/>
      <c r="P279" s="5"/>
      <c r="Q279" s="5"/>
    </row>
    <row r="280" spans="1:17" s="1" customFormat="1" ht="18" customHeight="1" x14ac:dyDescent="0.45">
      <c r="A280" s="7"/>
      <c r="B280" s="7"/>
      <c r="C280" s="7"/>
      <c r="D280" s="9" t="str">
        <f>IF(C280="","",VLOOKUP(C280,'Student Roster'!A:C,2,FALSE))</f>
        <v/>
      </c>
      <c r="E280" s="9" t="str">
        <f>IF(C280="","",VLOOKUP(C280,'Student Roster'!A:C,3,FALSE))</f>
        <v/>
      </c>
      <c r="F280" s="7"/>
      <c r="G280" s="7"/>
      <c r="H280" s="7"/>
      <c r="I280" s="7"/>
      <c r="J280" s="7"/>
      <c r="K280" s="7"/>
      <c r="L280" s="7"/>
      <c r="M280" s="7"/>
      <c r="N280" s="7"/>
      <c r="O280" s="7"/>
      <c r="P280" s="7"/>
      <c r="Q280" s="7"/>
    </row>
    <row r="281" spans="1:17" s="1" customFormat="1" ht="18" customHeight="1" x14ac:dyDescent="0.45">
      <c r="A281" s="5"/>
      <c r="B281" s="5"/>
      <c r="C281" s="5"/>
      <c r="D281" s="9" t="str">
        <f>IF(C281="","",VLOOKUP(C281,'Student Roster'!A:C,2,FALSE))</f>
        <v/>
      </c>
      <c r="E281" s="9" t="str">
        <f>IF(C281="","",VLOOKUP(C281,'Student Roster'!A:C,3,FALSE))</f>
        <v/>
      </c>
      <c r="F281" s="5"/>
      <c r="G281" s="5"/>
      <c r="H281" s="5"/>
      <c r="I281" s="5"/>
      <c r="J281" s="5"/>
      <c r="K281" s="5"/>
      <c r="L281" s="5"/>
      <c r="M281" s="5"/>
      <c r="N281" s="5"/>
      <c r="O281" s="5"/>
      <c r="P281" s="5"/>
      <c r="Q281" s="5"/>
    </row>
    <row r="282" spans="1:17" s="1" customFormat="1" ht="18" customHeight="1" x14ac:dyDescent="0.45">
      <c r="A282" s="7"/>
      <c r="B282" s="7"/>
      <c r="C282" s="7"/>
      <c r="D282" s="9" t="str">
        <f>IF(C282="","",VLOOKUP(C282,'Student Roster'!A:C,2,FALSE))</f>
        <v/>
      </c>
      <c r="E282" s="9" t="str">
        <f>IF(C282="","",VLOOKUP(C282,'Student Roster'!A:C,3,FALSE))</f>
        <v/>
      </c>
      <c r="F282" s="7"/>
      <c r="G282" s="7"/>
      <c r="H282" s="7"/>
      <c r="I282" s="7"/>
      <c r="J282" s="7"/>
      <c r="K282" s="7"/>
      <c r="L282" s="7"/>
      <c r="M282" s="7"/>
      <c r="N282" s="7"/>
      <c r="O282" s="7"/>
      <c r="P282" s="7"/>
      <c r="Q282" s="7"/>
    </row>
    <row r="283" spans="1:17" s="1" customFormat="1" ht="18" customHeight="1" x14ac:dyDescent="0.45">
      <c r="A283" s="5"/>
      <c r="B283" s="5"/>
      <c r="C283" s="5"/>
      <c r="D283" s="9" t="str">
        <f>IF(C283="","",VLOOKUP(C283,'Student Roster'!A:C,2,FALSE))</f>
        <v/>
      </c>
      <c r="E283" s="9" t="str">
        <f>IF(C283="","",VLOOKUP(C283,'Student Roster'!A:C,3,FALSE))</f>
        <v/>
      </c>
      <c r="F283" s="5"/>
      <c r="G283" s="5"/>
      <c r="H283" s="5"/>
      <c r="I283" s="5"/>
      <c r="J283" s="5"/>
      <c r="K283" s="5"/>
      <c r="L283" s="5"/>
      <c r="M283" s="5"/>
      <c r="N283" s="5"/>
      <c r="O283" s="5"/>
      <c r="P283" s="5"/>
      <c r="Q283" s="5"/>
    </row>
    <row r="284" spans="1:17" s="1" customFormat="1" ht="18" customHeight="1" x14ac:dyDescent="0.45">
      <c r="A284" s="7"/>
      <c r="B284" s="7"/>
      <c r="C284" s="7"/>
      <c r="D284" s="9" t="str">
        <f>IF(C284="","",VLOOKUP(C284,'Student Roster'!A:C,2,FALSE))</f>
        <v/>
      </c>
      <c r="E284" s="9" t="str">
        <f>IF(C284="","",VLOOKUP(C284,'Student Roster'!A:C,3,FALSE))</f>
        <v/>
      </c>
      <c r="F284" s="7"/>
      <c r="G284" s="7"/>
      <c r="H284" s="7"/>
      <c r="I284" s="7"/>
      <c r="J284" s="7"/>
      <c r="K284" s="7"/>
      <c r="L284" s="7"/>
      <c r="M284" s="7"/>
      <c r="N284" s="7"/>
      <c r="O284" s="7"/>
      <c r="P284" s="7"/>
      <c r="Q284" s="7"/>
    </row>
    <row r="285" spans="1:17" s="1" customFormat="1" ht="18" customHeight="1" x14ac:dyDescent="0.45">
      <c r="A285" s="5"/>
      <c r="B285" s="5"/>
      <c r="C285" s="5"/>
      <c r="D285" s="9" t="str">
        <f>IF(C285="","",VLOOKUP(C285,'Student Roster'!A:C,2,FALSE))</f>
        <v/>
      </c>
      <c r="E285" s="9" t="str">
        <f>IF(C285="","",VLOOKUP(C285,'Student Roster'!A:C,3,FALSE))</f>
        <v/>
      </c>
      <c r="F285" s="5"/>
      <c r="G285" s="5"/>
      <c r="H285" s="5"/>
      <c r="I285" s="5"/>
      <c r="J285" s="5"/>
      <c r="K285" s="5"/>
      <c r="L285" s="5"/>
      <c r="M285" s="5"/>
      <c r="N285" s="5"/>
      <c r="O285" s="5"/>
      <c r="P285" s="5"/>
      <c r="Q285" s="5"/>
    </row>
    <row r="286" spans="1:17" s="1" customFormat="1" ht="18" customHeight="1" x14ac:dyDescent="0.45">
      <c r="A286" s="7"/>
      <c r="B286" s="7"/>
      <c r="C286" s="7"/>
      <c r="D286" s="9" t="str">
        <f>IF(C286="","",VLOOKUP(C286,'Student Roster'!A:C,2,FALSE))</f>
        <v/>
      </c>
      <c r="E286" s="9" t="str">
        <f>IF(C286="","",VLOOKUP(C286,'Student Roster'!A:C,3,FALSE))</f>
        <v/>
      </c>
      <c r="F286" s="7"/>
      <c r="G286" s="7"/>
      <c r="H286" s="7"/>
      <c r="I286" s="7"/>
      <c r="J286" s="7"/>
      <c r="K286" s="7"/>
      <c r="L286" s="7"/>
      <c r="M286" s="7"/>
      <c r="N286" s="7"/>
      <c r="O286" s="7"/>
      <c r="P286" s="7"/>
      <c r="Q286" s="7"/>
    </row>
    <row r="287" spans="1:17" s="1" customFormat="1" ht="18" customHeight="1" x14ac:dyDescent="0.45">
      <c r="A287" s="5"/>
      <c r="B287" s="5"/>
      <c r="C287" s="5"/>
      <c r="D287" s="9" t="str">
        <f>IF(C287="","",VLOOKUP(C287,'Student Roster'!A:C,2,FALSE))</f>
        <v/>
      </c>
      <c r="E287" s="9" t="str">
        <f>IF(C287="","",VLOOKUP(C287,'Student Roster'!A:C,3,FALSE))</f>
        <v/>
      </c>
      <c r="F287" s="5"/>
      <c r="G287" s="5"/>
      <c r="H287" s="5"/>
      <c r="I287" s="5"/>
      <c r="J287" s="5"/>
      <c r="K287" s="5"/>
      <c r="L287" s="5"/>
      <c r="M287" s="5"/>
      <c r="N287" s="5"/>
      <c r="O287" s="5"/>
      <c r="P287" s="5"/>
      <c r="Q287" s="5"/>
    </row>
    <row r="288" spans="1:17" s="1" customFormat="1" ht="18" customHeight="1" x14ac:dyDescent="0.45">
      <c r="A288" s="7"/>
      <c r="B288" s="7"/>
      <c r="C288" s="7"/>
      <c r="D288" s="9" t="str">
        <f>IF(C288="","",VLOOKUP(C288,'Student Roster'!A:C,2,FALSE))</f>
        <v/>
      </c>
      <c r="E288" s="9" t="str">
        <f>IF(C288="","",VLOOKUP(C288,'Student Roster'!A:C,3,FALSE))</f>
        <v/>
      </c>
      <c r="F288" s="7"/>
      <c r="G288" s="7"/>
      <c r="H288" s="7"/>
      <c r="I288" s="7"/>
      <c r="J288" s="7"/>
      <c r="K288" s="7"/>
      <c r="L288" s="7"/>
      <c r="M288" s="7"/>
      <c r="N288" s="7"/>
      <c r="O288" s="7"/>
      <c r="P288" s="7"/>
      <c r="Q288" s="7"/>
    </row>
    <row r="289" spans="1:17" s="1" customFormat="1" ht="18" customHeight="1" x14ac:dyDescent="0.45">
      <c r="A289" s="5"/>
      <c r="B289" s="5"/>
      <c r="C289" s="5"/>
      <c r="D289" s="9" t="str">
        <f>IF(C289="","",VLOOKUP(C289,'Student Roster'!A:C,2,FALSE))</f>
        <v/>
      </c>
      <c r="E289" s="9" t="str">
        <f>IF(C289="","",VLOOKUP(C289,'Student Roster'!A:C,3,FALSE))</f>
        <v/>
      </c>
      <c r="F289" s="5"/>
      <c r="G289" s="5"/>
      <c r="H289" s="5"/>
      <c r="I289" s="5"/>
      <c r="J289" s="5"/>
      <c r="K289" s="5"/>
      <c r="L289" s="5"/>
      <c r="M289" s="5"/>
      <c r="N289" s="5"/>
      <c r="O289" s="5"/>
      <c r="P289" s="5"/>
      <c r="Q289" s="5"/>
    </row>
    <row r="290" spans="1:17" s="1" customFormat="1" ht="18" customHeight="1" x14ac:dyDescent="0.45">
      <c r="A290" s="7"/>
      <c r="B290" s="7"/>
      <c r="C290" s="7"/>
      <c r="D290" s="9" t="str">
        <f>IF(C290="","",VLOOKUP(C290,'Student Roster'!A:C,2,FALSE))</f>
        <v/>
      </c>
      <c r="E290" s="9" t="str">
        <f>IF(C290="","",VLOOKUP(C290,'Student Roster'!A:C,3,FALSE))</f>
        <v/>
      </c>
      <c r="F290" s="7"/>
      <c r="G290" s="7"/>
      <c r="H290" s="7"/>
      <c r="I290" s="7"/>
      <c r="J290" s="7"/>
      <c r="K290" s="7"/>
      <c r="L290" s="7"/>
      <c r="M290" s="7"/>
      <c r="N290" s="7"/>
      <c r="O290" s="7"/>
      <c r="P290" s="7"/>
      <c r="Q290" s="7"/>
    </row>
    <row r="291" spans="1:17" s="1" customFormat="1" ht="18" customHeight="1" x14ac:dyDescent="0.45">
      <c r="A291" s="5"/>
      <c r="B291" s="5"/>
      <c r="C291" s="5"/>
      <c r="D291" s="9" t="str">
        <f>IF(C291="","",VLOOKUP(C291,'Student Roster'!A:C,2,FALSE))</f>
        <v/>
      </c>
      <c r="E291" s="9" t="str">
        <f>IF(C291="","",VLOOKUP(C291,'Student Roster'!A:C,3,FALSE))</f>
        <v/>
      </c>
      <c r="F291" s="5"/>
      <c r="G291" s="5"/>
      <c r="H291" s="5"/>
      <c r="I291" s="5"/>
      <c r="J291" s="5"/>
      <c r="K291" s="5"/>
      <c r="L291" s="5"/>
      <c r="M291" s="5"/>
      <c r="N291" s="5"/>
      <c r="O291" s="5"/>
      <c r="P291" s="5"/>
      <c r="Q291" s="5"/>
    </row>
    <row r="292" spans="1:17" s="1" customFormat="1" ht="18" customHeight="1" x14ac:dyDescent="0.45">
      <c r="A292" s="7"/>
      <c r="B292" s="7"/>
      <c r="C292" s="7"/>
      <c r="D292" s="9" t="str">
        <f>IF(C292="","",VLOOKUP(C292,'Student Roster'!A:C,2,FALSE))</f>
        <v/>
      </c>
      <c r="E292" s="9" t="str">
        <f>IF(C292="","",VLOOKUP(C292,'Student Roster'!A:C,3,FALSE))</f>
        <v/>
      </c>
      <c r="F292" s="7"/>
      <c r="G292" s="7"/>
      <c r="H292" s="7"/>
      <c r="I292" s="7"/>
      <c r="J292" s="7"/>
      <c r="K292" s="7"/>
      <c r="L292" s="7"/>
      <c r="M292" s="7"/>
      <c r="N292" s="7"/>
      <c r="O292" s="7"/>
      <c r="P292" s="7"/>
      <c r="Q292" s="7"/>
    </row>
    <row r="293" spans="1:17" s="1" customFormat="1" ht="18" customHeight="1" x14ac:dyDescent="0.45">
      <c r="A293" s="5"/>
      <c r="B293" s="5"/>
      <c r="C293" s="5"/>
      <c r="D293" s="9" t="str">
        <f>IF(C293="","",VLOOKUP(C293,'Student Roster'!A:C,2,FALSE))</f>
        <v/>
      </c>
      <c r="E293" s="9" t="str">
        <f>IF(C293="","",VLOOKUP(C293,'Student Roster'!A:C,3,FALSE))</f>
        <v/>
      </c>
      <c r="F293" s="5"/>
      <c r="G293" s="5"/>
      <c r="H293" s="5"/>
      <c r="I293" s="5"/>
      <c r="J293" s="5"/>
      <c r="K293" s="5"/>
      <c r="L293" s="5"/>
      <c r="M293" s="5"/>
      <c r="N293" s="5"/>
      <c r="O293" s="5"/>
      <c r="P293" s="5"/>
      <c r="Q293" s="5"/>
    </row>
    <row r="294" spans="1:17" s="1" customFormat="1" ht="18" customHeight="1" x14ac:dyDescent="0.45">
      <c r="A294" s="7"/>
      <c r="B294" s="7"/>
      <c r="C294" s="7"/>
      <c r="D294" s="9" t="str">
        <f>IF(C294="","",VLOOKUP(C294,'Student Roster'!A:C,2,FALSE))</f>
        <v/>
      </c>
      <c r="E294" s="9" t="str">
        <f>IF(C294="","",VLOOKUP(C294,'Student Roster'!A:C,3,FALSE))</f>
        <v/>
      </c>
      <c r="F294" s="7"/>
      <c r="G294" s="7"/>
      <c r="H294" s="7"/>
      <c r="I294" s="7"/>
      <c r="J294" s="7"/>
      <c r="K294" s="7"/>
      <c r="L294" s="7"/>
      <c r="M294" s="7"/>
      <c r="N294" s="7"/>
      <c r="O294" s="7"/>
      <c r="P294" s="7"/>
      <c r="Q294" s="7"/>
    </row>
    <row r="295" spans="1:17" s="1" customFormat="1" ht="18" customHeight="1" x14ac:dyDescent="0.45">
      <c r="A295" s="5"/>
      <c r="B295" s="5"/>
      <c r="C295" s="5"/>
      <c r="D295" s="9" t="str">
        <f>IF(C295="","",VLOOKUP(C295,'Student Roster'!A:C,2,FALSE))</f>
        <v/>
      </c>
      <c r="E295" s="9" t="str">
        <f>IF(C295="","",VLOOKUP(C295,'Student Roster'!A:C,3,FALSE))</f>
        <v/>
      </c>
      <c r="F295" s="5"/>
      <c r="G295" s="5"/>
      <c r="H295" s="5"/>
      <c r="I295" s="5"/>
      <c r="J295" s="5"/>
      <c r="K295" s="5"/>
      <c r="L295" s="5"/>
      <c r="M295" s="5"/>
      <c r="N295" s="5"/>
      <c r="O295" s="5"/>
      <c r="P295" s="5"/>
      <c r="Q295" s="5"/>
    </row>
    <row r="296" spans="1:17" s="1" customFormat="1" ht="18" customHeight="1" x14ac:dyDescent="0.45">
      <c r="A296" s="7"/>
      <c r="B296" s="7"/>
      <c r="C296" s="7"/>
      <c r="D296" s="9" t="str">
        <f>IF(C296="","",VLOOKUP(C296,'Student Roster'!A:C,2,FALSE))</f>
        <v/>
      </c>
      <c r="E296" s="9" t="str">
        <f>IF(C296="","",VLOOKUP(C296,'Student Roster'!A:C,3,FALSE))</f>
        <v/>
      </c>
      <c r="F296" s="7"/>
      <c r="G296" s="7"/>
      <c r="H296" s="7"/>
      <c r="I296" s="7"/>
      <c r="J296" s="7"/>
      <c r="K296" s="7"/>
      <c r="L296" s="7"/>
      <c r="M296" s="7"/>
      <c r="N296" s="7"/>
      <c r="O296" s="7"/>
      <c r="P296" s="7"/>
      <c r="Q296" s="7"/>
    </row>
    <row r="297" spans="1:17" s="1" customFormat="1" ht="18" customHeight="1" x14ac:dyDescent="0.45">
      <c r="A297" s="5"/>
      <c r="B297" s="5"/>
      <c r="C297" s="5"/>
      <c r="D297" s="9" t="str">
        <f>IF(C297="","",VLOOKUP(C297,'Student Roster'!A:C,2,FALSE))</f>
        <v/>
      </c>
      <c r="E297" s="9" t="str">
        <f>IF(C297="","",VLOOKUP(C297,'Student Roster'!A:C,3,FALSE))</f>
        <v/>
      </c>
      <c r="F297" s="5"/>
      <c r="G297" s="5"/>
      <c r="H297" s="5"/>
      <c r="I297" s="5"/>
      <c r="J297" s="5"/>
      <c r="K297" s="5"/>
      <c r="L297" s="5"/>
      <c r="M297" s="5"/>
      <c r="N297" s="5"/>
      <c r="O297" s="5"/>
      <c r="P297" s="5"/>
      <c r="Q297" s="5"/>
    </row>
    <row r="298" spans="1:17" s="1" customFormat="1" ht="18" customHeight="1" x14ac:dyDescent="0.45">
      <c r="A298" s="7"/>
      <c r="B298" s="7"/>
      <c r="C298" s="7"/>
      <c r="D298" s="9" t="str">
        <f>IF(C298="","",VLOOKUP(C298,'Student Roster'!A:C,2,FALSE))</f>
        <v/>
      </c>
      <c r="E298" s="9" t="str">
        <f>IF(C298="","",VLOOKUP(C298,'Student Roster'!A:C,3,FALSE))</f>
        <v/>
      </c>
      <c r="F298" s="7"/>
      <c r="G298" s="7"/>
      <c r="H298" s="7"/>
      <c r="I298" s="7"/>
      <c r="J298" s="7"/>
      <c r="K298" s="7"/>
      <c r="L298" s="7"/>
      <c r="M298" s="7"/>
      <c r="N298" s="7"/>
      <c r="O298" s="7"/>
      <c r="P298" s="7"/>
      <c r="Q298" s="7"/>
    </row>
    <row r="299" spans="1:17" s="1" customFormat="1" ht="18" customHeight="1" x14ac:dyDescent="0.45">
      <c r="A299" s="5"/>
      <c r="B299" s="5"/>
      <c r="C299" s="5"/>
      <c r="D299" s="9" t="str">
        <f>IF(C299="","",VLOOKUP(C299,'Student Roster'!A:C,2,FALSE))</f>
        <v/>
      </c>
      <c r="E299" s="9" t="str">
        <f>IF(C299="","",VLOOKUP(C299,'Student Roster'!A:C,3,FALSE))</f>
        <v/>
      </c>
      <c r="F299" s="5"/>
      <c r="G299" s="5"/>
      <c r="H299" s="5"/>
      <c r="I299" s="5"/>
      <c r="J299" s="5"/>
      <c r="K299" s="5"/>
      <c r="L299" s="5"/>
      <c r="M299" s="5"/>
      <c r="N299" s="5"/>
      <c r="O299" s="5"/>
      <c r="P299" s="5"/>
      <c r="Q299" s="5"/>
    </row>
    <row r="300" spans="1:17" s="1" customFormat="1" ht="18" customHeight="1" x14ac:dyDescent="0.45">
      <c r="A300" s="7"/>
      <c r="B300" s="7"/>
      <c r="C300" s="7"/>
      <c r="D300" s="9" t="str">
        <f>IF(C300="","",VLOOKUP(C300,'Student Roster'!A:C,2,FALSE))</f>
        <v/>
      </c>
      <c r="E300" s="9" t="str">
        <f>IF(C300="","",VLOOKUP(C300,'Student Roster'!A:C,3,FALSE))</f>
        <v/>
      </c>
      <c r="F300" s="7"/>
      <c r="G300" s="7"/>
      <c r="H300" s="7"/>
      <c r="I300" s="7"/>
      <c r="J300" s="7"/>
      <c r="K300" s="7"/>
      <c r="L300" s="7"/>
      <c r="M300" s="7"/>
      <c r="N300" s="7"/>
      <c r="O300" s="7"/>
      <c r="P300" s="7"/>
      <c r="Q300" s="7"/>
    </row>
    <row r="301" spans="1:17" s="1" customFormat="1" ht="18" customHeight="1" x14ac:dyDescent="0.45">
      <c r="A301" s="5"/>
      <c r="B301" s="5"/>
      <c r="C301" s="5"/>
      <c r="D301" s="9" t="str">
        <f>IF(C301="","",VLOOKUP(C301,'Student Roster'!A:C,2,FALSE))</f>
        <v/>
      </c>
      <c r="E301" s="9" t="str">
        <f>IF(C301="","",VLOOKUP(C301,'Student Roster'!A:C,3,FALSE))</f>
        <v/>
      </c>
      <c r="F301" s="5"/>
      <c r="G301" s="5"/>
      <c r="H301" s="5"/>
      <c r="I301" s="5"/>
      <c r="J301" s="5"/>
      <c r="K301" s="5"/>
      <c r="L301" s="5"/>
      <c r="M301" s="5"/>
      <c r="N301" s="5"/>
      <c r="O301" s="5"/>
      <c r="P301" s="5"/>
      <c r="Q301" s="5"/>
    </row>
    <row r="302" spans="1:17" s="1" customFormat="1" ht="18" customHeight="1" x14ac:dyDescent="0.45">
      <c r="A302" s="7"/>
      <c r="B302" s="7"/>
      <c r="C302" s="7"/>
      <c r="D302" s="9" t="str">
        <f>IF(C302="","",VLOOKUP(C302,'Student Roster'!A:C,2,FALSE))</f>
        <v/>
      </c>
      <c r="E302" s="9" t="str">
        <f>IF(C302="","",VLOOKUP(C302,'Student Roster'!A:C,3,FALSE))</f>
        <v/>
      </c>
      <c r="F302" s="7"/>
      <c r="G302" s="7"/>
      <c r="H302" s="7"/>
      <c r="I302" s="7"/>
      <c r="J302" s="7"/>
      <c r="K302" s="7"/>
      <c r="L302" s="7"/>
      <c r="M302" s="7"/>
      <c r="N302" s="7"/>
      <c r="O302" s="7"/>
      <c r="P302" s="7"/>
      <c r="Q302" s="7"/>
    </row>
    <row r="303" spans="1:17" s="1" customFormat="1" ht="18" customHeight="1" x14ac:dyDescent="0.45">
      <c r="A303" s="5"/>
      <c r="B303" s="5"/>
      <c r="C303" s="5"/>
      <c r="D303" s="9" t="str">
        <f>IF(C303="","",VLOOKUP(C303,'Student Roster'!A:C,2,FALSE))</f>
        <v/>
      </c>
      <c r="E303" s="9" t="str">
        <f>IF(C303="","",VLOOKUP(C303,'Student Roster'!A:C,3,FALSE))</f>
        <v/>
      </c>
      <c r="F303" s="5"/>
      <c r="G303" s="5"/>
      <c r="H303" s="5"/>
      <c r="I303" s="5"/>
      <c r="J303" s="5"/>
      <c r="K303" s="5"/>
      <c r="L303" s="5"/>
      <c r="M303" s="5"/>
      <c r="N303" s="5"/>
      <c r="O303" s="5"/>
      <c r="P303" s="5"/>
      <c r="Q303" s="5"/>
    </row>
    <row r="304" spans="1:17" s="1" customFormat="1" ht="18" customHeight="1" x14ac:dyDescent="0.45">
      <c r="A304" s="7"/>
      <c r="B304" s="7"/>
      <c r="C304" s="7"/>
      <c r="D304" s="9" t="str">
        <f>IF(C304="","",VLOOKUP(C304,'Student Roster'!A:C,2,FALSE))</f>
        <v/>
      </c>
      <c r="E304" s="9" t="str">
        <f>IF(C304="","",VLOOKUP(C304,'Student Roster'!A:C,3,FALSE))</f>
        <v/>
      </c>
      <c r="F304" s="7"/>
      <c r="G304" s="7"/>
      <c r="H304" s="7"/>
      <c r="I304" s="7"/>
      <c r="J304" s="7"/>
      <c r="K304" s="7"/>
      <c r="L304" s="7"/>
      <c r="M304" s="7"/>
      <c r="N304" s="7"/>
      <c r="O304" s="7"/>
      <c r="P304" s="7"/>
      <c r="Q304" s="7"/>
    </row>
    <row r="305" spans="1:17" s="1" customFormat="1" ht="18" customHeight="1" x14ac:dyDescent="0.45">
      <c r="A305" s="5"/>
      <c r="B305" s="5"/>
      <c r="C305" s="5"/>
      <c r="D305" s="9" t="str">
        <f>IF(C305="","",VLOOKUP(C305,'Student Roster'!A:C,2,FALSE))</f>
        <v/>
      </c>
      <c r="E305" s="9" t="str">
        <f>IF(C305="","",VLOOKUP(C305,'Student Roster'!A:C,3,FALSE))</f>
        <v/>
      </c>
      <c r="F305" s="5"/>
      <c r="G305" s="5"/>
      <c r="H305" s="5"/>
      <c r="I305" s="5"/>
      <c r="J305" s="5"/>
      <c r="K305" s="5"/>
      <c r="L305" s="5"/>
      <c r="M305" s="5"/>
      <c r="N305" s="5"/>
      <c r="O305" s="5"/>
      <c r="P305" s="5"/>
      <c r="Q305" s="5"/>
    </row>
    <row r="306" spans="1:17" s="1" customFormat="1" ht="18" customHeight="1" x14ac:dyDescent="0.45">
      <c r="A306" s="7"/>
      <c r="B306" s="7"/>
      <c r="C306" s="7"/>
      <c r="D306" s="9" t="str">
        <f>IF(C306="","",VLOOKUP(C306,'Student Roster'!A:C,2,FALSE))</f>
        <v/>
      </c>
      <c r="E306" s="9" t="str">
        <f>IF(C306="","",VLOOKUP(C306,'Student Roster'!A:C,3,FALSE))</f>
        <v/>
      </c>
      <c r="F306" s="7"/>
      <c r="G306" s="7"/>
      <c r="H306" s="7"/>
      <c r="I306" s="7"/>
      <c r="J306" s="7"/>
      <c r="K306" s="7"/>
      <c r="L306" s="7"/>
      <c r="M306" s="7"/>
      <c r="N306" s="7"/>
      <c r="O306" s="7"/>
      <c r="P306" s="7"/>
      <c r="Q306" s="7"/>
    </row>
    <row r="307" spans="1:17" s="1" customFormat="1" ht="18" customHeight="1" x14ac:dyDescent="0.45">
      <c r="A307" s="5"/>
      <c r="B307" s="5"/>
      <c r="C307" s="5"/>
      <c r="D307" s="9" t="str">
        <f>IF(C307="","",VLOOKUP(C307,'Student Roster'!A:C,2,FALSE))</f>
        <v/>
      </c>
      <c r="E307" s="9" t="str">
        <f>IF(C307="","",VLOOKUP(C307,'Student Roster'!A:C,3,FALSE))</f>
        <v/>
      </c>
      <c r="F307" s="5"/>
      <c r="G307" s="5"/>
      <c r="H307" s="5"/>
      <c r="I307" s="5"/>
      <c r="J307" s="5"/>
      <c r="K307" s="5"/>
      <c r="L307" s="5"/>
      <c r="M307" s="5"/>
      <c r="N307" s="5"/>
      <c r="O307" s="5"/>
      <c r="P307" s="5"/>
      <c r="Q307" s="5"/>
    </row>
    <row r="308" spans="1:17" s="1" customFormat="1" ht="18" customHeight="1" x14ac:dyDescent="0.45">
      <c r="A308" s="7"/>
      <c r="B308" s="7"/>
      <c r="C308" s="7"/>
      <c r="D308" s="9" t="str">
        <f>IF(C308="","",VLOOKUP(C308,'Student Roster'!A:C,2,FALSE))</f>
        <v/>
      </c>
      <c r="E308" s="9" t="str">
        <f>IF(C308="","",VLOOKUP(C308,'Student Roster'!A:C,3,FALSE))</f>
        <v/>
      </c>
      <c r="F308" s="7"/>
      <c r="G308" s="7"/>
      <c r="H308" s="7"/>
      <c r="I308" s="7"/>
      <c r="J308" s="7"/>
      <c r="K308" s="7"/>
      <c r="L308" s="7"/>
      <c r="M308" s="7"/>
      <c r="N308" s="7"/>
      <c r="O308" s="7"/>
      <c r="P308" s="7"/>
      <c r="Q308" s="7"/>
    </row>
    <row r="309" spans="1:17" s="1" customFormat="1" ht="18" customHeight="1" x14ac:dyDescent="0.45">
      <c r="A309" s="5"/>
      <c r="B309" s="5"/>
      <c r="C309" s="5"/>
      <c r="D309" s="9" t="str">
        <f>IF(C309="","",VLOOKUP(C309,'Student Roster'!A:C,2,FALSE))</f>
        <v/>
      </c>
      <c r="E309" s="9" t="str">
        <f>IF(C309="","",VLOOKUP(C309,'Student Roster'!A:C,3,FALSE))</f>
        <v/>
      </c>
      <c r="F309" s="5"/>
      <c r="G309" s="5"/>
      <c r="H309" s="5"/>
      <c r="I309" s="5"/>
      <c r="J309" s="5"/>
      <c r="K309" s="5"/>
      <c r="L309" s="5"/>
      <c r="M309" s="5"/>
      <c r="N309" s="5"/>
      <c r="O309" s="5"/>
      <c r="P309" s="5"/>
      <c r="Q309" s="5"/>
    </row>
    <row r="310" spans="1:17" s="1" customFormat="1" ht="18" customHeight="1" x14ac:dyDescent="0.45">
      <c r="A310" s="7"/>
      <c r="B310" s="7"/>
      <c r="C310" s="7"/>
      <c r="D310" s="9" t="str">
        <f>IF(C310="","",VLOOKUP(C310,'Student Roster'!A:C,2,FALSE))</f>
        <v/>
      </c>
      <c r="E310" s="9" t="str">
        <f>IF(C310="","",VLOOKUP(C310,'Student Roster'!A:C,3,FALSE))</f>
        <v/>
      </c>
      <c r="F310" s="7"/>
      <c r="G310" s="7"/>
      <c r="H310" s="7"/>
      <c r="I310" s="7"/>
      <c r="J310" s="7"/>
      <c r="K310" s="7"/>
      <c r="L310" s="7"/>
      <c r="M310" s="7"/>
      <c r="N310" s="7"/>
      <c r="O310" s="7"/>
      <c r="P310" s="7"/>
      <c r="Q310" s="7"/>
    </row>
    <row r="311" spans="1:17" s="1" customFormat="1" ht="18" customHeight="1" x14ac:dyDescent="0.45">
      <c r="A311" s="5"/>
      <c r="B311" s="5"/>
      <c r="C311" s="5"/>
      <c r="D311" s="9" t="str">
        <f>IF(C311="","",VLOOKUP(C311,'Student Roster'!A:C,2,FALSE))</f>
        <v/>
      </c>
      <c r="E311" s="9" t="str">
        <f>IF(C311="","",VLOOKUP(C311,'Student Roster'!A:C,3,FALSE))</f>
        <v/>
      </c>
      <c r="F311" s="5"/>
      <c r="G311" s="5"/>
      <c r="H311" s="5"/>
      <c r="I311" s="5"/>
      <c r="J311" s="5"/>
      <c r="K311" s="5"/>
      <c r="L311" s="5"/>
      <c r="M311" s="5"/>
      <c r="N311" s="5"/>
      <c r="O311" s="5"/>
      <c r="P311" s="5"/>
      <c r="Q311" s="5"/>
    </row>
    <row r="312" spans="1:17" s="1" customFormat="1" ht="18" customHeight="1" x14ac:dyDescent="0.45">
      <c r="A312" s="7"/>
      <c r="B312" s="7"/>
      <c r="C312" s="7"/>
      <c r="D312" s="9" t="str">
        <f>IF(C312="","",VLOOKUP(C312,'Student Roster'!A:C,2,FALSE))</f>
        <v/>
      </c>
      <c r="E312" s="9" t="str">
        <f>IF(C312="","",VLOOKUP(C312,'Student Roster'!A:C,3,FALSE))</f>
        <v/>
      </c>
      <c r="F312" s="7"/>
      <c r="G312" s="7"/>
      <c r="H312" s="7"/>
      <c r="I312" s="7"/>
      <c r="J312" s="7"/>
      <c r="K312" s="7"/>
      <c r="L312" s="7"/>
      <c r="M312" s="7"/>
      <c r="N312" s="7"/>
      <c r="O312" s="7"/>
      <c r="P312" s="7"/>
      <c r="Q312" s="7"/>
    </row>
    <row r="313" spans="1:17" s="1" customFormat="1" ht="18" customHeight="1" x14ac:dyDescent="0.45">
      <c r="A313" s="5"/>
      <c r="B313" s="5"/>
      <c r="C313" s="5"/>
      <c r="D313" s="9" t="str">
        <f>IF(C313="","",VLOOKUP(C313,'Student Roster'!A:C,2,FALSE))</f>
        <v/>
      </c>
      <c r="E313" s="9" t="str">
        <f>IF(C313="","",VLOOKUP(C313,'Student Roster'!A:C,3,FALSE))</f>
        <v/>
      </c>
      <c r="F313" s="5"/>
      <c r="G313" s="5"/>
      <c r="H313" s="5"/>
      <c r="I313" s="5"/>
      <c r="J313" s="5"/>
      <c r="K313" s="5"/>
      <c r="L313" s="5"/>
      <c r="M313" s="5"/>
      <c r="N313" s="5"/>
      <c r="O313" s="5"/>
      <c r="P313" s="5"/>
      <c r="Q313" s="5"/>
    </row>
    <row r="314" spans="1:17" s="1" customFormat="1" ht="18" customHeight="1" x14ac:dyDescent="0.45">
      <c r="A314" s="7"/>
      <c r="B314" s="7"/>
      <c r="C314" s="7"/>
      <c r="D314" s="9" t="str">
        <f>IF(C314="","",VLOOKUP(C314,'Student Roster'!A:C,2,FALSE))</f>
        <v/>
      </c>
      <c r="E314" s="9" t="str">
        <f>IF(C314="","",VLOOKUP(C314,'Student Roster'!A:C,3,FALSE))</f>
        <v/>
      </c>
      <c r="F314" s="7"/>
      <c r="G314" s="7"/>
      <c r="H314" s="7"/>
      <c r="I314" s="7"/>
      <c r="J314" s="7"/>
      <c r="K314" s="7"/>
      <c r="L314" s="7"/>
      <c r="M314" s="7"/>
      <c r="N314" s="7"/>
      <c r="O314" s="7"/>
      <c r="P314" s="7"/>
      <c r="Q314" s="7"/>
    </row>
    <row r="315" spans="1:17" s="1" customFormat="1" ht="18" customHeight="1" x14ac:dyDescent="0.45">
      <c r="A315" s="5"/>
      <c r="B315" s="5"/>
      <c r="C315" s="5"/>
      <c r="D315" s="9" t="str">
        <f>IF(C315="","",VLOOKUP(C315,'Student Roster'!A:C,2,FALSE))</f>
        <v/>
      </c>
      <c r="E315" s="9" t="str">
        <f>IF(C315="","",VLOOKUP(C315,'Student Roster'!A:C,3,FALSE))</f>
        <v/>
      </c>
      <c r="F315" s="5"/>
      <c r="G315" s="5"/>
      <c r="H315" s="5"/>
      <c r="I315" s="5"/>
      <c r="J315" s="5"/>
      <c r="K315" s="5"/>
      <c r="L315" s="5"/>
      <c r="M315" s="5"/>
      <c r="N315" s="5"/>
      <c r="O315" s="5"/>
      <c r="P315" s="5"/>
      <c r="Q315" s="5"/>
    </row>
    <row r="316" spans="1:17" s="1" customFormat="1" ht="18" customHeight="1" x14ac:dyDescent="0.45">
      <c r="A316" s="7"/>
      <c r="B316" s="7"/>
      <c r="C316" s="7"/>
      <c r="D316" s="9" t="str">
        <f>IF(C316="","",VLOOKUP(C316,'Student Roster'!A:C,2,FALSE))</f>
        <v/>
      </c>
      <c r="E316" s="9" t="str">
        <f>IF(C316="","",VLOOKUP(C316,'Student Roster'!A:C,3,FALSE))</f>
        <v/>
      </c>
      <c r="F316" s="7"/>
      <c r="G316" s="7"/>
      <c r="H316" s="7"/>
      <c r="I316" s="7"/>
      <c r="J316" s="7"/>
      <c r="K316" s="7"/>
      <c r="L316" s="7"/>
      <c r="M316" s="7"/>
      <c r="N316" s="7"/>
      <c r="O316" s="7"/>
      <c r="P316" s="7"/>
      <c r="Q316" s="7"/>
    </row>
    <row r="317" spans="1:17" s="1" customFormat="1" ht="18" customHeight="1" x14ac:dyDescent="0.45">
      <c r="A317" s="5"/>
      <c r="B317" s="5"/>
      <c r="C317" s="5"/>
      <c r="D317" s="9" t="str">
        <f>IF(C317="","",VLOOKUP(C317,'Student Roster'!A:C,2,FALSE))</f>
        <v/>
      </c>
      <c r="E317" s="9" t="str">
        <f>IF(C317="","",VLOOKUP(C317,'Student Roster'!A:C,3,FALSE))</f>
        <v/>
      </c>
      <c r="F317" s="5"/>
      <c r="G317" s="5"/>
      <c r="H317" s="5"/>
      <c r="I317" s="5"/>
      <c r="J317" s="5"/>
      <c r="K317" s="5"/>
      <c r="L317" s="5"/>
      <c r="M317" s="5"/>
      <c r="N317" s="5"/>
      <c r="O317" s="5"/>
      <c r="P317" s="5"/>
      <c r="Q317" s="5"/>
    </row>
    <row r="318" spans="1:17" s="1" customFormat="1" ht="18" customHeight="1" x14ac:dyDescent="0.45">
      <c r="A318" s="7"/>
      <c r="B318" s="7"/>
      <c r="C318" s="7"/>
      <c r="D318" s="9" t="str">
        <f>IF(C318="","",VLOOKUP(C318,'Student Roster'!A:C,2,FALSE))</f>
        <v/>
      </c>
      <c r="E318" s="9" t="str">
        <f>IF(C318="","",VLOOKUP(C318,'Student Roster'!A:C,3,FALSE))</f>
        <v/>
      </c>
      <c r="F318" s="7"/>
      <c r="G318" s="7"/>
      <c r="H318" s="7"/>
      <c r="I318" s="7"/>
      <c r="J318" s="7"/>
      <c r="K318" s="7"/>
      <c r="L318" s="7"/>
      <c r="M318" s="7"/>
      <c r="N318" s="7"/>
      <c r="O318" s="7"/>
      <c r="P318" s="7"/>
      <c r="Q318" s="7"/>
    </row>
    <row r="319" spans="1:17" s="1" customFormat="1" ht="18" customHeight="1" x14ac:dyDescent="0.45">
      <c r="A319" s="5"/>
      <c r="B319" s="5"/>
      <c r="C319" s="5"/>
      <c r="D319" s="9" t="str">
        <f>IF(C319="","",VLOOKUP(C319,'Student Roster'!A:C,2,FALSE))</f>
        <v/>
      </c>
      <c r="E319" s="9" t="str">
        <f>IF(C319="","",VLOOKUP(C319,'Student Roster'!A:C,3,FALSE))</f>
        <v/>
      </c>
      <c r="F319" s="5"/>
      <c r="G319" s="5"/>
      <c r="H319" s="5"/>
      <c r="I319" s="5"/>
      <c r="J319" s="5"/>
      <c r="K319" s="5"/>
      <c r="L319" s="5"/>
      <c r="M319" s="5"/>
      <c r="N319" s="5"/>
      <c r="O319" s="5"/>
      <c r="P319" s="5"/>
      <c r="Q319" s="5"/>
    </row>
    <row r="320" spans="1:17" s="1" customFormat="1" ht="18" customHeight="1" x14ac:dyDescent="0.45">
      <c r="A320" s="7"/>
      <c r="B320" s="7"/>
      <c r="C320" s="7"/>
      <c r="D320" s="9" t="str">
        <f>IF(C320="","",VLOOKUP(C320,'Student Roster'!A:C,2,FALSE))</f>
        <v/>
      </c>
      <c r="E320" s="9" t="str">
        <f>IF(C320="","",VLOOKUP(C320,'Student Roster'!A:C,3,FALSE))</f>
        <v/>
      </c>
      <c r="F320" s="7"/>
      <c r="G320" s="7"/>
      <c r="H320" s="7"/>
      <c r="I320" s="7"/>
      <c r="J320" s="7"/>
      <c r="K320" s="7"/>
      <c r="L320" s="7"/>
      <c r="M320" s="7"/>
      <c r="N320" s="7"/>
      <c r="O320" s="7"/>
      <c r="P320" s="7"/>
      <c r="Q320" s="7"/>
    </row>
    <row r="321" spans="1:17" s="1" customFormat="1" ht="18" customHeight="1" x14ac:dyDescent="0.45">
      <c r="A321" s="5"/>
      <c r="B321" s="5"/>
      <c r="C321" s="5"/>
      <c r="D321" s="9" t="str">
        <f>IF(C321="","",VLOOKUP(C321,'Student Roster'!A:C,2,FALSE))</f>
        <v/>
      </c>
      <c r="E321" s="9" t="str">
        <f>IF(C321="","",VLOOKUP(C321,'Student Roster'!A:C,3,FALSE))</f>
        <v/>
      </c>
      <c r="F321" s="5"/>
      <c r="G321" s="5"/>
      <c r="H321" s="5"/>
      <c r="I321" s="5"/>
      <c r="J321" s="5"/>
      <c r="K321" s="5"/>
      <c r="L321" s="5"/>
      <c r="M321" s="5"/>
      <c r="N321" s="5"/>
      <c r="O321" s="5"/>
      <c r="P321" s="5"/>
      <c r="Q321" s="5"/>
    </row>
    <row r="322" spans="1:17" s="1" customFormat="1" ht="18" customHeight="1" x14ac:dyDescent="0.45">
      <c r="A322" s="7"/>
      <c r="B322" s="7"/>
      <c r="C322" s="7"/>
      <c r="D322" s="9" t="str">
        <f>IF(C322="","",VLOOKUP(C322,'Student Roster'!A:C,2,FALSE))</f>
        <v/>
      </c>
      <c r="E322" s="9" t="str">
        <f>IF(C322="","",VLOOKUP(C322,'Student Roster'!A:C,3,FALSE))</f>
        <v/>
      </c>
      <c r="F322" s="7"/>
      <c r="G322" s="7"/>
      <c r="H322" s="7"/>
      <c r="I322" s="7"/>
      <c r="J322" s="7"/>
      <c r="K322" s="7"/>
      <c r="L322" s="7"/>
      <c r="M322" s="7"/>
      <c r="N322" s="7"/>
      <c r="O322" s="7"/>
      <c r="P322" s="7"/>
      <c r="Q322" s="7"/>
    </row>
    <row r="323" spans="1:17" s="1" customFormat="1" ht="18" customHeight="1" x14ac:dyDescent="0.45">
      <c r="A323" s="5"/>
      <c r="B323" s="5"/>
      <c r="C323" s="5"/>
      <c r="D323" s="9" t="str">
        <f>IF(C323="","",VLOOKUP(C323,'Student Roster'!A:C,2,FALSE))</f>
        <v/>
      </c>
      <c r="E323" s="9" t="str">
        <f>IF(C323="","",VLOOKUP(C323,'Student Roster'!A:C,3,FALSE))</f>
        <v/>
      </c>
      <c r="F323" s="5"/>
      <c r="G323" s="5"/>
      <c r="H323" s="5"/>
      <c r="I323" s="5"/>
      <c r="J323" s="5"/>
      <c r="K323" s="5"/>
      <c r="L323" s="5"/>
      <c r="M323" s="5"/>
      <c r="N323" s="5"/>
      <c r="O323" s="5"/>
      <c r="P323" s="5"/>
      <c r="Q323" s="5"/>
    </row>
    <row r="324" spans="1:17" s="1" customFormat="1" ht="18" customHeight="1" x14ac:dyDescent="0.45">
      <c r="A324" s="7"/>
      <c r="B324" s="7"/>
      <c r="C324" s="7"/>
      <c r="D324" s="9" t="str">
        <f>IF(C324="","",VLOOKUP(C324,'Student Roster'!A:C,2,FALSE))</f>
        <v/>
      </c>
      <c r="E324" s="9" t="str">
        <f>IF(C324="","",VLOOKUP(C324,'Student Roster'!A:C,3,FALSE))</f>
        <v/>
      </c>
      <c r="F324" s="7"/>
      <c r="G324" s="7"/>
      <c r="H324" s="7"/>
      <c r="I324" s="7"/>
      <c r="J324" s="7"/>
      <c r="K324" s="7"/>
      <c r="L324" s="7"/>
      <c r="M324" s="7"/>
      <c r="N324" s="7"/>
      <c r="O324" s="7"/>
      <c r="P324" s="7"/>
      <c r="Q324" s="7"/>
    </row>
    <row r="325" spans="1:17" s="1" customFormat="1" ht="18" customHeight="1" x14ac:dyDescent="0.45">
      <c r="A325" s="5"/>
      <c r="B325" s="5"/>
      <c r="C325" s="5"/>
      <c r="D325" s="9" t="str">
        <f>IF(C325="","",VLOOKUP(C325,'Student Roster'!A:C,2,FALSE))</f>
        <v/>
      </c>
      <c r="E325" s="9" t="str">
        <f>IF(C325="","",VLOOKUP(C325,'Student Roster'!A:C,3,FALSE))</f>
        <v/>
      </c>
      <c r="F325" s="5"/>
      <c r="G325" s="5"/>
      <c r="H325" s="5"/>
      <c r="I325" s="5"/>
      <c r="J325" s="5"/>
      <c r="K325" s="5"/>
      <c r="L325" s="5"/>
      <c r="M325" s="5"/>
      <c r="N325" s="5"/>
      <c r="O325" s="5"/>
      <c r="P325" s="5"/>
      <c r="Q325" s="5"/>
    </row>
    <row r="326" spans="1:17" s="1" customFormat="1" ht="18" customHeight="1" x14ac:dyDescent="0.45">
      <c r="A326" s="7"/>
      <c r="B326" s="7"/>
      <c r="C326" s="7"/>
      <c r="D326" s="9" t="str">
        <f>IF(C326="","",VLOOKUP(C326,'Student Roster'!A:C,2,FALSE))</f>
        <v/>
      </c>
      <c r="E326" s="9" t="str">
        <f>IF(C326="","",VLOOKUP(C326,'Student Roster'!A:C,3,FALSE))</f>
        <v/>
      </c>
      <c r="F326" s="7"/>
      <c r="G326" s="7"/>
      <c r="H326" s="7"/>
      <c r="I326" s="7"/>
      <c r="J326" s="7"/>
      <c r="K326" s="7"/>
      <c r="L326" s="7"/>
      <c r="M326" s="7"/>
      <c r="N326" s="7"/>
      <c r="O326" s="7"/>
      <c r="P326" s="7"/>
      <c r="Q326" s="7"/>
    </row>
    <row r="327" spans="1:17" s="1" customFormat="1" ht="18" customHeight="1" x14ac:dyDescent="0.45">
      <c r="A327" s="5"/>
      <c r="B327" s="5"/>
      <c r="C327" s="5"/>
      <c r="D327" s="9" t="str">
        <f>IF(C327="","",VLOOKUP(C327,'Student Roster'!A:C,2,FALSE))</f>
        <v/>
      </c>
      <c r="E327" s="9" t="str">
        <f>IF(C327="","",VLOOKUP(C327,'Student Roster'!A:C,3,FALSE))</f>
        <v/>
      </c>
      <c r="F327" s="5"/>
      <c r="G327" s="5"/>
      <c r="H327" s="5"/>
      <c r="I327" s="5"/>
      <c r="J327" s="5"/>
      <c r="K327" s="5"/>
      <c r="L327" s="5"/>
      <c r="M327" s="5"/>
      <c r="N327" s="5"/>
      <c r="O327" s="5"/>
      <c r="P327" s="5"/>
      <c r="Q327" s="5"/>
    </row>
    <row r="328" spans="1:17" s="1" customFormat="1" ht="18" customHeight="1" x14ac:dyDescent="0.45">
      <c r="A328" s="7"/>
      <c r="B328" s="7"/>
      <c r="C328" s="7"/>
      <c r="D328" s="9" t="str">
        <f>IF(C328="","",VLOOKUP(C328,'Student Roster'!A:C,2,FALSE))</f>
        <v/>
      </c>
      <c r="E328" s="9" t="str">
        <f>IF(C328="","",VLOOKUP(C328,'Student Roster'!A:C,3,FALSE))</f>
        <v/>
      </c>
      <c r="F328" s="7"/>
      <c r="G328" s="7"/>
      <c r="H328" s="7"/>
      <c r="I328" s="7"/>
      <c r="J328" s="7"/>
      <c r="K328" s="7"/>
      <c r="L328" s="7"/>
      <c r="M328" s="7"/>
      <c r="N328" s="7"/>
      <c r="O328" s="7"/>
      <c r="P328" s="7"/>
      <c r="Q328" s="7"/>
    </row>
    <row r="329" spans="1:17" s="1" customFormat="1" ht="18" customHeight="1" x14ac:dyDescent="0.45">
      <c r="A329" s="5"/>
      <c r="B329" s="5"/>
      <c r="C329" s="5"/>
      <c r="D329" s="9" t="str">
        <f>IF(C329="","",VLOOKUP(C329,'Student Roster'!A:C,2,FALSE))</f>
        <v/>
      </c>
      <c r="E329" s="9" t="str">
        <f>IF(C329="","",VLOOKUP(C329,'Student Roster'!A:C,3,FALSE))</f>
        <v/>
      </c>
      <c r="F329" s="5"/>
      <c r="G329" s="5"/>
      <c r="H329" s="5"/>
      <c r="I329" s="5"/>
      <c r="J329" s="5"/>
      <c r="K329" s="5"/>
      <c r="L329" s="5"/>
      <c r="M329" s="5"/>
      <c r="N329" s="5"/>
      <c r="O329" s="5"/>
      <c r="P329" s="5"/>
      <c r="Q329" s="5"/>
    </row>
    <row r="330" spans="1:17" s="1" customFormat="1" ht="18" customHeight="1" x14ac:dyDescent="0.45">
      <c r="A330" s="7"/>
      <c r="B330" s="7"/>
      <c r="C330" s="7"/>
      <c r="D330" s="9" t="str">
        <f>IF(C330="","",VLOOKUP(C330,'Student Roster'!A:C,2,FALSE))</f>
        <v/>
      </c>
      <c r="E330" s="9" t="str">
        <f>IF(C330="","",VLOOKUP(C330,'Student Roster'!A:C,3,FALSE))</f>
        <v/>
      </c>
      <c r="F330" s="7"/>
      <c r="G330" s="7"/>
      <c r="H330" s="7"/>
      <c r="I330" s="7"/>
      <c r="J330" s="7"/>
      <c r="K330" s="7"/>
      <c r="L330" s="7"/>
      <c r="M330" s="7"/>
      <c r="N330" s="7"/>
      <c r="O330" s="7"/>
      <c r="P330" s="7"/>
      <c r="Q330" s="7"/>
    </row>
    <row r="331" spans="1:17" s="1" customFormat="1" ht="18" customHeight="1" x14ac:dyDescent="0.45">
      <c r="A331" s="5"/>
      <c r="B331" s="5"/>
      <c r="C331" s="5"/>
      <c r="D331" s="9" t="str">
        <f>IF(C331="","",VLOOKUP(C331,'Student Roster'!A:C,2,FALSE))</f>
        <v/>
      </c>
      <c r="E331" s="9" t="str">
        <f>IF(C331="","",VLOOKUP(C331,'Student Roster'!A:C,3,FALSE))</f>
        <v/>
      </c>
      <c r="F331" s="5"/>
      <c r="G331" s="5"/>
      <c r="H331" s="5"/>
      <c r="I331" s="5"/>
      <c r="J331" s="5"/>
      <c r="K331" s="5"/>
      <c r="L331" s="5"/>
      <c r="M331" s="5"/>
      <c r="N331" s="5"/>
      <c r="O331" s="5"/>
      <c r="P331" s="5"/>
      <c r="Q331" s="5"/>
    </row>
    <row r="332" spans="1:17" s="1" customFormat="1" ht="18" customHeight="1" x14ac:dyDescent="0.45">
      <c r="A332" s="7"/>
      <c r="B332" s="7"/>
      <c r="C332" s="7"/>
      <c r="D332" s="9" t="str">
        <f>IF(C332="","",VLOOKUP(C332,'Student Roster'!A:C,2,FALSE))</f>
        <v/>
      </c>
      <c r="E332" s="9" t="str">
        <f>IF(C332="","",VLOOKUP(C332,'Student Roster'!A:C,3,FALSE))</f>
        <v/>
      </c>
      <c r="F332" s="7"/>
      <c r="G332" s="7"/>
      <c r="H332" s="7"/>
      <c r="I332" s="7"/>
      <c r="J332" s="7"/>
      <c r="K332" s="7"/>
      <c r="L332" s="7"/>
      <c r="M332" s="7"/>
      <c r="N332" s="7"/>
      <c r="O332" s="7"/>
      <c r="P332" s="7"/>
      <c r="Q332" s="7"/>
    </row>
    <row r="333" spans="1:17" s="1" customFormat="1" ht="18" customHeight="1" x14ac:dyDescent="0.45">
      <c r="A333" s="5"/>
      <c r="B333" s="5"/>
      <c r="C333" s="5"/>
      <c r="D333" s="9" t="str">
        <f>IF(C333="","",VLOOKUP(C333,'Student Roster'!A:C,2,FALSE))</f>
        <v/>
      </c>
      <c r="E333" s="9" t="str">
        <f>IF(C333="","",VLOOKUP(C333,'Student Roster'!A:C,3,FALSE))</f>
        <v/>
      </c>
      <c r="F333" s="5"/>
      <c r="G333" s="5"/>
      <c r="H333" s="5"/>
      <c r="I333" s="5"/>
      <c r="J333" s="5"/>
      <c r="K333" s="5"/>
      <c r="L333" s="5"/>
      <c r="M333" s="5"/>
      <c r="N333" s="5"/>
      <c r="O333" s="5"/>
      <c r="P333" s="5"/>
      <c r="Q333" s="5"/>
    </row>
    <row r="334" spans="1:17" s="1" customFormat="1" ht="18" customHeight="1" x14ac:dyDescent="0.45">
      <c r="A334" s="7"/>
      <c r="B334" s="7"/>
      <c r="C334" s="7"/>
      <c r="D334" s="9" t="str">
        <f>IF(C334="","",VLOOKUP(C334,'Student Roster'!A:C,2,FALSE))</f>
        <v/>
      </c>
      <c r="E334" s="9" t="str">
        <f>IF(C334="","",VLOOKUP(C334,'Student Roster'!A:C,3,FALSE))</f>
        <v/>
      </c>
      <c r="F334" s="7"/>
      <c r="G334" s="7"/>
      <c r="H334" s="7"/>
      <c r="I334" s="7"/>
      <c r="J334" s="7"/>
      <c r="K334" s="7"/>
      <c r="L334" s="7"/>
      <c r="M334" s="7"/>
      <c r="N334" s="7"/>
      <c r="O334" s="7"/>
      <c r="P334" s="7"/>
      <c r="Q334" s="7"/>
    </row>
    <row r="335" spans="1:17" s="1" customFormat="1" ht="18" customHeight="1" x14ac:dyDescent="0.45">
      <c r="A335" s="5"/>
      <c r="B335" s="5"/>
      <c r="C335" s="5"/>
      <c r="D335" s="9" t="str">
        <f>IF(C335="","",VLOOKUP(C335,'Student Roster'!A:C,2,FALSE))</f>
        <v/>
      </c>
      <c r="E335" s="9" t="str">
        <f>IF(C335="","",VLOOKUP(C335,'Student Roster'!A:C,3,FALSE))</f>
        <v/>
      </c>
      <c r="F335" s="5"/>
      <c r="G335" s="5"/>
      <c r="H335" s="5"/>
      <c r="I335" s="5"/>
      <c r="J335" s="5"/>
      <c r="K335" s="5"/>
      <c r="L335" s="5"/>
      <c r="M335" s="5"/>
      <c r="N335" s="5"/>
      <c r="O335" s="5"/>
      <c r="P335" s="5"/>
      <c r="Q335" s="5"/>
    </row>
    <row r="336" spans="1:17" s="1" customFormat="1" ht="18" customHeight="1" x14ac:dyDescent="0.45">
      <c r="A336" s="7"/>
      <c r="B336" s="7"/>
      <c r="C336" s="7"/>
      <c r="D336" s="9" t="str">
        <f>IF(C336="","",VLOOKUP(C336,'Student Roster'!A:C,2,FALSE))</f>
        <v/>
      </c>
      <c r="E336" s="9" t="str">
        <f>IF(C336="","",VLOOKUP(C336,'Student Roster'!A:C,3,FALSE))</f>
        <v/>
      </c>
      <c r="F336" s="7"/>
      <c r="G336" s="7"/>
      <c r="H336" s="7"/>
      <c r="I336" s="7"/>
      <c r="J336" s="7"/>
      <c r="K336" s="7"/>
      <c r="L336" s="7"/>
      <c r="M336" s="7"/>
      <c r="N336" s="7"/>
      <c r="O336" s="7"/>
      <c r="P336" s="7"/>
      <c r="Q336" s="7"/>
    </row>
    <row r="337" spans="1:17" s="1" customFormat="1" ht="18" customHeight="1" x14ac:dyDescent="0.45">
      <c r="A337" s="5"/>
      <c r="B337" s="5"/>
      <c r="C337" s="5"/>
      <c r="D337" s="9" t="str">
        <f>IF(C337="","",VLOOKUP(C337,'Student Roster'!A:C,2,FALSE))</f>
        <v/>
      </c>
      <c r="E337" s="9" t="str">
        <f>IF(C337="","",VLOOKUP(C337,'Student Roster'!A:C,3,FALSE))</f>
        <v/>
      </c>
      <c r="F337" s="5"/>
      <c r="G337" s="5"/>
      <c r="H337" s="5"/>
      <c r="I337" s="5"/>
      <c r="J337" s="5"/>
      <c r="K337" s="5"/>
      <c r="L337" s="5"/>
      <c r="M337" s="5"/>
      <c r="N337" s="5"/>
      <c r="O337" s="5"/>
      <c r="P337" s="5"/>
      <c r="Q337" s="5"/>
    </row>
    <row r="338" spans="1:17" s="1" customFormat="1" ht="18" customHeight="1" x14ac:dyDescent="0.45">
      <c r="A338" s="7"/>
      <c r="B338" s="7"/>
      <c r="C338" s="7"/>
      <c r="D338" s="9" t="str">
        <f>IF(C338="","",VLOOKUP(C338,'Student Roster'!A:C,2,FALSE))</f>
        <v/>
      </c>
      <c r="E338" s="9" t="str">
        <f>IF(C338="","",VLOOKUP(C338,'Student Roster'!A:C,3,FALSE))</f>
        <v/>
      </c>
      <c r="F338" s="7"/>
      <c r="G338" s="7"/>
      <c r="H338" s="7"/>
      <c r="I338" s="7"/>
      <c r="J338" s="7"/>
      <c r="K338" s="7"/>
      <c r="L338" s="7"/>
      <c r="M338" s="7"/>
      <c r="N338" s="7"/>
      <c r="O338" s="7"/>
      <c r="P338" s="7"/>
      <c r="Q338" s="7"/>
    </row>
    <row r="339" spans="1:17" s="1" customFormat="1" ht="18" customHeight="1" x14ac:dyDescent="0.45">
      <c r="A339" s="5"/>
      <c r="B339" s="5"/>
      <c r="C339" s="5"/>
      <c r="D339" s="9" t="str">
        <f>IF(C339="","",VLOOKUP(C339,'Student Roster'!A:C,2,FALSE))</f>
        <v/>
      </c>
      <c r="E339" s="9" t="str">
        <f>IF(C339="","",VLOOKUP(C339,'Student Roster'!A:C,3,FALSE))</f>
        <v/>
      </c>
      <c r="F339" s="5"/>
      <c r="G339" s="5"/>
      <c r="H339" s="5"/>
      <c r="I339" s="5"/>
      <c r="J339" s="5"/>
      <c r="K339" s="5"/>
      <c r="L339" s="5"/>
      <c r="M339" s="5"/>
      <c r="N339" s="5"/>
      <c r="O339" s="5"/>
      <c r="P339" s="5"/>
      <c r="Q339" s="5"/>
    </row>
    <row r="340" spans="1:17" s="1" customFormat="1" ht="18" customHeight="1" x14ac:dyDescent="0.45">
      <c r="A340" s="7"/>
      <c r="B340" s="7"/>
      <c r="C340" s="7"/>
      <c r="D340" s="9" t="str">
        <f>IF(C340="","",VLOOKUP(C340,'Student Roster'!A:C,2,FALSE))</f>
        <v/>
      </c>
      <c r="E340" s="9" t="str">
        <f>IF(C340="","",VLOOKUP(C340,'Student Roster'!A:C,3,FALSE))</f>
        <v/>
      </c>
      <c r="F340" s="7"/>
      <c r="G340" s="7"/>
      <c r="H340" s="7"/>
      <c r="I340" s="7"/>
      <c r="J340" s="7"/>
      <c r="K340" s="7"/>
      <c r="L340" s="7"/>
      <c r="M340" s="7"/>
      <c r="N340" s="7"/>
      <c r="O340" s="7"/>
      <c r="P340" s="7"/>
      <c r="Q340" s="7"/>
    </row>
    <row r="341" spans="1:17" s="1" customFormat="1" ht="18" customHeight="1" x14ac:dyDescent="0.45">
      <c r="A341" s="5"/>
      <c r="B341" s="5"/>
      <c r="C341" s="5"/>
      <c r="D341" s="9" t="str">
        <f>IF(C341="","",VLOOKUP(C341,'Student Roster'!A:C,2,FALSE))</f>
        <v/>
      </c>
      <c r="E341" s="9" t="str">
        <f>IF(C341="","",VLOOKUP(C341,'Student Roster'!A:C,3,FALSE))</f>
        <v/>
      </c>
      <c r="F341" s="5"/>
      <c r="G341" s="5"/>
      <c r="H341" s="5"/>
      <c r="I341" s="5"/>
      <c r="J341" s="5"/>
      <c r="K341" s="5"/>
      <c r="L341" s="5"/>
      <c r="M341" s="5"/>
      <c r="N341" s="5"/>
      <c r="O341" s="5"/>
      <c r="P341" s="5"/>
      <c r="Q341" s="5"/>
    </row>
    <row r="342" spans="1:17" s="1" customFormat="1" ht="18" customHeight="1" x14ac:dyDescent="0.45">
      <c r="A342" s="7"/>
      <c r="B342" s="7"/>
      <c r="C342" s="7"/>
      <c r="D342" s="9" t="str">
        <f>IF(C342="","",VLOOKUP(C342,'Student Roster'!A:C,2,FALSE))</f>
        <v/>
      </c>
      <c r="E342" s="9" t="str">
        <f>IF(C342="","",VLOOKUP(C342,'Student Roster'!A:C,3,FALSE))</f>
        <v/>
      </c>
      <c r="F342" s="7"/>
      <c r="G342" s="7"/>
      <c r="H342" s="7"/>
      <c r="I342" s="7"/>
      <c r="J342" s="7"/>
      <c r="K342" s="7"/>
      <c r="L342" s="7"/>
      <c r="M342" s="7"/>
      <c r="N342" s="7"/>
      <c r="O342" s="7"/>
      <c r="P342" s="7"/>
      <c r="Q342" s="7"/>
    </row>
    <row r="343" spans="1:17" s="1" customFormat="1" ht="18" customHeight="1" x14ac:dyDescent="0.45">
      <c r="A343" s="5"/>
      <c r="B343" s="5"/>
      <c r="C343" s="5"/>
      <c r="D343" s="9" t="str">
        <f>IF(C343="","",VLOOKUP(C343,'Student Roster'!A:C,2,FALSE))</f>
        <v/>
      </c>
      <c r="E343" s="9" t="str">
        <f>IF(C343="","",VLOOKUP(C343,'Student Roster'!A:C,3,FALSE))</f>
        <v/>
      </c>
      <c r="F343" s="5"/>
      <c r="G343" s="5"/>
      <c r="H343" s="5"/>
      <c r="I343" s="5"/>
      <c r="J343" s="5"/>
      <c r="K343" s="5"/>
      <c r="L343" s="5"/>
      <c r="M343" s="5"/>
      <c r="N343" s="5"/>
      <c r="O343" s="5"/>
      <c r="P343" s="5"/>
      <c r="Q343" s="5"/>
    </row>
    <row r="344" spans="1:17" s="1" customFormat="1" ht="18" customHeight="1" x14ac:dyDescent="0.45">
      <c r="A344" s="7"/>
      <c r="B344" s="7"/>
      <c r="C344" s="7"/>
      <c r="D344" s="9" t="str">
        <f>IF(C344="","",VLOOKUP(C344,'Student Roster'!A:C,2,FALSE))</f>
        <v/>
      </c>
      <c r="E344" s="9" t="str">
        <f>IF(C344="","",VLOOKUP(C344,'Student Roster'!A:C,3,FALSE))</f>
        <v/>
      </c>
      <c r="F344" s="7"/>
      <c r="G344" s="7"/>
      <c r="H344" s="7"/>
      <c r="I344" s="7"/>
      <c r="J344" s="7"/>
      <c r="K344" s="7"/>
      <c r="L344" s="7"/>
      <c r="M344" s="7"/>
      <c r="N344" s="7"/>
      <c r="O344" s="7"/>
      <c r="P344" s="7"/>
      <c r="Q344" s="7"/>
    </row>
    <row r="345" spans="1:17" s="1" customFormat="1" ht="18" customHeight="1" x14ac:dyDescent="0.45">
      <c r="A345" s="5"/>
      <c r="B345" s="5"/>
      <c r="C345" s="5"/>
      <c r="D345" s="9" t="str">
        <f>IF(C345="","",VLOOKUP(C345,'Student Roster'!A:C,2,FALSE))</f>
        <v/>
      </c>
      <c r="E345" s="9" t="str">
        <f>IF(C345="","",VLOOKUP(C345,'Student Roster'!A:C,3,FALSE))</f>
        <v/>
      </c>
      <c r="F345" s="5"/>
      <c r="G345" s="5"/>
      <c r="H345" s="5"/>
      <c r="I345" s="5"/>
      <c r="J345" s="5"/>
      <c r="K345" s="5"/>
      <c r="L345" s="5"/>
      <c r="M345" s="5"/>
      <c r="N345" s="5"/>
      <c r="O345" s="5"/>
      <c r="P345" s="5"/>
      <c r="Q345" s="5"/>
    </row>
    <row r="346" spans="1:17" s="1" customFormat="1" ht="18" customHeight="1" x14ac:dyDescent="0.45">
      <c r="A346" s="7"/>
      <c r="B346" s="7"/>
      <c r="C346" s="7"/>
      <c r="D346" s="9" t="str">
        <f>IF(C346="","",VLOOKUP(C346,'Student Roster'!A:C,2,FALSE))</f>
        <v/>
      </c>
      <c r="E346" s="9" t="str">
        <f>IF(C346="","",VLOOKUP(C346,'Student Roster'!A:C,3,FALSE))</f>
        <v/>
      </c>
      <c r="F346" s="7"/>
      <c r="G346" s="7"/>
      <c r="H346" s="7"/>
      <c r="I346" s="7"/>
      <c r="J346" s="7"/>
      <c r="K346" s="7"/>
      <c r="L346" s="7"/>
      <c r="M346" s="7"/>
      <c r="N346" s="7"/>
      <c r="O346" s="7"/>
      <c r="P346" s="7"/>
      <c r="Q346" s="7"/>
    </row>
    <row r="347" spans="1:17" s="1" customFormat="1" ht="18" customHeight="1" x14ac:dyDescent="0.45">
      <c r="A347" s="5"/>
      <c r="B347" s="5"/>
      <c r="C347" s="5"/>
      <c r="D347" s="9" t="str">
        <f>IF(C347="","",VLOOKUP(C347,'Student Roster'!A:C,2,FALSE))</f>
        <v/>
      </c>
      <c r="E347" s="9" t="str">
        <f>IF(C347="","",VLOOKUP(C347,'Student Roster'!A:C,3,FALSE))</f>
        <v/>
      </c>
      <c r="F347" s="5"/>
      <c r="G347" s="5"/>
      <c r="H347" s="5"/>
      <c r="I347" s="5"/>
      <c r="J347" s="5"/>
      <c r="K347" s="5"/>
      <c r="L347" s="5"/>
      <c r="M347" s="5"/>
      <c r="N347" s="5"/>
      <c r="O347" s="5"/>
      <c r="P347" s="5"/>
      <c r="Q347" s="5"/>
    </row>
    <row r="348" spans="1:17" s="1" customFormat="1" ht="18" customHeight="1" x14ac:dyDescent="0.45">
      <c r="A348" s="7"/>
      <c r="B348" s="7"/>
      <c r="C348" s="7"/>
      <c r="D348" s="9" t="str">
        <f>IF(C348="","",VLOOKUP(C348,'Student Roster'!A:C,2,FALSE))</f>
        <v/>
      </c>
      <c r="E348" s="9" t="str">
        <f>IF(C348="","",VLOOKUP(C348,'Student Roster'!A:C,3,FALSE))</f>
        <v/>
      </c>
      <c r="F348" s="7"/>
      <c r="G348" s="7"/>
      <c r="H348" s="7"/>
      <c r="I348" s="7"/>
      <c r="J348" s="7"/>
      <c r="K348" s="7"/>
      <c r="L348" s="7"/>
      <c r="M348" s="7"/>
      <c r="N348" s="7"/>
      <c r="O348" s="7"/>
      <c r="P348" s="7"/>
      <c r="Q348" s="7"/>
    </row>
    <row r="349" spans="1:17" s="1" customFormat="1" ht="18" customHeight="1" x14ac:dyDescent="0.45">
      <c r="A349" s="5"/>
      <c r="B349" s="5"/>
      <c r="C349" s="5"/>
      <c r="D349" s="9" t="str">
        <f>IF(C349="","",VLOOKUP(C349,'Student Roster'!A:C,2,FALSE))</f>
        <v/>
      </c>
      <c r="E349" s="9" t="str">
        <f>IF(C349="","",VLOOKUP(C349,'Student Roster'!A:C,3,FALSE))</f>
        <v/>
      </c>
      <c r="F349" s="5"/>
      <c r="G349" s="5"/>
      <c r="H349" s="5"/>
      <c r="I349" s="5"/>
      <c r="J349" s="5"/>
      <c r="K349" s="5"/>
      <c r="L349" s="5"/>
      <c r="M349" s="5"/>
      <c r="N349" s="5"/>
      <c r="O349" s="5"/>
      <c r="P349" s="5"/>
      <c r="Q349" s="5"/>
    </row>
    <row r="350" spans="1:17" s="1" customFormat="1" ht="18" customHeight="1" x14ac:dyDescent="0.45">
      <c r="A350" s="7"/>
      <c r="B350" s="7"/>
      <c r="C350" s="7"/>
      <c r="D350" s="9" t="str">
        <f>IF(C350="","",VLOOKUP(C350,'Student Roster'!A:C,2,FALSE))</f>
        <v/>
      </c>
      <c r="E350" s="9" t="str">
        <f>IF(C350="","",VLOOKUP(C350,'Student Roster'!A:C,3,FALSE))</f>
        <v/>
      </c>
      <c r="F350" s="7"/>
      <c r="G350" s="7"/>
      <c r="H350" s="7"/>
      <c r="I350" s="7"/>
      <c r="J350" s="7"/>
      <c r="K350" s="7"/>
      <c r="L350" s="7"/>
      <c r="M350" s="7"/>
      <c r="N350" s="7"/>
      <c r="O350" s="7"/>
      <c r="P350" s="7"/>
      <c r="Q350" s="7"/>
    </row>
    <row r="351" spans="1:17" s="1" customFormat="1" ht="18" customHeight="1" x14ac:dyDescent="0.45">
      <c r="A351" s="5"/>
      <c r="B351" s="5"/>
      <c r="C351" s="5"/>
      <c r="D351" s="9" t="str">
        <f>IF(C351="","",VLOOKUP(C351,'Student Roster'!A:C,2,FALSE))</f>
        <v/>
      </c>
      <c r="E351" s="9" t="str">
        <f>IF(C351="","",VLOOKUP(C351,'Student Roster'!A:C,3,FALSE))</f>
        <v/>
      </c>
      <c r="F351" s="5"/>
      <c r="G351" s="5"/>
      <c r="H351" s="5"/>
      <c r="I351" s="5"/>
      <c r="J351" s="5"/>
      <c r="K351" s="5"/>
      <c r="L351" s="5"/>
      <c r="M351" s="5"/>
      <c r="N351" s="5"/>
      <c r="O351" s="5"/>
      <c r="P351" s="5"/>
      <c r="Q351" s="5"/>
    </row>
    <row r="352" spans="1:17" s="1" customFormat="1" ht="18" customHeight="1" x14ac:dyDescent="0.45">
      <c r="A352" s="7"/>
      <c r="B352" s="7"/>
      <c r="C352" s="7"/>
      <c r="D352" s="9" t="str">
        <f>IF(C352="","",VLOOKUP(C352,'Student Roster'!A:C,2,FALSE))</f>
        <v/>
      </c>
      <c r="E352" s="9" t="str">
        <f>IF(C352="","",VLOOKUP(C352,'Student Roster'!A:C,3,FALSE))</f>
        <v/>
      </c>
      <c r="F352" s="7"/>
      <c r="G352" s="7"/>
      <c r="H352" s="7"/>
      <c r="I352" s="7"/>
      <c r="J352" s="7"/>
      <c r="K352" s="7"/>
      <c r="L352" s="7"/>
      <c r="M352" s="7"/>
      <c r="N352" s="7"/>
      <c r="O352" s="7"/>
      <c r="P352" s="7"/>
      <c r="Q352" s="7"/>
    </row>
    <row r="353" spans="1:17" s="1" customFormat="1" ht="18" customHeight="1" x14ac:dyDescent="0.45">
      <c r="A353" s="5"/>
      <c r="B353" s="5"/>
      <c r="C353" s="5"/>
      <c r="D353" s="9" t="str">
        <f>IF(C353="","",VLOOKUP(C353,'Student Roster'!A:C,2,FALSE))</f>
        <v/>
      </c>
      <c r="E353" s="9" t="str">
        <f>IF(C353="","",VLOOKUP(C353,'Student Roster'!A:C,3,FALSE))</f>
        <v/>
      </c>
      <c r="F353" s="5"/>
      <c r="G353" s="5"/>
      <c r="H353" s="5"/>
      <c r="I353" s="5"/>
      <c r="J353" s="5"/>
      <c r="K353" s="5"/>
      <c r="L353" s="5"/>
      <c r="M353" s="5"/>
      <c r="N353" s="5"/>
      <c r="O353" s="5"/>
      <c r="P353" s="5"/>
      <c r="Q353" s="5"/>
    </row>
    <row r="354" spans="1:17" s="1" customFormat="1" ht="18" customHeight="1" x14ac:dyDescent="0.45">
      <c r="A354" s="7"/>
      <c r="B354" s="7"/>
      <c r="C354" s="7"/>
      <c r="D354" s="9" t="str">
        <f>IF(C354="","",VLOOKUP(C354,'Student Roster'!A:C,2,FALSE))</f>
        <v/>
      </c>
      <c r="E354" s="9" t="str">
        <f>IF(C354="","",VLOOKUP(C354,'Student Roster'!A:C,3,FALSE))</f>
        <v/>
      </c>
      <c r="F354" s="7"/>
      <c r="G354" s="7"/>
      <c r="H354" s="7"/>
      <c r="I354" s="7"/>
      <c r="J354" s="7"/>
      <c r="K354" s="7"/>
      <c r="L354" s="7"/>
      <c r="M354" s="7"/>
      <c r="N354" s="7"/>
      <c r="O354" s="7"/>
      <c r="P354" s="7"/>
      <c r="Q354" s="7"/>
    </row>
    <row r="355" spans="1:17" s="1" customFormat="1" ht="18" customHeight="1" x14ac:dyDescent="0.45">
      <c r="A355" s="5"/>
      <c r="B355" s="5"/>
      <c r="C355" s="5"/>
      <c r="D355" s="9" t="str">
        <f>IF(C355="","",VLOOKUP(C355,'Student Roster'!A:C,2,FALSE))</f>
        <v/>
      </c>
      <c r="E355" s="9" t="str">
        <f>IF(C355="","",VLOOKUP(C355,'Student Roster'!A:C,3,FALSE))</f>
        <v/>
      </c>
      <c r="F355" s="5"/>
      <c r="G355" s="5"/>
      <c r="H355" s="5"/>
      <c r="I355" s="5"/>
      <c r="J355" s="5"/>
      <c r="K355" s="5"/>
      <c r="L355" s="5"/>
      <c r="M355" s="5"/>
      <c r="N355" s="5"/>
      <c r="O355" s="5"/>
      <c r="P355" s="5"/>
      <c r="Q355" s="5"/>
    </row>
    <row r="356" spans="1:17" s="1" customFormat="1" ht="18" customHeight="1" x14ac:dyDescent="0.45">
      <c r="A356" s="7"/>
      <c r="B356" s="7"/>
      <c r="C356" s="7"/>
      <c r="D356" s="9" t="str">
        <f>IF(C356="","",VLOOKUP(C356,'Student Roster'!A:C,2,FALSE))</f>
        <v/>
      </c>
      <c r="E356" s="9" t="str">
        <f>IF(C356="","",VLOOKUP(C356,'Student Roster'!A:C,3,FALSE))</f>
        <v/>
      </c>
      <c r="F356" s="7"/>
      <c r="G356" s="7"/>
      <c r="H356" s="7"/>
      <c r="I356" s="7"/>
      <c r="J356" s="7"/>
      <c r="K356" s="7"/>
      <c r="L356" s="7"/>
      <c r="M356" s="7"/>
      <c r="N356" s="7"/>
      <c r="O356" s="7"/>
      <c r="P356" s="7"/>
      <c r="Q356" s="7"/>
    </row>
    <row r="357" spans="1:17" s="1" customFormat="1" ht="18" customHeight="1" x14ac:dyDescent="0.45">
      <c r="A357" s="5"/>
      <c r="B357" s="5"/>
      <c r="C357" s="5"/>
      <c r="D357" s="9" t="str">
        <f>IF(C357="","",VLOOKUP(C357,'Student Roster'!A:C,2,FALSE))</f>
        <v/>
      </c>
      <c r="E357" s="9" t="str">
        <f>IF(C357="","",VLOOKUP(C357,'Student Roster'!A:C,3,FALSE))</f>
        <v/>
      </c>
      <c r="F357" s="5"/>
      <c r="G357" s="5"/>
      <c r="H357" s="5"/>
      <c r="I357" s="5"/>
      <c r="J357" s="5"/>
      <c r="K357" s="5"/>
      <c r="L357" s="5"/>
      <c r="M357" s="5"/>
      <c r="N357" s="5"/>
      <c r="O357" s="5"/>
      <c r="P357" s="5"/>
      <c r="Q357" s="5"/>
    </row>
    <row r="358" spans="1:17" s="1" customFormat="1" ht="18" customHeight="1" x14ac:dyDescent="0.45">
      <c r="A358" s="7"/>
      <c r="B358" s="7"/>
      <c r="C358" s="7"/>
      <c r="D358" s="9" t="str">
        <f>IF(C358="","",VLOOKUP(C358,'Student Roster'!A:C,2,FALSE))</f>
        <v/>
      </c>
      <c r="E358" s="9" t="str">
        <f>IF(C358="","",VLOOKUP(C358,'Student Roster'!A:C,3,FALSE))</f>
        <v/>
      </c>
      <c r="F358" s="7"/>
      <c r="G358" s="7"/>
      <c r="H358" s="7"/>
      <c r="I358" s="7"/>
      <c r="J358" s="7"/>
      <c r="K358" s="7"/>
      <c r="L358" s="7"/>
      <c r="M358" s="7"/>
      <c r="N358" s="7"/>
      <c r="O358" s="7"/>
      <c r="P358" s="7"/>
      <c r="Q358" s="7"/>
    </row>
    <row r="359" spans="1:17" s="1" customFormat="1" ht="18" customHeight="1" x14ac:dyDescent="0.45">
      <c r="A359" s="5"/>
      <c r="B359" s="5"/>
      <c r="C359" s="5"/>
      <c r="D359" s="9" t="str">
        <f>IF(C359="","",VLOOKUP(C359,'Student Roster'!A:C,2,FALSE))</f>
        <v/>
      </c>
      <c r="E359" s="9" t="str">
        <f>IF(C359="","",VLOOKUP(C359,'Student Roster'!A:C,3,FALSE))</f>
        <v/>
      </c>
      <c r="F359" s="5"/>
      <c r="G359" s="5"/>
      <c r="H359" s="5"/>
      <c r="I359" s="5"/>
      <c r="J359" s="5"/>
      <c r="K359" s="5"/>
      <c r="L359" s="5"/>
      <c r="M359" s="5"/>
      <c r="N359" s="5"/>
      <c r="O359" s="5"/>
      <c r="P359" s="5"/>
      <c r="Q359" s="5"/>
    </row>
    <row r="360" spans="1:17" s="1" customFormat="1" ht="18" customHeight="1" x14ac:dyDescent="0.45">
      <c r="A360" s="7"/>
      <c r="B360" s="7"/>
      <c r="C360" s="7"/>
      <c r="D360" s="9" t="str">
        <f>IF(C360="","",VLOOKUP(C360,'Student Roster'!A:C,2,FALSE))</f>
        <v/>
      </c>
      <c r="E360" s="9" t="str">
        <f>IF(C360="","",VLOOKUP(C360,'Student Roster'!A:C,3,FALSE))</f>
        <v/>
      </c>
      <c r="F360" s="7"/>
      <c r="G360" s="7"/>
      <c r="H360" s="7"/>
      <c r="I360" s="7"/>
      <c r="J360" s="7"/>
      <c r="K360" s="7"/>
      <c r="L360" s="7"/>
      <c r="M360" s="7"/>
      <c r="N360" s="7"/>
      <c r="O360" s="7"/>
      <c r="P360" s="7"/>
      <c r="Q360" s="7"/>
    </row>
    <row r="361" spans="1:17" s="1" customFormat="1" ht="18" customHeight="1" x14ac:dyDescent="0.45">
      <c r="A361" s="5"/>
      <c r="B361" s="5"/>
      <c r="C361" s="5"/>
      <c r="D361" s="9" t="str">
        <f>IF(C361="","",VLOOKUP(C361,'Student Roster'!A:C,2,FALSE))</f>
        <v/>
      </c>
      <c r="E361" s="9" t="str">
        <f>IF(C361="","",VLOOKUP(C361,'Student Roster'!A:C,3,FALSE))</f>
        <v/>
      </c>
      <c r="F361" s="5"/>
      <c r="G361" s="5"/>
      <c r="H361" s="5"/>
      <c r="I361" s="5"/>
      <c r="J361" s="5"/>
      <c r="K361" s="5"/>
      <c r="L361" s="5"/>
      <c r="M361" s="5"/>
      <c r="N361" s="5"/>
      <c r="O361" s="5"/>
      <c r="P361" s="5"/>
      <c r="Q361" s="5"/>
    </row>
    <row r="362" spans="1:17" s="1" customFormat="1" ht="18" customHeight="1" x14ac:dyDescent="0.45">
      <c r="A362" s="7"/>
      <c r="B362" s="7"/>
      <c r="C362" s="7"/>
      <c r="D362" s="9" t="str">
        <f>IF(C362="","",VLOOKUP(C362,'Student Roster'!A:C,2,FALSE))</f>
        <v/>
      </c>
      <c r="E362" s="9" t="str">
        <f>IF(C362="","",VLOOKUP(C362,'Student Roster'!A:C,3,FALSE))</f>
        <v/>
      </c>
      <c r="F362" s="7"/>
      <c r="G362" s="7"/>
      <c r="H362" s="7"/>
      <c r="I362" s="7"/>
      <c r="J362" s="7"/>
      <c r="K362" s="7"/>
      <c r="L362" s="7"/>
      <c r="M362" s="7"/>
      <c r="N362" s="7"/>
      <c r="O362" s="7"/>
      <c r="P362" s="7"/>
      <c r="Q362" s="7"/>
    </row>
    <row r="363" spans="1:17" s="1" customFormat="1" ht="18" customHeight="1" x14ac:dyDescent="0.45">
      <c r="A363" s="5"/>
      <c r="B363" s="5"/>
      <c r="C363" s="5"/>
      <c r="D363" s="9" t="str">
        <f>IF(C363="","",VLOOKUP(C363,'Student Roster'!A:C,2,FALSE))</f>
        <v/>
      </c>
      <c r="E363" s="9" t="str">
        <f>IF(C363="","",VLOOKUP(C363,'Student Roster'!A:C,3,FALSE))</f>
        <v/>
      </c>
      <c r="F363" s="5"/>
      <c r="G363" s="5"/>
      <c r="H363" s="5"/>
      <c r="I363" s="5"/>
      <c r="J363" s="5"/>
      <c r="K363" s="5"/>
      <c r="L363" s="5"/>
      <c r="M363" s="5"/>
      <c r="N363" s="5"/>
      <c r="O363" s="5"/>
      <c r="P363" s="5"/>
      <c r="Q363" s="5"/>
    </row>
    <row r="364" spans="1:17" s="1" customFormat="1" ht="18" customHeight="1" x14ac:dyDescent="0.45">
      <c r="A364" s="7"/>
      <c r="B364" s="7"/>
      <c r="C364" s="7"/>
      <c r="D364" s="9" t="str">
        <f>IF(C364="","",VLOOKUP(C364,'Student Roster'!A:C,2,FALSE))</f>
        <v/>
      </c>
      <c r="E364" s="9" t="str">
        <f>IF(C364="","",VLOOKUP(C364,'Student Roster'!A:C,3,FALSE))</f>
        <v/>
      </c>
      <c r="F364" s="7"/>
      <c r="G364" s="7"/>
      <c r="H364" s="7"/>
      <c r="I364" s="7"/>
      <c r="J364" s="7"/>
      <c r="K364" s="7"/>
      <c r="L364" s="7"/>
      <c r="M364" s="7"/>
      <c r="N364" s="7"/>
      <c r="O364" s="7"/>
      <c r="P364" s="7"/>
      <c r="Q364" s="7"/>
    </row>
    <row r="365" spans="1:17" s="1" customFormat="1" ht="18" customHeight="1" x14ac:dyDescent="0.45">
      <c r="A365" s="5"/>
      <c r="B365" s="5"/>
      <c r="C365" s="5"/>
      <c r="D365" s="9" t="str">
        <f>IF(C365="","",VLOOKUP(C365,'Student Roster'!A:C,2,FALSE))</f>
        <v/>
      </c>
      <c r="E365" s="9" t="str">
        <f>IF(C365="","",VLOOKUP(C365,'Student Roster'!A:C,3,FALSE))</f>
        <v/>
      </c>
      <c r="F365" s="5"/>
      <c r="G365" s="5"/>
      <c r="H365" s="5"/>
      <c r="I365" s="5"/>
      <c r="J365" s="5"/>
      <c r="K365" s="5"/>
      <c r="L365" s="5"/>
      <c r="M365" s="5"/>
      <c r="N365" s="5"/>
      <c r="O365" s="5"/>
      <c r="P365" s="5"/>
      <c r="Q365" s="5"/>
    </row>
    <row r="366" spans="1:17" s="1" customFormat="1" ht="18" customHeight="1" x14ac:dyDescent="0.45">
      <c r="A366" s="7"/>
      <c r="B366" s="7"/>
      <c r="C366" s="7"/>
      <c r="D366" s="9" t="str">
        <f>IF(C366="","",VLOOKUP(C366,'Student Roster'!A:C,2,FALSE))</f>
        <v/>
      </c>
      <c r="E366" s="9" t="str">
        <f>IF(C366="","",VLOOKUP(C366,'Student Roster'!A:C,3,FALSE))</f>
        <v/>
      </c>
      <c r="F366" s="7"/>
      <c r="G366" s="7"/>
      <c r="H366" s="7"/>
      <c r="I366" s="7"/>
      <c r="J366" s="7"/>
      <c r="K366" s="7"/>
      <c r="L366" s="7"/>
      <c r="M366" s="7"/>
      <c r="N366" s="7"/>
      <c r="O366" s="7"/>
      <c r="P366" s="7"/>
      <c r="Q366" s="7"/>
    </row>
    <row r="367" spans="1:17" s="1" customFormat="1" ht="18" customHeight="1" x14ac:dyDescent="0.45">
      <c r="A367" s="5"/>
      <c r="B367" s="5"/>
      <c r="C367" s="5"/>
      <c r="D367" s="9" t="str">
        <f>IF(C367="","",VLOOKUP(C367,'Student Roster'!A:C,2,FALSE))</f>
        <v/>
      </c>
      <c r="E367" s="9" t="str">
        <f>IF(C367="","",VLOOKUP(C367,'Student Roster'!A:C,3,FALSE))</f>
        <v/>
      </c>
      <c r="F367" s="5"/>
      <c r="G367" s="5"/>
      <c r="H367" s="5"/>
      <c r="I367" s="5"/>
      <c r="J367" s="5"/>
      <c r="K367" s="5"/>
      <c r="L367" s="5"/>
      <c r="M367" s="5"/>
      <c r="N367" s="5"/>
      <c r="O367" s="5"/>
      <c r="P367" s="5"/>
      <c r="Q367" s="5"/>
    </row>
    <row r="368" spans="1:17" s="1" customFormat="1" ht="18" customHeight="1" x14ac:dyDescent="0.45">
      <c r="A368" s="7"/>
      <c r="B368" s="7"/>
      <c r="C368" s="7"/>
      <c r="D368" s="9" t="str">
        <f>IF(C368="","",VLOOKUP(C368,'Student Roster'!A:C,2,FALSE))</f>
        <v/>
      </c>
      <c r="E368" s="9" t="str">
        <f>IF(C368="","",VLOOKUP(C368,'Student Roster'!A:C,3,FALSE))</f>
        <v/>
      </c>
      <c r="F368" s="7"/>
      <c r="G368" s="7"/>
      <c r="H368" s="7"/>
      <c r="I368" s="7"/>
      <c r="J368" s="7"/>
      <c r="K368" s="7"/>
      <c r="L368" s="7"/>
      <c r="M368" s="7"/>
      <c r="N368" s="7"/>
      <c r="O368" s="7"/>
      <c r="P368" s="7"/>
      <c r="Q368" s="7"/>
    </row>
    <row r="369" spans="1:17" s="1" customFormat="1" ht="18" customHeight="1" x14ac:dyDescent="0.45">
      <c r="A369" s="5"/>
      <c r="B369" s="5"/>
      <c r="C369" s="5"/>
      <c r="D369" s="9" t="str">
        <f>IF(C369="","",VLOOKUP(C369,'Student Roster'!A:C,2,FALSE))</f>
        <v/>
      </c>
      <c r="E369" s="9" t="str">
        <f>IF(C369="","",VLOOKUP(C369,'Student Roster'!A:C,3,FALSE))</f>
        <v/>
      </c>
      <c r="F369" s="5"/>
      <c r="G369" s="5"/>
      <c r="H369" s="5"/>
      <c r="I369" s="5"/>
      <c r="J369" s="5"/>
      <c r="K369" s="5"/>
      <c r="L369" s="5"/>
      <c r="M369" s="5"/>
      <c r="N369" s="5"/>
      <c r="O369" s="5"/>
      <c r="P369" s="5"/>
      <c r="Q369" s="5"/>
    </row>
    <row r="370" spans="1:17" s="1" customFormat="1" ht="18" customHeight="1" x14ac:dyDescent="0.45">
      <c r="A370" s="7"/>
      <c r="B370" s="7"/>
      <c r="C370" s="7"/>
      <c r="D370" s="9" t="str">
        <f>IF(C370="","",VLOOKUP(C370,'Student Roster'!A:C,2,FALSE))</f>
        <v/>
      </c>
      <c r="E370" s="9" t="str">
        <f>IF(C370="","",VLOOKUP(C370,'Student Roster'!A:C,3,FALSE))</f>
        <v/>
      </c>
      <c r="F370" s="7"/>
      <c r="G370" s="7"/>
      <c r="H370" s="7"/>
      <c r="I370" s="7"/>
      <c r="J370" s="7"/>
      <c r="K370" s="7"/>
      <c r="L370" s="7"/>
      <c r="M370" s="7"/>
      <c r="N370" s="7"/>
      <c r="O370" s="7"/>
      <c r="P370" s="7"/>
      <c r="Q370" s="7"/>
    </row>
    <row r="371" spans="1:17" s="1" customFormat="1" ht="18" customHeight="1" x14ac:dyDescent="0.45">
      <c r="A371" s="5"/>
      <c r="B371" s="5"/>
      <c r="C371" s="5"/>
      <c r="D371" s="9" t="str">
        <f>IF(C371="","",VLOOKUP(C371,'Student Roster'!A:C,2,FALSE))</f>
        <v/>
      </c>
      <c r="E371" s="9" t="str">
        <f>IF(C371="","",VLOOKUP(C371,'Student Roster'!A:C,3,FALSE))</f>
        <v/>
      </c>
      <c r="F371" s="5"/>
      <c r="G371" s="5"/>
      <c r="H371" s="5"/>
      <c r="I371" s="5"/>
      <c r="J371" s="5"/>
      <c r="K371" s="5"/>
      <c r="L371" s="5"/>
      <c r="M371" s="5"/>
      <c r="N371" s="5"/>
      <c r="O371" s="5"/>
      <c r="P371" s="5"/>
      <c r="Q371" s="5"/>
    </row>
    <row r="372" spans="1:17" s="1" customFormat="1" ht="18" customHeight="1" x14ac:dyDescent="0.45">
      <c r="A372" s="7"/>
      <c r="B372" s="7"/>
      <c r="C372" s="7"/>
      <c r="D372" s="9" t="str">
        <f>IF(C372="","",VLOOKUP(C372,'Student Roster'!A:C,2,FALSE))</f>
        <v/>
      </c>
      <c r="E372" s="9" t="str">
        <f>IF(C372="","",VLOOKUP(C372,'Student Roster'!A:C,3,FALSE))</f>
        <v/>
      </c>
      <c r="F372" s="7"/>
      <c r="G372" s="7"/>
      <c r="H372" s="7"/>
      <c r="I372" s="7"/>
      <c r="J372" s="7"/>
      <c r="K372" s="7"/>
      <c r="L372" s="7"/>
      <c r="M372" s="7"/>
      <c r="N372" s="7"/>
      <c r="O372" s="7"/>
      <c r="P372" s="7"/>
      <c r="Q372" s="7"/>
    </row>
    <row r="373" spans="1:17" s="1" customFormat="1" ht="18" customHeight="1" x14ac:dyDescent="0.45">
      <c r="A373" s="5"/>
      <c r="B373" s="5"/>
      <c r="C373" s="5"/>
      <c r="D373" s="9" t="str">
        <f>IF(C373="","",VLOOKUP(C373,'Student Roster'!A:C,2,FALSE))</f>
        <v/>
      </c>
      <c r="E373" s="9" t="str">
        <f>IF(C373="","",VLOOKUP(C373,'Student Roster'!A:C,3,FALSE))</f>
        <v/>
      </c>
      <c r="F373" s="5"/>
      <c r="G373" s="5"/>
      <c r="H373" s="5"/>
      <c r="I373" s="5"/>
      <c r="J373" s="5"/>
      <c r="K373" s="5"/>
      <c r="L373" s="5"/>
      <c r="M373" s="5"/>
      <c r="N373" s="5"/>
      <c r="O373" s="5"/>
      <c r="P373" s="5"/>
      <c r="Q373" s="5"/>
    </row>
    <row r="374" spans="1:17" s="1" customFormat="1" ht="18" customHeight="1" x14ac:dyDescent="0.45">
      <c r="A374" s="7"/>
      <c r="B374" s="7"/>
      <c r="C374" s="7"/>
      <c r="D374" s="9" t="str">
        <f>IF(C374="","",VLOOKUP(C374,'Student Roster'!A:C,2,FALSE))</f>
        <v/>
      </c>
      <c r="E374" s="9" t="str">
        <f>IF(C374="","",VLOOKUP(C374,'Student Roster'!A:C,3,FALSE))</f>
        <v/>
      </c>
      <c r="F374" s="7"/>
      <c r="G374" s="7"/>
      <c r="H374" s="7"/>
      <c r="I374" s="7"/>
      <c r="J374" s="7"/>
      <c r="K374" s="7"/>
      <c r="L374" s="7"/>
      <c r="M374" s="7"/>
      <c r="N374" s="7"/>
      <c r="O374" s="7"/>
      <c r="P374" s="7"/>
      <c r="Q374" s="7"/>
    </row>
    <row r="375" spans="1:17" s="1" customFormat="1" ht="18" customHeight="1" x14ac:dyDescent="0.45">
      <c r="A375" s="5"/>
      <c r="B375" s="5"/>
      <c r="C375" s="5"/>
      <c r="D375" s="9" t="str">
        <f>IF(C375="","",VLOOKUP(C375,'Student Roster'!A:C,2,FALSE))</f>
        <v/>
      </c>
      <c r="E375" s="9" t="str">
        <f>IF(C375="","",VLOOKUP(C375,'Student Roster'!A:C,3,FALSE))</f>
        <v/>
      </c>
      <c r="F375" s="5"/>
      <c r="G375" s="5"/>
      <c r="H375" s="5"/>
      <c r="I375" s="5"/>
      <c r="J375" s="5"/>
      <c r="K375" s="5"/>
      <c r="L375" s="5"/>
      <c r="M375" s="5"/>
      <c r="N375" s="5"/>
      <c r="O375" s="5"/>
      <c r="P375" s="5"/>
      <c r="Q375" s="5"/>
    </row>
    <row r="376" spans="1:17" s="1" customFormat="1" ht="18" customHeight="1" x14ac:dyDescent="0.45">
      <c r="A376" s="7"/>
      <c r="B376" s="7"/>
      <c r="C376" s="7"/>
      <c r="D376" s="9" t="str">
        <f>IF(C376="","",VLOOKUP(C376,'Student Roster'!A:C,2,FALSE))</f>
        <v/>
      </c>
      <c r="E376" s="9" t="str">
        <f>IF(C376="","",VLOOKUP(C376,'Student Roster'!A:C,3,FALSE))</f>
        <v/>
      </c>
      <c r="F376" s="7"/>
      <c r="G376" s="7"/>
      <c r="H376" s="7"/>
      <c r="I376" s="7"/>
      <c r="J376" s="7"/>
      <c r="K376" s="7"/>
      <c r="L376" s="7"/>
      <c r="M376" s="7"/>
      <c r="N376" s="7"/>
      <c r="O376" s="7"/>
      <c r="P376" s="7"/>
      <c r="Q376" s="7"/>
    </row>
    <row r="377" spans="1:17" s="1" customFormat="1" ht="18" customHeight="1" x14ac:dyDescent="0.45">
      <c r="A377" s="5"/>
      <c r="B377" s="5"/>
      <c r="C377" s="5"/>
      <c r="D377" s="9" t="str">
        <f>IF(C377="","",VLOOKUP(C377,'Student Roster'!A:C,2,FALSE))</f>
        <v/>
      </c>
      <c r="E377" s="9" t="str">
        <f>IF(C377="","",VLOOKUP(C377,'Student Roster'!A:C,3,FALSE))</f>
        <v/>
      </c>
      <c r="F377" s="5"/>
      <c r="G377" s="5"/>
      <c r="H377" s="5"/>
      <c r="I377" s="5"/>
      <c r="J377" s="5"/>
      <c r="K377" s="5"/>
      <c r="L377" s="5"/>
      <c r="M377" s="5"/>
      <c r="N377" s="5"/>
      <c r="O377" s="5"/>
      <c r="P377" s="5"/>
      <c r="Q377" s="5"/>
    </row>
    <row r="378" spans="1:17" s="1" customFormat="1" ht="18" customHeight="1" x14ac:dyDescent="0.45">
      <c r="A378" s="7"/>
      <c r="B378" s="7"/>
      <c r="C378" s="7"/>
      <c r="D378" s="9" t="str">
        <f>IF(C378="","",VLOOKUP(C378,'Student Roster'!A:C,2,FALSE))</f>
        <v/>
      </c>
      <c r="E378" s="9" t="str">
        <f>IF(C378="","",VLOOKUP(C378,'Student Roster'!A:C,3,FALSE))</f>
        <v/>
      </c>
      <c r="F378" s="7"/>
      <c r="G378" s="7"/>
      <c r="H378" s="7"/>
      <c r="I378" s="7"/>
      <c r="J378" s="7"/>
      <c r="K378" s="7"/>
      <c r="L378" s="7"/>
      <c r="M378" s="7"/>
      <c r="N378" s="7"/>
      <c r="O378" s="7"/>
      <c r="P378" s="7"/>
      <c r="Q378" s="7"/>
    </row>
    <row r="379" spans="1:17" s="1" customFormat="1" ht="18" customHeight="1" x14ac:dyDescent="0.45">
      <c r="A379" s="5"/>
      <c r="B379" s="5"/>
      <c r="C379" s="5"/>
      <c r="D379" s="9" t="str">
        <f>IF(C379="","",VLOOKUP(C379,'Student Roster'!A:C,2,FALSE))</f>
        <v/>
      </c>
      <c r="E379" s="9" t="str">
        <f>IF(C379="","",VLOOKUP(C379,'Student Roster'!A:C,3,FALSE))</f>
        <v/>
      </c>
      <c r="F379" s="5"/>
      <c r="G379" s="5"/>
      <c r="H379" s="5"/>
      <c r="I379" s="5"/>
      <c r="J379" s="5"/>
      <c r="K379" s="5"/>
      <c r="L379" s="5"/>
      <c r="M379" s="5"/>
      <c r="N379" s="5"/>
      <c r="O379" s="5"/>
      <c r="P379" s="5"/>
      <c r="Q379" s="5"/>
    </row>
    <row r="380" spans="1:17" s="1" customFormat="1" ht="18" customHeight="1" x14ac:dyDescent="0.45">
      <c r="A380" s="7"/>
      <c r="B380" s="7"/>
      <c r="C380" s="7"/>
      <c r="D380" s="9" t="str">
        <f>IF(C380="","",VLOOKUP(C380,'Student Roster'!A:C,2,FALSE))</f>
        <v/>
      </c>
      <c r="E380" s="9" t="str">
        <f>IF(C380="","",VLOOKUP(C380,'Student Roster'!A:C,3,FALSE))</f>
        <v/>
      </c>
      <c r="F380" s="7"/>
      <c r="G380" s="7"/>
      <c r="H380" s="7"/>
      <c r="I380" s="7"/>
      <c r="J380" s="7"/>
      <c r="K380" s="7"/>
      <c r="L380" s="7"/>
      <c r="M380" s="7"/>
      <c r="N380" s="7"/>
      <c r="O380" s="7"/>
      <c r="P380" s="7"/>
      <c r="Q380" s="7"/>
    </row>
    <row r="381" spans="1:17" s="1" customFormat="1" ht="18" customHeight="1" x14ac:dyDescent="0.45">
      <c r="A381" s="5"/>
      <c r="B381" s="5"/>
      <c r="C381" s="5"/>
      <c r="D381" s="9" t="str">
        <f>IF(C381="","",VLOOKUP(C381,'Student Roster'!A:C,2,FALSE))</f>
        <v/>
      </c>
      <c r="E381" s="9" t="str">
        <f>IF(C381="","",VLOOKUP(C381,'Student Roster'!A:C,3,FALSE))</f>
        <v/>
      </c>
      <c r="F381" s="5"/>
      <c r="G381" s="5"/>
      <c r="H381" s="5"/>
      <c r="I381" s="5"/>
      <c r="J381" s="5"/>
      <c r="K381" s="5"/>
      <c r="L381" s="5"/>
      <c r="M381" s="5"/>
      <c r="N381" s="5"/>
      <c r="O381" s="5"/>
      <c r="P381" s="5"/>
      <c r="Q381" s="5"/>
    </row>
    <row r="382" spans="1:17" s="1" customFormat="1" ht="18" customHeight="1" x14ac:dyDescent="0.45">
      <c r="A382" s="7"/>
      <c r="B382" s="7"/>
      <c r="C382" s="7"/>
      <c r="D382" s="9" t="str">
        <f>IF(C382="","",VLOOKUP(C382,'Student Roster'!A:C,2,FALSE))</f>
        <v/>
      </c>
      <c r="E382" s="9" t="str">
        <f>IF(C382="","",VLOOKUP(C382,'Student Roster'!A:C,3,FALSE))</f>
        <v/>
      </c>
      <c r="F382" s="7"/>
      <c r="G382" s="7"/>
      <c r="H382" s="7"/>
      <c r="I382" s="7"/>
      <c r="J382" s="7"/>
      <c r="K382" s="7"/>
      <c r="L382" s="7"/>
      <c r="M382" s="7"/>
      <c r="N382" s="7"/>
      <c r="O382" s="7"/>
      <c r="P382" s="7"/>
      <c r="Q382" s="7"/>
    </row>
    <row r="383" spans="1:17" s="1" customFormat="1" ht="18" customHeight="1" x14ac:dyDescent="0.45">
      <c r="A383" s="5"/>
      <c r="B383" s="5"/>
      <c r="C383" s="5"/>
      <c r="D383" s="9" t="str">
        <f>IF(C383="","",VLOOKUP(C383,'Student Roster'!A:C,2,FALSE))</f>
        <v/>
      </c>
      <c r="E383" s="9" t="str">
        <f>IF(C383="","",VLOOKUP(C383,'Student Roster'!A:C,3,FALSE))</f>
        <v/>
      </c>
      <c r="F383" s="5"/>
      <c r="G383" s="5"/>
      <c r="H383" s="5"/>
      <c r="I383" s="5"/>
      <c r="J383" s="5"/>
      <c r="K383" s="5"/>
      <c r="L383" s="5"/>
      <c r="M383" s="5"/>
      <c r="N383" s="5"/>
      <c r="O383" s="5"/>
      <c r="P383" s="5"/>
      <c r="Q383" s="5"/>
    </row>
    <row r="384" spans="1:17" s="1" customFormat="1" ht="18" customHeight="1" x14ac:dyDescent="0.45">
      <c r="A384" s="7"/>
      <c r="B384" s="7"/>
      <c r="C384" s="7"/>
      <c r="D384" s="9" t="str">
        <f>IF(C384="","",VLOOKUP(C384,'Student Roster'!A:C,2,FALSE))</f>
        <v/>
      </c>
      <c r="E384" s="9" t="str">
        <f>IF(C384="","",VLOOKUP(C384,'Student Roster'!A:C,3,FALSE))</f>
        <v/>
      </c>
      <c r="F384" s="7"/>
      <c r="G384" s="7"/>
      <c r="H384" s="7"/>
      <c r="I384" s="7"/>
      <c r="J384" s="7"/>
      <c r="K384" s="7"/>
      <c r="L384" s="7"/>
      <c r="M384" s="7"/>
      <c r="N384" s="7"/>
      <c r="O384" s="7"/>
      <c r="P384" s="7"/>
      <c r="Q384" s="7"/>
    </row>
    <row r="385" spans="1:17" s="1" customFormat="1" ht="18" customHeight="1" x14ac:dyDescent="0.45">
      <c r="A385" s="5"/>
      <c r="B385" s="5"/>
      <c r="C385" s="5"/>
      <c r="D385" s="9" t="str">
        <f>IF(C385="","",VLOOKUP(C385,'Student Roster'!A:C,2,FALSE))</f>
        <v/>
      </c>
      <c r="E385" s="9" t="str">
        <f>IF(C385="","",VLOOKUP(C385,'Student Roster'!A:C,3,FALSE))</f>
        <v/>
      </c>
      <c r="F385" s="5"/>
      <c r="G385" s="5"/>
      <c r="H385" s="5"/>
      <c r="I385" s="5"/>
      <c r="J385" s="5"/>
      <c r="K385" s="5"/>
      <c r="L385" s="5"/>
      <c r="M385" s="5"/>
      <c r="N385" s="5"/>
      <c r="O385" s="5"/>
      <c r="P385" s="5"/>
      <c r="Q385" s="5"/>
    </row>
    <row r="386" spans="1:17" s="1" customFormat="1" ht="18" customHeight="1" x14ac:dyDescent="0.45">
      <c r="A386" s="7"/>
      <c r="B386" s="7"/>
      <c r="C386" s="7"/>
      <c r="D386" s="9" t="str">
        <f>IF(C386="","",VLOOKUP(C386,'Student Roster'!A:C,2,FALSE))</f>
        <v/>
      </c>
      <c r="E386" s="9" t="str">
        <f>IF(C386="","",VLOOKUP(C386,'Student Roster'!A:C,3,FALSE))</f>
        <v/>
      </c>
      <c r="F386" s="7"/>
      <c r="G386" s="7"/>
      <c r="H386" s="7"/>
      <c r="I386" s="7"/>
      <c r="J386" s="7"/>
      <c r="K386" s="7"/>
      <c r="L386" s="7"/>
      <c r="M386" s="7"/>
      <c r="N386" s="7"/>
      <c r="O386" s="7"/>
      <c r="P386" s="7"/>
      <c r="Q386" s="7"/>
    </row>
    <row r="387" spans="1:17" s="1" customFormat="1" ht="18" customHeight="1" x14ac:dyDescent="0.45">
      <c r="A387" s="5"/>
      <c r="B387" s="5"/>
      <c r="C387" s="5"/>
      <c r="D387" s="9" t="str">
        <f>IF(C387="","",VLOOKUP(C387,'Student Roster'!A:C,2,FALSE))</f>
        <v/>
      </c>
      <c r="E387" s="9" t="str">
        <f>IF(C387="","",VLOOKUP(C387,'Student Roster'!A:C,3,FALSE))</f>
        <v/>
      </c>
      <c r="F387" s="5"/>
      <c r="G387" s="5"/>
      <c r="H387" s="5"/>
      <c r="I387" s="5"/>
      <c r="J387" s="5"/>
      <c r="K387" s="5"/>
      <c r="L387" s="5"/>
      <c r="M387" s="5"/>
      <c r="N387" s="5"/>
      <c r="O387" s="5"/>
      <c r="P387" s="5"/>
      <c r="Q387" s="5"/>
    </row>
    <row r="388" spans="1:17" s="1" customFormat="1" ht="18" customHeight="1" x14ac:dyDescent="0.45">
      <c r="A388" s="7"/>
      <c r="B388" s="7"/>
      <c r="C388" s="7"/>
      <c r="D388" s="9" t="str">
        <f>IF(C388="","",VLOOKUP(C388,'Student Roster'!A:C,2,FALSE))</f>
        <v/>
      </c>
      <c r="E388" s="9" t="str">
        <f>IF(C388="","",VLOOKUP(C388,'Student Roster'!A:C,3,FALSE))</f>
        <v/>
      </c>
      <c r="F388" s="7"/>
      <c r="G388" s="7"/>
      <c r="H388" s="7"/>
      <c r="I388" s="7"/>
      <c r="J388" s="7"/>
      <c r="K388" s="7"/>
      <c r="L388" s="7"/>
      <c r="M388" s="7"/>
      <c r="N388" s="7"/>
      <c r="O388" s="7"/>
      <c r="P388" s="7"/>
      <c r="Q388" s="7"/>
    </row>
    <row r="389" spans="1:17" s="1" customFormat="1" ht="18" customHeight="1" x14ac:dyDescent="0.45">
      <c r="A389" s="5"/>
      <c r="B389" s="5"/>
      <c r="C389" s="5"/>
      <c r="D389" s="9" t="str">
        <f>IF(C389="","",VLOOKUP(C389,'Student Roster'!A:C,2,FALSE))</f>
        <v/>
      </c>
      <c r="E389" s="9" t="str">
        <f>IF(C389="","",VLOOKUP(C389,'Student Roster'!A:C,3,FALSE))</f>
        <v/>
      </c>
      <c r="F389" s="5"/>
      <c r="G389" s="5"/>
      <c r="H389" s="5"/>
      <c r="I389" s="5"/>
      <c r="J389" s="5"/>
      <c r="K389" s="5"/>
      <c r="L389" s="5"/>
      <c r="M389" s="5"/>
      <c r="N389" s="5"/>
      <c r="O389" s="5"/>
      <c r="P389" s="5"/>
      <c r="Q389" s="5"/>
    </row>
    <row r="390" spans="1:17" s="1" customFormat="1" ht="18" customHeight="1" x14ac:dyDescent="0.45">
      <c r="A390" s="7"/>
      <c r="B390" s="7"/>
      <c r="C390" s="7"/>
      <c r="D390" s="9" t="str">
        <f>IF(C390="","",VLOOKUP(C390,'Student Roster'!A:C,2,FALSE))</f>
        <v/>
      </c>
      <c r="E390" s="9" t="str">
        <f>IF(C390="","",VLOOKUP(C390,'Student Roster'!A:C,3,FALSE))</f>
        <v/>
      </c>
      <c r="F390" s="7"/>
      <c r="G390" s="7"/>
      <c r="H390" s="7"/>
      <c r="I390" s="7"/>
      <c r="J390" s="7"/>
      <c r="K390" s="7"/>
      <c r="L390" s="7"/>
      <c r="M390" s="7"/>
      <c r="N390" s="7"/>
      <c r="O390" s="7"/>
      <c r="P390" s="7"/>
      <c r="Q390" s="7"/>
    </row>
    <row r="391" spans="1:17" s="1" customFormat="1" ht="18" customHeight="1" x14ac:dyDescent="0.45">
      <c r="A391" s="5"/>
      <c r="B391" s="5"/>
      <c r="C391" s="5"/>
      <c r="D391" s="9" t="str">
        <f>IF(C391="","",VLOOKUP(C391,'Student Roster'!A:C,2,FALSE))</f>
        <v/>
      </c>
      <c r="E391" s="9" t="str">
        <f>IF(C391="","",VLOOKUP(C391,'Student Roster'!A:C,3,FALSE))</f>
        <v/>
      </c>
      <c r="F391" s="5"/>
      <c r="G391" s="5"/>
      <c r="H391" s="5"/>
      <c r="I391" s="5"/>
      <c r="J391" s="5"/>
      <c r="K391" s="5"/>
      <c r="L391" s="5"/>
      <c r="M391" s="5"/>
      <c r="N391" s="5"/>
      <c r="O391" s="5"/>
      <c r="P391" s="5"/>
      <c r="Q391" s="5"/>
    </row>
    <row r="392" spans="1:17" s="1" customFormat="1" ht="18" customHeight="1" x14ac:dyDescent="0.45">
      <c r="A392" s="7"/>
      <c r="B392" s="7"/>
      <c r="C392" s="7"/>
      <c r="D392" s="9" t="str">
        <f>IF(C392="","",VLOOKUP(C392,'Student Roster'!A:C,2,FALSE))</f>
        <v/>
      </c>
      <c r="E392" s="9" t="str">
        <f>IF(C392="","",VLOOKUP(C392,'Student Roster'!A:C,3,FALSE))</f>
        <v/>
      </c>
      <c r="F392" s="7"/>
      <c r="G392" s="7"/>
      <c r="H392" s="7"/>
      <c r="I392" s="7"/>
      <c r="J392" s="7"/>
      <c r="K392" s="7"/>
      <c r="L392" s="7"/>
      <c r="M392" s="7"/>
      <c r="N392" s="7"/>
      <c r="O392" s="7"/>
      <c r="P392" s="7"/>
      <c r="Q392" s="7"/>
    </row>
    <row r="393" spans="1:17" s="1" customFormat="1" ht="18" customHeight="1" x14ac:dyDescent="0.45">
      <c r="A393" s="5"/>
      <c r="B393" s="5"/>
      <c r="C393" s="5"/>
      <c r="D393" s="9" t="str">
        <f>IF(C393="","",VLOOKUP(C393,'Student Roster'!A:C,2,FALSE))</f>
        <v/>
      </c>
      <c r="E393" s="9" t="str">
        <f>IF(C393="","",VLOOKUP(C393,'Student Roster'!A:C,3,FALSE))</f>
        <v/>
      </c>
      <c r="F393" s="5"/>
      <c r="G393" s="5"/>
      <c r="H393" s="5"/>
      <c r="I393" s="5"/>
      <c r="J393" s="5"/>
      <c r="K393" s="5"/>
      <c r="L393" s="5"/>
      <c r="M393" s="5"/>
      <c r="N393" s="5"/>
      <c r="O393" s="5"/>
      <c r="P393" s="5"/>
      <c r="Q393" s="5"/>
    </row>
    <row r="394" spans="1:17" s="1" customFormat="1" ht="18" customHeight="1" x14ac:dyDescent="0.45">
      <c r="A394" s="7"/>
      <c r="B394" s="7"/>
      <c r="C394" s="7"/>
      <c r="D394" s="9" t="str">
        <f>IF(C394="","",VLOOKUP(C394,'Student Roster'!A:C,2,FALSE))</f>
        <v/>
      </c>
      <c r="E394" s="9" t="str">
        <f>IF(C394="","",VLOOKUP(C394,'Student Roster'!A:C,3,FALSE))</f>
        <v/>
      </c>
      <c r="F394" s="7"/>
      <c r="G394" s="7"/>
      <c r="H394" s="7"/>
      <c r="I394" s="7"/>
      <c r="J394" s="7"/>
      <c r="K394" s="7"/>
      <c r="L394" s="7"/>
      <c r="M394" s="7"/>
      <c r="N394" s="7"/>
      <c r="O394" s="7"/>
      <c r="P394" s="7"/>
      <c r="Q394" s="7"/>
    </row>
    <row r="395" spans="1:17" s="1" customFormat="1" ht="18" customHeight="1" x14ac:dyDescent="0.45">
      <c r="A395" s="5"/>
      <c r="B395" s="5"/>
      <c r="C395" s="5"/>
      <c r="D395" s="9" t="str">
        <f>IF(C395="","",VLOOKUP(C395,'Student Roster'!A:C,2,FALSE))</f>
        <v/>
      </c>
      <c r="E395" s="9" t="str">
        <f>IF(C395="","",VLOOKUP(C395,'Student Roster'!A:C,3,FALSE))</f>
        <v/>
      </c>
      <c r="F395" s="5"/>
      <c r="G395" s="5"/>
      <c r="H395" s="5"/>
      <c r="I395" s="5"/>
      <c r="J395" s="5"/>
      <c r="K395" s="5"/>
      <c r="L395" s="5"/>
      <c r="M395" s="5"/>
      <c r="N395" s="5"/>
      <c r="O395" s="5"/>
      <c r="P395" s="5"/>
      <c r="Q395" s="5"/>
    </row>
    <row r="396" spans="1:17" s="1" customFormat="1" ht="18" customHeight="1" x14ac:dyDescent="0.45">
      <c r="A396" s="7"/>
      <c r="B396" s="7"/>
      <c r="C396" s="7"/>
      <c r="D396" s="9" t="str">
        <f>IF(C396="","",VLOOKUP(C396,'Student Roster'!A:C,2,FALSE))</f>
        <v/>
      </c>
      <c r="E396" s="9" t="str">
        <f>IF(C396="","",VLOOKUP(C396,'Student Roster'!A:C,3,FALSE))</f>
        <v/>
      </c>
      <c r="F396" s="7"/>
      <c r="G396" s="7"/>
      <c r="H396" s="7"/>
      <c r="I396" s="7"/>
      <c r="J396" s="7"/>
      <c r="K396" s="7"/>
      <c r="L396" s="7"/>
      <c r="M396" s="7"/>
      <c r="N396" s="7"/>
      <c r="O396" s="7"/>
      <c r="P396" s="7"/>
      <c r="Q396" s="7"/>
    </row>
    <row r="397" spans="1:17" s="1" customFormat="1" ht="18" customHeight="1" x14ac:dyDescent="0.45">
      <c r="A397" s="5"/>
      <c r="B397" s="5"/>
      <c r="C397" s="5"/>
      <c r="D397" s="9" t="str">
        <f>IF(C397="","",VLOOKUP(C397,'Student Roster'!A:C,2,FALSE))</f>
        <v/>
      </c>
      <c r="E397" s="9" t="str">
        <f>IF(C397="","",VLOOKUP(C397,'Student Roster'!A:C,3,FALSE))</f>
        <v/>
      </c>
      <c r="F397" s="5"/>
      <c r="G397" s="5"/>
      <c r="H397" s="5"/>
      <c r="I397" s="5"/>
      <c r="J397" s="5"/>
      <c r="K397" s="5"/>
      <c r="L397" s="5"/>
      <c r="M397" s="5"/>
      <c r="N397" s="5"/>
      <c r="O397" s="5"/>
      <c r="P397" s="5"/>
      <c r="Q397" s="5"/>
    </row>
    <row r="398" spans="1:17" s="1" customFormat="1" ht="18" customHeight="1" x14ac:dyDescent="0.45">
      <c r="A398" s="7"/>
      <c r="B398" s="7"/>
      <c r="C398" s="7"/>
      <c r="D398" s="9" t="str">
        <f>IF(C398="","",VLOOKUP(C398,'Student Roster'!A:C,2,FALSE))</f>
        <v/>
      </c>
      <c r="E398" s="9" t="str">
        <f>IF(C398="","",VLOOKUP(C398,'Student Roster'!A:C,3,FALSE))</f>
        <v/>
      </c>
      <c r="F398" s="7"/>
      <c r="G398" s="7"/>
      <c r="H398" s="7"/>
      <c r="I398" s="7"/>
      <c r="J398" s="7"/>
      <c r="K398" s="7"/>
      <c r="L398" s="7"/>
      <c r="M398" s="7"/>
      <c r="N398" s="7"/>
      <c r="O398" s="7"/>
      <c r="P398" s="7"/>
      <c r="Q398" s="7"/>
    </row>
    <row r="399" spans="1:17" s="1" customFormat="1" ht="18" customHeight="1" x14ac:dyDescent="0.45">
      <c r="A399" s="5"/>
      <c r="B399" s="5"/>
      <c r="C399" s="5"/>
      <c r="D399" s="9" t="str">
        <f>IF(C399="","",VLOOKUP(C399,'Student Roster'!A:C,2,FALSE))</f>
        <v/>
      </c>
      <c r="E399" s="9" t="str">
        <f>IF(C399="","",VLOOKUP(C399,'Student Roster'!A:C,3,FALSE))</f>
        <v/>
      </c>
      <c r="F399" s="5"/>
      <c r="G399" s="5"/>
      <c r="H399" s="5"/>
      <c r="I399" s="5"/>
      <c r="J399" s="5"/>
      <c r="K399" s="5"/>
      <c r="L399" s="5"/>
      <c r="M399" s="5"/>
      <c r="N399" s="5"/>
      <c r="O399" s="5"/>
      <c r="P399" s="5"/>
      <c r="Q399" s="5"/>
    </row>
    <row r="400" spans="1:17" s="1" customFormat="1" ht="18" customHeight="1" x14ac:dyDescent="0.45">
      <c r="A400" s="7"/>
      <c r="B400" s="7"/>
      <c r="C400" s="7"/>
      <c r="D400" s="9" t="str">
        <f>IF(C400="","",VLOOKUP(C400,'Student Roster'!A:C,2,FALSE))</f>
        <v/>
      </c>
      <c r="E400" s="9" t="str">
        <f>IF(C400="","",VLOOKUP(C400,'Student Roster'!A:C,3,FALSE))</f>
        <v/>
      </c>
      <c r="F400" s="7"/>
      <c r="G400" s="7"/>
      <c r="H400" s="7"/>
      <c r="I400" s="7"/>
      <c r="J400" s="7"/>
      <c r="K400" s="7"/>
      <c r="L400" s="7"/>
      <c r="M400" s="7"/>
      <c r="N400" s="7"/>
      <c r="O400" s="7"/>
      <c r="P400" s="7"/>
      <c r="Q400" s="7"/>
    </row>
    <row r="401" spans="1:17" s="1" customFormat="1" ht="18" customHeight="1" x14ac:dyDescent="0.45">
      <c r="A401" s="5"/>
      <c r="B401" s="5"/>
      <c r="C401" s="5"/>
      <c r="D401" s="9" t="str">
        <f>IF(C401="","",VLOOKUP(C401,'Student Roster'!A:C,2,FALSE))</f>
        <v/>
      </c>
      <c r="E401" s="9" t="str">
        <f>IF(C401="","",VLOOKUP(C401,'Student Roster'!A:C,3,FALSE))</f>
        <v/>
      </c>
      <c r="F401" s="5"/>
      <c r="G401" s="5"/>
      <c r="H401" s="5"/>
      <c r="I401" s="5"/>
      <c r="J401" s="5"/>
      <c r="K401" s="5"/>
      <c r="L401" s="5"/>
      <c r="M401" s="5"/>
      <c r="N401" s="5"/>
      <c r="O401" s="5"/>
      <c r="P401" s="5"/>
      <c r="Q401" s="5"/>
    </row>
    <row r="402" spans="1:17" s="1" customFormat="1" ht="18" customHeight="1" x14ac:dyDescent="0.45">
      <c r="A402" s="7"/>
      <c r="B402" s="7"/>
      <c r="C402" s="7"/>
      <c r="D402" s="9" t="str">
        <f>IF(C402="","",VLOOKUP(C402,'Student Roster'!A:C,2,FALSE))</f>
        <v/>
      </c>
      <c r="E402" s="9" t="str">
        <f>IF(C402="","",VLOOKUP(C402,'Student Roster'!A:C,3,FALSE))</f>
        <v/>
      </c>
      <c r="F402" s="7"/>
      <c r="G402" s="7"/>
      <c r="H402" s="7"/>
      <c r="I402" s="7"/>
      <c r="J402" s="7"/>
      <c r="K402" s="7"/>
      <c r="L402" s="7"/>
      <c r="M402" s="7"/>
      <c r="N402" s="7"/>
      <c r="O402" s="7"/>
      <c r="P402" s="7"/>
      <c r="Q402" s="7"/>
    </row>
    <row r="403" spans="1:17" s="1" customFormat="1" ht="18" customHeight="1" x14ac:dyDescent="0.45">
      <c r="A403" s="5"/>
      <c r="B403" s="5"/>
      <c r="C403" s="5"/>
      <c r="D403" s="9" t="str">
        <f>IF(C403="","",VLOOKUP(C403,'Student Roster'!A:C,2,FALSE))</f>
        <v/>
      </c>
      <c r="E403" s="9" t="str">
        <f>IF(C403="","",VLOOKUP(C403,'Student Roster'!A:C,3,FALSE))</f>
        <v/>
      </c>
      <c r="F403" s="5"/>
      <c r="G403" s="5"/>
      <c r="H403" s="5"/>
      <c r="I403" s="5"/>
      <c r="J403" s="5"/>
      <c r="K403" s="5"/>
      <c r="L403" s="5"/>
      <c r="M403" s="5"/>
      <c r="N403" s="5"/>
      <c r="O403" s="5"/>
      <c r="P403" s="5"/>
      <c r="Q403" s="5"/>
    </row>
    <row r="404" spans="1:17" s="1" customFormat="1" ht="18" customHeight="1" x14ac:dyDescent="0.45">
      <c r="A404" s="7"/>
      <c r="B404" s="7"/>
      <c r="C404" s="7"/>
      <c r="D404" s="9" t="str">
        <f>IF(C404="","",VLOOKUP(C404,'Student Roster'!A:C,2,FALSE))</f>
        <v/>
      </c>
      <c r="E404" s="9" t="str">
        <f>IF(C404="","",VLOOKUP(C404,'Student Roster'!A:C,3,FALSE))</f>
        <v/>
      </c>
      <c r="F404" s="7"/>
      <c r="G404" s="7"/>
      <c r="H404" s="7"/>
      <c r="I404" s="7"/>
      <c r="J404" s="7"/>
      <c r="K404" s="7"/>
      <c r="L404" s="7"/>
      <c r="M404" s="7"/>
      <c r="N404" s="7"/>
      <c r="O404" s="7"/>
      <c r="P404" s="7"/>
      <c r="Q404" s="7"/>
    </row>
    <row r="405" spans="1:17" s="1" customFormat="1" ht="18" customHeight="1" x14ac:dyDescent="0.45">
      <c r="A405" s="5"/>
      <c r="B405" s="5"/>
      <c r="C405" s="5"/>
      <c r="D405" s="9" t="str">
        <f>IF(C405="","",VLOOKUP(C405,'Student Roster'!A:C,2,FALSE))</f>
        <v/>
      </c>
      <c r="E405" s="9" t="str">
        <f>IF(C405="","",VLOOKUP(C405,'Student Roster'!A:C,3,FALSE))</f>
        <v/>
      </c>
      <c r="F405" s="5"/>
      <c r="G405" s="5"/>
      <c r="H405" s="5"/>
      <c r="I405" s="5"/>
      <c r="J405" s="5"/>
      <c r="K405" s="5"/>
      <c r="L405" s="5"/>
      <c r="M405" s="5"/>
      <c r="N405" s="5"/>
      <c r="O405" s="5"/>
      <c r="P405" s="5"/>
      <c r="Q405" s="5"/>
    </row>
    <row r="406" spans="1:17" s="1" customFormat="1" ht="18" customHeight="1" x14ac:dyDescent="0.45">
      <c r="A406" s="7"/>
      <c r="B406" s="7"/>
      <c r="C406" s="7"/>
      <c r="D406" s="9" t="str">
        <f>IF(C406="","",VLOOKUP(C406,'Student Roster'!A:C,2,FALSE))</f>
        <v/>
      </c>
      <c r="E406" s="9" t="str">
        <f>IF(C406="","",VLOOKUP(C406,'Student Roster'!A:C,3,FALSE))</f>
        <v/>
      </c>
      <c r="F406" s="7"/>
      <c r="G406" s="7"/>
      <c r="H406" s="7"/>
      <c r="I406" s="7"/>
      <c r="J406" s="7"/>
      <c r="K406" s="7"/>
      <c r="L406" s="7"/>
      <c r="M406" s="7"/>
      <c r="N406" s="7"/>
      <c r="O406" s="7"/>
      <c r="P406" s="7"/>
      <c r="Q406" s="7"/>
    </row>
    <row r="407" spans="1:17" s="1" customFormat="1" ht="18" customHeight="1" x14ac:dyDescent="0.45">
      <c r="A407" s="5"/>
      <c r="B407" s="5"/>
      <c r="C407" s="5"/>
      <c r="D407" s="9" t="str">
        <f>IF(C407="","",VLOOKUP(C407,'Student Roster'!A:C,2,FALSE))</f>
        <v/>
      </c>
      <c r="E407" s="9" t="str">
        <f>IF(C407="","",VLOOKUP(C407,'Student Roster'!A:C,3,FALSE))</f>
        <v/>
      </c>
      <c r="F407" s="5"/>
      <c r="G407" s="5"/>
      <c r="H407" s="5"/>
      <c r="I407" s="5"/>
      <c r="J407" s="5"/>
      <c r="K407" s="5"/>
      <c r="L407" s="5"/>
      <c r="M407" s="5"/>
      <c r="N407" s="5"/>
      <c r="O407" s="5"/>
      <c r="P407" s="5"/>
      <c r="Q407" s="5"/>
    </row>
    <row r="408" spans="1:17" s="1" customFormat="1" ht="18" customHeight="1" x14ac:dyDescent="0.45">
      <c r="A408" s="7"/>
      <c r="B408" s="7"/>
      <c r="C408" s="7"/>
      <c r="D408" s="9" t="str">
        <f>IF(C408="","",VLOOKUP(C408,'Student Roster'!A:C,2,FALSE))</f>
        <v/>
      </c>
      <c r="E408" s="9" t="str">
        <f>IF(C408="","",VLOOKUP(C408,'Student Roster'!A:C,3,FALSE))</f>
        <v/>
      </c>
      <c r="F408" s="7"/>
      <c r="G408" s="7"/>
      <c r="H408" s="7"/>
      <c r="I408" s="7"/>
      <c r="J408" s="7"/>
      <c r="K408" s="7"/>
      <c r="L408" s="7"/>
      <c r="M408" s="7"/>
      <c r="N408" s="7"/>
      <c r="O408" s="7"/>
      <c r="P408" s="7"/>
      <c r="Q408" s="7"/>
    </row>
    <row r="409" spans="1:17" s="1" customFormat="1" ht="18" customHeight="1" x14ac:dyDescent="0.45">
      <c r="A409" s="5"/>
      <c r="B409" s="5"/>
      <c r="C409" s="5"/>
      <c r="D409" s="9" t="str">
        <f>IF(C409="","",VLOOKUP(C409,'Student Roster'!A:C,2,FALSE))</f>
        <v/>
      </c>
      <c r="E409" s="9" t="str">
        <f>IF(C409="","",VLOOKUP(C409,'Student Roster'!A:C,3,FALSE))</f>
        <v/>
      </c>
      <c r="F409" s="5"/>
      <c r="G409" s="5"/>
      <c r="H409" s="5"/>
      <c r="I409" s="5"/>
      <c r="J409" s="5"/>
      <c r="K409" s="5"/>
      <c r="L409" s="5"/>
      <c r="M409" s="5"/>
      <c r="N409" s="5"/>
      <c r="O409" s="5"/>
      <c r="P409" s="5"/>
      <c r="Q409" s="5"/>
    </row>
    <row r="410" spans="1:17" s="1" customFormat="1" ht="18" customHeight="1" x14ac:dyDescent="0.45">
      <c r="A410" s="7"/>
      <c r="B410" s="7"/>
      <c r="C410" s="7"/>
      <c r="D410" s="9" t="str">
        <f>IF(C410="","",VLOOKUP(C410,'Student Roster'!A:C,2,FALSE))</f>
        <v/>
      </c>
      <c r="E410" s="9" t="str">
        <f>IF(C410="","",VLOOKUP(C410,'Student Roster'!A:C,3,FALSE))</f>
        <v/>
      </c>
      <c r="F410" s="7"/>
      <c r="G410" s="7"/>
      <c r="H410" s="7"/>
      <c r="I410" s="7"/>
      <c r="J410" s="7"/>
      <c r="K410" s="7"/>
      <c r="L410" s="7"/>
      <c r="M410" s="7"/>
      <c r="N410" s="7"/>
      <c r="O410" s="7"/>
      <c r="P410" s="7"/>
      <c r="Q410" s="7"/>
    </row>
    <row r="411" spans="1:17" s="1" customFormat="1" ht="18" customHeight="1" x14ac:dyDescent="0.45">
      <c r="A411" s="5"/>
      <c r="B411" s="5"/>
      <c r="C411" s="5"/>
      <c r="D411" s="9" t="str">
        <f>IF(C411="","",VLOOKUP(C411,'Student Roster'!A:C,2,FALSE))</f>
        <v/>
      </c>
      <c r="E411" s="9" t="str">
        <f>IF(C411="","",VLOOKUP(C411,'Student Roster'!A:C,3,FALSE))</f>
        <v/>
      </c>
      <c r="F411" s="5"/>
      <c r="G411" s="5"/>
      <c r="H411" s="5"/>
      <c r="I411" s="5"/>
      <c r="J411" s="5"/>
      <c r="K411" s="5"/>
      <c r="L411" s="5"/>
      <c r="M411" s="5"/>
      <c r="N411" s="5"/>
      <c r="O411" s="5"/>
      <c r="P411" s="5"/>
      <c r="Q411" s="5"/>
    </row>
    <row r="412" spans="1:17" s="1" customFormat="1" ht="18" customHeight="1" x14ac:dyDescent="0.45">
      <c r="A412" s="7"/>
      <c r="B412" s="7"/>
      <c r="C412" s="7"/>
      <c r="D412" s="9" t="str">
        <f>IF(C412="","",VLOOKUP(C412,'Student Roster'!A:C,2,FALSE))</f>
        <v/>
      </c>
      <c r="E412" s="9" t="str">
        <f>IF(C412="","",VLOOKUP(C412,'Student Roster'!A:C,3,FALSE))</f>
        <v/>
      </c>
      <c r="F412" s="7"/>
      <c r="G412" s="7"/>
      <c r="H412" s="7"/>
      <c r="I412" s="7"/>
      <c r="J412" s="7"/>
      <c r="K412" s="7"/>
      <c r="L412" s="7"/>
      <c r="M412" s="7"/>
      <c r="N412" s="7"/>
      <c r="O412" s="7"/>
      <c r="P412" s="7"/>
      <c r="Q412" s="7"/>
    </row>
    <row r="413" spans="1:17" s="1" customFormat="1" ht="18" customHeight="1" x14ac:dyDescent="0.45">
      <c r="A413" s="5"/>
      <c r="B413" s="5"/>
      <c r="C413" s="5"/>
      <c r="D413" s="9" t="str">
        <f>IF(C413="","",VLOOKUP(C413,'Student Roster'!A:C,2,FALSE))</f>
        <v/>
      </c>
      <c r="E413" s="9" t="str">
        <f>IF(C413="","",VLOOKUP(C413,'Student Roster'!A:C,3,FALSE))</f>
        <v/>
      </c>
      <c r="F413" s="5"/>
      <c r="G413" s="5"/>
      <c r="H413" s="5"/>
      <c r="I413" s="5"/>
      <c r="J413" s="5"/>
      <c r="K413" s="5"/>
      <c r="L413" s="5"/>
      <c r="M413" s="5"/>
      <c r="N413" s="5"/>
      <c r="O413" s="5"/>
      <c r="P413" s="5"/>
      <c r="Q413" s="5"/>
    </row>
    <row r="414" spans="1:17" s="1" customFormat="1" ht="18" customHeight="1" x14ac:dyDescent="0.45">
      <c r="A414" s="7"/>
      <c r="B414" s="7"/>
      <c r="C414" s="7"/>
      <c r="D414" s="9" t="str">
        <f>IF(C414="","",VLOOKUP(C414,'Student Roster'!A:C,2,FALSE))</f>
        <v/>
      </c>
      <c r="E414" s="9" t="str">
        <f>IF(C414="","",VLOOKUP(C414,'Student Roster'!A:C,3,FALSE))</f>
        <v/>
      </c>
      <c r="F414" s="7"/>
      <c r="G414" s="7"/>
      <c r="H414" s="7"/>
      <c r="I414" s="7"/>
      <c r="J414" s="7"/>
      <c r="K414" s="7"/>
      <c r="L414" s="7"/>
      <c r="M414" s="7"/>
      <c r="N414" s="7"/>
      <c r="O414" s="7"/>
      <c r="P414" s="7"/>
      <c r="Q414" s="7"/>
    </row>
    <row r="415" spans="1:17" s="1" customFormat="1" ht="18" customHeight="1" x14ac:dyDescent="0.45">
      <c r="A415" s="5"/>
      <c r="B415" s="5"/>
      <c r="C415" s="5"/>
      <c r="D415" s="9" t="str">
        <f>IF(C415="","",VLOOKUP(C415,'Student Roster'!A:C,2,FALSE))</f>
        <v/>
      </c>
      <c r="E415" s="9" t="str">
        <f>IF(C415="","",VLOOKUP(C415,'Student Roster'!A:C,3,FALSE))</f>
        <v/>
      </c>
      <c r="F415" s="5"/>
      <c r="G415" s="5"/>
      <c r="H415" s="5"/>
      <c r="I415" s="5"/>
      <c r="J415" s="5"/>
      <c r="K415" s="5"/>
      <c r="L415" s="5"/>
      <c r="M415" s="5"/>
      <c r="N415" s="5"/>
      <c r="O415" s="5"/>
      <c r="P415" s="5"/>
      <c r="Q415" s="5"/>
    </row>
    <row r="416" spans="1:17" s="1" customFormat="1" ht="18" customHeight="1" x14ac:dyDescent="0.45">
      <c r="A416" s="7"/>
      <c r="B416" s="7"/>
      <c r="C416" s="7"/>
      <c r="D416" s="9" t="str">
        <f>IF(C416="","",VLOOKUP(C416,'Student Roster'!A:C,2,FALSE))</f>
        <v/>
      </c>
      <c r="E416" s="9" t="str">
        <f>IF(C416="","",VLOOKUP(C416,'Student Roster'!A:C,3,FALSE))</f>
        <v/>
      </c>
      <c r="F416" s="7"/>
      <c r="G416" s="7"/>
      <c r="H416" s="7"/>
      <c r="I416" s="7"/>
      <c r="J416" s="7"/>
      <c r="K416" s="7"/>
      <c r="L416" s="7"/>
      <c r="M416" s="7"/>
      <c r="N416" s="7"/>
      <c r="O416" s="7"/>
      <c r="P416" s="7"/>
      <c r="Q416" s="7"/>
    </row>
    <row r="417" spans="1:17" s="1" customFormat="1" ht="18" customHeight="1" x14ac:dyDescent="0.45">
      <c r="A417" s="5"/>
      <c r="B417" s="5"/>
      <c r="C417" s="5"/>
      <c r="D417" s="9" t="str">
        <f>IF(C417="","",VLOOKUP(C417,'Student Roster'!A:C,2,FALSE))</f>
        <v/>
      </c>
      <c r="E417" s="9" t="str">
        <f>IF(C417="","",VLOOKUP(C417,'Student Roster'!A:C,3,FALSE))</f>
        <v/>
      </c>
      <c r="F417" s="5"/>
      <c r="G417" s="5"/>
      <c r="H417" s="5"/>
      <c r="I417" s="5"/>
      <c r="J417" s="5"/>
      <c r="K417" s="5"/>
      <c r="L417" s="5"/>
      <c r="M417" s="5"/>
      <c r="N417" s="5"/>
      <c r="O417" s="5"/>
      <c r="P417" s="5"/>
      <c r="Q417" s="5"/>
    </row>
    <row r="418" spans="1:17" s="1" customFormat="1" ht="18" customHeight="1" x14ac:dyDescent="0.45">
      <c r="A418" s="7"/>
      <c r="B418" s="7"/>
      <c r="C418" s="7"/>
      <c r="D418" s="9" t="str">
        <f>IF(C418="","",VLOOKUP(C418,'Student Roster'!A:C,2,FALSE))</f>
        <v/>
      </c>
      <c r="E418" s="9" t="str">
        <f>IF(C418="","",VLOOKUP(C418,'Student Roster'!A:C,3,FALSE))</f>
        <v/>
      </c>
      <c r="F418" s="7"/>
      <c r="G418" s="7"/>
      <c r="H418" s="7"/>
      <c r="I418" s="7"/>
      <c r="J418" s="7"/>
      <c r="K418" s="7"/>
      <c r="L418" s="7"/>
      <c r="M418" s="7"/>
      <c r="N418" s="7"/>
      <c r="O418" s="7"/>
      <c r="P418" s="7"/>
      <c r="Q418" s="7"/>
    </row>
    <row r="419" spans="1:17" s="1" customFormat="1" ht="18" customHeight="1" x14ac:dyDescent="0.45">
      <c r="A419" s="5"/>
      <c r="B419" s="5"/>
      <c r="C419" s="5"/>
      <c r="D419" s="9" t="str">
        <f>IF(C419="","",VLOOKUP(C419,'Student Roster'!A:C,2,FALSE))</f>
        <v/>
      </c>
      <c r="E419" s="9" t="str">
        <f>IF(C419="","",VLOOKUP(C419,'Student Roster'!A:C,3,FALSE))</f>
        <v/>
      </c>
      <c r="F419" s="5"/>
      <c r="G419" s="5"/>
      <c r="H419" s="5"/>
      <c r="I419" s="5"/>
      <c r="J419" s="5"/>
      <c r="K419" s="5"/>
      <c r="L419" s="5"/>
      <c r="M419" s="5"/>
      <c r="N419" s="5"/>
      <c r="O419" s="5"/>
      <c r="P419" s="5"/>
      <c r="Q419" s="5"/>
    </row>
    <row r="420" spans="1:17" s="1" customFormat="1" ht="18" customHeight="1" x14ac:dyDescent="0.45">
      <c r="A420" s="7"/>
      <c r="B420" s="7"/>
      <c r="C420" s="7"/>
      <c r="D420" s="9" t="str">
        <f>IF(C420="","",VLOOKUP(C420,'Student Roster'!A:C,2,FALSE))</f>
        <v/>
      </c>
      <c r="E420" s="9" t="str">
        <f>IF(C420="","",VLOOKUP(C420,'Student Roster'!A:C,3,FALSE))</f>
        <v/>
      </c>
      <c r="F420" s="7"/>
      <c r="G420" s="7"/>
      <c r="H420" s="7"/>
      <c r="I420" s="7"/>
      <c r="J420" s="7"/>
      <c r="K420" s="7"/>
      <c r="L420" s="7"/>
      <c r="M420" s="7"/>
      <c r="N420" s="7"/>
      <c r="O420" s="7"/>
      <c r="P420" s="7"/>
      <c r="Q420" s="7"/>
    </row>
    <row r="421" spans="1:17" s="1" customFormat="1" ht="18" customHeight="1" x14ac:dyDescent="0.45">
      <c r="A421" s="5"/>
      <c r="B421" s="5"/>
      <c r="C421" s="5"/>
      <c r="D421" s="9" t="str">
        <f>IF(C421="","",VLOOKUP(C421,'Student Roster'!A:C,2,FALSE))</f>
        <v/>
      </c>
      <c r="E421" s="9" t="str">
        <f>IF(C421="","",VLOOKUP(C421,'Student Roster'!A:C,3,FALSE))</f>
        <v/>
      </c>
      <c r="F421" s="5"/>
      <c r="G421" s="5"/>
      <c r="H421" s="5"/>
      <c r="I421" s="5"/>
      <c r="J421" s="5"/>
      <c r="K421" s="5"/>
      <c r="L421" s="5"/>
      <c r="M421" s="5"/>
      <c r="N421" s="5"/>
      <c r="O421" s="5"/>
      <c r="P421" s="5"/>
      <c r="Q421" s="5"/>
    </row>
    <row r="422" spans="1:17" s="1" customFormat="1" ht="18" customHeight="1" x14ac:dyDescent="0.45">
      <c r="A422" s="7"/>
      <c r="B422" s="7"/>
      <c r="C422" s="7"/>
      <c r="D422" s="9" t="str">
        <f>IF(C422="","",VLOOKUP(C422,'Student Roster'!A:C,2,FALSE))</f>
        <v/>
      </c>
      <c r="E422" s="9" t="str">
        <f>IF(C422="","",VLOOKUP(C422,'Student Roster'!A:C,3,FALSE))</f>
        <v/>
      </c>
      <c r="F422" s="7"/>
      <c r="G422" s="7"/>
      <c r="H422" s="7"/>
      <c r="I422" s="7"/>
      <c r="J422" s="7"/>
      <c r="K422" s="7"/>
      <c r="L422" s="7"/>
      <c r="M422" s="7"/>
      <c r="N422" s="7"/>
      <c r="O422" s="7"/>
      <c r="P422" s="7"/>
      <c r="Q422" s="7"/>
    </row>
    <row r="423" spans="1:17" s="1" customFormat="1" ht="18" customHeight="1" x14ac:dyDescent="0.45">
      <c r="A423" s="5"/>
      <c r="B423" s="5"/>
      <c r="C423" s="5"/>
      <c r="D423" s="9" t="str">
        <f>IF(C423="","",VLOOKUP(C423,'Student Roster'!A:C,2,FALSE))</f>
        <v/>
      </c>
      <c r="E423" s="9" t="str">
        <f>IF(C423="","",VLOOKUP(C423,'Student Roster'!A:C,3,FALSE))</f>
        <v/>
      </c>
      <c r="F423" s="5"/>
      <c r="G423" s="5"/>
      <c r="H423" s="5"/>
      <c r="I423" s="5"/>
      <c r="J423" s="5"/>
      <c r="K423" s="5"/>
      <c r="L423" s="5"/>
      <c r="M423" s="5"/>
      <c r="N423" s="5"/>
      <c r="O423" s="5"/>
      <c r="P423" s="5"/>
      <c r="Q423" s="5"/>
    </row>
    <row r="424" spans="1:17" s="1" customFormat="1" ht="18" customHeight="1" x14ac:dyDescent="0.45">
      <c r="A424" s="7"/>
      <c r="B424" s="7"/>
      <c r="C424" s="7"/>
      <c r="D424" s="9" t="str">
        <f>IF(C424="","",VLOOKUP(C424,'Student Roster'!A:C,2,FALSE))</f>
        <v/>
      </c>
      <c r="E424" s="9" t="str">
        <f>IF(C424="","",VLOOKUP(C424,'Student Roster'!A:C,3,FALSE))</f>
        <v/>
      </c>
      <c r="F424" s="7"/>
      <c r="G424" s="7"/>
      <c r="H424" s="7"/>
      <c r="I424" s="7"/>
      <c r="J424" s="7"/>
      <c r="K424" s="7"/>
      <c r="L424" s="7"/>
      <c r="M424" s="7"/>
      <c r="N424" s="7"/>
      <c r="O424" s="7"/>
      <c r="P424" s="7"/>
      <c r="Q424" s="7"/>
    </row>
    <row r="425" spans="1:17" s="1" customFormat="1" ht="18" customHeight="1" x14ac:dyDescent="0.45">
      <c r="A425" s="5"/>
      <c r="B425" s="5"/>
      <c r="C425" s="5"/>
      <c r="D425" s="9" t="str">
        <f>IF(C425="","",VLOOKUP(C425,'Student Roster'!A:C,2,FALSE))</f>
        <v/>
      </c>
      <c r="E425" s="9" t="str">
        <f>IF(C425="","",VLOOKUP(C425,'Student Roster'!A:C,3,FALSE))</f>
        <v/>
      </c>
      <c r="F425" s="5"/>
      <c r="G425" s="5"/>
      <c r="H425" s="5"/>
      <c r="I425" s="5"/>
      <c r="J425" s="5"/>
      <c r="K425" s="5"/>
      <c r="L425" s="5"/>
      <c r="M425" s="5"/>
      <c r="N425" s="5"/>
      <c r="O425" s="5"/>
      <c r="P425" s="5"/>
      <c r="Q425" s="5"/>
    </row>
    <row r="426" spans="1:17" s="1" customFormat="1" ht="18" customHeight="1" x14ac:dyDescent="0.45">
      <c r="A426" s="7"/>
      <c r="B426" s="7"/>
      <c r="C426" s="7"/>
      <c r="D426" s="9" t="str">
        <f>IF(C426="","",VLOOKUP(C426,'Student Roster'!A:C,2,FALSE))</f>
        <v/>
      </c>
      <c r="E426" s="9" t="str">
        <f>IF(C426="","",VLOOKUP(C426,'Student Roster'!A:C,3,FALSE))</f>
        <v/>
      </c>
      <c r="F426" s="7"/>
      <c r="G426" s="7"/>
      <c r="H426" s="7"/>
      <c r="I426" s="7"/>
      <c r="J426" s="7"/>
      <c r="K426" s="7"/>
      <c r="L426" s="7"/>
      <c r="M426" s="7"/>
      <c r="N426" s="7"/>
      <c r="O426" s="7"/>
      <c r="P426" s="7"/>
      <c r="Q426" s="7"/>
    </row>
    <row r="427" spans="1:17" s="1" customFormat="1" ht="18" customHeight="1" x14ac:dyDescent="0.45">
      <c r="A427" s="5"/>
      <c r="B427" s="5"/>
      <c r="C427" s="5"/>
      <c r="D427" s="9" t="str">
        <f>IF(C427="","",VLOOKUP(C427,'Student Roster'!A:C,2,FALSE))</f>
        <v/>
      </c>
      <c r="E427" s="9" t="str">
        <f>IF(C427="","",VLOOKUP(C427,'Student Roster'!A:C,3,FALSE))</f>
        <v/>
      </c>
      <c r="F427" s="5"/>
      <c r="G427" s="5"/>
      <c r="H427" s="5"/>
      <c r="I427" s="5"/>
      <c r="J427" s="5"/>
      <c r="K427" s="5"/>
      <c r="L427" s="5"/>
      <c r="M427" s="5"/>
      <c r="N427" s="5"/>
      <c r="O427" s="5"/>
      <c r="P427" s="5"/>
      <c r="Q427" s="5"/>
    </row>
    <row r="428" spans="1:17" s="1" customFormat="1" ht="18" customHeight="1" x14ac:dyDescent="0.45">
      <c r="A428" s="7"/>
      <c r="B428" s="7"/>
      <c r="C428" s="7"/>
      <c r="D428" s="9" t="str">
        <f>IF(C428="","",VLOOKUP(C428,'Student Roster'!A:C,2,FALSE))</f>
        <v/>
      </c>
      <c r="E428" s="9" t="str">
        <f>IF(C428="","",VLOOKUP(C428,'Student Roster'!A:C,3,FALSE))</f>
        <v/>
      </c>
      <c r="F428" s="7"/>
      <c r="G428" s="7"/>
      <c r="H428" s="7"/>
      <c r="I428" s="7"/>
      <c r="J428" s="7"/>
      <c r="K428" s="7"/>
      <c r="L428" s="7"/>
      <c r="M428" s="7"/>
      <c r="N428" s="7"/>
      <c r="O428" s="7"/>
      <c r="P428" s="7"/>
      <c r="Q428" s="7"/>
    </row>
    <row r="429" spans="1:17" s="1" customFormat="1" ht="18" customHeight="1" x14ac:dyDescent="0.45">
      <c r="A429" s="5"/>
      <c r="B429" s="5"/>
      <c r="C429" s="5"/>
      <c r="D429" s="9" t="str">
        <f>IF(C429="","",VLOOKUP(C429,'Student Roster'!A:C,2,FALSE))</f>
        <v/>
      </c>
      <c r="E429" s="9" t="str">
        <f>IF(C429="","",VLOOKUP(C429,'Student Roster'!A:C,3,FALSE))</f>
        <v/>
      </c>
      <c r="F429" s="5"/>
      <c r="G429" s="5"/>
      <c r="H429" s="5"/>
      <c r="I429" s="5"/>
      <c r="J429" s="5"/>
      <c r="K429" s="5"/>
      <c r="L429" s="5"/>
      <c r="M429" s="5"/>
      <c r="N429" s="5"/>
      <c r="O429" s="5"/>
      <c r="P429" s="5"/>
      <c r="Q429" s="5"/>
    </row>
    <row r="430" spans="1:17" s="1" customFormat="1" ht="18" customHeight="1" x14ac:dyDescent="0.45">
      <c r="A430" s="7"/>
      <c r="B430" s="7"/>
      <c r="C430" s="7"/>
      <c r="D430" s="9" t="str">
        <f>IF(C430="","",VLOOKUP(C430,'Student Roster'!A:C,2,FALSE))</f>
        <v/>
      </c>
      <c r="E430" s="9" t="str">
        <f>IF(C430="","",VLOOKUP(C430,'Student Roster'!A:C,3,FALSE))</f>
        <v/>
      </c>
      <c r="F430" s="7"/>
      <c r="G430" s="7"/>
      <c r="H430" s="7"/>
      <c r="I430" s="7"/>
      <c r="J430" s="7"/>
      <c r="K430" s="7"/>
      <c r="L430" s="7"/>
      <c r="M430" s="7"/>
      <c r="N430" s="7"/>
      <c r="O430" s="7"/>
      <c r="P430" s="7"/>
      <c r="Q430" s="7"/>
    </row>
    <row r="431" spans="1:17" s="1" customFormat="1" ht="18" customHeight="1" x14ac:dyDescent="0.45">
      <c r="A431" s="5"/>
      <c r="B431" s="5"/>
      <c r="C431" s="5"/>
      <c r="D431" s="9" t="str">
        <f>IF(C431="","",VLOOKUP(C431,'Student Roster'!A:C,2,FALSE))</f>
        <v/>
      </c>
      <c r="E431" s="9" t="str">
        <f>IF(C431="","",VLOOKUP(C431,'Student Roster'!A:C,3,FALSE))</f>
        <v/>
      </c>
      <c r="F431" s="5"/>
      <c r="G431" s="5"/>
      <c r="H431" s="5"/>
      <c r="I431" s="5"/>
      <c r="J431" s="5"/>
      <c r="K431" s="5"/>
      <c r="L431" s="5"/>
      <c r="M431" s="5"/>
      <c r="N431" s="5"/>
      <c r="O431" s="5"/>
      <c r="P431" s="5"/>
      <c r="Q431" s="5"/>
    </row>
    <row r="432" spans="1:17" s="1" customFormat="1" ht="18" customHeight="1" x14ac:dyDescent="0.45">
      <c r="A432" s="7"/>
      <c r="B432" s="7"/>
      <c r="C432" s="7"/>
      <c r="D432" s="9" t="str">
        <f>IF(C432="","",VLOOKUP(C432,'Student Roster'!A:C,2,FALSE))</f>
        <v/>
      </c>
      <c r="E432" s="9" t="str">
        <f>IF(C432="","",VLOOKUP(C432,'Student Roster'!A:C,3,FALSE))</f>
        <v/>
      </c>
      <c r="F432" s="7"/>
      <c r="G432" s="7"/>
      <c r="H432" s="7"/>
      <c r="I432" s="7"/>
      <c r="J432" s="7"/>
      <c r="K432" s="7"/>
      <c r="L432" s="7"/>
      <c r="M432" s="7"/>
      <c r="N432" s="7"/>
      <c r="O432" s="7"/>
      <c r="P432" s="7"/>
      <c r="Q432" s="7"/>
    </row>
    <row r="433" spans="1:17" s="1" customFormat="1" ht="18" customHeight="1" x14ac:dyDescent="0.45">
      <c r="A433" s="5"/>
      <c r="B433" s="5"/>
      <c r="C433" s="5"/>
      <c r="D433" s="9" t="str">
        <f>IF(C433="","",VLOOKUP(C433,'Student Roster'!A:C,2,FALSE))</f>
        <v/>
      </c>
      <c r="E433" s="9" t="str">
        <f>IF(C433="","",VLOOKUP(C433,'Student Roster'!A:C,3,FALSE))</f>
        <v/>
      </c>
      <c r="F433" s="5"/>
      <c r="G433" s="5"/>
      <c r="H433" s="5"/>
      <c r="I433" s="5"/>
      <c r="J433" s="5"/>
      <c r="K433" s="5"/>
      <c r="L433" s="5"/>
      <c r="M433" s="5"/>
      <c r="N433" s="5"/>
      <c r="O433" s="5"/>
      <c r="P433" s="5"/>
      <c r="Q433" s="5"/>
    </row>
    <row r="434" spans="1:17" s="1" customFormat="1" ht="18" customHeight="1" x14ac:dyDescent="0.45">
      <c r="A434" s="7"/>
      <c r="B434" s="7"/>
      <c r="C434" s="7"/>
      <c r="D434" s="9" t="str">
        <f>IF(C434="","",VLOOKUP(C434,'Student Roster'!A:C,2,FALSE))</f>
        <v/>
      </c>
      <c r="E434" s="9" t="str">
        <f>IF(C434="","",VLOOKUP(C434,'Student Roster'!A:C,3,FALSE))</f>
        <v/>
      </c>
      <c r="F434" s="7"/>
      <c r="G434" s="7"/>
      <c r="H434" s="7"/>
      <c r="I434" s="7"/>
      <c r="J434" s="7"/>
      <c r="K434" s="7"/>
      <c r="L434" s="7"/>
      <c r="M434" s="7"/>
      <c r="N434" s="7"/>
      <c r="O434" s="7"/>
      <c r="P434" s="7"/>
      <c r="Q434" s="7"/>
    </row>
    <row r="435" spans="1:17" s="1" customFormat="1" ht="18" customHeight="1" x14ac:dyDescent="0.45">
      <c r="A435" s="5"/>
      <c r="B435" s="5"/>
      <c r="C435" s="5"/>
      <c r="D435" s="9" t="str">
        <f>IF(C435="","",VLOOKUP(C435,'Student Roster'!A:C,2,FALSE))</f>
        <v/>
      </c>
      <c r="E435" s="9" t="str">
        <f>IF(C435="","",VLOOKUP(C435,'Student Roster'!A:C,3,FALSE))</f>
        <v/>
      </c>
      <c r="F435" s="5"/>
      <c r="G435" s="5"/>
      <c r="H435" s="5"/>
      <c r="I435" s="5"/>
      <c r="J435" s="5"/>
      <c r="K435" s="5"/>
      <c r="L435" s="5"/>
      <c r="M435" s="5"/>
      <c r="N435" s="5"/>
      <c r="O435" s="5"/>
      <c r="P435" s="5"/>
      <c r="Q435" s="5"/>
    </row>
    <row r="436" spans="1:17" s="1" customFormat="1" ht="18" customHeight="1" x14ac:dyDescent="0.45">
      <c r="A436" s="7"/>
      <c r="B436" s="7"/>
      <c r="C436" s="7"/>
      <c r="D436" s="9" t="str">
        <f>IF(C436="","",VLOOKUP(C436,'Student Roster'!A:C,2,FALSE))</f>
        <v/>
      </c>
      <c r="E436" s="9" t="str">
        <f>IF(C436="","",VLOOKUP(C436,'Student Roster'!A:C,3,FALSE))</f>
        <v/>
      </c>
      <c r="F436" s="7"/>
      <c r="G436" s="7"/>
      <c r="H436" s="7"/>
      <c r="I436" s="7"/>
      <c r="J436" s="7"/>
      <c r="K436" s="7"/>
      <c r="L436" s="7"/>
      <c r="M436" s="7"/>
      <c r="N436" s="7"/>
      <c r="O436" s="7"/>
      <c r="P436" s="7"/>
      <c r="Q436" s="7"/>
    </row>
    <row r="437" spans="1:17" s="1" customFormat="1" ht="18" customHeight="1" x14ac:dyDescent="0.45">
      <c r="A437" s="5"/>
      <c r="B437" s="5"/>
      <c r="C437" s="5"/>
      <c r="D437" s="9" t="str">
        <f>IF(C437="","",VLOOKUP(C437,'Student Roster'!A:C,2,FALSE))</f>
        <v/>
      </c>
      <c r="E437" s="9" t="str">
        <f>IF(C437="","",VLOOKUP(C437,'Student Roster'!A:C,3,FALSE))</f>
        <v/>
      </c>
      <c r="F437" s="5"/>
      <c r="G437" s="5"/>
      <c r="H437" s="5"/>
      <c r="I437" s="5"/>
      <c r="J437" s="5"/>
      <c r="K437" s="5"/>
      <c r="L437" s="5"/>
      <c r="M437" s="5"/>
      <c r="N437" s="5"/>
      <c r="O437" s="5"/>
      <c r="P437" s="5"/>
      <c r="Q437" s="5"/>
    </row>
    <row r="438" spans="1:17" s="1" customFormat="1" ht="18" customHeight="1" x14ac:dyDescent="0.45">
      <c r="A438" s="7"/>
      <c r="B438" s="7"/>
      <c r="C438" s="7"/>
      <c r="D438" s="9" t="str">
        <f>IF(C438="","",VLOOKUP(C438,'Student Roster'!A:C,2,FALSE))</f>
        <v/>
      </c>
      <c r="E438" s="9" t="str">
        <f>IF(C438="","",VLOOKUP(C438,'Student Roster'!A:C,3,FALSE))</f>
        <v/>
      </c>
      <c r="F438" s="7"/>
      <c r="G438" s="7"/>
      <c r="H438" s="7"/>
      <c r="I438" s="7"/>
      <c r="J438" s="7"/>
      <c r="K438" s="7"/>
      <c r="L438" s="7"/>
      <c r="M438" s="7"/>
      <c r="N438" s="7"/>
      <c r="O438" s="7"/>
      <c r="P438" s="7"/>
      <c r="Q438" s="7"/>
    </row>
    <row r="439" spans="1:17" s="1" customFormat="1" ht="18" customHeight="1" x14ac:dyDescent="0.45">
      <c r="A439" s="5"/>
      <c r="B439" s="5"/>
      <c r="C439" s="5"/>
      <c r="D439" s="9" t="str">
        <f>IF(C439="","",VLOOKUP(C439,'Student Roster'!A:C,2,FALSE))</f>
        <v/>
      </c>
      <c r="E439" s="9" t="str">
        <f>IF(C439="","",VLOOKUP(C439,'Student Roster'!A:C,3,FALSE))</f>
        <v/>
      </c>
      <c r="F439" s="5"/>
      <c r="G439" s="5"/>
      <c r="H439" s="5"/>
      <c r="I439" s="5"/>
      <c r="J439" s="5"/>
      <c r="K439" s="5"/>
      <c r="L439" s="5"/>
      <c r="M439" s="5"/>
      <c r="N439" s="5"/>
      <c r="O439" s="5"/>
      <c r="P439" s="5"/>
      <c r="Q439" s="5"/>
    </row>
    <row r="440" spans="1:17" s="1" customFormat="1" ht="18" customHeight="1" x14ac:dyDescent="0.45">
      <c r="A440" s="7"/>
      <c r="B440" s="7"/>
      <c r="C440" s="7"/>
      <c r="D440" s="9" t="str">
        <f>IF(C440="","",VLOOKUP(C440,'Student Roster'!A:C,2,FALSE))</f>
        <v/>
      </c>
      <c r="E440" s="9" t="str">
        <f>IF(C440="","",VLOOKUP(C440,'Student Roster'!A:C,3,FALSE))</f>
        <v/>
      </c>
      <c r="F440" s="7"/>
      <c r="G440" s="7"/>
      <c r="H440" s="7"/>
      <c r="I440" s="7"/>
      <c r="J440" s="7"/>
      <c r="K440" s="7"/>
      <c r="L440" s="7"/>
      <c r="M440" s="7"/>
      <c r="N440" s="7"/>
      <c r="O440" s="7"/>
      <c r="P440" s="7"/>
      <c r="Q440" s="7"/>
    </row>
    <row r="441" spans="1:17" s="1" customFormat="1" ht="18" customHeight="1" x14ac:dyDescent="0.45">
      <c r="A441" s="5"/>
      <c r="B441" s="5"/>
      <c r="C441" s="5"/>
      <c r="D441" s="9" t="str">
        <f>IF(C441="","",VLOOKUP(C441,'Student Roster'!A:C,2,FALSE))</f>
        <v/>
      </c>
      <c r="E441" s="9" t="str">
        <f>IF(C441="","",VLOOKUP(C441,'Student Roster'!A:C,3,FALSE))</f>
        <v/>
      </c>
      <c r="F441" s="5"/>
      <c r="G441" s="5"/>
      <c r="H441" s="5"/>
      <c r="I441" s="5"/>
      <c r="J441" s="5"/>
      <c r="K441" s="5"/>
      <c r="L441" s="5"/>
      <c r="M441" s="5"/>
      <c r="N441" s="5"/>
      <c r="O441" s="5"/>
      <c r="P441" s="5"/>
      <c r="Q441" s="5"/>
    </row>
    <row r="442" spans="1:17" s="1" customFormat="1" ht="18" customHeight="1" x14ac:dyDescent="0.45">
      <c r="A442" s="7"/>
      <c r="B442" s="7"/>
      <c r="C442" s="7"/>
      <c r="D442" s="9" t="str">
        <f>IF(C442="","",VLOOKUP(C442,'Student Roster'!A:C,2,FALSE))</f>
        <v/>
      </c>
      <c r="E442" s="9" t="str">
        <f>IF(C442="","",VLOOKUP(C442,'Student Roster'!A:C,3,FALSE))</f>
        <v/>
      </c>
      <c r="F442" s="7"/>
      <c r="G442" s="7"/>
      <c r="H442" s="7"/>
      <c r="I442" s="7"/>
      <c r="J442" s="7"/>
      <c r="K442" s="7"/>
      <c r="L442" s="7"/>
      <c r="M442" s="7"/>
      <c r="N442" s="7"/>
      <c r="O442" s="7"/>
      <c r="P442" s="7"/>
      <c r="Q442" s="7"/>
    </row>
    <row r="443" spans="1:17" s="1" customFormat="1" ht="18" customHeight="1" x14ac:dyDescent="0.45">
      <c r="A443" s="5"/>
      <c r="B443" s="5"/>
      <c r="C443" s="5"/>
      <c r="D443" s="9" t="str">
        <f>IF(C443="","",VLOOKUP(C443,'Student Roster'!A:C,2,FALSE))</f>
        <v/>
      </c>
      <c r="E443" s="9" t="str">
        <f>IF(C443="","",VLOOKUP(C443,'Student Roster'!A:C,3,FALSE))</f>
        <v/>
      </c>
      <c r="F443" s="5"/>
      <c r="G443" s="5"/>
      <c r="H443" s="5"/>
      <c r="I443" s="5"/>
      <c r="J443" s="5"/>
      <c r="K443" s="5"/>
      <c r="L443" s="5"/>
      <c r="M443" s="5"/>
      <c r="N443" s="5"/>
      <c r="O443" s="5"/>
      <c r="P443" s="5"/>
      <c r="Q443" s="5"/>
    </row>
    <row r="444" spans="1:17" s="1" customFormat="1" ht="18" customHeight="1" x14ac:dyDescent="0.45">
      <c r="A444" s="7"/>
      <c r="B444" s="7"/>
      <c r="C444" s="7"/>
      <c r="D444" s="9" t="str">
        <f>IF(C444="","",VLOOKUP(C444,'Student Roster'!A:C,2,FALSE))</f>
        <v/>
      </c>
      <c r="E444" s="9" t="str">
        <f>IF(C444="","",VLOOKUP(C444,'Student Roster'!A:C,3,FALSE))</f>
        <v/>
      </c>
      <c r="F444" s="7"/>
      <c r="G444" s="7"/>
      <c r="H444" s="7"/>
      <c r="I444" s="7"/>
      <c r="J444" s="7"/>
      <c r="K444" s="7"/>
      <c r="L444" s="7"/>
      <c r="M444" s="7"/>
      <c r="N444" s="7"/>
      <c r="O444" s="7"/>
      <c r="P444" s="7"/>
      <c r="Q444" s="7"/>
    </row>
    <row r="445" spans="1:17" s="1" customFormat="1" ht="18" customHeight="1" x14ac:dyDescent="0.45">
      <c r="A445" s="5"/>
      <c r="B445" s="5"/>
      <c r="C445" s="5"/>
      <c r="D445" s="9" t="str">
        <f>IF(C445="","",VLOOKUP(C445,'Student Roster'!A:C,2,FALSE))</f>
        <v/>
      </c>
      <c r="E445" s="9" t="str">
        <f>IF(C445="","",VLOOKUP(C445,'Student Roster'!A:C,3,FALSE))</f>
        <v/>
      </c>
      <c r="F445" s="5"/>
      <c r="G445" s="5"/>
      <c r="H445" s="5"/>
      <c r="I445" s="5"/>
      <c r="J445" s="5"/>
      <c r="K445" s="5"/>
      <c r="L445" s="5"/>
      <c r="M445" s="5"/>
      <c r="N445" s="5"/>
      <c r="O445" s="5"/>
      <c r="P445" s="5"/>
      <c r="Q445" s="5"/>
    </row>
    <row r="446" spans="1:17" s="1" customFormat="1" ht="18" customHeight="1" x14ac:dyDescent="0.45">
      <c r="A446" s="7"/>
      <c r="B446" s="7"/>
      <c r="C446" s="7"/>
      <c r="D446" s="9" t="str">
        <f>IF(C446="","",VLOOKUP(C446,'Student Roster'!A:C,2,FALSE))</f>
        <v/>
      </c>
      <c r="E446" s="9" t="str">
        <f>IF(C446="","",VLOOKUP(C446,'Student Roster'!A:C,3,FALSE))</f>
        <v/>
      </c>
      <c r="F446" s="7"/>
      <c r="G446" s="7"/>
      <c r="H446" s="7"/>
      <c r="I446" s="7"/>
      <c r="J446" s="7"/>
      <c r="K446" s="7"/>
      <c r="L446" s="7"/>
      <c r="M446" s="7"/>
      <c r="N446" s="7"/>
      <c r="O446" s="7"/>
      <c r="P446" s="7"/>
      <c r="Q446" s="7"/>
    </row>
    <row r="447" spans="1:17" s="1" customFormat="1" ht="18" customHeight="1" x14ac:dyDescent="0.45">
      <c r="A447" s="5"/>
      <c r="B447" s="5"/>
      <c r="C447" s="5"/>
      <c r="D447" s="9" t="str">
        <f>IF(C447="","",VLOOKUP(C447,'Student Roster'!A:C,2,FALSE))</f>
        <v/>
      </c>
      <c r="E447" s="9" t="str">
        <f>IF(C447="","",VLOOKUP(C447,'Student Roster'!A:C,3,FALSE))</f>
        <v/>
      </c>
      <c r="F447" s="5"/>
      <c r="G447" s="5"/>
      <c r="H447" s="5"/>
      <c r="I447" s="5"/>
      <c r="J447" s="5"/>
      <c r="K447" s="5"/>
      <c r="L447" s="5"/>
      <c r="M447" s="5"/>
      <c r="N447" s="5"/>
      <c r="O447" s="5"/>
      <c r="P447" s="5"/>
      <c r="Q447" s="5"/>
    </row>
    <row r="448" spans="1:17" s="1" customFormat="1" ht="18" customHeight="1" x14ac:dyDescent="0.45">
      <c r="A448" s="7"/>
      <c r="B448" s="7"/>
      <c r="C448" s="7"/>
      <c r="D448" s="9" t="str">
        <f>IF(C448="","",VLOOKUP(C448,'Student Roster'!A:C,2,FALSE))</f>
        <v/>
      </c>
      <c r="E448" s="9" t="str">
        <f>IF(C448="","",VLOOKUP(C448,'Student Roster'!A:C,3,FALSE))</f>
        <v/>
      </c>
      <c r="F448" s="7"/>
      <c r="G448" s="7"/>
      <c r="H448" s="7"/>
      <c r="I448" s="7"/>
      <c r="J448" s="7"/>
      <c r="K448" s="7"/>
      <c r="L448" s="7"/>
      <c r="M448" s="7"/>
      <c r="N448" s="7"/>
      <c r="O448" s="7"/>
      <c r="P448" s="7"/>
      <c r="Q448" s="7"/>
    </row>
    <row r="449" spans="1:17" s="1" customFormat="1" ht="18" customHeight="1" x14ac:dyDescent="0.45">
      <c r="A449" s="5"/>
      <c r="B449" s="5"/>
      <c r="C449" s="5"/>
      <c r="D449" s="9" t="str">
        <f>IF(C449="","",VLOOKUP(C449,'Student Roster'!A:C,2,FALSE))</f>
        <v/>
      </c>
      <c r="E449" s="9" t="str">
        <f>IF(C449="","",VLOOKUP(C449,'Student Roster'!A:C,3,FALSE))</f>
        <v/>
      </c>
      <c r="F449" s="5"/>
      <c r="G449" s="5"/>
      <c r="H449" s="5"/>
      <c r="I449" s="5"/>
      <c r="J449" s="5"/>
      <c r="K449" s="5"/>
      <c r="L449" s="5"/>
      <c r="M449" s="5"/>
      <c r="N449" s="5"/>
      <c r="O449" s="5"/>
      <c r="P449" s="5"/>
      <c r="Q449" s="5"/>
    </row>
    <row r="450" spans="1:17" s="1" customFormat="1" ht="18" customHeight="1" x14ac:dyDescent="0.45">
      <c r="A450" s="7"/>
      <c r="B450" s="7"/>
      <c r="C450" s="7"/>
      <c r="D450" s="9" t="str">
        <f>IF(C450="","",VLOOKUP(C450,'Student Roster'!A:C,2,FALSE))</f>
        <v/>
      </c>
      <c r="E450" s="9" t="str">
        <f>IF(C450="","",VLOOKUP(C450,'Student Roster'!A:C,3,FALSE))</f>
        <v/>
      </c>
      <c r="F450" s="7"/>
      <c r="G450" s="7"/>
      <c r="H450" s="7"/>
      <c r="I450" s="7"/>
      <c r="J450" s="7"/>
      <c r="K450" s="7"/>
      <c r="L450" s="7"/>
      <c r="M450" s="7"/>
      <c r="N450" s="7"/>
      <c r="O450" s="7"/>
      <c r="P450" s="7"/>
      <c r="Q450" s="7"/>
    </row>
    <row r="451" spans="1:17" s="1" customFormat="1" ht="18" customHeight="1" x14ac:dyDescent="0.45">
      <c r="A451" s="5"/>
      <c r="B451" s="5"/>
      <c r="C451" s="5"/>
      <c r="D451" s="9" t="str">
        <f>IF(C451="","",VLOOKUP(C451,'Student Roster'!A:C,2,FALSE))</f>
        <v/>
      </c>
      <c r="E451" s="9" t="str">
        <f>IF(C451="","",VLOOKUP(C451,'Student Roster'!A:C,3,FALSE))</f>
        <v/>
      </c>
      <c r="F451" s="5"/>
      <c r="G451" s="5"/>
      <c r="H451" s="5"/>
      <c r="I451" s="5"/>
      <c r="J451" s="5"/>
      <c r="K451" s="5"/>
      <c r="L451" s="5"/>
      <c r="M451" s="5"/>
      <c r="N451" s="5"/>
      <c r="O451" s="5"/>
      <c r="P451" s="5"/>
      <c r="Q451" s="5"/>
    </row>
    <row r="452" spans="1:17" s="1" customFormat="1" ht="18" customHeight="1" x14ac:dyDescent="0.45">
      <c r="A452" s="7"/>
      <c r="B452" s="7"/>
      <c r="C452" s="7"/>
      <c r="D452" s="9" t="str">
        <f>IF(C452="","",VLOOKUP(C452,'Student Roster'!A:C,2,FALSE))</f>
        <v/>
      </c>
      <c r="E452" s="9" t="str">
        <f>IF(C452="","",VLOOKUP(C452,'Student Roster'!A:C,3,FALSE))</f>
        <v/>
      </c>
      <c r="F452" s="7"/>
      <c r="G452" s="7"/>
      <c r="H452" s="7"/>
      <c r="I452" s="7"/>
      <c r="J452" s="7"/>
      <c r="K452" s="7"/>
      <c r="L452" s="7"/>
      <c r="M452" s="7"/>
      <c r="N452" s="7"/>
      <c r="O452" s="7"/>
      <c r="P452" s="7"/>
      <c r="Q452" s="7"/>
    </row>
    <row r="453" spans="1:17" s="1" customFormat="1" ht="18" customHeight="1" x14ac:dyDescent="0.45">
      <c r="A453" s="5"/>
      <c r="B453" s="5"/>
      <c r="C453" s="5"/>
      <c r="D453" s="9" t="str">
        <f>IF(C453="","",VLOOKUP(C453,'Student Roster'!A:C,2,FALSE))</f>
        <v/>
      </c>
      <c r="E453" s="9" t="str">
        <f>IF(C453="","",VLOOKUP(C453,'Student Roster'!A:C,3,FALSE))</f>
        <v/>
      </c>
      <c r="F453" s="5"/>
      <c r="G453" s="5"/>
      <c r="H453" s="5"/>
      <c r="I453" s="5"/>
      <c r="J453" s="5"/>
      <c r="K453" s="5"/>
      <c r="L453" s="5"/>
      <c r="M453" s="5"/>
      <c r="N453" s="5"/>
      <c r="O453" s="5"/>
      <c r="P453" s="5"/>
      <c r="Q453" s="5"/>
    </row>
    <row r="454" spans="1:17" s="1" customFormat="1" ht="18" customHeight="1" x14ac:dyDescent="0.45">
      <c r="A454" s="7"/>
      <c r="B454" s="7"/>
      <c r="C454" s="7"/>
      <c r="D454" s="9" t="str">
        <f>IF(C454="","",VLOOKUP(C454,'Student Roster'!A:C,2,FALSE))</f>
        <v/>
      </c>
      <c r="E454" s="9" t="str">
        <f>IF(C454="","",VLOOKUP(C454,'Student Roster'!A:C,3,FALSE))</f>
        <v/>
      </c>
      <c r="F454" s="7"/>
      <c r="G454" s="7"/>
      <c r="H454" s="7"/>
      <c r="I454" s="7"/>
      <c r="J454" s="7"/>
      <c r="K454" s="7"/>
      <c r="L454" s="7"/>
      <c r="M454" s="7"/>
      <c r="N454" s="7"/>
      <c r="O454" s="7"/>
      <c r="P454" s="7"/>
      <c r="Q454" s="7"/>
    </row>
    <row r="455" spans="1:17" s="1" customFormat="1" ht="18" customHeight="1" x14ac:dyDescent="0.45">
      <c r="A455" s="5"/>
      <c r="B455" s="5"/>
      <c r="C455" s="5"/>
      <c r="D455" s="9" t="str">
        <f>IF(C455="","",VLOOKUP(C455,'Student Roster'!A:C,2,FALSE))</f>
        <v/>
      </c>
      <c r="E455" s="9" t="str">
        <f>IF(C455="","",VLOOKUP(C455,'Student Roster'!A:C,3,FALSE))</f>
        <v/>
      </c>
      <c r="F455" s="5"/>
      <c r="G455" s="5"/>
      <c r="H455" s="5"/>
      <c r="I455" s="5"/>
      <c r="J455" s="5"/>
      <c r="K455" s="5"/>
      <c r="L455" s="5"/>
      <c r="M455" s="5"/>
      <c r="N455" s="5"/>
      <c r="O455" s="5"/>
      <c r="P455" s="5"/>
      <c r="Q455" s="5"/>
    </row>
    <row r="456" spans="1:17" s="1" customFormat="1" ht="18" customHeight="1" x14ac:dyDescent="0.45">
      <c r="A456" s="7"/>
      <c r="B456" s="7"/>
      <c r="C456" s="7"/>
      <c r="D456" s="9" t="str">
        <f>IF(C456="","",VLOOKUP(C456,'Student Roster'!A:C,2,FALSE))</f>
        <v/>
      </c>
      <c r="E456" s="9" t="str">
        <f>IF(C456="","",VLOOKUP(C456,'Student Roster'!A:C,3,FALSE))</f>
        <v/>
      </c>
      <c r="F456" s="7"/>
      <c r="G456" s="7"/>
      <c r="H456" s="7"/>
      <c r="I456" s="7"/>
      <c r="J456" s="7"/>
      <c r="K456" s="7"/>
      <c r="L456" s="7"/>
      <c r="M456" s="7"/>
      <c r="N456" s="7"/>
      <c r="O456" s="7"/>
      <c r="P456" s="7"/>
      <c r="Q456" s="7"/>
    </row>
    <row r="457" spans="1:17" s="1" customFormat="1" ht="18" customHeight="1" x14ac:dyDescent="0.45">
      <c r="A457" s="5"/>
      <c r="B457" s="5"/>
      <c r="C457" s="5"/>
      <c r="D457" s="9" t="str">
        <f>IF(C457="","",VLOOKUP(C457,'Student Roster'!A:C,2,FALSE))</f>
        <v/>
      </c>
      <c r="E457" s="9" t="str">
        <f>IF(C457="","",VLOOKUP(C457,'Student Roster'!A:C,3,FALSE))</f>
        <v/>
      </c>
      <c r="F457" s="5"/>
      <c r="G457" s="5"/>
      <c r="H457" s="5"/>
      <c r="I457" s="5"/>
      <c r="J457" s="5"/>
      <c r="K457" s="5"/>
      <c r="L457" s="5"/>
      <c r="M457" s="5"/>
      <c r="N457" s="5"/>
      <c r="O457" s="5"/>
      <c r="P457" s="5"/>
      <c r="Q457" s="5"/>
    </row>
    <row r="458" spans="1:17" s="1" customFormat="1" ht="18" customHeight="1" x14ac:dyDescent="0.45">
      <c r="A458" s="7"/>
      <c r="B458" s="7"/>
      <c r="C458" s="7"/>
      <c r="D458" s="9" t="str">
        <f>IF(C458="","",VLOOKUP(C458,'Student Roster'!A:C,2,FALSE))</f>
        <v/>
      </c>
      <c r="E458" s="9" t="str">
        <f>IF(C458="","",VLOOKUP(C458,'Student Roster'!A:C,3,FALSE))</f>
        <v/>
      </c>
      <c r="F458" s="7"/>
      <c r="G458" s="7"/>
      <c r="H458" s="7"/>
      <c r="I458" s="7"/>
      <c r="J458" s="7"/>
      <c r="K458" s="7"/>
      <c r="L458" s="7"/>
      <c r="M458" s="7"/>
      <c r="N458" s="7"/>
      <c r="O458" s="7"/>
      <c r="P458" s="7"/>
      <c r="Q458" s="7"/>
    </row>
    <row r="459" spans="1:17" s="1" customFormat="1" ht="18" customHeight="1" x14ac:dyDescent="0.45">
      <c r="A459" s="5"/>
      <c r="B459" s="5"/>
      <c r="C459" s="5"/>
      <c r="D459" s="9" t="str">
        <f>IF(C459="","",VLOOKUP(C459,'Student Roster'!A:C,2,FALSE))</f>
        <v/>
      </c>
      <c r="E459" s="9" t="str">
        <f>IF(C459="","",VLOOKUP(C459,'Student Roster'!A:C,3,FALSE))</f>
        <v/>
      </c>
      <c r="F459" s="5"/>
      <c r="G459" s="5"/>
      <c r="H459" s="5"/>
      <c r="I459" s="5"/>
      <c r="J459" s="5"/>
      <c r="K459" s="5"/>
      <c r="L459" s="5"/>
      <c r="M459" s="5"/>
      <c r="N459" s="5"/>
      <c r="O459" s="5"/>
      <c r="P459" s="5"/>
      <c r="Q459" s="5"/>
    </row>
    <row r="460" spans="1:17" s="1" customFormat="1" ht="18" customHeight="1" x14ac:dyDescent="0.45">
      <c r="A460" s="7"/>
      <c r="B460" s="7"/>
      <c r="C460" s="7"/>
      <c r="D460" s="9" t="str">
        <f>IF(C460="","",VLOOKUP(C460,'Student Roster'!A:C,2,FALSE))</f>
        <v/>
      </c>
      <c r="E460" s="9" t="str">
        <f>IF(C460="","",VLOOKUP(C460,'Student Roster'!A:C,3,FALSE))</f>
        <v/>
      </c>
      <c r="F460" s="7"/>
      <c r="G460" s="7"/>
      <c r="H460" s="7"/>
      <c r="I460" s="7"/>
      <c r="J460" s="7"/>
      <c r="K460" s="7"/>
      <c r="L460" s="7"/>
      <c r="M460" s="7"/>
      <c r="N460" s="7"/>
      <c r="O460" s="7"/>
      <c r="P460" s="7"/>
      <c r="Q460" s="7"/>
    </row>
    <row r="461" spans="1:17" s="1" customFormat="1" ht="18" customHeight="1" x14ac:dyDescent="0.45">
      <c r="A461" s="5"/>
      <c r="B461" s="5"/>
      <c r="C461" s="5"/>
      <c r="D461" s="9" t="str">
        <f>IF(C461="","",VLOOKUP(C461,'Student Roster'!A:C,2,FALSE))</f>
        <v/>
      </c>
      <c r="E461" s="9" t="str">
        <f>IF(C461="","",VLOOKUP(C461,'Student Roster'!A:C,3,FALSE))</f>
        <v/>
      </c>
      <c r="F461" s="5"/>
      <c r="G461" s="5"/>
      <c r="H461" s="5"/>
      <c r="I461" s="5"/>
      <c r="J461" s="5"/>
      <c r="K461" s="5"/>
      <c r="L461" s="5"/>
      <c r="M461" s="5"/>
      <c r="N461" s="5"/>
      <c r="O461" s="5"/>
      <c r="P461" s="5"/>
      <c r="Q461" s="5"/>
    </row>
    <row r="462" spans="1:17" s="1" customFormat="1" ht="18" customHeight="1" x14ac:dyDescent="0.45">
      <c r="A462" s="7"/>
      <c r="B462" s="7"/>
      <c r="C462" s="7"/>
      <c r="D462" s="9" t="str">
        <f>IF(C462="","",VLOOKUP(C462,'Student Roster'!A:C,2,FALSE))</f>
        <v/>
      </c>
      <c r="E462" s="9" t="str">
        <f>IF(C462="","",VLOOKUP(C462,'Student Roster'!A:C,3,FALSE))</f>
        <v/>
      </c>
      <c r="F462" s="7"/>
      <c r="G462" s="7"/>
      <c r="H462" s="7"/>
      <c r="I462" s="7"/>
      <c r="J462" s="7"/>
      <c r="K462" s="7"/>
      <c r="L462" s="7"/>
      <c r="M462" s="7"/>
      <c r="N462" s="7"/>
      <c r="O462" s="7"/>
      <c r="P462" s="7"/>
      <c r="Q462" s="7"/>
    </row>
    <row r="463" spans="1:17" s="1" customFormat="1" ht="18" customHeight="1" x14ac:dyDescent="0.45">
      <c r="A463" s="5"/>
      <c r="B463" s="5"/>
      <c r="C463" s="5"/>
      <c r="D463" s="9" t="str">
        <f>IF(C463="","",VLOOKUP(C463,'Student Roster'!A:C,2,FALSE))</f>
        <v/>
      </c>
      <c r="E463" s="9" t="str">
        <f>IF(C463="","",VLOOKUP(C463,'Student Roster'!A:C,3,FALSE))</f>
        <v/>
      </c>
      <c r="F463" s="5"/>
      <c r="G463" s="5"/>
      <c r="H463" s="5"/>
      <c r="I463" s="5"/>
      <c r="J463" s="5"/>
      <c r="K463" s="5"/>
      <c r="L463" s="5"/>
      <c r="M463" s="5"/>
      <c r="N463" s="5"/>
      <c r="O463" s="5"/>
      <c r="P463" s="5"/>
      <c r="Q463" s="5"/>
    </row>
    <row r="464" spans="1:17" s="1" customFormat="1" ht="18" customHeight="1" x14ac:dyDescent="0.45">
      <c r="A464" s="7"/>
      <c r="B464" s="7"/>
      <c r="C464" s="7"/>
      <c r="D464" s="9" t="str">
        <f>IF(C464="","",VLOOKUP(C464,'Student Roster'!A:C,2,FALSE))</f>
        <v/>
      </c>
      <c r="E464" s="9" t="str">
        <f>IF(C464="","",VLOOKUP(C464,'Student Roster'!A:C,3,FALSE))</f>
        <v/>
      </c>
      <c r="F464" s="7"/>
      <c r="G464" s="7"/>
      <c r="H464" s="7"/>
      <c r="I464" s="7"/>
      <c r="J464" s="7"/>
      <c r="K464" s="7"/>
      <c r="L464" s="7"/>
      <c r="M464" s="7"/>
      <c r="N464" s="7"/>
      <c r="O464" s="7"/>
      <c r="P464" s="7"/>
      <c r="Q464" s="7"/>
    </row>
    <row r="465" spans="1:17" s="1" customFormat="1" ht="18" customHeight="1" x14ac:dyDescent="0.45">
      <c r="A465" s="5"/>
      <c r="B465" s="5"/>
      <c r="C465" s="5"/>
      <c r="D465" s="9" t="str">
        <f>IF(C465="","",VLOOKUP(C465,'Student Roster'!A:C,2,FALSE))</f>
        <v/>
      </c>
      <c r="E465" s="9" t="str">
        <f>IF(C465="","",VLOOKUP(C465,'Student Roster'!A:C,3,FALSE))</f>
        <v/>
      </c>
      <c r="F465" s="5"/>
      <c r="G465" s="5"/>
      <c r="H465" s="5"/>
      <c r="I465" s="5"/>
      <c r="J465" s="5"/>
      <c r="K465" s="5"/>
      <c r="L465" s="5"/>
      <c r="M465" s="5"/>
      <c r="N465" s="5"/>
      <c r="O465" s="5"/>
      <c r="P465" s="5"/>
      <c r="Q465" s="5"/>
    </row>
    <row r="466" spans="1:17" s="1" customFormat="1" ht="18" customHeight="1" x14ac:dyDescent="0.45">
      <c r="A466" s="7"/>
      <c r="B466" s="7"/>
      <c r="C466" s="7"/>
      <c r="D466" s="9" t="str">
        <f>IF(C466="","",VLOOKUP(C466,'Student Roster'!A:C,2,FALSE))</f>
        <v/>
      </c>
      <c r="E466" s="9" t="str">
        <f>IF(C466="","",VLOOKUP(C466,'Student Roster'!A:C,3,FALSE))</f>
        <v/>
      </c>
      <c r="F466" s="7"/>
      <c r="G466" s="7"/>
      <c r="H466" s="7"/>
      <c r="I466" s="7"/>
      <c r="J466" s="7"/>
      <c r="K466" s="7"/>
      <c r="L466" s="7"/>
      <c r="M466" s="7"/>
      <c r="N466" s="7"/>
      <c r="O466" s="7"/>
      <c r="P466" s="7"/>
      <c r="Q466" s="7"/>
    </row>
    <row r="467" spans="1:17" s="1" customFormat="1" ht="18" customHeight="1" x14ac:dyDescent="0.45">
      <c r="A467" s="5"/>
      <c r="B467" s="5"/>
      <c r="C467" s="5"/>
      <c r="D467" s="9" t="str">
        <f>IF(C467="","",VLOOKUP(C467,'Student Roster'!A:C,2,FALSE))</f>
        <v/>
      </c>
      <c r="E467" s="9" t="str">
        <f>IF(C467="","",VLOOKUP(C467,'Student Roster'!A:C,3,FALSE))</f>
        <v/>
      </c>
      <c r="F467" s="5"/>
      <c r="G467" s="5"/>
      <c r="H467" s="5"/>
      <c r="I467" s="5"/>
      <c r="J467" s="5"/>
      <c r="K467" s="5"/>
      <c r="L467" s="5"/>
      <c r="M467" s="5"/>
      <c r="N467" s="5"/>
      <c r="O467" s="5"/>
      <c r="P467" s="5"/>
      <c r="Q467" s="5"/>
    </row>
    <row r="468" spans="1:17" s="1" customFormat="1" ht="18" customHeight="1" x14ac:dyDescent="0.45">
      <c r="A468" s="7"/>
      <c r="B468" s="7"/>
      <c r="C468" s="7"/>
      <c r="D468" s="9" t="str">
        <f>IF(C468="","",VLOOKUP(C468,'Student Roster'!A:C,2,FALSE))</f>
        <v/>
      </c>
      <c r="E468" s="9" t="str">
        <f>IF(C468="","",VLOOKUP(C468,'Student Roster'!A:C,3,FALSE))</f>
        <v/>
      </c>
      <c r="F468" s="7"/>
      <c r="G468" s="7"/>
      <c r="H468" s="7"/>
      <c r="I468" s="7"/>
      <c r="J468" s="7"/>
      <c r="K468" s="7"/>
      <c r="L468" s="7"/>
      <c r="M468" s="7"/>
      <c r="N468" s="7"/>
      <c r="O468" s="7"/>
      <c r="P468" s="7"/>
      <c r="Q468" s="7"/>
    </row>
    <row r="469" spans="1:17" s="1" customFormat="1" ht="18" customHeight="1" x14ac:dyDescent="0.45">
      <c r="A469" s="5"/>
      <c r="B469" s="5"/>
      <c r="C469" s="5"/>
      <c r="D469" s="9" t="str">
        <f>IF(C469="","",VLOOKUP(C469,'Student Roster'!A:C,2,FALSE))</f>
        <v/>
      </c>
      <c r="E469" s="9" t="str">
        <f>IF(C469="","",VLOOKUP(C469,'Student Roster'!A:C,3,FALSE))</f>
        <v/>
      </c>
      <c r="F469" s="5"/>
      <c r="G469" s="5"/>
      <c r="H469" s="5"/>
      <c r="I469" s="5"/>
      <c r="J469" s="5"/>
      <c r="K469" s="5"/>
      <c r="L469" s="5"/>
      <c r="M469" s="5"/>
      <c r="N469" s="5"/>
      <c r="O469" s="5"/>
      <c r="P469" s="5"/>
      <c r="Q469" s="5"/>
    </row>
    <row r="470" spans="1:17" s="1" customFormat="1" ht="18" customHeight="1" x14ac:dyDescent="0.45">
      <c r="A470" s="7"/>
      <c r="B470" s="7"/>
      <c r="C470" s="7"/>
      <c r="D470" s="9" t="str">
        <f>IF(C470="","",VLOOKUP(C470,'Student Roster'!A:C,2,FALSE))</f>
        <v/>
      </c>
      <c r="E470" s="9" t="str">
        <f>IF(C470="","",VLOOKUP(C470,'Student Roster'!A:C,3,FALSE))</f>
        <v/>
      </c>
      <c r="F470" s="7"/>
      <c r="G470" s="7"/>
      <c r="H470" s="7"/>
      <c r="I470" s="7"/>
      <c r="J470" s="7"/>
      <c r="K470" s="7"/>
      <c r="L470" s="7"/>
      <c r="M470" s="7"/>
      <c r="N470" s="7"/>
      <c r="O470" s="7"/>
      <c r="P470" s="7"/>
      <c r="Q470" s="7"/>
    </row>
    <row r="471" spans="1:17" s="1" customFormat="1" ht="18" customHeight="1" x14ac:dyDescent="0.45">
      <c r="A471" s="5"/>
      <c r="B471" s="5"/>
      <c r="C471" s="5"/>
      <c r="D471" s="9" t="str">
        <f>IF(C471="","",VLOOKUP(C471,'Student Roster'!A:C,2,FALSE))</f>
        <v/>
      </c>
      <c r="E471" s="9" t="str">
        <f>IF(C471="","",VLOOKUP(C471,'Student Roster'!A:C,3,FALSE))</f>
        <v/>
      </c>
      <c r="F471" s="5"/>
      <c r="G471" s="5"/>
      <c r="H471" s="5"/>
      <c r="I471" s="5"/>
      <c r="J471" s="5"/>
      <c r="K471" s="5"/>
      <c r="L471" s="5"/>
      <c r="M471" s="5"/>
      <c r="N471" s="5"/>
      <c r="O471" s="5"/>
      <c r="P471" s="5"/>
      <c r="Q471" s="5"/>
    </row>
    <row r="472" spans="1:17" s="1" customFormat="1" ht="18" customHeight="1" x14ac:dyDescent="0.45">
      <c r="A472" s="7"/>
      <c r="B472" s="7"/>
      <c r="C472" s="7"/>
      <c r="D472" s="9" t="str">
        <f>IF(C472="","",VLOOKUP(C472,'Student Roster'!A:C,2,FALSE))</f>
        <v/>
      </c>
      <c r="E472" s="9" t="str">
        <f>IF(C472="","",VLOOKUP(C472,'Student Roster'!A:C,3,FALSE))</f>
        <v/>
      </c>
      <c r="F472" s="7"/>
      <c r="G472" s="7"/>
      <c r="H472" s="7"/>
      <c r="I472" s="7"/>
      <c r="J472" s="7"/>
      <c r="K472" s="7"/>
      <c r="L472" s="7"/>
      <c r="M472" s="7"/>
      <c r="N472" s="7"/>
      <c r="O472" s="7"/>
      <c r="P472" s="7"/>
      <c r="Q472" s="7"/>
    </row>
    <row r="473" spans="1:17" s="1" customFormat="1" ht="18" customHeight="1" x14ac:dyDescent="0.45">
      <c r="A473" s="5"/>
      <c r="B473" s="5"/>
      <c r="C473" s="5"/>
      <c r="D473" s="9" t="str">
        <f>IF(C473="","",VLOOKUP(C473,'Student Roster'!A:C,2,FALSE))</f>
        <v/>
      </c>
      <c r="E473" s="9" t="str">
        <f>IF(C473="","",VLOOKUP(C473,'Student Roster'!A:C,3,FALSE))</f>
        <v/>
      </c>
      <c r="F473" s="5"/>
      <c r="G473" s="5"/>
      <c r="H473" s="5"/>
      <c r="I473" s="5"/>
      <c r="J473" s="5"/>
      <c r="K473" s="5"/>
      <c r="L473" s="5"/>
      <c r="M473" s="5"/>
      <c r="N473" s="5"/>
      <c r="O473" s="5"/>
      <c r="P473" s="5"/>
      <c r="Q473" s="5"/>
    </row>
    <row r="474" spans="1:17" s="1" customFormat="1" ht="18" customHeight="1" x14ac:dyDescent="0.45">
      <c r="A474" s="7"/>
      <c r="B474" s="7"/>
      <c r="C474" s="7"/>
      <c r="D474" s="9" t="str">
        <f>IF(C474="","",VLOOKUP(C474,'Student Roster'!A:C,2,FALSE))</f>
        <v/>
      </c>
      <c r="E474" s="9" t="str">
        <f>IF(C474="","",VLOOKUP(C474,'Student Roster'!A:C,3,FALSE))</f>
        <v/>
      </c>
      <c r="F474" s="7"/>
      <c r="G474" s="7"/>
      <c r="H474" s="7"/>
      <c r="I474" s="7"/>
      <c r="J474" s="7"/>
      <c r="K474" s="7"/>
      <c r="L474" s="7"/>
      <c r="M474" s="7"/>
      <c r="N474" s="7"/>
      <c r="O474" s="7"/>
      <c r="P474" s="7"/>
      <c r="Q474" s="7"/>
    </row>
    <row r="475" spans="1:17" s="1" customFormat="1" ht="18" customHeight="1" x14ac:dyDescent="0.45">
      <c r="A475" s="5"/>
      <c r="B475" s="5"/>
      <c r="C475" s="5"/>
      <c r="D475" s="9" t="str">
        <f>IF(C475="","",VLOOKUP(C475,'Student Roster'!A:C,2,FALSE))</f>
        <v/>
      </c>
      <c r="E475" s="9" t="str">
        <f>IF(C475="","",VLOOKUP(C475,'Student Roster'!A:C,3,FALSE))</f>
        <v/>
      </c>
      <c r="F475" s="5"/>
      <c r="G475" s="5"/>
      <c r="H475" s="5"/>
      <c r="I475" s="5"/>
      <c r="J475" s="5"/>
      <c r="K475" s="5"/>
      <c r="L475" s="5"/>
      <c r="M475" s="5"/>
      <c r="N475" s="5"/>
      <c r="O475" s="5"/>
      <c r="P475" s="5"/>
      <c r="Q475" s="5"/>
    </row>
    <row r="476" spans="1:17" s="1" customFormat="1" ht="18" customHeight="1" x14ac:dyDescent="0.45">
      <c r="A476" s="7"/>
      <c r="B476" s="7"/>
      <c r="C476" s="7"/>
      <c r="D476" s="9" t="str">
        <f>IF(C476="","",VLOOKUP(C476,'Student Roster'!A:C,2,FALSE))</f>
        <v/>
      </c>
      <c r="E476" s="9" t="str">
        <f>IF(C476="","",VLOOKUP(C476,'Student Roster'!A:C,3,FALSE))</f>
        <v/>
      </c>
      <c r="F476" s="7"/>
      <c r="G476" s="7"/>
      <c r="H476" s="7"/>
      <c r="I476" s="7"/>
      <c r="J476" s="7"/>
      <c r="K476" s="7"/>
      <c r="L476" s="7"/>
      <c r="M476" s="7"/>
      <c r="N476" s="7"/>
      <c r="O476" s="7"/>
      <c r="P476" s="7"/>
      <c r="Q476" s="7"/>
    </row>
    <row r="477" spans="1:17" s="1" customFormat="1" ht="18" customHeight="1" x14ac:dyDescent="0.45">
      <c r="A477" s="5"/>
      <c r="B477" s="5"/>
      <c r="C477" s="5"/>
      <c r="D477" s="9" t="str">
        <f>IF(C477="","",VLOOKUP(C477,'Student Roster'!A:C,2,FALSE))</f>
        <v/>
      </c>
      <c r="E477" s="9" t="str">
        <f>IF(C477="","",VLOOKUP(C477,'Student Roster'!A:C,3,FALSE))</f>
        <v/>
      </c>
      <c r="F477" s="5"/>
      <c r="G477" s="5"/>
      <c r="H477" s="5"/>
      <c r="I477" s="5"/>
      <c r="J477" s="5"/>
      <c r="K477" s="5"/>
      <c r="L477" s="5"/>
      <c r="M477" s="5"/>
      <c r="N477" s="5"/>
      <c r="O477" s="5"/>
      <c r="P477" s="5"/>
      <c r="Q477" s="5"/>
    </row>
    <row r="478" spans="1:17" s="1" customFormat="1" ht="18" customHeight="1" x14ac:dyDescent="0.45">
      <c r="A478" s="7"/>
      <c r="B478" s="7"/>
      <c r="C478" s="7"/>
      <c r="D478" s="9" t="str">
        <f>IF(C478="","",VLOOKUP(C478,'Student Roster'!A:C,2,FALSE))</f>
        <v/>
      </c>
      <c r="E478" s="9" t="str">
        <f>IF(C478="","",VLOOKUP(C478,'Student Roster'!A:C,3,FALSE))</f>
        <v/>
      </c>
      <c r="F478" s="7"/>
      <c r="G478" s="7"/>
      <c r="H478" s="7"/>
      <c r="I478" s="7"/>
      <c r="J478" s="7"/>
      <c r="K478" s="7"/>
      <c r="L478" s="7"/>
      <c r="M478" s="7"/>
      <c r="N478" s="7"/>
      <c r="O478" s="7"/>
      <c r="P478" s="7"/>
      <c r="Q478" s="7"/>
    </row>
    <row r="479" spans="1:17" s="1" customFormat="1" ht="18" customHeight="1" x14ac:dyDescent="0.45">
      <c r="A479" s="5"/>
      <c r="B479" s="5"/>
      <c r="C479" s="5"/>
      <c r="D479" s="9" t="str">
        <f>IF(C479="","",VLOOKUP(C479,'Student Roster'!A:C,2,FALSE))</f>
        <v/>
      </c>
      <c r="E479" s="9" t="str">
        <f>IF(C479="","",VLOOKUP(C479,'Student Roster'!A:C,3,FALSE))</f>
        <v/>
      </c>
      <c r="F479" s="5"/>
      <c r="G479" s="5"/>
      <c r="H479" s="5"/>
      <c r="I479" s="5"/>
      <c r="J479" s="5"/>
      <c r="K479" s="5"/>
      <c r="L479" s="5"/>
      <c r="M479" s="5"/>
      <c r="N479" s="5"/>
      <c r="O479" s="5"/>
      <c r="P479" s="5"/>
      <c r="Q479" s="5"/>
    </row>
    <row r="480" spans="1:17" s="1" customFormat="1" ht="18" customHeight="1" x14ac:dyDescent="0.45">
      <c r="A480" s="7"/>
      <c r="B480" s="7"/>
      <c r="C480" s="7"/>
      <c r="D480" s="9" t="str">
        <f>IF(C480="","",VLOOKUP(C480,'Student Roster'!A:C,2,FALSE))</f>
        <v/>
      </c>
      <c r="E480" s="9" t="str">
        <f>IF(C480="","",VLOOKUP(C480,'Student Roster'!A:C,3,FALSE))</f>
        <v/>
      </c>
      <c r="F480" s="7"/>
      <c r="G480" s="7"/>
      <c r="H480" s="7"/>
      <c r="I480" s="7"/>
      <c r="J480" s="7"/>
      <c r="K480" s="7"/>
      <c r="L480" s="7"/>
      <c r="M480" s="7"/>
      <c r="N480" s="7"/>
      <c r="O480" s="7"/>
      <c r="P480" s="7"/>
      <c r="Q480" s="7"/>
    </row>
    <row r="481" spans="1:17" s="1" customFormat="1" ht="18" customHeight="1" x14ac:dyDescent="0.45">
      <c r="A481" s="5"/>
      <c r="B481" s="5"/>
      <c r="C481" s="5"/>
      <c r="D481" s="9" t="str">
        <f>IF(C481="","",VLOOKUP(C481,'Student Roster'!A:C,2,FALSE))</f>
        <v/>
      </c>
      <c r="E481" s="9" t="str">
        <f>IF(C481="","",VLOOKUP(C481,'Student Roster'!A:C,3,FALSE))</f>
        <v/>
      </c>
      <c r="F481" s="5"/>
      <c r="G481" s="5"/>
      <c r="H481" s="5"/>
      <c r="I481" s="5"/>
      <c r="J481" s="5"/>
      <c r="K481" s="5"/>
      <c r="L481" s="5"/>
      <c r="M481" s="5"/>
      <c r="N481" s="5"/>
      <c r="O481" s="5"/>
      <c r="P481" s="5"/>
      <c r="Q481" s="5"/>
    </row>
    <row r="482" spans="1:17" s="1" customFormat="1" ht="18" customHeight="1" x14ac:dyDescent="0.45">
      <c r="A482" s="7"/>
      <c r="B482" s="7"/>
      <c r="C482" s="7"/>
      <c r="D482" s="9" t="str">
        <f>IF(C482="","",VLOOKUP(C482,'Student Roster'!A:C,2,FALSE))</f>
        <v/>
      </c>
      <c r="E482" s="9" t="str">
        <f>IF(C482="","",VLOOKUP(C482,'Student Roster'!A:C,3,FALSE))</f>
        <v/>
      </c>
      <c r="F482" s="7"/>
      <c r="G482" s="7"/>
      <c r="H482" s="7"/>
      <c r="I482" s="7"/>
      <c r="J482" s="7"/>
      <c r="K482" s="7"/>
      <c r="L482" s="7"/>
      <c r="M482" s="7"/>
      <c r="N482" s="7"/>
      <c r="O482" s="7"/>
      <c r="P482" s="7"/>
      <c r="Q482" s="7"/>
    </row>
    <row r="483" spans="1:17" s="1" customFormat="1" ht="18" customHeight="1" x14ac:dyDescent="0.45">
      <c r="A483" s="5"/>
      <c r="B483" s="5"/>
      <c r="C483" s="5"/>
      <c r="D483" s="9" t="str">
        <f>IF(C483="","",VLOOKUP(C483,'Student Roster'!A:C,2,FALSE))</f>
        <v/>
      </c>
      <c r="E483" s="9" t="str">
        <f>IF(C483="","",VLOOKUP(C483,'Student Roster'!A:C,3,FALSE))</f>
        <v/>
      </c>
      <c r="F483" s="5"/>
      <c r="G483" s="5"/>
      <c r="H483" s="5"/>
      <c r="I483" s="5"/>
      <c r="J483" s="5"/>
      <c r="K483" s="5"/>
      <c r="L483" s="5"/>
      <c r="M483" s="5"/>
      <c r="N483" s="5"/>
      <c r="O483" s="5"/>
      <c r="P483" s="5"/>
      <c r="Q483" s="5"/>
    </row>
    <row r="484" spans="1:17" s="1" customFormat="1" ht="18" customHeight="1" x14ac:dyDescent="0.45">
      <c r="A484" s="7"/>
      <c r="B484" s="7"/>
      <c r="C484" s="7"/>
      <c r="D484" s="9" t="str">
        <f>IF(C484="","",VLOOKUP(C484,'Student Roster'!A:C,2,FALSE))</f>
        <v/>
      </c>
      <c r="E484" s="9" t="str">
        <f>IF(C484="","",VLOOKUP(C484,'Student Roster'!A:C,3,FALSE))</f>
        <v/>
      </c>
      <c r="F484" s="7"/>
      <c r="G484" s="7"/>
      <c r="H484" s="7"/>
      <c r="I484" s="7"/>
      <c r="J484" s="7"/>
      <c r="K484" s="7"/>
      <c r="L484" s="7"/>
      <c r="M484" s="7"/>
      <c r="N484" s="7"/>
      <c r="O484" s="7"/>
      <c r="P484" s="7"/>
      <c r="Q484" s="7"/>
    </row>
    <row r="485" spans="1:17" s="1" customFormat="1" ht="18" customHeight="1" x14ac:dyDescent="0.45">
      <c r="A485" s="5"/>
      <c r="B485" s="5"/>
      <c r="C485" s="5"/>
      <c r="D485" s="9" t="str">
        <f>IF(C485="","",VLOOKUP(C485,'Student Roster'!A:C,2,FALSE))</f>
        <v/>
      </c>
      <c r="E485" s="9" t="str">
        <f>IF(C485="","",VLOOKUP(C485,'Student Roster'!A:C,3,FALSE))</f>
        <v/>
      </c>
      <c r="F485" s="5"/>
      <c r="G485" s="5"/>
      <c r="H485" s="5"/>
      <c r="I485" s="5"/>
      <c r="J485" s="5"/>
      <c r="K485" s="5"/>
      <c r="L485" s="5"/>
      <c r="M485" s="5"/>
      <c r="N485" s="5"/>
      <c r="O485" s="5"/>
      <c r="P485" s="5"/>
      <c r="Q485" s="5"/>
    </row>
    <row r="486" spans="1:17" s="1" customFormat="1" ht="18" customHeight="1" x14ac:dyDescent="0.45">
      <c r="A486" s="7"/>
      <c r="B486" s="7"/>
      <c r="C486" s="7"/>
      <c r="D486" s="9" t="str">
        <f>IF(C486="","",VLOOKUP(C486,'Student Roster'!A:C,2,FALSE))</f>
        <v/>
      </c>
      <c r="E486" s="9" t="str">
        <f>IF(C486="","",VLOOKUP(C486,'Student Roster'!A:C,3,FALSE))</f>
        <v/>
      </c>
      <c r="F486" s="7"/>
      <c r="G486" s="7"/>
      <c r="H486" s="7"/>
      <c r="I486" s="7"/>
      <c r="J486" s="7"/>
      <c r="K486" s="7"/>
      <c r="L486" s="7"/>
      <c r="M486" s="7"/>
      <c r="N486" s="7"/>
      <c r="O486" s="7"/>
      <c r="P486" s="7"/>
      <c r="Q486" s="7"/>
    </row>
    <row r="487" spans="1:17" s="1" customFormat="1" ht="18" customHeight="1" x14ac:dyDescent="0.45">
      <c r="A487" s="5"/>
      <c r="B487" s="5"/>
      <c r="C487" s="5"/>
      <c r="D487" s="9" t="str">
        <f>IF(C487="","",VLOOKUP(C487,'Student Roster'!A:C,2,FALSE))</f>
        <v/>
      </c>
      <c r="E487" s="9" t="str">
        <f>IF(C487="","",VLOOKUP(C487,'Student Roster'!A:C,3,FALSE))</f>
        <v/>
      </c>
      <c r="F487" s="5"/>
      <c r="G487" s="5"/>
      <c r="H487" s="5"/>
      <c r="I487" s="5"/>
      <c r="J487" s="5"/>
      <c r="K487" s="5"/>
      <c r="L487" s="5"/>
      <c r="M487" s="5"/>
      <c r="N487" s="5"/>
      <c r="O487" s="5"/>
      <c r="P487" s="5"/>
      <c r="Q487" s="5"/>
    </row>
    <row r="488" spans="1:17" s="1" customFormat="1" ht="18" customHeight="1" x14ac:dyDescent="0.45">
      <c r="A488" s="7"/>
      <c r="B488" s="7"/>
      <c r="C488" s="7"/>
      <c r="D488" s="9" t="str">
        <f>IF(C488="","",VLOOKUP(C488,'Student Roster'!A:C,2,FALSE))</f>
        <v/>
      </c>
      <c r="E488" s="9" t="str">
        <f>IF(C488="","",VLOOKUP(C488,'Student Roster'!A:C,3,FALSE))</f>
        <v/>
      </c>
      <c r="F488" s="7"/>
      <c r="G488" s="7"/>
      <c r="H488" s="7"/>
      <c r="I488" s="7"/>
      <c r="J488" s="7"/>
      <c r="K488" s="7"/>
      <c r="L488" s="7"/>
      <c r="M488" s="7"/>
      <c r="N488" s="7"/>
      <c r="O488" s="7"/>
      <c r="P488" s="7"/>
      <c r="Q488" s="7"/>
    </row>
    <row r="489" spans="1:17" s="1" customFormat="1" ht="18" customHeight="1" x14ac:dyDescent="0.45">
      <c r="A489" s="5"/>
      <c r="B489" s="5"/>
      <c r="C489" s="5"/>
      <c r="D489" s="9" t="str">
        <f>IF(C489="","",VLOOKUP(C489,'Student Roster'!A:C,2,FALSE))</f>
        <v/>
      </c>
      <c r="E489" s="9" t="str">
        <f>IF(C489="","",VLOOKUP(C489,'Student Roster'!A:C,3,FALSE))</f>
        <v/>
      </c>
      <c r="F489" s="5"/>
      <c r="G489" s="5"/>
      <c r="H489" s="5"/>
      <c r="I489" s="5"/>
      <c r="J489" s="5"/>
      <c r="K489" s="5"/>
      <c r="L489" s="5"/>
      <c r="M489" s="5"/>
      <c r="N489" s="5"/>
      <c r="O489" s="5"/>
      <c r="P489" s="5"/>
      <c r="Q489" s="5"/>
    </row>
    <row r="490" spans="1:17" s="1" customFormat="1" ht="18" customHeight="1" x14ac:dyDescent="0.45">
      <c r="A490" s="7"/>
      <c r="B490" s="7"/>
      <c r="C490" s="7"/>
      <c r="D490" s="9" t="str">
        <f>IF(C490="","",VLOOKUP(C490,'Student Roster'!A:C,2,FALSE))</f>
        <v/>
      </c>
      <c r="E490" s="9" t="str">
        <f>IF(C490="","",VLOOKUP(C490,'Student Roster'!A:C,3,FALSE))</f>
        <v/>
      </c>
      <c r="F490" s="7"/>
      <c r="G490" s="7"/>
      <c r="H490" s="7"/>
      <c r="I490" s="7"/>
      <c r="J490" s="7"/>
      <c r="K490" s="7"/>
      <c r="L490" s="7"/>
      <c r="M490" s="7"/>
      <c r="N490" s="7"/>
      <c r="O490" s="7"/>
      <c r="P490" s="7"/>
      <c r="Q490" s="7"/>
    </row>
    <row r="491" spans="1:17" s="1" customFormat="1" ht="18" customHeight="1" x14ac:dyDescent="0.45">
      <c r="A491" s="5"/>
      <c r="B491" s="5"/>
      <c r="C491" s="5"/>
      <c r="D491" s="9" t="str">
        <f>IF(C491="","",VLOOKUP(C491,'Student Roster'!A:C,2,FALSE))</f>
        <v/>
      </c>
      <c r="E491" s="9" t="str">
        <f>IF(C491="","",VLOOKUP(C491,'Student Roster'!A:C,3,FALSE))</f>
        <v/>
      </c>
      <c r="F491" s="5"/>
      <c r="G491" s="5"/>
      <c r="H491" s="5"/>
      <c r="I491" s="5"/>
      <c r="J491" s="5"/>
      <c r="K491" s="5"/>
      <c r="L491" s="5"/>
      <c r="M491" s="5"/>
      <c r="N491" s="5"/>
      <c r="O491" s="5"/>
      <c r="P491" s="5"/>
      <c r="Q491" s="5"/>
    </row>
    <row r="492" spans="1:17" s="1" customFormat="1" ht="18" customHeight="1" x14ac:dyDescent="0.45">
      <c r="A492" s="7"/>
      <c r="B492" s="7"/>
      <c r="C492" s="7"/>
      <c r="D492" s="9" t="str">
        <f>IF(C492="","",VLOOKUP(C492,'Student Roster'!A:C,2,FALSE))</f>
        <v/>
      </c>
      <c r="E492" s="9" t="str">
        <f>IF(C492="","",VLOOKUP(C492,'Student Roster'!A:C,3,FALSE))</f>
        <v/>
      </c>
      <c r="F492" s="7"/>
      <c r="G492" s="7"/>
      <c r="H492" s="7"/>
      <c r="I492" s="7"/>
      <c r="J492" s="7"/>
      <c r="K492" s="7"/>
      <c r="L492" s="7"/>
      <c r="M492" s="7"/>
      <c r="N492" s="7"/>
      <c r="O492" s="7"/>
      <c r="P492" s="7"/>
      <c r="Q492" s="7"/>
    </row>
    <row r="493" spans="1:17" s="1" customFormat="1" ht="18" customHeight="1" x14ac:dyDescent="0.45">
      <c r="A493" s="5"/>
      <c r="B493" s="5"/>
      <c r="C493" s="5"/>
      <c r="D493" s="9" t="str">
        <f>IF(C493="","",VLOOKUP(C493,'Student Roster'!A:C,2,FALSE))</f>
        <v/>
      </c>
      <c r="E493" s="9" t="str">
        <f>IF(C493="","",VLOOKUP(C493,'Student Roster'!A:C,3,FALSE))</f>
        <v/>
      </c>
      <c r="F493" s="5"/>
      <c r="G493" s="5"/>
      <c r="H493" s="5"/>
      <c r="I493" s="5"/>
      <c r="J493" s="5"/>
      <c r="K493" s="5"/>
      <c r="L493" s="5"/>
      <c r="M493" s="5"/>
      <c r="N493" s="5"/>
      <c r="O493" s="5"/>
      <c r="P493" s="5"/>
      <c r="Q493" s="5"/>
    </row>
    <row r="494" spans="1:17" s="1" customFormat="1" ht="18" customHeight="1" x14ac:dyDescent="0.45">
      <c r="A494" s="7"/>
      <c r="B494" s="7"/>
      <c r="C494" s="7"/>
      <c r="D494" s="9" t="str">
        <f>IF(C494="","",VLOOKUP(C494,'Student Roster'!A:C,2,FALSE))</f>
        <v/>
      </c>
      <c r="E494" s="9" t="str">
        <f>IF(C494="","",VLOOKUP(C494,'Student Roster'!A:C,3,FALSE))</f>
        <v/>
      </c>
      <c r="F494" s="7"/>
      <c r="G494" s="7"/>
      <c r="H494" s="7"/>
      <c r="I494" s="7"/>
      <c r="J494" s="7"/>
      <c r="K494" s="7"/>
      <c r="L494" s="7"/>
      <c r="M494" s="7"/>
      <c r="N494" s="7"/>
      <c r="O494" s="7"/>
      <c r="P494" s="7"/>
      <c r="Q494" s="7"/>
    </row>
    <row r="495" spans="1:17" s="1" customFormat="1" ht="18" customHeight="1" x14ac:dyDescent="0.45">
      <c r="A495" s="5"/>
      <c r="B495" s="5"/>
      <c r="C495" s="5"/>
      <c r="D495" s="9" t="str">
        <f>IF(C495="","",VLOOKUP(C495,'Student Roster'!A:C,2,FALSE))</f>
        <v/>
      </c>
      <c r="E495" s="9" t="str">
        <f>IF(C495="","",VLOOKUP(C495,'Student Roster'!A:C,3,FALSE))</f>
        <v/>
      </c>
      <c r="F495" s="5"/>
      <c r="G495" s="5"/>
      <c r="H495" s="5"/>
      <c r="I495" s="5"/>
      <c r="J495" s="5"/>
      <c r="K495" s="5"/>
      <c r="L495" s="5"/>
      <c r="M495" s="5"/>
      <c r="N495" s="5"/>
      <c r="O495" s="5"/>
      <c r="P495" s="5"/>
      <c r="Q495" s="5"/>
    </row>
    <row r="496" spans="1:17" s="1" customFormat="1" ht="18" customHeight="1" x14ac:dyDescent="0.45">
      <c r="A496" s="7"/>
      <c r="B496" s="7"/>
      <c r="C496" s="7"/>
      <c r="D496" s="9" t="str">
        <f>IF(C496="","",VLOOKUP(C496,'Student Roster'!A:C,2,FALSE))</f>
        <v/>
      </c>
      <c r="E496" s="9" t="str">
        <f>IF(C496="","",VLOOKUP(C496,'Student Roster'!A:C,3,FALSE))</f>
        <v/>
      </c>
      <c r="F496" s="7"/>
      <c r="G496" s="7"/>
      <c r="H496" s="7"/>
      <c r="I496" s="7"/>
      <c r="J496" s="7"/>
      <c r="K496" s="7"/>
      <c r="L496" s="7"/>
      <c r="M496" s="7"/>
      <c r="N496" s="7"/>
      <c r="O496" s="7"/>
      <c r="P496" s="7"/>
      <c r="Q496" s="7"/>
    </row>
    <row r="497" spans="1:17" s="1" customFormat="1" ht="18" customHeight="1" x14ac:dyDescent="0.45">
      <c r="A497" s="5"/>
      <c r="B497" s="5"/>
      <c r="C497" s="5"/>
      <c r="D497" s="9" t="str">
        <f>IF(C497="","",VLOOKUP(C497,'Student Roster'!A:C,2,FALSE))</f>
        <v/>
      </c>
      <c r="E497" s="9" t="str">
        <f>IF(C497="","",VLOOKUP(C497,'Student Roster'!A:C,3,FALSE))</f>
        <v/>
      </c>
      <c r="F497" s="5"/>
      <c r="G497" s="5"/>
      <c r="H497" s="5"/>
      <c r="I497" s="5"/>
      <c r="J497" s="5"/>
      <c r="K497" s="5"/>
      <c r="L497" s="5"/>
      <c r="M497" s="5"/>
      <c r="N497" s="5"/>
      <c r="O497" s="5"/>
      <c r="P497" s="5"/>
      <c r="Q497" s="5"/>
    </row>
    <row r="498" spans="1:17" s="1" customFormat="1" ht="18" customHeight="1" x14ac:dyDescent="0.45">
      <c r="A498" s="7"/>
      <c r="B498" s="7"/>
      <c r="C498" s="7"/>
      <c r="D498" s="9" t="str">
        <f>IF(C498="","",VLOOKUP(C498,'Student Roster'!A:C,2,FALSE))</f>
        <v/>
      </c>
      <c r="E498" s="9" t="str">
        <f>IF(C498="","",VLOOKUP(C498,'Student Roster'!A:C,3,FALSE))</f>
        <v/>
      </c>
      <c r="F498" s="7"/>
      <c r="G498" s="7"/>
      <c r="H498" s="7"/>
      <c r="I498" s="7"/>
      <c r="J498" s="7"/>
      <c r="K498" s="7"/>
      <c r="L498" s="7"/>
      <c r="M498" s="7"/>
      <c r="N498" s="7"/>
      <c r="O498" s="7"/>
      <c r="P498" s="7"/>
      <c r="Q498" s="7"/>
    </row>
    <row r="499" spans="1:17" s="1" customFormat="1" ht="18" customHeight="1" x14ac:dyDescent="0.45">
      <c r="A499" s="5"/>
      <c r="B499" s="5"/>
      <c r="C499" s="5"/>
      <c r="D499" s="9" t="str">
        <f>IF(C499="","",VLOOKUP(C499,'Student Roster'!A:C,2,FALSE))</f>
        <v/>
      </c>
      <c r="E499" s="9" t="str">
        <f>IF(C499="","",VLOOKUP(C499,'Student Roster'!A:C,3,FALSE))</f>
        <v/>
      </c>
      <c r="F499" s="5"/>
      <c r="G499" s="5"/>
      <c r="H499" s="5"/>
      <c r="I499" s="5"/>
      <c r="J499" s="5"/>
      <c r="K499" s="5"/>
      <c r="L499" s="5"/>
      <c r="M499" s="5"/>
      <c r="N499" s="5"/>
      <c r="O499" s="5"/>
      <c r="P499" s="5"/>
      <c r="Q499" s="5"/>
    </row>
    <row r="500" spans="1:17" s="1" customFormat="1" ht="18" customHeight="1" x14ac:dyDescent="0.45">
      <c r="A500" s="7"/>
      <c r="B500" s="7"/>
      <c r="C500" s="7"/>
      <c r="D500" s="9" t="str">
        <f>IF(C500="","",VLOOKUP(C500,'Student Roster'!A:C,2,FALSE))</f>
        <v/>
      </c>
      <c r="E500" s="9" t="str">
        <f>IF(C500="","",VLOOKUP(C500,'Student Roster'!A:C,3,FALSE))</f>
        <v/>
      </c>
      <c r="F500" s="7"/>
      <c r="G500" s="7"/>
      <c r="H500" s="7"/>
      <c r="I500" s="7"/>
      <c r="J500" s="7"/>
      <c r="K500" s="7"/>
      <c r="L500" s="7"/>
      <c r="M500" s="7"/>
      <c r="N500" s="7"/>
      <c r="O500" s="7"/>
      <c r="P500" s="7"/>
      <c r="Q500" s="7"/>
    </row>
    <row r="501" spans="1:17" s="1" customFormat="1" ht="18" customHeight="1" x14ac:dyDescent="0.45">
      <c r="A501" s="5"/>
      <c r="B501" s="5"/>
      <c r="C501" s="5"/>
      <c r="D501" s="9" t="str">
        <f>IF(C501="","",VLOOKUP(C501,'Student Roster'!A:C,2,FALSE))</f>
        <v/>
      </c>
      <c r="E501" s="9" t="str">
        <f>IF(C501="","",VLOOKUP(C501,'Student Roster'!A:C,3,FALSE))</f>
        <v/>
      </c>
      <c r="F501" s="5"/>
      <c r="G501" s="5"/>
      <c r="H501" s="5"/>
      <c r="I501" s="5"/>
      <c r="J501" s="5"/>
      <c r="K501" s="5"/>
      <c r="L501" s="5"/>
      <c r="M501" s="5"/>
      <c r="N501" s="5"/>
      <c r="O501" s="5"/>
      <c r="P501" s="5"/>
      <c r="Q501" s="5"/>
    </row>
    <row r="502" spans="1:17" s="1" customFormat="1" ht="18" customHeight="1" x14ac:dyDescent="0.45">
      <c r="A502" s="7"/>
      <c r="B502" s="7"/>
      <c r="C502" s="7"/>
      <c r="D502" s="9" t="str">
        <f>IF(C502="","",VLOOKUP(C502,'Student Roster'!A:C,2,FALSE))</f>
        <v/>
      </c>
      <c r="E502" s="9" t="str">
        <f>IF(C502="","",VLOOKUP(C502,'Student Roster'!A:C,3,FALSE))</f>
        <v/>
      </c>
      <c r="F502" s="7"/>
      <c r="G502" s="7"/>
      <c r="H502" s="7"/>
      <c r="I502" s="7"/>
      <c r="J502" s="7"/>
      <c r="K502" s="7"/>
      <c r="L502" s="7"/>
      <c r="M502" s="7"/>
      <c r="N502" s="7"/>
      <c r="O502" s="7"/>
      <c r="P502" s="7"/>
      <c r="Q502" s="7"/>
    </row>
    <row r="503" spans="1:17" s="1" customFormat="1" ht="18" customHeight="1" x14ac:dyDescent="0.45">
      <c r="A503" s="5"/>
      <c r="B503" s="5"/>
      <c r="C503" s="5"/>
      <c r="D503" s="9" t="str">
        <f>IF(C503="","",VLOOKUP(C503,'Student Roster'!A:C,2,FALSE))</f>
        <v/>
      </c>
      <c r="E503" s="9" t="str">
        <f>IF(C503="","",VLOOKUP(C503,'Student Roster'!A:C,3,FALSE))</f>
        <v/>
      </c>
      <c r="F503" s="5"/>
      <c r="G503" s="5"/>
      <c r="H503" s="5"/>
      <c r="I503" s="5"/>
      <c r="J503" s="5"/>
      <c r="K503" s="5"/>
      <c r="L503" s="5"/>
      <c r="M503" s="5"/>
      <c r="N503" s="5"/>
      <c r="O503" s="5"/>
      <c r="P503" s="5"/>
      <c r="Q503" s="5"/>
    </row>
    <row r="504" spans="1:17" s="1" customFormat="1" ht="19.5" customHeight="1" x14ac:dyDescent="0.45">
      <c r="A504" s="73" t="s">
        <v>54</v>
      </c>
      <c r="B504" s="64"/>
      <c r="C504" s="64"/>
      <c r="D504" s="64"/>
      <c r="E504" s="64"/>
      <c r="F504" s="64"/>
      <c r="G504" s="64"/>
      <c r="H504" s="64"/>
      <c r="I504" s="64"/>
      <c r="J504" s="64"/>
      <c r="K504" s="64"/>
      <c r="L504" s="64"/>
      <c r="M504" s="64"/>
      <c r="N504" s="64"/>
      <c r="O504" s="64"/>
      <c r="P504" s="64"/>
      <c r="Q504" s="64"/>
    </row>
  </sheetData>
  <mergeCells count="3">
    <mergeCell ref="A504:Q504"/>
    <mergeCell ref="A2:Q2"/>
    <mergeCell ref="A1:Q1"/>
  </mergeCells>
  <conditionalFormatting sqref="A4:Q503">
    <cfRule type="expression" dxfId="12" priority="2">
      <formula>$K4="Refused — Did not participate"</formula>
    </cfRule>
    <cfRule type="expression" dxfId="11" priority="3">
      <formula>$K4="Complete"</formula>
    </cfRule>
    <cfRule type="expression" dxfId="10" priority="4">
      <formula>$K4="In Progress"</formula>
    </cfRule>
    <cfRule type="expression" dxfId="9" priority="5">
      <formula>$P4="Yes"</formula>
    </cfRule>
  </conditionalFormatting>
  <pageMargins left="0.75" right="0.75" top="1" bottom="1" header="0.511811023622047" footer="0.511811023622047"/>
  <pageSetup orientation="landscape" useFirstPageNumber="1" horizontalDpi="300" verticalDpi="300"/>
  <extLst>
    <ext xmlns:x14="http://schemas.microsoft.com/office/spreadsheetml/2009/9/main" uri="{CCE6A557-97BC-4b89-ADB6-D9C93CAAB3DF}">
      <x14:dataValidations xmlns:xm="http://schemas.microsoft.com/office/excel/2006/main" count="6">
        <x14:dataValidation type="list" allowBlank="1" xr:uid="{00000000-0002-0000-0300-000000000000}">
          <x14:formula1>
            <xm:f>Lists!$D$2:$D$11</xm:f>
          </x14:formula1>
          <xm:sqref>H4:H503</xm:sqref>
        </x14:dataValidation>
        <x14:dataValidation type="list" allowBlank="1" xr:uid="{00000000-0002-0000-0300-000001000000}">
          <x14:formula1>
            <xm:f>Lists!$E$2:$E$20</xm:f>
          </x14:formula1>
          <xm:sqref>I4:I503</xm:sqref>
        </x14:dataValidation>
        <x14:dataValidation type="list" allowBlank="1" xr:uid="{00000000-0002-0000-0300-000002000000}">
          <x14:formula1>
            <xm:f>Lists!$G$2:$G$7</xm:f>
          </x14:formula1>
          <xm:sqref>K4:K503</xm:sqref>
        </x14:dataValidation>
        <x14:dataValidation type="list" allowBlank="1" xr:uid="{00000000-0002-0000-0300-000003000000}">
          <x14:formula1>
            <xm:f>Lists!$F$2:$F$5</xm:f>
          </x14:formula1>
          <xm:sqref>M4:M503</xm:sqref>
        </x14:dataValidation>
        <x14:dataValidation type="list" allowBlank="1" xr:uid="{00000000-0002-0000-0300-000004000000}">
          <x14:formula1>
            <xm:f>Lists!$N$2:$N$5</xm:f>
          </x14:formula1>
          <xm:sqref>N4:N503</xm:sqref>
        </x14:dataValidation>
        <x14:dataValidation type="list" allowBlank="1" xr:uid="{00000000-0002-0000-0300-000005000000}">
          <x14:formula1>
            <xm:f>Lists!$H$2:$H$3</xm:f>
          </x14:formula1>
          <xm:sqref>P4:P503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B2D7F"/>
    <pageSetUpPr fitToPage="1"/>
  </sheetPr>
  <dimension ref="A1:Z154"/>
  <sheetViews>
    <sheetView zoomScaleNormal="100" workbookViewId="0">
      <pane ySplit="3" topLeftCell="A4" activePane="bottomLeft" state="frozen"/>
      <selection pane="bottomLeft"/>
    </sheetView>
  </sheetViews>
  <sheetFormatPr defaultColWidth="8.6640625" defaultRowHeight="14.25" x14ac:dyDescent="0.45"/>
  <cols>
    <col min="1" max="1" width="12" style="1" customWidth="1"/>
    <col min="2" max="2" width="14" style="1" customWidth="1"/>
    <col min="3" max="3" width="12" style="1" customWidth="1"/>
    <col min="4" max="4" width="16" style="1" customWidth="1"/>
    <col min="5" max="5" width="14" style="1" customWidth="1"/>
    <col min="6" max="6" width="15" style="1" customWidth="1"/>
    <col min="7" max="7" width="20" style="1" customWidth="1"/>
    <col min="8" max="8" width="14" style="1" customWidth="1"/>
    <col min="9" max="9" width="22" style="1" customWidth="1"/>
    <col min="10" max="10" width="14" style="1" customWidth="1"/>
    <col min="11" max="11" width="22" style="1" customWidth="1"/>
    <col min="12" max="12" width="14" style="1" customWidth="1"/>
    <col min="13" max="13" width="22" style="1" customWidth="1"/>
    <col min="14" max="14" width="14" style="1" customWidth="1"/>
    <col min="15" max="15" width="22" style="1" customWidth="1"/>
    <col min="16" max="16" width="14" style="1" customWidth="1"/>
    <col min="17" max="17" width="20" style="1" customWidth="1"/>
    <col min="18" max="18" width="14" style="1" customWidth="1"/>
    <col min="19" max="19" width="22" style="1" customWidth="1"/>
    <col min="20" max="20" width="14" style="1" customWidth="1"/>
    <col min="21" max="21" width="22" style="1" customWidth="1"/>
    <col min="22" max="22" width="14" style="1" customWidth="1"/>
    <col min="23" max="23" width="13" style="1" customWidth="1"/>
    <col min="24" max="24" width="14" style="1" customWidth="1"/>
    <col min="25" max="25" width="16" style="1" customWidth="1"/>
    <col min="26" max="26" width="28" style="1" customWidth="1"/>
  </cols>
  <sheetData>
    <row r="1" spans="1:26" s="1" customFormat="1" ht="43.5" customHeight="1" x14ac:dyDescent="0.45">
      <c r="A1" s="72" t="s">
        <v>91</v>
      </c>
      <c r="B1" s="64"/>
      <c r="C1" s="64"/>
      <c r="D1" s="64"/>
      <c r="E1" s="64"/>
      <c r="F1" s="64"/>
      <c r="G1" s="64"/>
      <c r="H1" s="64"/>
      <c r="I1" s="64"/>
      <c r="J1" s="64"/>
      <c r="K1" s="64"/>
      <c r="L1" s="64"/>
      <c r="M1" s="64"/>
      <c r="N1" s="64"/>
      <c r="O1" s="64"/>
      <c r="P1" s="64"/>
      <c r="Q1" s="64"/>
      <c r="R1" s="64"/>
      <c r="S1" s="64"/>
      <c r="T1" s="64"/>
      <c r="U1" s="64"/>
      <c r="V1" s="64"/>
      <c r="W1" s="64"/>
      <c r="X1" s="64"/>
      <c r="Y1" s="64"/>
      <c r="Z1" s="64"/>
    </row>
    <row r="2" spans="1:26" s="1" customFormat="1" ht="21.75" customHeight="1" x14ac:dyDescent="0.45">
      <c r="A2" s="74" t="s">
        <v>92</v>
      </c>
      <c r="B2" s="64"/>
      <c r="C2" s="64"/>
      <c r="D2" s="64"/>
      <c r="E2" s="64"/>
      <c r="F2" s="64"/>
      <c r="G2" s="64"/>
      <c r="H2" s="64"/>
      <c r="I2" s="64"/>
      <c r="J2" s="64"/>
      <c r="K2" s="64"/>
      <c r="L2" s="64"/>
      <c r="M2" s="64"/>
      <c r="N2" s="64"/>
      <c r="O2" s="64"/>
      <c r="P2" s="64"/>
      <c r="Q2" s="64"/>
      <c r="R2" s="64"/>
      <c r="S2" s="64"/>
      <c r="T2" s="64"/>
      <c r="U2" s="64"/>
      <c r="V2" s="64"/>
      <c r="W2" s="64"/>
      <c r="X2" s="64"/>
      <c r="Y2" s="64"/>
      <c r="Z2" s="64"/>
    </row>
    <row r="3" spans="1:26" s="1" customFormat="1" ht="36" customHeight="1" x14ac:dyDescent="0.45">
      <c r="A3" s="8" t="s">
        <v>93</v>
      </c>
      <c r="B3" s="8" t="s">
        <v>57</v>
      </c>
      <c r="C3" s="8" t="s">
        <v>33</v>
      </c>
      <c r="D3" s="8" t="s">
        <v>58</v>
      </c>
      <c r="E3" s="8" t="s">
        <v>59</v>
      </c>
      <c r="F3" s="8" t="s">
        <v>94</v>
      </c>
      <c r="G3" s="8" t="s">
        <v>95</v>
      </c>
      <c r="H3" s="8" t="s">
        <v>96</v>
      </c>
      <c r="I3" s="8" t="s">
        <v>97</v>
      </c>
      <c r="J3" s="8" t="s">
        <v>98</v>
      </c>
      <c r="K3" s="8" t="s">
        <v>99</v>
      </c>
      <c r="L3" s="8" t="s">
        <v>100</v>
      </c>
      <c r="M3" s="8" t="s">
        <v>101</v>
      </c>
      <c r="N3" s="8" t="s">
        <v>102</v>
      </c>
      <c r="O3" s="8" t="s">
        <v>103</v>
      </c>
      <c r="P3" s="8" t="s">
        <v>104</v>
      </c>
      <c r="Q3" s="8" t="s">
        <v>105</v>
      </c>
      <c r="R3" s="8" t="s">
        <v>106</v>
      </c>
      <c r="S3" s="8" t="s">
        <v>107</v>
      </c>
      <c r="T3" s="8" t="s">
        <v>108</v>
      </c>
      <c r="U3" s="8" t="s">
        <v>109</v>
      </c>
      <c r="V3" s="8" t="s">
        <v>110</v>
      </c>
      <c r="W3" s="8" t="s">
        <v>111</v>
      </c>
      <c r="X3" s="8" t="s">
        <v>112</v>
      </c>
      <c r="Y3" s="8" t="s">
        <v>113</v>
      </c>
      <c r="Z3" s="8" t="s">
        <v>114</v>
      </c>
    </row>
    <row r="4" spans="1:26" s="1" customFormat="1" ht="18" customHeight="1" x14ac:dyDescent="0.45">
      <c r="A4" s="7"/>
      <c r="B4" s="7"/>
      <c r="C4" s="7"/>
      <c r="D4" s="9" t="str">
        <f>IF(C4="","",VLOOKUP(C4,'Student Roster'!A:C,2,FALSE))</f>
        <v/>
      </c>
      <c r="E4" s="9" t="str">
        <f>IF(C4="","",VLOOKUP(C4,'Student Roster'!A:C,3,FALSE))</f>
        <v/>
      </c>
      <c r="F4" s="10" t="str">
        <f>IF(B4="","",VLOOKUP(B4,'ISS Placements'!A:N,14,FALSE))</f>
        <v/>
      </c>
      <c r="G4" s="7"/>
      <c r="H4" s="7"/>
      <c r="I4" s="7"/>
      <c r="J4" s="7"/>
      <c r="K4" s="7"/>
      <c r="L4" s="7"/>
      <c r="M4" s="7"/>
      <c r="N4" s="7"/>
      <c r="O4" s="7"/>
      <c r="P4" s="7"/>
      <c r="Q4" s="7"/>
      <c r="R4" s="7"/>
      <c r="S4" s="7"/>
      <c r="T4" s="7"/>
      <c r="U4" s="7"/>
      <c r="V4" s="7"/>
      <c r="W4" s="9">
        <f t="shared" ref="W4:W35" si="0">COUNTIF(G4:V4,"Yes")</f>
        <v>0</v>
      </c>
      <c r="X4" s="9">
        <f t="shared" ref="X4:X35" si="1">8-W4</f>
        <v>8</v>
      </c>
      <c r="Y4" s="9" t="str">
        <f t="shared" ref="Y4:Y35" si="2">IF(C4="","",IF(W4&gt;=8,"✅ READY","❌ NOT READY"))</f>
        <v/>
      </c>
      <c r="Z4" s="7"/>
    </row>
    <row r="5" spans="1:26" s="1" customFormat="1" ht="18" customHeight="1" x14ac:dyDescent="0.45">
      <c r="A5" s="5"/>
      <c r="B5" s="5"/>
      <c r="C5" s="5"/>
      <c r="D5" s="9" t="str">
        <f>IF(C5="","",VLOOKUP(C5,'Student Roster'!A:C,2,FALSE))</f>
        <v/>
      </c>
      <c r="E5" s="9" t="str">
        <f>IF(C5="","",VLOOKUP(C5,'Student Roster'!A:C,3,FALSE))</f>
        <v/>
      </c>
      <c r="F5" s="10" t="str">
        <f>IF(B5="","",VLOOKUP(B5,'ISS Placements'!A:N,14,FALSE))</f>
        <v/>
      </c>
      <c r="G5" s="5"/>
      <c r="H5" s="5"/>
      <c r="I5" s="5"/>
      <c r="J5" s="5"/>
      <c r="K5" s="5"/>
      <c r="L5" s="5"/>
      <c r="M5" s="5"/>
      <c r="N5" s="5"/>
      <c r="O5" s="5"/>
      <c r="P5" s="5"/>
      <c r="Q5" s="5"/>
      <c r="R5" s="5"/>
      <c r="S5" s="5"/>
      <c r="T5" s="5"/>
      <c r="U5" s="5"/>
      <c r="V5" s="5"/>
      <c r="W5" s="9">
        <f t="shared" si="0"/>
        <v>0</v>
      </c>
      <c r="X5" s="9">
        <f t="shared" si="1"/>
        <v>8</v>
      </c>
      <c r="Y5" s="9" t="str">
        <f t="shared" si="2"/>
        <v/>
      </c>
      <c r="Z5" s="5"/>
    </row>
    <row r="6" spans="1:26" s="1" customFormat="1" ht="18" customHeight="1" x14ac:dyDescent="0.45">
      <c r="A6" s="7"/>
      <c r="B6" s="7"/>
      <c r="C6" s="7"/>
      <c r="D6" s="9" t="str">
        <f>IF(C6="","",VLOOKUP(C6,'Student Roster'!A:C,2,FALSE))</f>
        <v/>
      </c>
      <c r="E6" s="9" t="str">
        <f>IF(C6="","",VLOOKUP(C6,'Student Roster'!A:C,3,FALSE))</f>
        <v/>
      </c>
      <c r="F6" s="10" t="str">
        <f>IF(B6="","",VLOOKUP(B6,'ISS Placements'!A:N,14,FALSE))</f>
        <v/>
      </c>
      <c r="G6" s="7"/>
      <c r="H6" s="7"/>
      <c r="I6" s="7"/>
      <c r="J6" s="7"/>
      <c r="K6" s="7"/>
      <c r="L6" s="7"/>
      <c r="M6" s="7"/>
      <c r="N6" s="7"/>
      <c r="O6" s="7"/>
      <c r="P6" s="7"/>
      <c r="Q6" s="7"/>
      <c r="R6" s="7"/>
      <c r="S6" s="7"/>
      <c r="T6" s="7"/>
      <c r="U6" s="7"/>
      <c r="V6" s="7"/>
      <c r="W6" s="9">
        <f t="shared" si="0"/>
        <v>0</v>
      </c>
      <c r="X6" s="9">
        <f t="shared" si="1"/>
        <v>8</v>
      </c>
      <c r="Y6" s="9" t="str">
        <f t="shared" si="2"/>
        <v/>
      </c>
      <c r="Z6" s="7"/>
    </row>
    <row r="7" spans="1:26" s="1" customFormat="1" ht="18" customHeight="1" x14ac:dyDescent="0.45">
      <c r="A7" s="5"/>
      <c r="B7" s="5"/>
      <c r="C7" s="5"/>
      <c r="D7" s="9" t="str">
        <f>IF(C7="","",VLOOKUP(C7,'Student Roster'!A:C,2,FALSE))</f>
        <v/>
      </c>
      <c r="E7" s="9" t="str">
        <f>IF(C7="","",VLOOKUP(C7,'Student Roster'!A:C,3,FALSE))</f>
        <v/>
      </c>
      <c r="F7" s="10" t="str">
        <f>IF(B7="","",VLOOKUP(B7,'ISS Placements'!A:N,14,FALSE))</f>
        <v/>
      </c>
      <c r="G7" s="5"/>
      <c r="H7" s="5"/>
      <c r="I7" s="5"/>
      <c r="J7" s="5"/>
      <c r="K7" s="5"/>
      <c r="L7" s="5"/>
      <c r="M7" s="5"/>
      <c r="N7" s="5"/>
      <c r="O7" s="5"/>
      <c r="P7" s="5"/>
      <c r="Q7" s="5"/>
      <c r="R7" s="5"/>
      <c r="S7" s="5"/>
      <c r="T7" s="5"/>
      <c r="U7" s="5"/>
      <c r="V7" s="5"/>
      <c r="W7" s="9">
        <f t="shared" si="0"/>
        <v>0</v>
      </c>
      <c r="X7" s="9">
        <f t="shared" si="1"/>
        <v>8</v>
      </c>
      <c r="Y7" s="9" t="str">
        <f t="shared" si="2"/>
        <v/>
      </c>
      <c r="Z7" s="5"/>
    </row>
    <row r="8" spans="1:26" s="1" customFormat="1" ht="18" customHeight="1" x14ac:dyDescent="0.45">
      <c r="A8" s="7"/>
      <c r="B8" s="7"/>
      <c r="C8" s="7"/>
      <c r="D8" s="9" t="str">
        <f>IF(C8="","",VLOOKUP(C8,'Student Roster'!A:C,2,FALSE))</f>
        <v/>
      </c>
      <c r="E8" s="9" t="str">
        <f>IF(C8="","",VLOOKUP(C8,'Student Roster'!A:C,3,FALSE))</f>
        <v/>
      </c>
      <c r="F8" s="10" t="str">
        <f>IF(B8="","",VLOOKUP(B8,'ISS Placements'!A:N,14,FALSE))</f>
        <v/>
      </c>
      <c r="G8" s="7"/>
      <c r="H8" s="7"/>
      <c r="I8" s="7"/>
      <c r="J8" s="7"/>
      <c r="K8" s="7"/>
      <c r="L8" s="7"/>
      <c r="M8" s="7"/>
      <c r="N8" s="7"/>
      <c r="O8" s="7"/>
      <c r="P8" s="7"/>
      <c r="Q8" s="7"/>
      <c r="R8" s="7"/>
      <c r="S8" s="7"/>
      <c r="T8" s="7"/>
      <c r="U8" s="7"/>
      <c r="V8" s="7"/>
      <c r="W8" s="9">
        <f t="shared" si="0"/>
        <v>0</v>
      </c>
      <c r="X8" s="9">
        <f t="shared" si="1"/>
        <v>8</v>
      </c>
      <c r="Y8" s="9" t="str">
        <f t="shared" si="2"/>
        <v/>
      </c>
      <c r="Z8" s="7"/>
    </row>
    <row r="9" spans="1:26" s="1" customFormat="1" ht="18" customHeight="1" x14ac:dyDescent="0.45">
      <c r="A9" s="5"/>
      <c r="B9" s="5"/>
      <c r="C9" s="5"/>
      <c r="D9" s="9" t="str">
        <f>IF(C9="","",VLOOKUP(C9,'Student Roster'!A:C,2,FALSE))</f>
        <v/>
      </c>
      <c r="E9" s="9" t="str">
        <f>IF(C9="","",VLOOKUP(C9,'Student Roster'!A:C,3,FALSE))</f>
        <v/>
      </c>
      <c r="F9" s="10" t="str">
        <f>IF(B9="","",VLOOKUP(B9,'ISS Placements'!A:N,14,FALSE))</f>
        <v/>
      </c>
      <c r="G9" s="5"/>
      <c r="H9" s="5"/>
      <c r="I9" s="5"/>
      <c r="J9" s="5"/>
      <c r="K9" s="5"/>
      <c r="L9" s="5"/>
      <c r="M9" s="5"/>
      <c r="N9" s="5"/>
      <c r="O9" s="5"/>
      <c r="P9" s="5"/>
      <c r="Q9" s="5"/>
      <c r="R9" s="5"/>
      <c r="S9" s="5"/>
      <c r="T9" s="5"/>
      <c r="U9" s="5"/>
      <c r="V9" s="5"/>
      <c r="W9" s="9">
        <f t="shared" si="0"/>
        <v>0</v>
      </c>
      <c r="X9" s="9">
        <f t="shared" si="1"/>
        <v>8</v>
      </c>
      <c r="Y9" s="9" t="str">
        <f t="shared" si="2"/>
        <v/>
      </c>
      <c r="Z9" s="5"/>
    </row>
    <row r="10" spans="1:26" s="1" customFormat="1" ht="18" customHeight="1" x14ac:dyDescent="0.45">
      <c r="A10" s="7"/>
      <c r="B10" s="7"/>
      <c r="C10" s="7"/>
      <c r="D10" s="9" t="str">
        <f>IF(C10="","",VLOOKUP(C10,'Student Roster'!A:C,2,FALSE))</f>
        <v/>
      </c>
      <c r="E10" s="9" t="str">
        <f>IF(C10="","",VLOOKUP(C10,'Student Roster'!A:C,3,FALSE))</f>
        <v/>
      </c>
      <c r="F10" s="10" t="str">
        <f>IF(B10="","",VLOOKUP(B10,'ISS Placements'!A:N,14,FALSE))</f>
        <v/>
      </c>
      <c r="G10" s="7"/>
      <c r="H10" s="7"/>
      <c r="I10" s="7"/>
      <c r="J10" s="7"/>
      <c r="K10" s="7"/>
      <c r="L10" s="7"/>
      <c r="M10" s="7"/>
      <c r="N10" s="7"/>
      <c r="O10" s="7"/>
      <c r="P10" s="7"/>
      <c r="Q10" s="7"/>
      <c r="R10" s="7"/>
      <c r="S10" s="7"/>
      <c r="T10" s="7"/>
      <c r="U10" s="7"/>
      <c r="V10" s="7"/>
      <c r="W10" s="9">
        <f t="shared" si="0"/>
        <v>0</v>
      </c>
      <c r="X10" s="9">
        <f t="shared" si="1"/>
        <v>8</v>
      </c>
      <c r="Y10" s="9" t="str">
        <f t="shared" si="2"/>
        <v/>
      </c>
      <c r="Z10" s="7"/>
    </row>
    <row r="11" spans="1:26" s="1" customFormat="1" ht="18" customHeight="1" x14ac:dyDescent="0.45">
      <c r="A11" s="5"/>
      <c r="B11" s="5"/>
      <c r="C11" s="5"/>
      <c r="D11" s="9" t="str">
        <f>IF(C11="","",VLOOKUP(C11,'Student Roster'!A:C,2,FALSE))</f>
        <v/>
      </c>
      <c r="E11" s="9" t="str">
        <f>IF(C11="","",VLOOKUP(C11,'Student Roster'!A:C,3,FALSE))</f>
        <v/>
      </c>
      <c r="F11" s="10" t="str">
        <f>IF(B11="","",VLOOKUP(B11,'ISS Placements'!A:N,14,FALSE))</f>
        <v/>
      </c>
      <c r="G11" s="5"/>
      <c r="H11" s="5"/>
      <c r="I11" s="5"/>
      <c r="J11" s="5"/>
      <c r="K11" s="5"/>
      <c r="L11" s="5"/>
      <c r="M11" s="5"/>
      <c r="N11" s="5"/>
      <c r="O11" s="5"/>
      <c r="P11" s="5"/>
      <c r="Q11" s="5"/>
      <c r="R11" s="5"/>
      <c r="S11" s="5"/>
      <c r="T11" s="5"/>
      <c r="U11" s="5"/>
      <c r="V11" s="5"/>
      <c r="W11" s="9">
        <f t="shared" si="0"/>
        <v>0</v>
      </c>
      <c r="X11" s="9">
        <f t="shared" si="1"/>
        <v>8</v>
      </c>
      <c r="Y11" s="9" t="str">
        <f t="shared" si="2"/>
        <v/>
      </c>
      <c r="Z11" s="5"/>
    </row>
    <row r="12" spans="1:26" s="1" customFormat="1" ht="18" customHeight="1" x14ac:dyDescent="0.45">
      <c r="A12" s="7"/>
      <c r="B12" s="7"/>
      <c r="C12" s="7"/>
      <c r="D12" s="9" t="str">
        <f>IF(C12="","",VLOOKUP(C12,'Student Roster'!A:C,2,FALSE))</f>
        <v/>
      </c>
      <c r="E12" s="9" t="str">
        <f>IF(C12="","",VLOOKUP(C12,'Student Roster'!A:C,3,FALSE))</f>
        <v/>
      </c>
      <c r="F12" s="10" t="str">
        <f>IF(B12="","",VLOOKUP(B12,'ISS Placements'!A:N,14,FALSE))</f>
        <v/>
      </c>
      <c r="G12" s="7"/>
      <c r="H12" s="7"/>
      <c r="I12" s="7"/>
      <c r="J12" s="7"/>
      <c r="K12" s="7"/>
      <c r="L12" s="7"/>
      <c r="M12" s="7"/>
      <c r="N12" s="7"/>
      <c r="O12" s="7"/>
      <c r="P12" s="7"/>
      <c r="Q12" s="7"/>
      <c r="R12" s="7"/>
      <c r="S12" s="7"/>
      <c r="T12" s="7"/>
      <c r="U12" s="7"/>
      <c r="V12" s="7"/>
      <c r="W12" s="9">
        <f t="shared" si="0"/>
        <v>0</v>
      </c>
      <c r="X12" s="9">
        <f t="shared" si="1"/>
        <v>8</v>
      </c>
      <c r="Y12" s="9" t="str">
        <f t="shared" si="2"/>
        <v/>
      </c>
      <c r="Z12" s="7"/>
    </row>
    <row r="13" spans="1:26" s="1" customFormat="1" ht="18" customHeight="1" x14ac:dyDescent="0.45">
      <c r="A13" s="5"/>
      <c r="B13" s="5"/>
      <c r="C13" s="5"/>
      <c r="D13" s="9" t="str">
        <f>IF(C13="","",VLOOKUP(C13,'Student Roster'!A:C,2,FALSE))</f>
        <v/>
      </c>
      <c r="E13" s="9" t="str">
        <f>IF(C13="","",VLOOKUP(C13,'Student Roster'!A:C,3,FALSE))</f>
        <v/>
      </c>
      <c r="F13" s="10" t="str">
        <f>IF(B13="","",VLOOKUP(B13,'ISS Placements'!A:N,14,FALSE))</f>
        <v/>
      </c>
      <c r="G13" s="5"/>
      <c r="H13" s="5"/>
      <c r="I13" s="5"/>
      <c r="J13" s="5"/>
      <c r="K13" s="5"/>
      <c r="L13" s="5"/>
      <c r="M13" s="5"/>
      <c r="N13" s="5"/>
      <c r="O13" s="5"/>
      <c r="P13" s="5"/>
      <c r="Q13" s="5"/>
      <c r="R13" s="5"/>
      <c r="S13" s="5"/>
      <c r="T13" s="5"/>
      <c r="U13" s="5"/>
      <c r="V13" s="5"/>
      <c r="W13" s="9">
        <f t="shared" si="0"/>
        <v>0</v>
      </c>
      <c r="X13" s="9">
        <f t="shared" si="1"/>
        <v>8</v>
      </c>
      <c r="Y13" s="9" t="str">
        <f t="shared" si="2"/>
        <v/>
      </c>
      <c r="Z13" s="5"/>
    </row>
    <row r="14" spans="1:26" s="1" customFormat="1" ht="18" customHeight="1" x14ac:dyDescent="0.45">
      <c r="A14" s="7"/>
      <c r="B14" s="7"/>
      <c r="C14" s="7"/>
      <c r="D14" s="9" t="str">
        <f>IF(C14="","",VLOOKUP(C14,'Student Roster'!A:C,2,FALSE))</f>
        <v/>
      </c>
      <c r="E14" s="9" t="str">
        <f>IF(C14="","",VLOOKUP(C14,'Student Roster'!A:C,3,FALSE))</f>
        <v/>
      </c>
      <c r="F14" s="10" t="str">
        <f>IF(B14="","",VLOOKUP(B14,'ISS Placements'!A:N,14,FALSE))</f>
        <v/>
      </c>
      <c r="G14" s="7"/>
      <c r="H14" s="7"/>
      <c r="I14" s="7"/>
      <c r="J14" s="7"/>
      <c r="K14" s="7"/>
      <c r="L14" s="7"/>
      <c r="M14" s="7"/>
      <c r="N14" s="7"/>
      <c r="O14" s="7"/>
      <c r="P14" s="7"/>
      <c r="Q14" s="7"/>
      <c r="R14" s="7"/>
      <c r="S14" s="7"/>
      <c r="T14" s="7"/>
      <c r="U14" s="7"/>
      <c r="V14" s="7"/>
      <c r="W14" s="9">
        <f t="shared" si="0"/>
        <v>0</v>
      </c>
      <c r="X14" s="9">
        <f t="shared" si="1"/>
        <v>8</v>
      </c>
      <c r="Y14" s="9" t="str">
        <f t="shared" si="2"/>
        <v/>
      </c>
      <c r="Z14" s="7"/>
    </row>
    <row r="15" spans="1:26" s="1" customFormat="1" ht="18" customHeight="1" x14ac:dyDescent="0.45">
      <c r="A15" s="5"/>
      <c r="B15" s="5"/>
      <c r="C15" s="5"/>
      <c r="D15" s="9" t="str">
        <f>IF(C15="","",VLOOKUP(C15,'Student Roster'!A:C,2,FALSE))</f>
        <v/>
      </c>
      <c r="E15" s="9" t="str">
        <f>IF(C15="","",VLOOKUP(C15,'Student Roster'!A:C,3,FALSE))</f>
        <v/>
      </c>
      <c r="F15" s="10" t="str">
        <f>IF(B15="","",VLOOKUP(B15,'ISS Placements'!A:N,14,FALSE))</f>
        <v/>
      </c>
      <c r="G15" s="5"/>
      <c r="H15" s="5"/>
      <c r="I15" s="5"/>
      <c r="J15" s="5"/>
      <c r="K15" s="5"/>
      <c r="L15" s="5"/>
      <c r="M15" s="5"/>
      <c r="N15" s="5"/>
      <c r="O15" s="5"/>
      <c r="P15" s="5"/>
      <c r="Q15" s="5"/>
      <c r="R15" s="5"/>
      <c r="S15" s="5"/>
      <c r="T15" s="5"/>
      <c r="U15" s="5"/>
      <c r="V15" s="5"/>
      <c r="W15" s="9">
        <f t="shared" si="0"/>
        <v>0</v>
      </c>
      <c r="X15" s="9">
        <f t="shared" si="1"/>
        <v>8</v>
      </c>
      <c r="Y15" s="9" t="str">
        <f t="shared" si="2"/>
        <v/>
      </c>
      <c r="Z15" s="5"/>
    </row>
    <row r="16" spans="1:26" s="1" customFormat="1" ht="18" customHeight="1" x14ac:dyDescent="0.45">
      <c r="A16" s="7"/>
      <c r="B16" s="7"/>
      <c r="C16" s="7"/>
      <c r="D16" s="9" t="str">
        <f>IF(C16="","",VLOOKUP(C16,'Student Roster'!A:C,2,FALSE))</f>
        <v/>
      </c>
      <c r="E16" s="9" t="str">
        <f>IF(C16="","",VLOOKUP(C16,'Student Roster'!A:C,3,FALSE))</f>
        <v/>
      </c>
      <c r="F16" s="10" t="str">
        <f>IF(B16="","",VLOOKUP(B16,'ISS Placements'!A:N,14,FALSE))</f>
        <v/>
      </c>
      <c r="G16" s="7"/>
      <c r="H16" s="7"/>
      <c r="I16" s="7"/>
      <c r="J16" s="7"/>
      <c r="K16" s="7"/>
      <c r="L16" s="7"/>
      <c r="M16" s="7"/>
      <c r="N16" s="7"/>
      <c r="O16" s="7"/>
      <c r="P16" s="7"/>
      <c r="Q16" s="7"/>
      <c r="R16" s="7"/>
      <c r="S16" s="7"/>
      <c r="T16" s="7"/>
      <c r="U16" s="7"/>
      <c r="V16" s="7"/>
      <c r="W16" s="9">
        <f t="shared" si="0"/>
        <v>0</v>
      </c>
      <c r="X16" s="9">
        <f t="shared" si="1"/>
        <v>8</v>
      </c>
      <c r="Y16" s="9" t="str">
        <f t="shared" si="2"/>
        <v/>
      </c>
      <c r="Z16" s="7"/>
    </row>
    <row r="17" spans="1:26" s="1" customFormat="1" ht="18" customHeight="1" x14ac:dyDescent="0.45">
      <c r="A17" s="5"/>
      <c r="B17" s="5"/>
      <c r="C17" s="5"/>
      <c r="D17" s="9" t="str">
        <f>IF(C17="","",VLOOKUP(C17,'Student Roster'!A:C,2,FALSE))</f>
        <v/>
      </c>
      <c r="E17" s="9" t="str">
        <f>IF(C17="","",VLOOKUP(C17,'Student Roster'!A:C,3,FALSE))</f>
        <v/>
      </c>
      <c r="F17" s="10" t="str">
        <f>IF(B17="","",VLOOKUP(B17,'ISS Placements'!A:N,14,FALSE))</f>
        <v/>
      </c>
      <c r="G17" s="5"/>
      <c r="H17" s="5"/>
      <c r="I17" s="5"/>
      <c r="J17" s="5"/>
      <c r="K17" s="5"/>
      <c r="L17" s="5"/>
      <c r="M17" s="5"/>
      <c r="N17" s="5"/>
      <c r="O17" s="5"/>
      <c r="P17" s="5"/>
      <c r="Q17" s="5"/>
      <c r="R17" s="5"/>
      <c r="S17" s="5"/>
      <c r="T17" s="5"/>
      <c r="U17" s="5"/>
      <c r="V17" s="5"/>
      <c r="W17" s="9">
        <f t="shared" si="0"/>
        <v>0</v>
      </c>
      <c r="X17" s="9">
        <f t="shared" si="1"/>
        <v>8</v>
      </c>
      <c r="Y17" s="9" t="str">
        <f t="shared" si="2"/>
        <v/>
      </c>
      <c r="Z17" s="5"/>
    </row>
    <row r="18" spans="1:26" s="1" customFormat="1" ht="18" customHeight="1" x14ac:dyDescent="0.45">
      <c r="A18" s="7"/>
      <c r="B18" s="7"/>
      <c r="C18" s="7"/>
      <c r="D18" s="9" t="str">
        <f>IF(C18="","",VLOOKUP(C18,'Student Roster'!A:C,2,FALSE))</f>
        <v/>
      </c>
      <c r="E18" s="9" t="str">
        <f>IF(C18="","",VLOOKUP(C18,'Student Roster'!A:C,3,FALSE))</f>
        <v/>
      </c>
      <c r="F18" s="10" t="str">
        <f>IF(B18="","",VLOOKUP(B18,'ISS Placements'!A:N,14,FALSE))</f>
        <v/>
      </c>
      <c r="G18" s="7"/>
      <c r="H18" s="7"/>
      <c r="I18" s="7"/>
      <c r="J18" s="7"/>
      <c r="K18" s="7"/>
      <c r="L18" s="7"/>
      <c r="M18" s="7"/>
      <c r="N18" s="7"/>
      <c r="O18" s="7"/>
      <c r="P18" s="7"/>
      <c r="Q18" s="7"/>
      <c r="R18" s="7"/>
      <c r="S18" s="7"/>
      <c r="T18" s="7"/>
      <c r="U18" s="7"/>
      <c r="V18" s="7"/>
      <c r="W18" s="9">
        <f t="shared" si="0"/>
        <v>0</v>
      </c>
      <c r="X18" s="9">
        <f t="shared" si="1"/>
        <v>8</v>
      </c>
      <c r="Y18" s="9" t="str">
        <f t="shared" si="2"/>
        <v/>
      </c>
      <c r="Z18" s="7"/>
    </row>
    <row r="19" spans="1:26" s="1" customFormat="1" ht="18" customHeight="1" x14ac:dyDescent="0.45">
      <c r="A19" s="5"/>
      <c r="B19" s="5"/>
      <c r="C19" s="5"/>
      <c r="D19" s="9" t="str">
        <f>IF(C19="","",VLOOKUP(C19,'Student Roster'!A:C,2,FALSE))</f>
        <v/>
      </c>
      <c r="E19" s="9" t="str">
        <f>IF(C19="","",VLOOKUP(C19,'Student Roster'!A:C,3,FALSE))</f>
        <v/>
      </c>
      <c r="F19" s="10" t="str">
        <f>IF(B19="","",VLOOKUP(B19,'ISS Placements'!A:N,14,FALSE))</f>
        <v/>
      </c>
      <c r="G19" s="5"/>
      <c r="H19" s="5"/>
      <c r="I19" s="5"/>
      <c r="J19" s="5"/>
      <c r="K19" s="5"/>
      <c r="L19" s="5"/>
      <c r="M19" s="5"/>
      <c r="N19" s="5"/>
      <c r="O19" s="5"/>
      <c r="P19" s="5"/>
      <c r="Q19" s="5"/>
      <c r="R19" s="5"/>
      <c r="S19" s="5"/>
      <c r="T19" s="5"/>
      <c r="U19" s="5"/>
      <c r="V19" s="5"/>
      <c r="W19" s="9">
        <f t="shared" si="0"/>
        <v>0</v>
      </c>
      <c r="X19" s="9">
        <f t="shared" si="1"/>
        <v>8</v>
      </c>
      <c r="Y19" s="9" t="str">
        <f t="shared" si="2"/>
        <v/>
      </c>
      <c r="Z19" s="5"/>
    </row>
    <row r="20" spans="1:26" s="1" customFormat="1" ht="18" customHeight="1" x14ac:dyDescent="0.45">
      <c r="A20" s="7"/>
      <c r="B20" s="7"/>
      <c r="C20" s="7"/>
      <c r="D20" s="9" t="str">
        <f>IF(C20="","",VLOOKUP(C20,'Student Roster'!A:C,2,FALSE))</f>
        <v/>
      </c>
      <c r="E20" s="9" t="str">
        <f>IF(C20="","",VLOOKUP(C20,'Student Roster'!A:C,3,FALSE))</f>
        <v/>
      </c>
      <c r="F20" s="10" t="str">
        <f>IF(B20="","",VLOOKUP(B20,'ISS Placements'!A:N,14,FALSE))</f>
        <v/>
      </c>
      <c r="G20" s="7"/>
      <c r="H20" s="7"/>
      <c r="I20" s="7"/>
      <c r="J20" s="7"/>
      <c r="K20" s="7"/>
      <c r="L20" s="7"/>
      <c r="M20" s="7"/>
      <c r="N20" s="7"/>
      <c r="O20" s="7"/>
      <c r="P20" s="7"/>
      <c r="Q20" s="7"/>
      <c r="R20" s="7"/>
      <c r="S20" s="7"/>
      <c r="T20" s="7"/>
      <c r="U20" s="7"/>
      <c r="V20" s="7"/>
      <c r="W20" s="9">
        <f t="shared" si="0"/>
        <v>0</v>
      </c>
      <c r="X20" s="9">
        <f t="shared" si="1"/>
        <v>8</v>
      </c>
      <c r="Y20" s="9" t="str">
        <f t="shared" si="2"/>
        <v/>
      </c>
      <c r="Z20" s="7"/>
    </row>
    <row r="21" spans="1:26" s="1" customFormat="1" ht="18" customHeight="1" x14ac:dyDescent="0.45">
      <c r="A21" s="5"/>
      <c r="B21" s="5"/>
      <c r="C21" s="5"/>
      <c r="D21" s="9" t="str">
        <f>IF(C21="","",VLOOKUP(C21,'Student Roster'!A:C,2,FALSE))</f>
        <v/>
      </c>
      <c r="E21" s="9" t="str">
        <f>IF(C21="","",VLOOKUP(C21,'Student Roster'!A:C,3,FALSE))</f>
        <v/>
      </c>
      <c r="F21" s="10" t="str">
        <f>IF(B21="","",VLOOKUP(B21,'ISS Placements'!A:N,14,FALSE))</f>
        <v/>
      </c>
      <c r="G21" s="5"/>
      <c r="H21" s="5"/>
      <c r="I21" s="5"/>
      <c r="J21" s="5"/>
      <c r="K21" s="5"/>
      <c r="L21" s="5"/>
      <c r="M21" s="5"/>
      <c r="N21" s="5"/>
      <c r="O21" s="5"/>
      <c r="P21" s="5"/>
      <c r="Q21" s="5"/>
      <c r="R21" s="5"/>
      <c r="S21" s="5"/>
      <c r="T21" s="5"/>
      <c r="U21" s="5"/>
      <c r="V21" s="5"/>
      <c r="W21" s="9">
        <f t="shared" si="0"/>
        <v>0</v>
      </c>
      <c r="X21" s="9">
        <f t="shared" si="1"/>
        <v>8</v>
      </c>
      <c r="Y21" s="9" t="str">
        <f t="shared" si="2"/>
        <v/>
      </c>
      <c r="Z21" s="5"/>
    </row>
    <row r="22" spans="1:26" s="1" customFormat="1" ht="18" customHeight="1" x14ac:dyDescent="0.45">
      <c r="A22" s="7"/>
      <c r="B22" s="7"/>
      <c r="C22" s="7"/>
      <c r="D22" s="9" t="str">
        <f>IF(C22="","",VLOOKUP(C22,'Student Roster'!A:C,2,FALSE))</f>
        <v/>
      </c>
      <c r="E22" s="9" t="str">
        <f>IF(C22="","",VLOOKUP(C22,'Student Roster'!A:C,3,FALSE))</f>
        <v/>
      </c>
      <c r="F22" s="10" t="str">
        <f>IF(B22="","",VLOOKUP(B22,'ISS Placements'!A:N,14,FALSE))</f>
        <v/>
      </c>
      <c r="G22" s="7"/>
      <c r="H22" s="7"/>
      <c r="I22" s="7"/>
      <c r="J22" s="7"/>
      <c r="K22" s="7"/>
      <c r="L22" s="7"/>
      <c r="M22" s="7"/>
      <c r="N22" s="7"/>
      <c r="O22" s="7"/>
      <c r="P22" s="7"/>
      <c r="Q22" s="7"/>
      <c r="R22" s="7"/>
      <c r="S22" s="7"/>
      <c r="T22" s="7"/>
      <c r="U22" s="7"/>
      <c r="V22" s="7"/>
      <c r="W22" s="9">
        <f t="shared" si="0"/>
        <v>0</v>
      </c>
      <c r="X22" s="9">
        <f t="shared" si="1"/>
        <v>8</v>
      </c>
      <c r="Y22" s="9" t="str">
        <f t="shared" si="2"/>
        <v/>
      </c>
      <c r="Z22" s="7"/>
    </row>
    <row r="23" spans="1:26" s="1" customFormat="1" ht="18" customHeight="1" x14ac:dyDescent="0.45">
      <c r="A23" s="5"/>
      <c r="B23" s="5"/>
      <c r="C23" s="5"/>
      <c r="D23" s="9" t="str">
        <f>IF(C23="","",VLOOKUP(C23,'Student Roster'!A:C,2,FALSE))</f>
        <v/>
      </c>
      <c r="E23" s="9" t="str">
        <f>IF(C23="","",VLOOKUP(C23,'Student Roster'!A:C,3,FALSE))</f>
        <v/>
      </c>
      <c r="F23" s="10" t="str">
        <f>IF(B23="","",VLOOKUP(B23,'ISS Placements'!A:N,14,FALSE))</f>
        <v/>
      </c>
      <c r="G23" s="5"/>
      <c r="H23" s="5"/>
      <c r="I23" s="5"/>
      <c r="J23" s="5"/>
      <c r="K23" s="5"/>
      <c r="L23" s="5"/>
      <c r="M23" s="5"/>
      <c r="N23" s="5"/>
      <c r="O23" s="5"/>
      <c r="P23" s="5"/>
      <c r="Q23" s="5"/>
      <c r="R23" s="5"/>
      <c r="S23" s="5"/>
      <c r="T23" s="5"/>
      <c r="U23" s="5"/>
      <c r="V23" s="5"/>
      <c r="W23" s="9">
        <f t="shared" si="0"/>
        <v>0</v>
      </c>
      <c r="X23" s="9">
        <f t="shared" si="1"/>
        <v>8</v>
      </c>
      <c r="Y23" s="9" t="str">
        <f t="shared" si="2"/>
        <v/>
      </c>
      <c r="Z23" s="5"/>
    </row>
    <row r="24" spans="1:26" s="1" customFormat="1" ht="18" customHeight="1" x14ac:dyDescent="0.45">
      <c r="A24" s="7"/>
      <c r="B24" s="7"/>
      <c r="C24" s="7"/>
      <c r="D24" s="9" t="str">
        <f>IF(C24="","",VLOOKUP(C24,'Student Roster'!A:C,2,FALSE))</f>
        <v/>
      </c>
      <c r="E24" s="9" t="str">
        <f>IF(C24="","",VLOOKUP(C24,'Student Roster'!A:C,3,FALSE))</f>
        <v/>
      </c>
      <c r="F24" s="10" t="str">
        <f>IF(B24="","",VLOOKUP(B24,'ISS Placements'!A:N,14,FALSE))</f>
        <v/>
      </c>
      <c r="G24" s="7"/>
      <c r="H24" s="7"/>
      <c r="I24" s="7"/>
      <c r="J24" s="7"/>
      <c r="K24" s="7"/>
      <c r="L24" s="7"/>
      <c r="M24" s="7"/>
      <c r="N24" s="7"/>
      <c r="O24" s="7"/>
      <c r="P24" s="7"/>
      <c r="Q24" s="7"/>
      <c r="R24" s="7"/>
      <c r="S24" s="7"/>
      <c r="T24" s="7"/>
      <c r="U24" s="7"/>
      <c r="V24" s="7"/>
      <c r="W24" s="9">
        <f t="shared" si="0"/>
        <v>0</v>
      </c>
      <c r="X24" s="9">
        <f t="shared" si="1"/>
        <v>8</v>
      </c>
      <c r="Y24" s="9" t="str">
        <f t="shared" si="2"/>
        <v/>
      </c>
      <c r="Z24" s="7"/>
    </row>
    <row r="25" spans="1:26" s="1" customFormat="1" ht="18" customHeight="1" x14ac:dyDescent="0.45">
      <c r="A25" s="5"/>
      <c r="B25" s="5"/>
      <c r="C25" s="5"/>
      <c r="D25" s="9" t="str">
        <f>IF(C25="","",VLOOKUP(C25,'Student Roster'!A:C,2,FALSE))</f>
        <v/>
      </c>
      <c r="E25" s="9" t="str">
        <f>IF(C25="","",VLOOKUP(C25,'Student Roster'!A:C,3,FALSE))</f>
        <v/>
      </c>
      <c r="F25" s="10" t="str">
        <f>IF(B25="","",VLOOKUP(B25,'ISS Placements'!A:N,14,FALSE))</f>
        <v/>
      </c>
      <c r="G25" s="5"/>
      <c r="H25" s="5"/>
      <c r="I25" s="5"/>
      <c r="J25" s="5"/>
      <c r="K25" s="5"/>
      <c r="L25" s="5"/>
      <c r="M25" s="5"/>
      <c r="N25" s="5"/>
      <c r="O25" s="5"/>
      <c r="P25" s="5"/>
      <c r="Q25" s="5"/>
      <c r="R25" s="5"/>
      <c r="S25" s="5"/>
      <c r="T25" s="5"/>
      <c r="U25" s="5"/>
      <c r="V25" s="5"/>
      <c r="W25" s="9">
        <f t="shared" si="0"/>
        <v>0</v>
      </c>
      <c r="X25" s="9">
        <f t="shared" si="1"/>
        <v>8</v>
      </c>
      <c r="Y25" s="9" t="str">
        <f t="shared" si="2"/>
        <v/>
      </c>
      <c r="Z25" s="5"/>
    </row>
    <row r="26" spans="1:26" s="1" customFormat="1" ht="18" customHeight="1" x14ac:dyDescent="0.45">
      <c r="A26" s="7"/>
      <c r="B26" s="7"/>
      <c r="C26" s="7"/>
      <c r="D26" s="9" t="str">
        <f>IF(C26="","",VLOOKUP(C26,'Student Roster'!A:C,2,FALSE))</f>
        <v/>
      </c>
      <c r="E26" s="9" t="str">
        <f>IF(C26="","",VLOOKUP(C26,'Student Roster'!A:C,3,FALSE))</f>
        <v/>
      </c>
      <c r="F26" s="10" t="str">
        <f>IF(B26="","",VLOOKUP(B26,'ISS Placements'!A:N,14,FALSE))</f>
        <v/>
      </c>
      <c r="G26" s="7"/>
      <c r="H26" s="7"/>
      <c r="I26" s="7"/>
      <c r="J26" s="7"/>
      <c r="K26" s="7"/>
      <c r="L26" s="7"/>
      <c r="M26" s="7"/>
      <c r="N26" s="7"/>
      <c r="O26" s="7"/>
      <c r="P26" s="7"/>
      <c r="Q26" s="7"/>
      <c r="R26" s="7"/>
      <c r="S26" s="7"/>
      <c r="T26" s="7"/>
      <c r="U26" s="7"/>
      <c r="V26" s="7"/>
      <c r="W26" s="9">
        <f t="shared" si="0"/>
        <v>0</v>
      </c>
      <c r="X26" s="9">
        <f t="shared" si="1"/>
        <v>8</v>
      </c>
      <c r="Y26" s="9" t="str">
        <f t="shared" si="2"/>
        <v/>
      </c>
      <c r="Z26" s="7"/>
    </row>
    <row r="27" spans="1:26" s="1" customFormat="1" ht="18" customHeight="1" x14ac:dyDescent="0.45">
      <c r="A27" s="5"/>
      <c r="B27" s="5"/>
      <c r="C27" s="5"/>
      <c r="D27" s="9" t="str">
        <f>IF(C27="","",VLOOKUP(C27,'Student Roster'!A:C,2,FALSE))</f>
        <v/>
      </c>
      <c r="E27" s="9" t="str">
        <f>IF(C27="","",VLOOKUP(C27,'Student Roster'!A:C,3,FALSE))</f>
        <v/>
      </c>
      <c r="F27" s="10" t="str">
        <f>IF(B27="","",VLOOKUP(B27,'ISS Placements'!A:N,14,FALSE))</f>
        <v/>
      </c>
      <c r="G27" s="5"/>
      <c r="H27" s="5"/>
      <c r="I27" s="5"/>
      <c r="J27" s="5"/>
      <c r="K27" s="5"/>
      <c r="L27" s="5"/>
      <c r="M27" s="5"/>
      <c r="N27" s="5"/>
      <c r="O27" s="5"/>
      <c r="P27" s="5"/>
      <c r="Q27" s="5"/>
      <c r="R27" s="5"/>
      <c r="S27" s="5"/>
      <c r="T27" s="5"/>
      <c r="U27" s="5"/>
      <c r="V27" s="5"/>
      <c r="W27" s="9">
        <f t="shared" si="0"/>
        <v>0</v>
      </c>
      <c r="X27" s="9">
        <f t="shared" si="1"/>
        <v>8</v>
      </c>
      <c r="Y27" s="9" t="str">
        <f t="shared" si="2"/>
        <v/>
      </c>
      <c r="Z27" s="5"/>
    </row>
    <row r="28" spans="1:26" s="1" customFormat="1" ht="18" customHeight="1" x14ac:dyDescent="0.45">
      <c r="A28" s="7"/>
      <c r="B28" s="7"/>
      <c r="C28" s="7"/>
      <c r="D28" s="9" t="str">
        <f>IF(C28="","",VLOOKUP(C28,'Student Roster'!A:C,2,FALSE))</f>
        <v/>
      </c>
      <c r="E28" s="9" t="str">
        <f>IF(C28="","",VLOOKUP(C28,'Student Roster'!A:C,3,FALSE))</f>
        <v/>
      </c>
      <c r="F28" s="10" t="str">
        <f>IF(B28="","",VLOOKUP(B28,'ISS Placements'!A:N,14,FALSE))</f>
        <v/>
      </c>
      <c r="G28" s="7"/>
      <c r="H28" s="7"/>
      <c r="I28" s="7"/>
      <c r="J28" s="7"/>
      <c r="K28" s="7"/>
      <c r="L28" s="7"/>
      <c r="M28" s="7"/>
      <c r="N28" s="7"/>
      <c r="O28" s="7"/>
      <c r="P28" s="7"/>
      <c r="Q28" s="7"/>
      <c r="R28" s="7"/>
      <c r="S28" s="7"/>
      <c r="T28" s="7"/>
      <c r="U28" s="7"/>
      <c r="V28" s="7"/>
      <c r="W28" s="9">
        <f t="shared" si="0"/>
        <v>0</v>
      </c>
      <c r="X28" s="9">
        <f t="shared" si="1"/>
        <v>8</v>
      </c>
      <c r="Y28" s="9" t="str">
        <f t="shared" si="2"/>
        <v/>
      </c>
      <c r="Z28" s="7"/>
    </row>
    <row r="29" spans="1:26" s="1" customFormat="1" ht="18" customHeight="1" x14ac:dyDescent="0.45">
      <c r="A29" s="5"/>
      <c r="B29" s="5"/>
      <c r="C29" s="5"/>
      <c r="D29" s="9" t="str">
        <f>IF(C29="","",VLOOKUP(C29,'Student Roster'!A:C,2,FALSE))</f>
        <v/>
      </c>
      <c r="E29" s="9" t="str">
        <f>IF(C29="","",VLOOKUP(C29,'Student Roster'!A:C,3,FALSE))</f>
        <v/>
      </c>
      <c r="F29" s="10" t="str">
        <f>IF(B29="","",VLOOKUP(B29,'ISS Placements'!A:N,14,FALSE))</f>
        <v/>
      </c>
      <c r="G29" s="5"/>
      <c r="H29" s="5"/>
      <c r="I29" s="5"/>
      <c r="J29" s="5"/>
      <c r="K29" s="5"/>
      <c r="L29" s="5"/>
      <c r="M29" s="5"/>
      <c r="N29" s="5"/>
      <c r="O29" s="5"/>
      <c r="P29" s="5"/>
      <c r="Q29" s="5"/>
      <c r="R29" s="5"/>
      <c r="S29" s="5"/>
      <c r="T29" s="5"/>
      <c r="U29" s="5"/>
      <c r="V29" s="5"/>
      <c r="W29" s="9">
        <f t="shared" si="0"/>
        <v>0</v>
      </c>
      <c r="X29" s="9">
        <f t="shared" si="1"/>
        <v>8</v>
      </c>
      <c r="Y29" s="9" t="str">
        <f t="shared" si="2"/>
        <v/>
      </c>
      <c r="Z29" s="5"/>
    </row>
    <row r="30" spans="1:26" s="1" customFormat="1" ht="18" customHeight="1" x14ac:dyDescent="0.45">
      <c r="A30" s="7"/>
      <c r="B30" s="7"/>
      <c r="C30" s="7"/>
      <c r="D30" s="9" t="str">
        <f>IF(C30="","",VLOOKUP(C30,'Student Roster'!A:C,2,FALSE))</f>
        <v/>
      </c>
      <c r="E30" s="9" t="str">
        <f>IF(C30="","",VLOOKUP(C30,'Student Roster'!A:C,3,FALSE))</f>
        <v/>
      </c>
      <c r="F30" s="10" t="str">
        <f>IF(B30="","",VLOOKUP(B30,'ISS Placements'!A:N,14,FALSE))</f>
        <v/>
      </c>
      <c r="G30" s="7"/>
      <c r="H30" s="7"/>
      <c r="I30" s="7"/>
      <c r="J30" s="7"/>
      <c r="K30" s="7"/>
      <c r="L30" s="7"/>
      <c r="M30" s="7"/>
      <c r="N30" s="7"/>
      <c r="O30" s="7"/>
      <c r="P30" s="7"/>
      <c r="Q30" s="7"/>
      <c r="R30" s="7"/>
      <c r="S30" s="7"/>
      <c r="T30" s="7"/>
      <c r="U30" s="7"/>
      <c r="V30" s="7"/>
      <c r="W30" s="9">
        <f t="shared" si="0"/>
        <v>0</v>
      </c>
      <c r="X30" s="9">
        <f t="shared" si="1"/>
        <v>8</v>
      </c>
      <c r="Y30" s="9" t="str">
        <f t="shared" si="2"/>
        <v/>
      </c>
      <c r="Z30" s="7"/>
    </row>
    <row r="31" spans="1:26" s="1" customFormat="1" ht="18" customHeight="1" x14ac:dyDescent="0.45">
      <c r="A31" s="5"/>
      <c r="B31" s="5"/>
      <c r="C31" s="5"/>
      <c r="D31" s="9" t="str">
        <f>IF(C31="","",VLOOKUP(C31,'Student Roster'!A:C,2,FALSE))</f>
        <v/>
      </c>
      <c r="E31" s="9" t="str">
        <f>IF(C31="","",VLOOKUP(C31,'Student Roster'!A:C,3,FALSE))</f>
        <v/>
      </c>
      <c r="F31" s="10" t="str">
        <f>IF(B31="","",VLOOKUP(B31,'ISS Placements'!A:N,14,FALSE))</f>
        <v/>
      </c>
      <c r="G31" s="5"/>
      <c r="H31" s="5"/>
      <c r="I31" s="5"/>
      <c r="J31" s="5"/>
      <c r="K31" s="5"/>
      <c r="L31" s="5"/>
      <c r="M31" s="5"/>
      <c r="N31" s="5"/>
      <c r="O31" s="5"/>
      <c r="P31" s="5"/>
      <c r="Q31" s="5"/>
      <c r="R31" s="5"/>
      <c r="S31" s="5"/>
      <c r="T31" s="5"/>
      <c r="U31" s="5"/>
      <c r="V31" s="5"/>
      <c r="W31" s="9">
        <f t="shared" si="0"/>
        <v>0</v>
      </c>
      <c r="X31" s="9">
        <f t="shared" si="1"/>
        <v>8</v>
      </c>
      <c r="Y31" s="9" t="str">
        <f t="shared" si="2"/>
        <v/>
      </c>
      <c r="Z31" s="5"/>
    </row>
    <row r="32" spans="1:26" s="1" customFormat="1" ht="18" customHeight="1" x14ac:dyDescent="0.45">
      <c r="A32" s="7"/>
      <c r="B32" s="7"/>
      <c r="C32" s="7"/>
      <c r="D32" s="9" t="str">
        <f>IF(C32="","",VLOOKUP(C32,'Student Roster'!A:C,2,FALSE))</f>
        <v/>
      </c>
      <c r="E32" s="9" t="str">
        <f>IF(C32="","",VLOOKUP(C32,'Student Roster'!A:C,3,FALSE))</f>
        <v/>
      </c>
      <c r="F32" s="10" t="str">
        <f>IF(B32="","",VLOOKUP(B32,'ISS Placements'!A:N,14,FALSE))</f>
        <v/>
      </c>
      <c r="G32" s="7"/>
      <c r="H32" s="7"/>
      <c r="I32" s="7"/>
      <c r="J32" s="7"/>
      <c r="K32" s="7"/>
      <c r="L32" s="7"/>
      <c r="M32" s="7"/>
      <c r="N32" s="7"/>
      <c r="O32" s="7"/>
      <c r="P32" s="7"/>
      <c r="Q32" s="7"/>
      <c r="R32" s="7"/>
      <c r="S32" s="7"/>
      <c r="T32" s="7"/>
      <c r="U32" s="7"/>
      <c r="V32" s="7"/>
      <c r="W32" s="9">
        <f t="shared" si="0"/>
        <v>0</v>
      </c>
      <c r="X32" s="9">
        <f t="shared" si="1"/>
        <v>8</v>
      </c>
      <c r="Y32" s="9" t="str">
        <f t="shared" si="2"/>
        <v/>
      </c>
      <c r="Z32" s="7"/>
    </row>
    <row r="33" spans="1:26" s="1" customFormat="1" ht="18" customHeight="1" x14ac:dyDescent="0.45">
      <c r="A33" s="5"/>
      <c r="B33" s="5"/>
      <c r="C33" s="5"/>
      <c r="D33" s="9" t="str">
        <f>IF(C33="","",VLOOKUP(C33,'Student Roster'!A:C,2,FALSE))</f>
        <v/>
      </c>
      <c r="E33" s="9" t="str">
        <f>IF(C33="","",VLOOKUP(C33,'Student Roster'!A:C,3,FALSE))</f>
        <v/>
      </c>
      <c r="F33" s="10" t="str">
        <f>IF(B33="","",VLOOKUP(B33,'ISS Placements'!A:N,14,FALSE))</f>
        <v/>
      </c>
      <c r="G33" s="5"/>
      <c r="H33" s="5"/>
      <c r="I33" s="5"/>
      <c r="J33" s="5"/>
      <c r="K33" s="5"/>
      <c r="L33" s="5"/>
      <c r="M33" s="5"/>
      <c r="N33" s="5"/>
      <c r="O33" s="5"/>
      <c r="P33" s="5"/>
      <c r="Q33" s="5"/>
      <c r="R33" s="5"/>
      <c r="S33" s="5"/>
      <c r="T33" s="5"/>
      <c r="U33" s="5"/>
      <c r="V33" s="5"/>
      <c r="W33" s="9">
        <f t="shared" si="0"/>
        <v>0</v>
      </c>
      <c r="X33" s="9">
        <f t="shared" si="1"/>
        <v>8</v>
      </c>
      <c r="Y33" s="9" t="str">
        <f t="shared" si="2"/>
        <v/>
      </c>
      <c r="Z33" s="5"/>
    </row>
    <row r="34" spans="1:26" s="1" customFormat="1" ht="18" customHeight="1" x14ac:dyDescent="0.45">
      <c r="A34" s="7"/>
      <c r="B34" s="7"/>
      <c r="C34" s="7"/>
      <c r="D34" s="9" t="str">
        <f>IF(C34="","",VLOOKUP(C34,'Student Roster'!A:C,2,FALSE))</f>
        <v/>
      </c>
      <c r="E34" s="9" t="str">
        <f>IF(C34="","",VLOOKUP(C34,'Student Roster'!A:C,3,FALSE))</f>
        <v/>
      </c>
      <c r="F34" s="10" t="str">
        <f>IF(B34="","",VLOOKUP(B34,'ISS Placements'!A:N,14,FALSE))</f>
        <v/>
      </c>
      <c r="G34" s="7"/>
      <c r="H34" s="7"/>
      <c r="I34" s="7"/>
      <c r="J34" s="7"/>
      <c r="K34" s="7"/>
      <c r="L34" s="7"/>
      <c r="M34" s="7"/>
      <c r="N34" s="7"/>
      <c r="O34" s="7"/>
      <c r="P34" s="7"/>
      <c r="Q34" s="7"/>
      <c r="R34" s="7"/>
      <c r="S34" s="7"/>
      <c r="T34" s="7"/>
      <c r="U34" s="7"/>
      <c r="V34" s="7"/>
      <c r="W34" s="9">
        <f t="shared" si="0"/>
        <v>0</v>
      </c>
      <c r="X34" s="9">
        <f t="shared" si="1"/>
        <v>8</v>
      </c>
      <c r="Y34" s="9" t="str">
        <f t="shared" si="2"/>
        <v/>
      </c>
      <c r="Z34" s="7"/>
    </row>
    <row r="35" spans="1:26" s="1" customFormat="1" ht="18" customHeight="1" x14ac:dyDescent="0.45">
      <c r="A35" s="5"/>
      <c r="B35" s="5"/>
      <c r="C35" s="5"/>
      <c r="D35" s="9" t="str">
        <f>IF(C35="","",VLOOKUP(C35,'Student Roster'!A:C,2,FALSE))</f>
        <v/>
      </c>
      <c r="E35" s="9" t="str">
        <f>IF(C35="","",VLOOKUP(C35,'Student Roster'!A:C,3,FALSE))</f>
        <v/>
      </c>
      <c r="F35" s="10" t="str">
        <f>IF(B35="","",VLOOKUP(B35,'ISS Placements'!A:N,14,FALSE))</f>
        <v/>
      </c>
      <c r="G35" s="5"/>
      <c r="H35" s="5"/>
      <c r="I35" s="5"/>
      <c r="J35" s="5"/>
      <c r="K35" s="5"/>
      <c r="L35" s="5"/>
      <c r="M35" s="5"/>
      <c r="N35" s="5"/>
      <c r="O35" s="5"/>
      <c r="P35" s="5"/>
      <c r="Q35" s="5"/>
      <c r="R35" s="5"/>
      <c r="S35" s="5"/>
      <c r="T35" s="5"/>
      <c r="U35" s="5"/>
      <c r="V35" s="5"/>
      <c r="W35" s="9">
        <f t="shared" si="0"/>
        <v>0</v>
      </c>
      <c r="X35" s="9">
        <f t="shared" si="1"/>
        <v>8</v>
      </c>
      <c r="Y35" s="9" t="str">
        <f t="shared" si="2"/>
        <v/>
      </c>
      <c r="Z35" s="5"/>
    </row>
    <row r="36" spans="1:26" s="1" customFormat="1" ht="18" customHeight="1" x14ac:dyDescent="0.45">
      <c r="A36" s="7"/>
      <c r="B36" s="7"/>
      <c r="C36" s="7"/>
      <c r="D36" s="9" t="str">
        <f>IF(C36="","",VLOOKUP(C36,'Student Roster'!A:C,2,FALSE))</f>
        <v/>
      </c>
      <c r="E36" s="9" t="str">
        <f>IF(C36="","",VLOOKUP(C36,'Student Roster'!A:C,3,FALSE))</f>
        <v/>
      </c>
      <c r="F36" s="10" t="str">
        <f>IF(B36="","",VLOOKUP(B36,'ISS Placements'!A:N,14,FALSE))</f>
        <v/>
      </c>
      <c r="G36" s="7"/>
      <c r="H36" s="7"/>
      <c r="I36" s="7"/>
      <c r="J36" s="7"/>
      <c r="K36" s="7"/>
      <c r="L36" s="7"/>
      <c r="M36" s="7"/>
      <c r="N36" s="7"/>
      <c r="O36" s="7"/>
      <c r="P36" s="7"/>
      <c r="Q36" s="7"/>
      <c r="R36" s="7"/>
      <c r="S36" s="7"/>
      <c r="T36" s="7"/>
      <c r="U36" s="7"/>
      <c r="V36" s="7"/>
      <c r="W36" s="9">
        <f t="shared" ref="W36:W67" si="3">COUNTIF(G36:V36,"Yes")</f>
        <v>0</v>
      </c>
      <c r="X36" s="9">
        <f t="shared" ref="X36:X67" si="4">8-W36</f>
        <v>8</v>
      </c>
      <c r="Y36" s="9" t="str">
        <f t="shared" ref="Y36:Y67" si="5">IF(C36="","",IF(W36&gt;=8,"✅ READY","❌ NOT READY"))</f>
        <v/>
      </c>
      <c r="Z36" s="7"/>
    </row>
    <row r="37" spans="1:26" s="1" customFormat="1" ht="18" customHeight="1" x14ac:dyDescent="0.45">
      <c r="A37" s="5"/>
      <c r="B37" s="5"/>
      <c r="C37" s="5"/>
      <c r="D37" s="9" t="str">
        <f>IF(C37="","",VLOOKUP(C37,'Student Roster'!A:C,2,FALSE))</f>
        <v/>
      </c>
      <c r="E37" s="9" t="str">
        <f>IF(C37="","",VLOOKUP(C37,'Student Roster'!A:C,3,FALSE))</f>
        <v/>
      </c>
      <c r="F37" s="10" t="str">
        <f>IF(B37="","",VLOOKUP(B37,'ISS Placements'!A:N,14,FALSE))</f>
        <v/>
      </c>
      <c r="G37" s="5"/>
      <c r="H37" s="5"/>
      <c r="I37" s="5"/>
      <c r="J37" s="5"/>
      <c r="K37" s="5"/>
      <c r="L37" s="5"/>
      <c r="M37" s="5"/>
      <c r="N37" s="5"/>
      <c r="O37" s="5"/>
      <c r="P37" s="5"/>
      <c r="Q37" s="5"/>
      <c r="R37" s="5"/>
      <c r="S37" s="5"/>
      <c r="T37" s="5"/>
      <c r="U37" s="5"/>
      <c r="V37" s="5"/>
      <c r="W37" s="9">
        <f t="shared" si="3"/>
        <v>0</v>
      </c>
      <c r="X37" s="9">
        <f t="shared" si="4"/>
        <v>8</v>
      </c>
      <c r="Y37" s="9" t="str">
        <f t="shared" si="5"/>
        <v/>
      </c>
      <c r="Z37" s="5"/>
    </row>
    <row r="38" spans="1:26" s="1" customFormat="1" ht="18" customHeight="1" x14ac:dyDescent="0.45">
      <c r="A38" s="7"/>
      <c r="B38" s="7"/>
      <c r="C38" s="7"/>
      <c r="D38" s="9" t="str">
        <f>IF(C38="","",VLOOKUP(C38,'Student Roster'!A:C,2,FALSE))</f>
        <v/>
      </c>
      <c r="E38" s="9" t="str">
        <f>IF(C38="","",VLOOKUP(C38,'Student Roster'!A:C,3,FALSE))</f>
        <v/>
      </c>
      <c r="F38" s="10" t="str">
        <f>IF(B38="","",VLOOKUP(B38,'ISS Placements'!A:N,14,FALSE))</f>
        <v/>
      </c>
      <c r="G38" s="7"/>
      <c r="H38" s="7"/>
      <c r="I38" s="7"/>
      <c r="J38" s="7"/>
      <c r="K38" s="7"/>
      <c r="L38" s="7"/>
      <c r="M38" s="7"/>
      <c r="N38" s="7"/>
      <c r="O38" s="7"/>
      <c r="P38" s="7"/>
      <c r="Q38" s="7"/>
      <c r="R38" s="7"/>
      <c r="S38" s="7"/>
      <c r="T38" s="7"/>
      <c r="U38" s="7"/>
      <c r="V38" s="7"/>
      <c r="W38" s="9">
        <f t="shared" si="3"/>
        <v>0</v>
      </c>
      <c r="X38" s="9">
        <f t="shared" si="4"/>
        <v>8</v>
      </c>
      <c r="Y38" s="9" t="str">
        <f t="shared" si="5"/>
        <v/>
      </c>
      <c r="Z38" s="7"/>
    </row>
    <row r="39" spans="1:26" s="1" customFormat="1" ht="18" customHeight="1" x14ac:dyDescent="0.45">
      <c r="A39" s="5"/>
      <c r="B39" s="5"/>
      <c r="C39" s="5"/>
      <c r="D39" s="9" t="str">
        <f>IF(C39="","",VLOOKUP(C39,'Student Roster'!A:C,2,FALSE))</f>
        <v/>
      </c>
      <c r="E39" s="9" t="str">
        <f>IF(C39="","",VLOOKUP(C39,'Student Roster'!A:C,3,FALSE))</f>
        <v/>
      </c>
      <c r="F39" s="10" t="str">
        <f>IF(B39="","",VLOOKUP(B39,'ISS Placements'!A:N,14,FALSE))</f>
        <v/>
      </c>
      <c r="G39" s="5"/>
      <c r="H39" s="5"/>
      <c r="I39" s="5"/>
      <c r="J39" s="5"/>
      <c r="K39" s="5"/>
      <c r="L39" s="5"/>
      <c r="M39" s="5"/>
      <c r="N39" s="5"/>
      <c r="O39" s="5"/>
      <c r="P39" s="5"/>
      <c r="Q39" s="5"/>
      <c r="R39" s="5"/>
      <c r="S39" s="5"/>
      <c r="T39" s="5"/>
      <c r="U39" s="5"/>
      <c r="V39" s="5"/>
      <c r="W39" s="9">
        <f t="shared" si="3"/>
        <v>0</v>
      </c>
      <c r="X39" s="9">
        <f t="shared" si="4"/>
        <v>8</v>
      </c>
      <c r="Y39" s="9" t="str">
        <f t="shared" si="5"/>
        <v/>
      </c>
      <c r="Z39" s="5"/>
    </row>
    <row r="40" spans="1:26" s="1" customFormat="1" ht="18" customHeight="1" x14ac:dyDescent="0.45">
      <c r="A40" s="7"/>
      <c r="B40" s="7"/>
      <c r="C40" s="7"/>
      <c r="D40" s="9" t="str">
        <f>IF(C40="","",VLOOKUP(C40,'Student Roster'!A:C,2,FALSE))</f>
        <v/>
      </c>
      <c r="E40" s="9" t="str">
        <f>IF(C40="","",VLOOKUP(C40,'Student Roster'!A:C,3,FALSE))</f>
        <v/>
      </c>
      <c r="F40" s="10" t="str">
        <f>IF(B40="","",VLOOKUP(B40,'ISS Placements'!A:N,14,FALSE))</f>
        <v/>
      </c>
      <c r="G40" s="7"/>
      <c r="H40" s="7"/>
      <c r="I40" s="7"/>
      <c r="J40" s="7"/>
      <c r="K40" s="7"/>
      <c r="L40" s="7"/>
      <c r="M40" s="7"/>
      <c r="N40" s="7"/>
      <c r="O40" s="7"/>
      <c r="P40" s="7"/>
      <c r="Q40" s="7"/>
      <c r="R40" s="7"/>
      <c r="S40" s="7"/>
      <c r="T40" s="7"/>
      <c r="U40" s="7"/>
      <c r="V40" s="7"/>
      <c r="W40" s="9">
        <f t="shared" si="3"/>
        <v>0</v>
      </c>
      <c r="X40" s="9">
        <f t="shared" si="4"/>
        <v>8</v>
      </c>
      <c r="Y40" s="9" t="str">
        <f t="shared" si="5"/>
        <v/>
      </c>
      <c r="Z40" s="7"/>
    </row>
    <row r="41" spans="1:26" s="1" customFormat="1" ht="18" customHeight="1" x14ac:dyDescent="0.45">
      <c r="A41" s="5"/>
      <c r="B41" s="5"/>
      <c r="C41" s="5"/>
      <c r="D41" s="9" t="str">
        <f>IF(C41="","",VLOOKUP(C41,'Student Roster'!A:C,2,FALSE))</f>
        <v/>
      </c>
      <c r="E41" s="9" t="str">
        <f>IF(C41="","",VLOOKUP(C41,'Student Roster'!A:C,3,FALSE))</f>
        <v/>
      </c>
      <c r="F41" s="10" t="str">
        <f>IF(B41="","",VLOOKUP(B41,'ISS Placements'!A:N,14,FALSE))</f>
        <v/>
      </c>
      <c r="G41" s="5"/>
      <c r="H41" s="5"/>
      <c r="I41" s="5"/>
      <c r="J41" s="5"/>
      <c r="K41" s="5"/>
      <c r="L41" s="5"/>
      <c r="M41" s="5"/>
      <c r="N41" s="5"/>
      <c r="O41" s="5"/>
      <c r="P41" s="5"/>
      <c r="Q41" s="5"/>
      <c r="R41" s="5"/>
      <c r="S41" s="5"/>
      <c r="T41" s="5"/>
      <c r="U41" s="5"/>
      <c r="V41" s="5"/>
      <c r="W41" s="9">
        <f t="shared" si="3"/>
        <v>0</v>
      </c>
      <c r="X41" s="9">
        <f t="shared" si="4"/>
        <v>8</v>
      </c>
      <c r="Y41" s="9" t="str">
        <f t="shared" si="5"/>
        <v/>
      </c>
      <c r="Z41" s="5"/>
    </row>
    <row r="42" spans="1:26" s="1" customFormat="1" ht="18" customHeight="1" x14ac:dyDescent="0.45">
      <c r="A42" s="7"/>
      <c r="B42" s="7"/>
      <c r="C42" s="7"/>
      <c r="D42" s="9" t="str">
        <f>IF(C42="","",VLOOKUP(C42,'Student Roster'!A:C,2,FALSE))</f>
        <v/>
      </c>
      <c r="E42" s="9" t="str">
        <f>IF(C42="","",VLOOKUP(C42,'Student Roster'!A:C,3,FALSE))</f>
        <v/>
      </c>
      <c r="F42" s="10" t="str">
        <f>IF(B42="","",VLOOKUP(B42,'ISS Placements'!A:N,14,FALSE))</f>
        <v/>
      </c>
      <c r="G42" s="7"/>
      <c r="H42" s="7"/>
      <c r="I42" s="7"/>
      <c r="J42" s="7"/>
      <c r="K42" s="7"/>
      <c r="L42" s="7"/>
      <c r="M42" s="7"/>
      <c r="N42" s="7"/>
      <c r="O42" s="7"/>
      <c r="P42" s="7"/>
      <c r="Q42" s="7"/>
      <c r="R42" s="7"/>
      <c r="S42" s="7"/>
      <c r="T42" s="7"/>
      <c r="U42" s="7"/>
      <c r="V42" s="7"/>
      <c r="W42" s="9">
        <f t="shared" si="3"/>
        <v>0</v>
      </c>
      <c r="X42" s="9">
        <f t="shared" si="4"/>
        <v>8</v>
      </c>
      <c r="Y42" s="9" t="str">
        <f t="shared" si="5"/>
        <v/>
      </c>
      <c r="Z42" s="7"/>
    </row>
    <row r="43" spans="1:26" s="1" customFormat="1" ht="18" customHeight="1" x14ac:dyDescent="0.45">
      <c r="A43" s="5"/>
      <c r="B43" s="5"/>
      <c r="C43" s="5"/>
      <c r="D43" s="9" t="str">
        <f>IF(C43="","",VLOOKUP(C43,'Student Roster'!A:C,2,FALSE))</f>
        <v/>
      </c>
      <c r="E43" s="9" t="str">
        <f>IF(C43="","",VLOOKUP(C43,'Student Roster'!A:C,3,FALSE))</f>
        <v/>
      </c>
      <c r="F43" s="10" t="str">
        <f>IF(B43="","",VLOOKUP(B43,'ISS Placements'!A:N,14,FALSE))</f>
        <v/>
      </c>
      <c r="G43" s="5"/>
      <c r="H43" s="5"/>
      <c r="I43" s="5"/>
      <c r="J43" s="5"/>
      <c r="K43" s="5"/>
      <c r="L43" s="5"/>
      <c r="M43" s="5"/>
      <c r="N43" s="5"/>
      <c r="O43" s="5"/>
      <c r="P43" s="5"/>
      <c r="Q43" s="5"/>
      <c r="R43" s="5"/>
      <c r="S43" s="5"/>
      <c r="T43" s="5"/>
      <c r="U43" s="5"/>
      <c r="V43" s="5"/>
      <c r="W43" s="9">
        <f t="shared" si="3"/>
        <v>0</v>
      </c>
      <c r="X43" s="9">
        <f t="shared" si="4"/>
        <v>8</v>
      </c>
      <c r="Y43" s="9" t="str">
        <f t="shared" si="5"/>
        <v/>
      </c>
      <c r="Z43" s="5"/>
    </row>
    <row r="44" spans="1:26" s="1" customFormat="1" ht="18" customHeight="1" x14ac:dyDescent="0.45">
      <c r="A44" s="7"/>
      <c r="B44" s="7"/>
      <c r="C44" s="7"/>
      <c r="D44" s="9" t="str">
        <f>IF(C44="","",VLOOKUP(C44,'Student Roster'!A:C,2,FALSE))</f>
        <v/>
      </c>
      <c r="E44" s="9" t="str">
        <f>IF(C44="","",VLOOKUP(C44,'Student Roster'!A:C,3,FALSE))</f>
        <v/>
      </c>
      <c r="F44" s="10" t="str">
        <f>IF(B44="","",VLOOKUP(B44,'ISS Placements'!A:N,14,FALSE))</f>
        <v/>
      </c>
      <c r="G44" s="7"/>
      <c r="H44" s="7"/>
      <c r="I44" s="7"/>
      <c r="J44" s="7"/>
      <c r="K44" s="7"/>
      <c r="L44" s="7"/>
      <c r="M44" s="7"/>
      <c r="N44" s="7"/>
      <c r="O44" s="7"/>
      <c r="P44" s="7"/>
      <c r="Q44" s="7"/>
      <c r="R44" s="7"/>
      <c r="S44" s="7"/>
      <c r="T44" s="7"/>
      <c r="U44" s="7"/>
      <c r="V44" s="7"/>
      <c r="W44" s="9">
        <f t="shared" si="3"/>
        <v>0</v>
      </c>
      <c r="X44" s="9">
        <f t="shared" si="4"/>
        <v>8</v>
      </c>
      <c r="Y44" s="9" t="str">
        <f t="shared" si="5"/>
        <v/>
      </c>
      <c r="Z44" s="7"/>
    </row>
    <row r="45" spans="1:26" s="1" customFormat="1" ht="18" customHeight="1" x14ac:dyDescent="0.45">
      <c r="A45" s="5"/>
      <c r="B45" s="5"/>
      <c r="C45" s="5"/>
      <c r="D45" s="9" t="str">
        <f>IF(C45="","",VLOOKUP(C45,'Student Roster'!A:C,2,FALSE))</f>
        <v/>
      </c>
      <c r="E45" s="9" t="str">
        <f>IF(C45="","",VLOOKUP(C45,'Student Roster'!A:C,3,FALSE))</f>
        <v/>
      </c>
      <c r="F45" s="10" t="str">
        <f>IF(B45="","",VLOOKUP(B45,'ISS Placements'!A:N,14,FALSE))</f>
        <v/>
      </c>
      <c r="G45" s="5"/>
      <c r="H45" s="5"/>
      <c r="I45" s="5"/>
      <c r="J45" s="5"/>
      <c r="K45" s="5"/>
      <c r="L45" s="5"/>
      <c r="M45" s="5"/>
      <c r="N45" s="5"/>
      <c r="O45" s="5"/>
      <c r="P45" s="5"/>
      <c r="Q45" s="5"/>
      <c r="R45" s="5"/>
      <c r="S45" s="5"/>
      <c r="T45" s="5"/>
      <c r="U45" s="5"/>
      <c r="V45" s="5"/>
      <c r="W45" s="9">
        <f t="shared" si="3"/>
        <v>0</v>
      </c>
      <c r="X45" s="9">
        <f t="shared" si="4"/>
        <v>8</v>
      </c>
      <c r="Y45" s="9" t="str">
        <f t="shared" si="5"/>
        <v/>
      </c>
      <c r="Z45" s="5"/>
    </row>
    <row r="46" spans="1:26" s="1" customFormat="1" ht="18" customHeight="1" x14ac:dyDescent="0.45">
      <c r="A46" s="7"/>
      <c r="B46" s="7"/>
      <c r="C46" s="7"/>
      <c r="D46" s="9" t="str">
        <f>IF(C46="","",VLOOKUP(C46,'Student Roster'!A:C,2,FALSE))</f>
        <v/>
      </c>
      <c r="E46" s="9" t="str">
        <f>IF(C46="","",VLOOKUP(C46,'Student Roster'!A:C,3,FALSE))</f>
        <v/>
      </c>
      <c r="F46" s="10" t="str">
        <f>IF(B46="","",VLOOKUP(B46,'ISS Placements'!A:N,14,FALSE))</f>
        <v/>
      </c>
      <c r="G46" s="7"/>
      <c r="H46" s="7"/>
      <c r="I46" s="7"/>
      <c r="J46" s="7"/>
      <c r="K46" s="7"/>
      <c r="L46" s="7"/>
      <c r="M46" s="7"/>
      <c r="N46" s="7"/>
      <c r="O46" s="7"/>
      <c r="P46" s="7"/>
      <c r="Q46" s="7"/>
      <c r="R46" s="7"/>
      <c r="S46" s="7"/>
      <c r="T46" s="7"/>
      <c r="U46" s="7"/>
      <c r="V46" s="7"/>
      <c r="W46" s="9">
        <f t="shared" si="3"/>
        <v>0</v>
      </c>
      <c r="X46" s="9">
        <f t="shared" si="4"/>
        <v>8</v>
      </c>
      <c r="Y46" s="9" t="str">
        <f t="shared" si="5"/>
        <v/>
      </c>
      <c r="Z46" s="7"/>
    </row>
    <row r="47" spans="1:26" s="1" customFormat="1" ht="18" customHeight="1" x14ac:dyDescent="0.45">
      <c r="A47" s="5"/>
      <c r="B47" s="5"/>
      <c r="C47" s="5"/>
      <c r="D47" s="9" t="str">
        <f>IF(C47="","",VLOOKUP(C47,'Student Roster'!A:C,2,FALSE))</f>
        <v/>
      </c>
      <c r="E47" s="9" t="str">
        <f>IF(C47="","",VLOOKUP(C47,'Student Roster'!A:C,3,FALSE))</f>
        <v/>
      </c>
      <c r="F47" s="10" t="str">
        <f>IF(B47="","",VLOOKUP(B47,'ISS Placements'!A:N,14,FALSE))</f>
        <v/>
      </c>
      <c r="G47" s="5"/>
      <c r="H47" s="5"/>
      <c r="I47" s="5"/>
      <c r="J47" s="5"/>
      <c r="K47" s="5"/>
      <c r="L47" s="5"/>
      <c r="M47" s="5"/>
      <c r="N47" s="5"/>
      <c r="O47" s="5"/>
      <c r="P47" s="5"/>
      <c r="Q47" s="5"/>
      <c r="R47" s="5"/>
      <c r="S47" s="5"/>
      <c r="T47" s="5"/>
      <c r="U47" s="5"/>
      <c r="V47" s="5"/>
      <c r="W47" s="9">
        <f t="shared" si="3"/>
        <v>0</v>
      </c>
      <c r="X47" s="9">
        <f t="shared" si="4"/>
        <v>8</v>
      </c>
      <c r="Y47" s="9" t="str">
        <f t="shared" si="5"/>
        <v/>
      </c>
      <c r="Z47" s="5"/>
    </row>
    <row r="48" spans="1:26" s="1" customFormat="1" ht="18" customHeight="1" x14ac:dyDescent="0.45">
      <c r="A48" s="7"/>
      <c r="B48" s="7"/>
      <c r="C48" s="7"/>
      <c r="D48" s="9" t="str">
        <f>IF(C48="","",VLOOKUP(C48,'Student Roster'!A:C,2,FALSE))</f>
        <v/>
      </c>
      <c r="E48" s="9" t="str">
        <f>IF(C48="","",VLOOKUP(C48,'Student Roster'!A:C,3,FALSE))</f>
        <v/>
      </c>
      <c r="F48" s="10" t="str">
        <f>IF(B48="","",VLOOKUP(B48,'ISS Placements'!A:N,14,FALSE))</f>
        <v/>
      </c>
      <c r="G48" s="7"/>
      <c r="H48" s="7"/>
      <c r="I48" s="7"/>
      <c r="J48" s="7"/>
      <c r="K48" s="7"/>
      <c r="L48" s="7"/>
      <c r="M48" s="7"/>
      <c r="N48" s="7"/>
      <c r="O48" s="7"/>
      <c r="P48" s="7"/>
      <c r="Q48" s="7"/>
      <c r="R48" s="7"/>
      <c r="S48" s="7"/>
      <c r="T48" s="7"/>
      <c r="U48" s="7"/>
      <c r="V48" s="7"/>
      <c r="W48" s="9">
        <f t="shared" si="3"/>
        <v>0</v>
      </c>
      <c r="X48" s="9">
        <f t="shared" si="4"/>
        <v>8</v>
      </c>
      <c r="Y48" s="9" t="str">
        <f t="shared" si="5"/>
        <v/>
      </c>
      <c r="Z48" s="7"/>
    </row>
    <row r="49" spans="1:26" s="1" customFormat="1" ht="18" customHeight="1" x14ac:dyDescent="0.45">
      <c r="A49" s="5"/>
      <c r="B49" s="5"/>
      <c r="C49" s="5"/>
      <c r="D49" s="9" t="str">
        <f>IF(C49="","",VLOOKUP(C49,'Student Roster'!A:C,2,FALSE))</f>
        <v/>
      </c>
      <c r="E49" s="9" t="str">
        <f>IF(C49="","",VLOOKUP(C49,'Student Roster'!A:C,3,FALSE))</f>
        <v/>
      </c>
      <c r="F49" s="10" t="str">
        <f>IF(B49="","",VLOOKUP(B49,'ISS Placements'!A:N,14,FALSE))</f>
        <v/>
      </c>
      <c r="G49" s="5"/>
      <c r="H49" s="5"/>
      <c r="I49" s="5"/>
      <c r="J49" s="5"/>
      <c r="K49" s="5"/>
      <c r="L49" s="5"/>
      <c r="M49" s="5"/>
      <c r="N49" s="5"/>
      <c r="O49" s="5"/>
      <c r="P49" s="5"/>
      <c r="Q49" s="5"/>
      <c r="R49" s="5"/>
      <c r="S49" s="5"/>
      <c r="T49" s="5"/>
      <c r="U49" s="5"/>
      <c r="V49" s="5"/>
      <c r="W49" s="9">
        <f t="shared" si="3"/>
        <v>0</v>
      </c>
      <c r="X49" s="9">
        <f t="shared" si="4"/>
        <v>8</v>
      </c>
      <c r="Y49" s="9" t="str">
        <f t="shared" si="5"/>
        <v/>
      </c>
      <c r="Z49" s="5"/>
    </row>
    <row r="50" spans="1:26" s="1" customFormat="1" ht="18" customHeight="1" x14ac:dyDescent="0.45">
      <c r="A50" s="7"/>
      <c r="B50" s="7"/>
      <c r="C50" s="7"/>
      <c r="D50" s="9" t="str">
        <f>IF(C50="","",VLOOKUP(C50,'Student Roster'!A:C,2,FALSE))</f>
        <v/>
      </c>
      <c r="E50" s="9" t="str">
        <f>IF(C50="","",VLOOKUP(C50,'Student Roster'!A:C,3,FALSE))</f>
        <v/>
      </c>
      <c r="F50" s="10" t="str">
        <f>IF(B50="","",VLOOKUP(B50,'ISS Placements'!A:N,14,FALSE))</f>
        <v/>
      </c>
      <c r="G50" s="7"/>
      <c r="H50" s="7"/>
      <c r="I50" s="7"/>
      <c r="J50" s="7"/>
      <c r="K50" s="7"/>
      <c r="L50" s="7"/>
      <c r="M50" s="7"/>
      <c r="N50" s="7"/>
      <c r="O50" s="7"/>
      <c r="P50" s="7"/>
      <c r="Q50" s="7"/>
      <c r="R50" s="7"/>
      <c r="S50" s="7"/>
      <c r="T50" s="7"/>
      <c r="U50" s="7"/>
      <c r="V50" s="7"/>
      <c r="W50" s="9">
        <f t="shared" si="3"/>
        <v>0</v>
      </c>
      <c r="X50" s="9">
        <f t="shared" si="4"/>
        <v>8</v>
      </c>
      <c r="Y50" s="9" t="str">
        <f t="shared" si="5"/>
        <v/>
      </c>
      <c r="Z50" s="7"/>
    </row>
    <row r="51" spans="1:26" s="1" customFormat="1" ht="18" customHeight="1" x14ac:dyDescent="0.45">
      <c r="A51" s="5"/>
      <c r="B51" s="5"/>
      <c r="C51" s="5"/>
      <c r="D51" s="9" t="str">
        <f>IF(C51="","",VLOOKUP(C51,'Student Roster'!A:C,2,FALSE))</f>
        <v/>
      </c>
      <c r="E51" s="9" t="str">
        <f>IF(C51="","",VLOOKUP(C51,'Student Roster'!A:C,3,FALSE))</f>
        <v/>
      </c>
      <c r="F51" s="10" t="str">
        <f>IF(B51="","",VLOOKUP(B51,'ISS Placements'!A:N,14,FALSE))</f>
        <v/>
      </c>
      <c r="G51" s="5"/>
      <c r="H51" s="5"/>
      <c r="I51" s="5"/>
      <c r="J51" s="5"/>
      <c r="K51" s="5"/>
      <c r="L51" s="5"/>
      <c r="M51" s="5"/>
      <c r="N51" s="5"/>
      <c r="O51" s="5"/>
      <c r="P51" s="5"/>
      <c r="Q51" s="5"/>
      <c r="R51" s="5"/>
      <c r="S51" s="5"/>
      <c r="T51" s="5"/>
      <c r="U51" s="5"/>
      <c r="V51" s="5"/>
      <c r="W51" s="9">
        <f t="shared" si="3"/>
        <v>0</v>
      </c>
      <c r="X51" s="9">
        <f t="shared" si="4"/>
        <v>8</v>
      </c>
      <c r="Y51" s="9" t="str">
        <f t="shared" si="5"/>
        <v/>
      </c>
      <c r="Z51" s="5"/>
    </row>
    <row r="52" spans="1:26" s="1" customFormat="1" ht="18" customHeight="1" x14ac:dyDescent="0.45">
      <c r="A52" s="7"/>
      <c r="B52" s="7"/>
      <c r="C52" s="7"/>
      <c r="D52" s="9" t="str">
        <f>IF(C52="","",VLOOKUP(C52,'Student Roster'!A:C,2,FALSE))</f>
        <v/>
      </c>
      <c r="E52" s="9" t="str">
        <f>IF(C52="","",VLOOKUP(C52,'Student Roster'!A:C,3,FALSE))</f>
        <v/>
      </c>
      <c r="F52" s="10" t="str">
        <f>IF(B52="","",VLOOKUP(B52,'ISS Placements'!A:N,14,FALSE))</f>
        <v/>
      </c>
      <c r="G52" s="7"/>
      <c r="H52" s="7"/>
      <c r="I52" s="7"/>
      <c r="J52" s="7"/>
      <c r="K52" s="7"/>
      <c r="L52" s="7"/>
      <c r="M52" s="7"/>
      <c r="N52" s="7"/>
      <c r="O52" s="7"/>
      <c r="P52" s="7"/>
      <c r="Q52" s="7"/>
      <c r="R52" s="7"/>
      <c r="S52" s="7"/>
      <c r="T52" s="7"/>
      <c r="U52" s="7"/>
      <c r="V52" s="7"/>
      <c r="W52" s="9">
        <f t="shared" si="3"/>
        <v>0</v>
      </c>
      <c r="X52" s="9">
        <f t="shared" si="4"/>
        <v>8</v>
      </c>
      <c r="Y52" s="9" t="str">
        <f t="shared" si="5"/>
        <v/>
      </c>
      <c r="Z52" s="7"/>
    </row>
    <row r="53" spans="1:26" s="1" customFormat="1" ht="18" customHeight="1" x14ac:dyDescent="0.45">
      <c r="A53" s="5"/>
      <c r="B53" s="5"/>
      <c r="C53" s="5"/>
      <c r="D53" s="9" t="str">
        <f>IF(C53="","",VLOOKUP(C53,'Student Roster'!A:C,2,FALSE))</f>
        <v/>
      </c>
      <c r="E53" s="9" t="str">
        <f>IF(C53="","",VLOOKUP(C53,'Student Roster'!A:C,3,FALSE))</f>
        <v/>
      </c>
      <c r="F53" s="10" t="str">
        <f>IF(B53="","",VLOOKUP(B53,'ISS Placements'!A:N,14,FALSE))</f>
        <v/>
      </c>
      <c r="G53" s="5"/>
      <c r="H53" s="5"/>
      <c r="I53" s="5"/>
      <c r="J53" s="5"/>
      <c r="K53" s="5"/>
      <c r="L53" s="5"/>
      <c r="M53" s="5"/>
      <c r="N53" s="5"/>
      <c r="O53" s="5"/>
      <c r="P53" s="5"/>
      <c r="Q53" s="5"/>
      <c r="R53" s="5"/>
      <c r="S53" s="5"/>
      <c r="T53" s="5"/>
      <c r="U53" s="5"/>
      <c r="V53" s="5"/>
      <c r="W53" s="9">
        <f t="shared" si="3"/>
        <v>0</v>
      </c>
      <c r="X53" s="9">
        <f t="shared" si="4"/>
        <v>8</v>
      </c>
      <c r="Y53" s="9" t="str">
        <f t="shared" si="5"/>
        <v/>
      </c>
      <c r="Z53" s="5"/>
    </row>
    <row r="54" spans="1:26" s="1" customFormat="1" ht="18" customHeight="1" x14ac:dyDescent="0.45">
      <c r="A54" s="7"/>
      <c r="B54" s="7"/>
      <c r="C54" s="7"/>
      <c r="D54" s="9" t="str">
        <f>IF(C54="","",VLOOKUP(C54,'Student Roster'!A:C,2,FALSE))</f>
        <v/>
      </c>
      <c r="E54" s="9" t="str">
        <f>IF(C54="","",VLOOKUP(C54,'Student Roster'!A:C,3,FALSE))</f>
        <v/>
      </c>
      <c r="F54" s="10" t="str">
        <f>IF(B54="","",VLOOKUP(B54,'ISS Placements'!A:N,14,FALSE))</f>
        <v/>
      </c>
      <c r="G54" s="7"/>
      <c r="H54" s="7"/>
      <c r="I54" s="7"/>
      <c r="J54" s="7"/>
      <c r="K54" s="7"/>
      <c r="L54" s="7"/>
      <c r="M54" s="7"/>
      <c r="N54" s="7"/>
      <c r="O54" s="7"/>
      <c r="P54" s="7"/>
      <c r="Q54" s="7"/>
      <c r="R54" s="7"/>
      <c r="S54" s="7"/>
      <c r="T54" s="7"/>
      <c r="U54" s="7"/>
      <c r="V54" s="7"/>
      <c r="W54" s="9">
        <f t="shared" si="3"/>
        <v>0</v>
      </c>
      <c r="X54" s="9">
        <f t="shared" si="4"/>
        <v>8</v>
      </c>
      <c r="Y54" s="9" t="str">
        <f t="shared" si="5"/>
        <v/>
      </c>
      <c r="Z54" s="7"/>
    </row>
    <row r="55" spans="1:26" s="1" customFormat="1" ht="18" customHeight="1" x14ac:dyDescent="0.45">
      <c r="A55" s="5"/>
      <c r="B55" s="5"/>
      <c r="C55" s="5"/>
      <c r="D55" s="9" t="str">
        <f>IF(C55="","",VLOOKUP(C55,'Student Roster'!A:C,2,FALSE))</f>
        <v/>
      </c>
      <c r="E55" s="9" t="str">
        <f>IF(C55="","",VLOOKUP(C55,'Student Roster'!A:C,3,FALSE))</f>
        <v/>
      </c>
      <c r="F55" s="10" t="str">
        <f>IF(B55="","",VLOOKUP(B55,'ISS Placements'!A:N,14,FALSE))</f>
        <v/>
      </c>
      <c r="G55" s="5"/>
      <c r="H55" s="5"/>
      <c r="I55" s="5"/>
      <c r="J55" s="5"/>
      <c r="K55" s="5"/>
      <c r="L55" s="5"/>
      <c r="M55" s="5"/>
      <c r="N55" s="5"/>
      <c r="O55" s="5"/>
      <c r="P55" s="5"/>
      <c r="Q55" s="5"/>
      <c r="R55" s="5"/>
      <c r="S55" s="5"/>
      <c r="T55" s="5"/>
      <c r="U55" s="5"/>
      <c r="V55" s="5"/>
      <c r="W55" s="9">
        <f t="shared" si="3"/>
        <v>0</v>
      </c>
      <c r="X55" s="9">
        <f t="shared" si="4"/>
        <v>8</v>
      </c>
      <c r="Y55" s="9" t="str">
        <f t="shared" si="5"/>
        <v/>
      </c>
      <c r="Z55" s="5"/>
    </row>
    <row r="56" spans="1:26" s="1" customFormat="1" ht="18" customHeight="1" x14ac:dyDescent="0.45">
      <c r="A56" s="7"/>
      <c r="B56" s="7"/>
      <c r="C56" s="7"/>
      <c r="D56" s="9" t="str">
        <f>IF(C56="","",VLOOKUP(C56,'Student Roster'!A:C,2,FALSE))</f>
        <v/>
      </c>
      <c r="E56" s="9" t="str">
        <f>IF(C56="","",VLOOKUP(C56,'Student Roster'!A:C,3,FALSE))</f>
        <v/>
      </c>
      <c r="F56" s="10" t="str">
        <f>IF(B56="","",VLOOKUP(B56,'ISS Placements'!A:N,14,FALSE))</f>
        <v/>
      </c>
      <c r="G56" s="7"/>
      <c r="H56" s="7"/>
      <c r="I56" s="7"/>
      <c r="J56" s="7"/>
      <c r="K56" s="7"/>
      <c r="L56" s="7"/>
      <c r="M56" s="7"/>
      <c r="N56" s="7"/>
      <c r="O56" s="7"/>
      <c r="P56" s="7"/>
      <c r="Q56" s="7"/>
      <c r="R56" s="7"/>
      <c r="S56" s="7"/>
      <c r="T56" s="7"/>
      <c r="U56" s="7"/>
      <c r="V56" s="7"/>
      <c r="W56" s="9">
        <f t="shared" si="3"/>
        <v>0</v>
      </c>
      <c r="X56" s="9">
        <f t="shared" si="4"/>
        <v>8</v>
      </c>
      <c r="Y56" s="9" t="str">
        <f t="shared" si="5"/>
        <v/>
      </c>
      <c r="Z56" s="7"/>
    </row>
    <row r="57" spans="1:26" s="1" customFormat="1" ht="18" customHeight="1" x14ac:dyDescent="0.45">
      <c r="A57" s="5"/>
      <c r="B57" s="5"/>
      <c r="C57" s="5"/>
      <c r="D57" s="9" t="str">
        <f>IF(C57="","",VLOOKUP(C57,'Student Roster'!A:C,2,FALSE))</f>
        <v/>
      </c>
      <c r="E57" s="9" t="str">
        <f>IF(C57="","",VLOOKUP(C57,'Student Roster'!A:C,3,FALSE))</f>
        <v/>
      </c>
      <c r="F57" s="10" t="str">
        <f>IF(B57="","",VLOOKUP(B57,'ISS Placements'!A:N,14,FALSE))</f>
        <v/>
      </c>
      <c r="G57" s="5"/>
      <c r="H57" s="5"/>
      <c r="I57" s="5"/>
      <c r="J57" s="5"/>
      <c r="K57" s="5"/>
      <c r="L57" s="5"/>
      <c r="M57" s="5"/>
      <c r="N57" s="5"/>
      <c r="O57" s="5"/>
      <c r="P57" s="5"/>
      <c r="Q57" s="5"/>
      <c r="R57" s="5"/>
      <c r="S57" s="5"/>
      <c r="T57" s="5"/>
      <c r="U57" s="5"/>
      <c r="V57" s="5"/>
      <c r="W57" s="9">
        <f t="shared" si="3"/>
        <v>0</v>
      </c>
      <c r="X57" s="9">
        <f t="shared" si="4"/>
        <v>8</v>
      </c>
      <c r="Y57" s="9" t="str">
        <f t="shared" si="5"/>
        <v/>
      </c>
      <c r="Z57" s="5"/>
    </row>
    <row r="58" spans="1:26" s="1" customFormat="1" ht="18" customHeight="1" x14ac:dyDescent="0.45">
      <c r="A58" s="7"/>
      <c r="B58" s="7"/>
      <c r="C58" s="7"/>
      <c r="D58" s="9" t="str">
        <f>IF(C58="","",VLOOKUP(C58,'Student Roster'!A:C,2,FALSE))</f>
        <v/>
      </c>
      <c r="E58" s="9" t="str">
        <f>IF(C58="","",VLOOKUP(C58,'Student Roster'!A:C,3,FALSE))</f>
        <v/>
      </c>
      <c r="F58" s="10" t="str">
        <f>IF(B58="","",VLOOKUP(B58,'ISS Placements'!A:N,14,FALSE))</f>
        <v/>
      </c>
      <c r="G58" s="7"/>
      <c r="H58" s="7"/>
      <c r="I58" s="7"/>
      <c r="J58" s="7"/>
      <c r="K58" s="7"/>
      <c r="L58" s="7"/>
      <c r="M58" s="7"/>
      <c r="N58" s="7"/>
      <c r="O58" s="7"/>
      <c r="P58" s="7"/>
      <c r="Q58" s="7"/>
      <c r="R58" s="7"/>
      <c r="S58" s="7"/>
      <c r="T58" s="7"/>
      <c r="U58" s="7"/>
      <c r="V58" s="7"/>
      <c r="W58" s="9">
        <f t="shared" si="3"/>
        <v>0</v>
      </c>
      <c r="X58" s="9">
        <f t="shared" si="4"/>
        <v>8</v>
      </c>
      <c r="Y58" s="9" t="str">
        <f t="shared" si="5"/>
        <v/>
      </c>
      <c r="Z58" s="7"/>
    </row>
    <row r="59" spans="1:26" s="1" customFormat="1" ht="18" customHeight="1" x14ac:dyDescent="0.45">
      <c r="A59" s="5"/>
      <c r="B59" s="5"/>
      <c r="C59" s="5"/>
      <c r="D59" s="9" t="str">
        <f>IF(C59="","",VLOOKUP(C59,'Student Roster'!A:C,2,FALSE))</f>
        <v/>
      </c>
      <c r="E59" s="9" t="str">
        <f>IF(C59="","",VLOOKUP(C59,'Student Roster'!A:C,3,FALSE))</f>
        <v/>
      </c>
      <c r="F59" s="10" t="str">
        <f>IF(B59="","",VLOOKUP(B59,'ISS Placements'!A:N,14,FALSE))</f>
        <v/>
      </c>
      <c r="G59" s="5"/>
      <c r="H59" s="5"/>
      <c r="I59" s="5"/>
      <c r="J59" s="5"/>
      <c r="K59" s="5"/>
      <c r="L59" s="5"/>
      <c r="M59" s="5"/>
      <c r="N59" s="5"/>
      <c r="O59" s="5"/>
      <c r="P59" s="5"/>
      <c r="Q59" s="5"/>
      <c r="R59" s="5"/>
      <c r="S59" s="5"/>
      <c r="T59" s="5"/>
      <c r="U59" s="5"/>
      <c r="V59" s="5"/>
      <c r="W59" s="9">
        <f t="shared" si="3"/>
        <v>0</v>
      </c>
      <c r="X59" s="9">
        <f t="shared" si="4"/>
        <v>8</v>
      </c>
      <c r="Y59" s="9" t="str">
        <f t="shared" si="5"/>
        <v/>
      </c>
      <c r="Z59" s="5"/>
    </row>
    <row r="60" spans="1:26" s="1" customFormat="1" ht="18" customHeight="1" x14ac:dyDescent="0.45">
      <c r="A60" s="7"/>
      <c r="B60" s="7"/>
      <c r="C60" s="7"/>
      <c r="D60" s="9" t="str">
        <f>IF(C60="","",VLOOKUP(C60,'Student Roster'!A:C,2,FALSE))</f>
        <v/>
      </c>
      <c r="E60" s="9" t="str">
        <f>IF(C60="","",VLOOKUP(C60,'Student Roster'!A:C,3,FALSE))</f>
        <v/>
      </c>
      <c r="F60" s="10" t="str">
        <f>IF(B60="","",VLOOKUP(B60,'ISS Placements'!A:N,14,FALSE))</f>
        <v/>
      </c>
      <c r="G60" s="7"/>
      <c r="H60" s="7"/>
      <c r="I60" s="7"/>
      <c r="J60" s="7"/>
      <c r="K60" s="7"/>
      <c r="L60" s="7"/>
      <c r="M60" s="7"/>
      <c r="N60" s="7"/>
      <c r="O60" s="7"/>
      <c r="P60" s="7"/>
      <c r="Q60" s="7"/>
      <c r="R60" s="7"/>
      <c r="S60" s="7"/>
      <c r="T60" s="7"/>
      <c r="U60" s="7"/>
      <c r="V60" s="7"/>
      <c r="W60" s="9">
        <f t="shared" si="3"/>
        <v>0</v>
      </c>
      <c r="X60" s="9">
        <f t="shared" si="4"/>
        <v>8</v>
      </c>
      <c r="Y60" s="9" t="str">
        <f t="shared" si="5"/>
        <v/>
      </c>
      <c r="Z60" s="7"/>
    </row>
    <row r="61" spans="1:26" s="1" customFormat="1" ht="18" customHeight="1" x14ac:dyDescent="0.45">
      <c r="A61" s="5"/>
      <c r="B61" s="5"/>
      <c r="C61" s="5"/>
      <c r="D61" s="9" t="str">
        <f>IF(C61="","",VLOOKUP(C61,'Student Roster'!A:C,2,FALSE))</f>
        <v/>
      </c>
      <c r="E61" s="9" t="str">
        <f>IF(C61="","",VLOOKUP(C61,'Student Roster'!A:C,3,FALSE))</f>
        <v/>
      </c>
      <c r="F61" s="10" t="str">
        <f>IF(B61="","",VLOOKUP(B61,'ISS Placements'!A:N,14,FALSE))</f>
        <v/>
      </c>
      <c r="G61" s="5"/>
      <c r="H61" s="5"/>
      <c r="I61" s="5"/>
      <c r="J61" s="5"/>
      <c r="K61" s="5"/>
      <c r="L61" s="5"/>
      <c r="M61" s="5"/>
      <c r="N61" s="5"/>
      <c r="O61" s="5"/>
      <c r="P61" s="5"/>
      <c r="Q61" s="5"/>
      <c r="R61" s="5"/>
      <c r="S61" s="5"/>
      <c r="T61" s="5"/>
      <c r="U61" s="5"/>
      <c r="V61" s="5"/>
      <c r="W61" s="9">
        <f t="shared" si="3"/>
        <v>0</v>
      </c>
      <c r="X61" s="9">
        <f t="shared" si="4"/>
        <v>8</v>
      </c>
      <c r="Y61" s="9" t="str">
        <f t="shared" si="5"/>
        <v/>
      </c>
      <c r="Z61" s="5"/>
    </row>
    <row r="62" spans="1:26" s="1" customFormat="1" ht="18" customHeight="1" x14ac:dyDescent="0.45">
      <c r="A62" s="7"/>
      <c r="B62" s="7"/>
      <c r="C62" s="7"/>
      <c r="D62" s="9" t="str">
        <f>IF(C62="","",VLOOKUP(C62,'Student Roster'!A:C,2,FALSE))</f>
        <v/>
      </c>
      <c r="E62" s="9" t="str">
        <f>IF(C62="","",VLOOKUP(C62,'Student Roster'!A:C,3,FALSE))</f>
        <v/>
      </c>
      <c r="F62" s="10" t="str">
        <f>IF(B62="","",VLOOKUP(B62,'ISS Placements'!A:N,14,FALSE))</f>
        <v/>
      </c>
      <c r="G62" s="7"/>
      <c r="H62" s="7"/>
      <c r="I62" s="7"/>
      <c r="J62" s="7"/>
      <c r="K62" s="7"/>
      <c r="L62" s="7"/>
      <c r="M62" s="7"/>
      <c r="N62" s="7"/>
      <c r="O62" s="7"/>
      <c r="P62" s="7"/>
      <c r="Q62" s="7"/>
      <c r="R62" s="7"/>
      <c r="S62" s="7"/>
      <c r="T62" s="7"/>
      <c r="U62" s="7"/>
      <c r="V62" s="7"/>
      <c r="W62" s="9">
        <f t="shared" si="3"/>
        <v>0</v>
      </c>
      <c r="X62" s="9">
        <f t="shared" si="4"/>
        <v>8</v>
      </c>
      <c r="Y62" s="9" t="str">
        <f t="shared" si="5"/>
        <v/>
      </c>
      <c r="Z62" s="7"/>
    </row>
    <row r="63" spans="1:26" s="1" customFormat="1" ht="18" customHeight="1" x14ac:dyDescent="0.45">
      <c r="A63" s="5"/>
      <c r="B63" s="5"/>
      <c r="C63" s="5"/>
      <c r="D63" s="9" t="str">
        <f>IF(C63="","",VLOOKUP(C63,'Student Roster'!A:C,2,FALSE))</f>
        <v/>
      </c>
      <c r="E63" s="9" t="str">
        <f>IF(C63="","",VLOOKUP(C63,'Student Roster'!A:C,3,FALSE))</f>
        <v/>
      </c>
      <c r="F63" s="10" t="str">
        <f>IF(B63="","",VLOOKUP(B63,'ISS Placements'!A:N,14,FALSE))</f>
        <v/>
      </c>
      <c r="G63" s="5"/>
      <c r="H63" s="5"/>
      <c r="I63" s="5"/>
      <c r="J63" s="5"/>
      <c r="K63" s="5"/>
      <c r="L63" s="5"/>
      <c r="M63" s="5"/>
      <c r="N63" s="5"/>
      <c r="O63" s="5"/>
      <c r="P63" s="5"/>
      <c r="Q63" s="5"/>
      <c r="R63" s="5"/>
      <c r="S63" s="5"/>
      <c r="T63" s="5"/>
      <c r="U63" s="5"/>
      <c r="V63" s="5"/>
      <c r="W63" s="9">
        <f t="shared" si="3"/>
        <v>0</v>
      </c>
      <c r="X63" s="9">
        <f t="shared" si="4"/>
        <v>8</v>
      </c>
      <c r="Y63" s="9" t="str">
        <f t="shared" si="5"/>
        <v/>
      </c>
      <c r="Z63" s="5"/>
    </row>
    <row r="64" spans="1:26" s="1" customFormat="1" ht="18" customHeight="1" x14ac:dyDescent="0.45">
      <c r="A64" s="7"/>
      <c r="B64" s="7"/>
      <c r="C64" s="7"/>
      <c r="D64" s="9" t="str">
        <f>IF(C64="","",VLOOKUP(C64,'Student Roster'!A:C,2,FALSE))</f>
        <v/>
      </c>
      <c r="E64" s="9" t="str">
        <f>IF(C64="","",VLOOKUP(C64,'Student Roster'!A:C,3,FALSE))</f>
        <v/>
      </c>
      <c r="F64" s="10" t="str">
        <f>IF(B64="","",VLOOKUP(B64,'ISS Placements'!A:N,14,FALSE))</f>
        <v/>
      </c>
      <c r="G64" s="7"/>
      <c r="H64" s="7"/>
      <c r="I64" s="7"/>
      <c r="J64" s="7"/>
      <c r="K64" s="7"/>
      <c r="L64" s="7"/>
      <c r="M64" s="7"/>
      <c r="N64" s="7"/>
      <c r="O64" s="7"/>
      <c r="P64" s="7"/>
      <c r="Q64" s="7"/>
      <c r="R64" s="7"/>
      <c r="S64" s="7"/>
      <c r="T64" s="7"/>
      <c r="U64" s="7"/>
      <c r="V64" s="7"/>
      <c r="W64" s="9">
        <f t="shared" si="3"/>
        <v>0</v>
      </c>
      <c r="X64" s="9">
        <f t="shared" si="4"/>
        <v>8</v>
      </c>
      <c r="Y64" s="9" t="str">
        <f t="shared" si="5"/>
        <v/>
      </c>
      <c r="Z64" s="7"/>
    </row>
    <row r="65" spans="1:26" s="1" customFormat="1" ht="18" customHeight="1" x14ac:dyDescent="0.45">
      <c r="A65" s="5"/>
      <c r="B65" s="5"/>
      <c r="C65" s="5"/>
      <c r="D65" s="9" t="str">
        <f>IF(C65="","",VLOOKUP(C65,'Student Roster'!A:C,2,FALSE))</f>
        <v/>
      </c>
      <c r="E65" s="9" t="str">
        <f>IF(C65="","",VLOOKUP(C65,'Student Roster'!A:C,3,FALSE))</f>
        <v/>
      </c>
      <c r="F65" s="10" t="str">
        <f>IF(B65="","",VLOOKUP(B65,'ISS Placements'!A:N,14,FALSE))</f>
        <v/>
      </c>
      <c r="G65" s="5"/>
      <c r="H65" s="5"/>
      <c r="I65" s="5"/>
      <c r="J65" s="5"/>
      <c r="K65" s="5"/>
      <c r="L65" s="5"/>
      <c r="M65" s="5"/>
      <c r="N65" s="5"/>
      <c r="O65" s="5"/>
      <c r="P65" s="5"/>
      <c r="Q65" s="5"/>
      <c r="R65" s="5"/>
      <c r="S65" s="5"/>
      <c r="T65" s="5"/>
      <c r="U65" s="5"/>
      <c r="V65" s="5"/>
      <c r="W65" s="9">
        <f t="shared" si="3"/>
        <v>0</v>
      </c>
      <c r="X65" s="9">
        <f t="shared" si="4"/>
        <v>8</v>
      </c>
      <c r="Y65" s="9" t="str">
        <f t="shared" si="5"/>
        <v/>
      </c>
      <c r="Z65" s="5"/>
    </row>
    <row r="66" spans="1:26" s="1" customFormat="1" ht="18" customHeight="1" x14ac:dyDescent="0.45">
      <c r="A66" s="7"/>
      <c r="B66" s="7"/>
      <c r="C66" s="7"/>
      <c r="D66" s="9" t="str">
        <f>IF(C66="","",VLOOKUP(C66,'Student Roster'!A:C,2,FALSE))</f>
        <v/>
      </c>
      <c r="E66" s="9" t="str">
        <f>IF(C66="","",VLOOKUP(C66,'Student Roster'!A:C,3,FALSE))</f>
        <v/>
      </c>
      <c r="F66" s="10" t="str">
        <f>IF(B66="","",VLOOKUP(B66,'ISS Placements'!A:N,14,FALSE))</f>
        <v/>
      </c>
      <c r="G66" s="7"/>
      <c r="H66" s="7"/>
      <c r="I66" s="7"/>
      <c r="J66" s="7"/>
      <c r="K66" s="7"/>
      <c r="L66" s="7"/>
      <c r="M66" s="7"/>
      <c r="N66" s="7"/>
      <c r="O66" s="7"/>
      <c r="P66" s="7"/>
      <c r="Q66" s="7"/>
      <c r="R66" s="7"/>
      <c r="S66" s="7"/>
      <c r="T66" s="7"/>
      <c r="U66" s="7"/>
      <c r="V66" s="7"/>
      <c r="W66" s="9">
        <f t="shared" si="3"/>
        <v>0</v>
      </c>
      <c r="X66" s="9">
        <f t="shared" si="4"/>
        <v>8</v>
      </c>
      <c r="Y66" s="9" t="str">
        <f t="shared" si="5"/>
        <v/>
      </c>
      <c r="Z66" s="7"/>
    </row>
    <row r="67" spans="1:26" s="1" customFormat="1" ht="18" customHeight="1" x14ac:dyDescent="0.45">
      <c r="A67" s="5"/>
      <c r="B67" s="5"/>
      <c r="C67" s="5"/>
      <c r="D67" s="9" t="str">
        <f>IF(C67="","",VLOOKUP(C67,'Student Roster'!A:C,2,FALSE))</f>
        <v/>
      </c>
      <c r="E67" s="9" t="str">
        <f>IF(C67="","",VLOOKUP(C67,'Student Roster'!A:C,3,FALSE))</f>
        <v/>
      </c>
      <c r="F67" s="10" t="str">
        <f>IF(B67="","",VLOOKUP(B67,'ISS Placements'!A:N,14,FALSE))</f>
        <v/>
      </c>
      <c r="G67" s="5"/>
      <c r="H67" s="5"/>
      <c r="I67" s="5"/>
      <c r="J67" s="5"/>
      <c r="K67" s="5"/>
      <c r="L67" s="5"/>
      <c r="M67" s="5"/>
      <c r="N67" s="5"/>
      <c r="O67" s="5"/>
      <c r="P67" s="5"/>
      <c r="Q67" s="5"/>
      <c r="R67" s="5"/>
      <c r="S67" s="5"/>
      <c r="T67" s="5"/>
      <c r="U67" s="5"/>
      <c r="V67" s="5"/>
      <c r="W67" s="9">
        <f t="shared" si="3"/>
        <v>0</v>
      </c>
      <c r="X67" s="9">
        <f t="shared" si="4"/>
        <v>8</v>
      </c>
      <c r="Y67" s="9" t="str">
        <f t="shared" si="5"/>
        <v/>
      </c>
      <c r="Z67" s="5"/>
    </row>
    <row r="68" spans="1:26" s="1" customFormat="1" ht="18" customHeight="1" x14ac:dyDescent="0.45">
      <c r="A68" s="7"/>
      <c r="B68" s="7"/>
      <c r="C68" s="7"/>
      <c r="D68" s="9" t="str">
        <f>IF(C68="","",VLOOKUP(C68,'Student Roster'!A:C,2,FALSE))</f>
        <v/>
      </c>
      <c r="E68" s="9" t="str">
        <f>IF(C68="","",VLOOKUP(C68,'Student Roster'!A:C,3,FALSE))</f>
        <v/>
      </c>
      <c r="F68" s="10" t="str">
        <f>IF(B68="","",VLOOKUP(B68,'ISS Placements'!A:N,14,FALSE))</f>
        <v/>
      </c>
      <c r="G68" s="7"/>
      <c r="H68" s="7"/>
      <c r="I68" s="7"/>
      <c r="J68" s="7"/>
      <c r="K68" s="7"/>
      <c r="L68" s="7"/>
      <c r="M68" s="7"/>
      <c r="N68" s="7"/>
      <c r="O68" s="7"/>
      <c r="P68" s="7"/>
      <c r="Q68" s="7"/>
      <c r="R68" s="7"/>
      <c r="S68" s="7"/>
      <c r="T68" s="7"/>
      <c r="U68" s="7"/>
      <c r="V68" s="7"/>
      <c r="W68" s="9">
        <f t="shared" ref="W68:W99" si="6">COUNTIF(G68:V68,"Yes")</f>
        <v>0</v>
      </c>
      <c r="X68" s="9">
        <f t="shared" ref="X68:X99" si="7">8-W68</f>
        <v>8</v>
      </c>
      <c r="Y68" s="9" t="str">
        <f t="shared" ref="Y68:Y99" si="8">IF(C68="","",IF(W68&gt;=8,"✅ READY","❌ NOT READY"))</f>
        <v/>
      </c>
      <c r="Z68" s="7"/>
    </row>
    <row r="69" spans="1:26" s="1" customFormat="1" ht="18" customHeight="1" x14ac:dyDescent="0.45">
      <c r="A69" s="5"/>
      <c r="B69" s="5"/>
      <c r="C69" s="5"/>
      <c r="D69" s="9" t="str">
        <f>IF(C69="","",VLOOKUP(C69,'Student Roster'!A:C,2,FALSE))</f>
        <v/>
      </c>
      <c r="E69" s="9" t="str">
        <f>IF(C69="","",VLOOKUP(C69,'Student Roster'!A:C,3,FALSE))</f>
        <v/>
      </c>
      <c r="F69" s="10" t="str">
        <f>IF(B69="","",VLOOKUP(B69,'ISS Placements'!A:N,14,FALSE))</f>
        <v/>
      </c>
      <c r="G69" s="5"/>
      <c r="H69" s="5"/>
      <c r="I69" s="5"/>
      <c r="J69" s="5"/>
      <c r="K69" s="5"/>
      <c r="L69" s="5"/>
      <c r="M69" s="5"/>
      <c r="N69" s="5"/>
      <c r="O69" s="5"/>
      <c r="P69" s="5"/>
      <c r="Q69" s="5"/>
      <c r="R69" s="5"/>
      <c r="S69" s="5"/>
      <c r="T69" s="5"/>
      <c r="U69" s="5"/>
      <c r="V69" s="5"/>
      <c r="W69" s="9">
        <f t="shared" si="6"/>
        <v>0</v>
      </c>
      <c r="X69" s="9">
        <f t="shared" si="7"/>
        <v>8</v>
      </c>
      <c r="Y69" s="9" t="str">
        <f t="shared" si="8"/>
        <v/>
      </c>
      <c r="Z69" s="5"/>
    </row>
    <row r="70" spans="1:26" s="1" customFormat="1" ht="18" customHeight="1" x14ac:dyDescent="0.45">
      <c r="A70" s="7"/>
      <c r="B70" s="7"/>
      <c r="C70" s="7"/>
      <c r="D70" s="9" t="str">
        <f>IF(C70="","",VLOOKUP(C70,'Student Roster'!A:C,2,FALSE))</f>
        <v/>
      </c>
      <c r="E70" s="9" t="str">
        <f>IF(C70="","",VLOOKUP(C70,'Student Roster'!A:C,3,FALSE))</f>
        <v/>
      </c>
      <c r="F70" s="10" t="str">
        <f>IF(B70="","",VLOOKUP(B70,'ISS Placements'!A:N,14,FALSE))</f>
        <v/>
      </c>
      <c r="G70" s="7"/>
      <c r="H70" s="7"/>
      <c r="I70" s="7"/>
      <c r="J70" s="7"/>
      <c r="K70" s="7"/>
      <c r="L70" s="7"/>
      <c r="M70" s="7"/>
      <c r="N70" s="7"/>
      <c r="O70" s="7"/>
      <c r="P70" s="7"/>
      <c r="Q70" s="7"/>
      <c r="R70" s="7"/>
      <c r="S70" s="7"/>
      <c r="T70" s="7"/>
      <c r="U70" s="7"/>
      <c r="V70" s="7"/>
      <c r="W70" s="9">
        <f t="shared" si="6"/>
        <v>0</v>
      </c>
      <c r="X70" s="9">
        <f t="shared" si="7"/>
        <v>8</v>
      </c>
      <c r="Y70" s="9" t="str">
        <f t="shared" si="8"/>
        <v/>
      </c>
      <c r="Z70" s="7"/>
    </row>
    <row r="71" spans="1:26" s="1" customFormat="1" ht="18" customHeight="1" x14ac:dyDescent="0.45">
      <c r="A71" s="5"/>
      <c r="B71" s="5"/>
      <c r="C71" s="5"/>
      <c r="D71" s="9" t="str">
        <f>IF(C71="","",VLOOKUP(C71,'Student Roster'!A:C,2,FALSE))</f>
        <v/>
      </c>
      <c r="E71" s="9" t="str">
        <f>IF(C71="","",VLOOKUP(C71,'Student Roster'!A:C,3,FALSE))</f>
        <v/>
      </c>
      <c r="F71" s="10" t="str">
        <f>IF(B71="","",VLOOKUP(B71,'ISS Placements'!A:N,14,FALSE))</f>
        <v/>
      </c>
      <c r="G71" s="5"/>
      <c r="H71" s="5"/>
      <c r="I71" s="5"/>
      <c r="J71" s="5"/>
      <c r="K71" s="5"/>
      <c r="L71" s="5"/>
      <c r="M71" s="5"/>
      <c r="N71" s="5"/>
      <c r="O71" s="5"/>
      <c r="P71" s="5"/>
      <c r="Q71" s="5"/>
      <c r="R71" s="5"/>
      <c r="S71" s="5"/>
      <c r="T71" s="5"/>
      <c r="U71" s="5"/>
      <c r="V71" s="5"/>
      <c r="W71" s="9">
        <f t="shared" si="6"/>
        <v>0</v>
      </c>
      <c r="X71" s="9">
        <f t="shared" si="7"/>
        <v>8</v>
      </c>
      <c r="Y71" s="9" t="str">
        <f t="shared" si="8"/>
        <v/>
      </c>
      <c r="Z71" s="5"/>
    </row>
    <row r="72" spans="1:26" s="1" customFormat="1" ht="18" customHeight="1" x14ac:dyDescent="0.45">
      <c r="A72" s="7"/>
      <c r="B72" s="7"/>
      <c r="C72" s="7"/>
      <c r="D72" s="9" t="str">
        <f>IF(C72="","",VLOOKUP(C72,'Student Roster'!A:C,2,FALSE))</f>
        <v/>
      </c>
      <c r="E72" s="9" t="str">
        <f>IF(C72="","",VLOOKUP(C72,'Student Roster'!A:C,3,FALSE))</f>
        <v/>
      </c>
      <c r="F72" s="10" t="str">
        <f>IF(B72="","",VLOOKUP(B72,'ISS Placements'!A:N,14,FALSE))</f>
        <v/>
      </c>
      <c r="G72" s="7"/>
      <c r="H72" s="7"/>
      <c r="I72" s="7"/>
      <c r="J72" s="7"/>
      <c r="K72" s="7"/>
      <c r="L72" s="7"/>
      <c r="M72" s="7"/>
      <c r="N72" s="7"/>
      <c r="O72" s="7"/>
      <c r="P72" s="7"/>
      <c r="Q72" s="7"/>
      <c r="R72" s="7"/>
      <c r="S72" s="7"/>
      <c r="T72" s="7"/>
      <c r="U72" s="7"/>
      <c r="V72" s="7"/>
      <c r="W72" s="9">
        <f t="shared" si="6"/>
        <v>0</v>
      </c>
      <c r="X72" s="9">
        <f t="shared" si="7"/>
        <v>8</v>
      </c>
      <c r="Y72" s="9" t="str">
        <f t="shared" si="8"/>
        <v/>
      </c>
      <c r="Z72" s="7"/>
    </row>
    <row r="73" spans="1:26" s="1" customFormat="1" ht="18" customHeight="1" x14ac:dyDescent="0.45">
      <c r="A73" s="5"/>
      <c r="B73" s="5"/>
      <c r="C73" s="5"/>
      <c r="D73" s="9" t="str">
        <f>IF(C73="","",VLOOKUP(C73,'Student Roster'!A:C,2,FALSE))</f>
        <v/>
      </c>
      <c r="E73" s="9" t="str">
        <f>IF(C73="","",VLOOKUP(C73,'Student Roster'!A:C,3,FALSE))</f>
        <v/>
      </c>
      <c r="F73" s="10" t="str">
        <f>IF(B73="","",VLOOKUP(B73,'ISS Placements'!A:N,14,FALSE))</f>
        <v/>
      </c>
      <c r="G73" s="5"/>
      <c r="H73" s="5"/>
      <c r="I73" s="5"/>
      <c r="J73" s="5"/>
      <c r="K73" s="5"/>
      <c r="L73" s="5"/>
      <c r="M73" s="5"/>
      <c r="N73" s="5"/>
      <c r="O73" s="5"/>
      <c r="P73" s="5"/>
      <c r="Q73" s="5"/>
      <c r="R73" s="5"/>
      <c r="S73" s="5"/>
      <c r="T73" s="5"/>
      <c r="U73" s="5"/>
      <c r="V73" s="5"/>
      <c r="W73" s="9">
        <f t="shared" si="6"/>
        <v>0</v>
      </c>
      <c r="X73" s="9">
        <f t="shared" si="7"/>
        <v>8</v>
      </c>
      <c r="Y73" s="9" t="str">
        <f t="shared" si="8"/>
        <v/>
      </c>
      <c r="Z73" s="5"/>
    </row>
    <row r="74" spans="1:26" s="1" customFormat="1" ht="18" customHeight="1" x14ac:dyDescent="0.45">
      <c r="A74" s="7"/>
      <c r="B74" s="7"/>
      <c r="C74" s="7"/>
      <c r="D74" s="9" t="str">
        <f>IF(C74="","",VLOOKUP(C74,'Student Roster'!A:C,2,FALSE))</f>
        <v/>
      </c>
      <c r="E74" s="9" t="str">
        <f>IF(C74="","",VLOOKUP(C74,'Student Roster'!A:C,3,FALSE))</f>
        <v/>
      </c>
      <c r="F74" s="10" t="str">
        <f>IF(B74="","",VLOOKUP(B74,'ISS Placements'!A:N,14,FALSE))</f>
        <v/>
      </c>
      <c r="G74" s="7"/>
      <c r="H74" s="7"/>
      <c r="I74" s="7"/>
      <c r="J74" s="7"/>
      <c r="K74" s="7"/>
      <c r="L74" s="7"/>
      <c r="M74" s="7"/>
      <c r="N74" s="7"/>
      <c r="O74" s="7"/>
      <c r="P74" s="7"/>
      <c r="Q74" s="7"/>
      <c r="R74" s="7"/>
      <c r="S74" s="7"/>
      <c r="T74" s="7"/>
      <c r="U74" s="7"/>
      <c r="V74" s="7"/>
      <c r="W74" s="9">
        <f t="shared" si="6"/>
        <v>0</v>
      </c>
      <c r="X74" s="9">
        <f t="shared" si="7"/>
        <v>8</v>
      </c>
      <c r="Y74" s="9" t="str">
        <f t="shared" si="8"/>
        <v/>
      </c>
      <c r="Z74" s="7"/>
    </row>
    <row r="75" spans="1:26" s="1" customFormat="1" ht="18" customHeight="1" x14ac:dyDescent="0.45">
      <c r="A75" s="5"/>
      <c r="B75" s="5"/>
      <c r="C75" s="5"/>
      <c r="D75" s="9" t="str">
        <f>IF(C75="","",VLOOKUP(C75,'Student Roster'!A:C,2,FALSE))</f>
        <v/>
      </c>
      <c r="E75" s="9" t="str">
        <f>IF(C75="","",VLOOKUP(C75,'Student Roster'!A:C,3,FALSE))</f>
        <v/>
      </c>
      <c r="F75" s="10" t="str">
        <f>IF(B75="","",VLOOKUP(B75,'ISS Placements'!A:N,14,FALSE))</f>
        <v/>
      </c>
      <c r="G75" s="5"/>
      <c r="H75" s="5"/>
      <c r="I75" s="5"/>
      <c r="J75" s="5"/>
      <c r="K75" s="5"/>
      <c r="L75" s="5"/>
      <c r="M75" s="5"/>
      <c r="N75" s="5"/>
      <c r="O75" s="5"/>
      <c r="P75" s="5"/>
      <c r="Q75" s="5"/>
      <c r="R75" s="5"/>
      <c r="S75" s="5"/>
      <c r="T75" s="5"/>
      <c r="U75" s="5"/>
      <c r="V75" s="5"/>
      <c r="W75" s="9">
        <f t="shared" si="6"/>
        <v>0</v>
      </c>
      <c r="X75" s="9">
        <f t="shared" si="7"/>
        <v>8</v>
      </c>
      <c r="Y75" s="9" t="str">
        <f t="shared" si="8"/>
        <v/>
      </c>
      <c r="Z75" s="5"/>
    </row>
    <row r="76" spans="1:26" s="1" customFormat="1" ht="18" customHeight="1" x14ac:dyDescent="0.45">
      <c r="A76" s="7"/>
      <c r="B76" s="7"/>
      <c r="C76" s="7"/>
      <c r="D76" s="9" t="str">
        <f>IF(C76="","",VLOOKUP(C76,'Student Roster'!A:C,2,FALSE))</f>
        <v/>
      </c>
      <c r="E76" s="9" t="str">
        <f>IF(C76="","",VLOOKUP(C76,'Student Roster'!A:C,3,FALSE))</f>
        <v/>
      </c>
      <c r="F76" s="10" t="str">
        <f>IF(B76="","",VLOOKUP(B76,'ISS Placements'!A:N,14,FALSE))</f>
        <v/>
      </c>
      <c r="G76" s="7"/>
      <c r="H76" s="7"/>
      <c r="I76" s="7"/>
      <c r="J76" s="7"/>
      <c r="K76" s="7"/>
      <c r="L76" s="7"/>
      <c r="M76" s="7"/>
      <c r="N76" s="7"/>
      <c r="O76" s="7"/>
      <c r="P76" s="7"/>
      <c r="Q76" s="7"/>
      <c r="R76" s="7"/>
      <c r="S76" s="7"/>
      <c r="T76" s="7"/>
      <c r="U76" s="7"/>
      <c r="V76" s="7"/>
      <c r="W76" s="9">
        <f t="shared" si="6"/>
        <v>0</v>
      </c>
      <c r="X76" s="9">
        <f t="shared" si="7"/>
        <v>8</v>
      </c>
      <c r="Y76" s="9" t="str">
        <f t="shared" si="8"/>
        <v/>
      </c>
      <c r="Z76" s="7"/>
    </row>
    <row r="77" spans="1:26" s="1" customFormat="1" ht="18" customHeight="1" x14ac:dyDescent="0.45">
      <c r="A77" s="5"/>
      <c r="B77" s="5"/>
      <c r="C77" s="5"/>
      <c r="D77" s="9" t="str">
        <f>IF(C77="","",VLOOKUP(C77,'Student Roster'!A:C,2,FALSE))</f>
        <v/>
      </c>
      <c r="E77" s="9" t="str">
        <f>IF(C77="","",VLOOKUP(C77,'Student Roster'!A:C,3,FALSE))</f>
        <v/>
      </c>
      <c r="F77" s="10" t="str">
        <f>IF(B77="","",VLOOKUP(B77,'ISS Placements'!A:N,14,FALSE))</f>
        <v/>
      </c>
      <c r="G77" s="5"/>
      <c r="H77" s="5"/>
      <c r="I77" s="5"/>
      <c r="J77" s="5"/>
      <c r="K77" s="5"/>
      <c r="L77" s="5"/>
      <c r="M77" s="5"/>
      <c r="N77" s="5"/>
      <c r="O77" s="5"/>
      <c r="P77" s="5"/>
      <c r="Q77" s="5"/>
      <c r="R77" s="5"/>
      <c r="S77" s="5"/>
      <c r="T77" s="5"/>
      <c r="U77" s="5"/>
      <c r="V77" s="5"/>
      <c r="W77" s="9">
        <f t="shared" si="6"/>
        <v>0</v>
      </c>
      <c r="X77" s="9">
        <f t="shared" si="7"/>
        <v>8</v>
      </c>
      <c r="Y77" s="9" t="str">
        <f t="shared" si="8"/>
        <v/>
      </c>
      <c r="Z77" s="5"/>
    </row>
    <row r="78" spans="1:26" s="1" customFormat="1" ht="18" customHeight="1" x14ac:dyDescent="0.45">
      <c r="A78" s="7"/>
      <c r="B78" s="7"/>
      <c r="C78" s="7"/>
      <c r="D78" s="9" t="str">
        <f>IF(C78="","",VLOOKUP(C78,'Student Roster'!A:C,2,FALSE))</f>
        <v/>
      </c>
      <c r="E78" s="9" t="str">
        <f>IF(C78="","",VLOOKUP(C78,'Student Roster'!A:C,3,FALSE))</f>
        <v/>
      </c>
      <c r="F78" s="10" t="str">
        <f>IF(B78="","",VLOOKUP(B78,'ISS Placements'!A:N,14,FALSE))</f>
        <v/>
      </c>
      <c r="G78" s="7"/>
      <c r="H78" s="7"/>
      <c r="I78" s="7"/>
      <c r="J78" s="7"/>
      <c r="K78" s="7"/>
      <c r="L78" s="7"/>
      <c r="M78" s="7"/>
      <c r="N78" s="7"/>
      <c r="O78" s="7"/>
      <c r="P78" s="7"/>
      <c r="Q78" s="7"/>
      <c r="R78" s="7"/>
      <c r="S78" s="7"/>
      <c r="T78" s="7"/>
      <c r="U78" s="7"/>
      <c r="V78" s="7"/>
      <c r="W78" s="9">
        <f t="shared" si="6"/>
        <v>0</v>
      </c>
      <c r="X78" s="9">
        <f t="shared" si="7"/>
        <v>8</v>
      </c>
      <c r="Y78" s="9" t="str">
        <f t="shared" si="8"/>
        <v/>
      </c>
      <c r="Z78" s="7"/>
    </row>
    <row r="79" spans="1:26" s="1" customFormat="1" ht="18" customHeight="1" x14ac:dyDescent="0.45">
      <c r="A79" s="5"/>
      <c r="B79" s="5"/>
      <c r="C79" s="5"/>
      <c r="D79" s="9" t="str">
        <f>IF(C79="","",VLOOKUP(C79,'Student Roster'!A:C,2,FALSE))</f>
        <v/>
      </c>
      <c r="E79" s="9" t="str">
        <f>IF(C79="","",VLOOKUP(C79,'Student Roster'!A:C,3,FALSE))</f>
        <v/>
      </c>
      <c r="F79" s="10" t="str">
        <f>IF(B79="","",VLOOKUP(B79,'ISS Placements'!A:N,14,FALSE))</f>
        <v/>
      </c>
      <c r="G79" s="5"/>
      <c r="H79" s="5"/>
      <c r="I79" s="5"/>
      <c r="J79" s="5"/>
      <c r="K79" s="5"/>
      <c r="L79" s="5"/>
      <c r="M79" s="5"/>
      <c r="N79" s="5"/>
      <c r="O79" s="5"/>
      <c r="P79" s="5"/>
      <c r="Q79" s="5"/>
      <c r="R79" s="5"/>
      <c r="S79" s="5"/>
      <c r="T79" s="5"/>
      <c r="U79" s="5"/>
      <c r="V79" s="5"/>
      <c r="W79" s="9">
        <f t="shared" si="6"/>
        <v>0</v>
      </c>
      <c r="X79" s="9">
        <f t="shared" si="7"/>
        <v>8</v>
      </c>
      <c r="Y79" s="9" t="str">
        <f t="shared" si="8"/>
        <v/>
      </c>
      <c r="Z79" s="5"/>
    </row>
    <row r="80" spans="1:26" s="1" customFormat="1" ht="18" customHeight="1" x14ac:dyDescent="0.45">
      <c r="A80" s="7"/>
      <c r="B80" s="7"/>
      <c r="C80" s="7"/>
      <c r="D80" s="9" t="str">
        <f>IF(C80="","",VLOOKUP(C80,'Student Roster'!A:C,2,FALSE))</f>
        <v/>
      </c>
      <c r="E80" s="9" t="str">
        <f>IF(C80="","",VLOOKUP(C80,'Student Roster'!A:C,3,FALSE))</f>
        <v/>
      </c>
      <c r="F80" s="10" t="str">
        <f>IF(B80="","",VLOOKUP(B80,'ISS Placements'!A:N,14,FALSE))</f>
        <v/>
      </c>
      <c r="G80" s="7"/>
      <c r="H80" s="7"/>
      <c r="I80" s="7"/>
      <c r="J80" s="7"/>
      <c r="K80" s="7"/>
      <c r="L80" s="7"/>
      <c r="M80" s="7"/>
      <c r="N80" s="7"/>
      <c r="O80" s="7"/>
      <c r="P80" s="7"/>
      <c r="Q80" s="7"/>
      <c r="R80" s="7"/>
      <c r="S80" s="7"/>
      <c r="T80" s="7"/>
      <c r="U80" s="7"/>
      <c r="V80" s="7"/>
      <c r="W80" s="9">
        <f t="shared" si="6"/>
        <v>0</v>
      </c>
      <c r="X80" s="9">
        <f t="shared" si="7"/>
        <v>8</v>
      </c>
      <c r="Y80" s="9" t="str">
        <f t="shared" si="8"/>
        <v/>
      </c>
      <c r="Z80" s="7"/>
    </row>
    <row r="81" spans="1:26" s="1" customFormat="1" ht="18" customHeight="1" x14ac:dyDescent="0.45">
      <c r="A81" s="5"/>
      <c r="B81" s="5"/>
      <c r="C81" s="5"/>
      <c r="D81" s="9" t="str">
        <f>IF(C81="","",VLOOKUP(C81,'Student Roster'!A:C,2,FALSE))</f>
        <v/>
      </c>
      <c r="E81" s="9" t="str">
        <f>IF(C81="","",VLOOKUP(C81,'Student Roster'!A:C,3,FALSE))</f>
        <v/>
      </c>
      <c r="F81" s="10" t="str">
        <f>IF(B81="","",VLOOKUP(B81,'ISS Placements'!A:N,14,FALSE))</f>
        <v/>
      </c>
      <c r="G81" s="5"/>
      <c r="H81" s="5"/>
      <c r="I81" s="5"/>
      <c r="J81" s="5"/>
      <c r="K81" s="5"/>
      <c r="L81" s="5"/>
      <c r="M81" s="5"/>
      <c r="N81" s="5"/>
      <c r="O81" s="5"/>
      <c r="P81" s="5"/>
      <c r="Q81" s="5"/>
      <c r="R81" s="5"/>
      <c r="S81" s="5"/>
      <c r="T81" s="5"/>
      <c r="U81" s="5"/>
      <c r="V81" s="5"/>
      <c r="W81" s="9">
        <f t="shared" si="6"/>
        <v>0</v>
      </c>
      <c r="X81" s="9">
        <f t="shared" si="7"/>
        <v>8</v>
      </c>
      <c r="Y81" s="9" t="str">
        <f t="shared" si="8"/>
        <v/>
      </c>
      <c r="Z81" s="5"/>
    </row>
    <row r="82" spans="1:26" s="1" customFormat="1" ht="18" customHeight="1" x14ac:dyDescent="0.45">
      <c r="A82" s="7"/>
      <c r="B82" s="7"/>
      <c r="C82" s="7"/>
      <c r="D82" s="9" t="str">
        <f>IF(C82="","",VLOOKUP(C82,'Student Roster'!A:C,2,FALSE))</f>
        <v/>
      </c>
      <c r="E82" s="9" t="str">
        <f>IF(C82="","",VLOOKUP(C82,'Student Roster'!A:C,3,FALSE))</f>
        <v/>
      </c>
      <c r="F82" s="10" t="str">
        <f>IF(B82="","",VLOOKUP(B82,'ISS Placements'!A:N,14,FALSE))</f>
        <v/>
      </c>
      <c r="G82" s="7"/>
      <c r="H82" s="7"/>
      <c r="I82" s="7"/>
      <c r="J82" s="7"/>
      <c r="K82" s="7"/>
      <c r="L82" s="7"/>
      <c r="M82" s="7"/>
      <c r="N82" s="7"/>
      <c r="O82" s="7"/>
      <c r="P82" s="7"/>
      <c r="Q82" s="7"/>
      <c r="R82" s="7"/>
      <c r="S82" s="7"/>
      <c r="T82" s="7"/>
      <c r="U82" s="7"/>
      <c r="V82" s="7"/>
      <c r="W82" s="9">
        <f t="shared" si="6"/>
        <v>0</v>
      </c>
      <c r="X82" s="9">
        <f t="shared" si="7"/>
        <v>8</v>
      </c>
      <c r="Y82" s="9" t="str">
        <f t="shared" si="8"/>
        <v/>
      </c>
      <c r="Z82" s="7"/>
    </row>
    <row r="83" spans="1:26" s="1" customFormat="1" ht="18" customHeight="1" x14ac:dyDescent="0.45">
      <c r="A83" s="5"/>
      <c r="B83" s="5"/>
      <c r="C83" s="5"/>
      <c r="D83" s="9" t="str">
        <f>IF(C83="","",VLOOKUP(C83,'Student Roster'!A:C,2,FALSE))</f>
        <v/>
      </c>
      <c r="E83" s="9" t="str">
        <f>IF(C83="","",VLOOKUP(C83,'Student Roster'!A:C,3,FALSE))</f>
        <v/>
      </c>
      <c r="F83" s="10" t="str">
        <f>IF(B83="","",VLOOKUP(B83,'ISS Placements'!A:N,14,FALSE))</f>
        <v/>
      </c>
      <c r="G83" s="5"/>
      <c r="H83" s="5"/>
      <c r="I83" s="5"/>
      <c r="J83" s="5"/>
      <c r="K83" s="5"/>
      <c r="L83" s="5"/>
      <c r="M83" s="5"/>
      <c r="N83" s="5"/>
      <c r="O83" s="5"/>
      <c r="P83" s="5"/>
      <c r="Q83" s="5"/>
      <c r="R83" s="5"/>
      <c r="S83" s="5"/>
      <c r="T83" s="5"/>
      <c r="U83" s="5"/>
      <c r="V83" s="5"/>
      <c r="W83" s="9">
        <f t="shared" si="6"/>
        <v>0</v>
      </c>
      <c r="X83" s="9">
        <f t="shared" si="7"/>
        <v>8</v>
      </c>
      <c r="Y83" s="9" t="str">
        <f t="shared" si="8"/>
        <v/>
      </c>
      <c r="Z83" s="5"/>
    </row>
    <row r="84" spans="1:26" s="1" customFormat="1" ht="18" customHeight="1" x14ac:dyDescent="0.45">
      <c r="A84" s="7"/>
      <c r="B84" s="7"/>
      <c r="C84" s="7"/>
      <c r="D84" s="9" t="str">
        <f>IF(C84="","",VLOOKUP(C84,'Student Roster'!A:C,2,FALSE))</f>
        <v/>
      </c>
      <c r="E84" s="9" t="str">
        <f>IF(C84="","",VLOOKUP(C84,'Student Roster'!A:C,3,FALSE))</f>
        <v/>
      </c>
      <c r="F84" s="10" t="str">
        <f>IF(B84="","",VLOOKUP(B84,'ISS Placements'!A:N,14,FALSE))</f>
        <v/>
      </c>
      <c r="G84" s="7"/>
      <c r="H84" s="7"/>
      <c r="I84" s="7"/>
      <c r="J84" s="7"/>
      <c r="K84" s="7"/>
      <c r="L84" s="7"/>
      <c r="M84" s="7"/>
      <c r="N84" s="7"/>
      <c r="O84" s="7"/>
      <c r="P84" s="7"/>
      <c r="Q84" s="7"/>
      <c r="R84" s="7"/>
      <c r="S84" s="7"/>
      <c r="T84" s="7"/>
      <c r="U84" s="7"/>
      <c r="V84" s="7"/>
      <c r="W84" s="9">
        <f t="shared" si="6"/>
        <v>0</v>
      </c>
      <c r="X84" s="9">
        <f t="shared" si="7"/>
        <v>8</v>
      </c>
      <c r="Y84" s="9" t="str">
        <f t="shared" si="8"/>
        <v/>
      </c>
      <c r="Z84" s="7"/>
    </row>
    <row r="85" spans="1:26" s="1" customFormat="1" ht="18" customHeight="1" x14ac:dyDescent="0.45">
      <c r="A85" s="5"/>
      <c r="B85" s="5"/>
      <c r="C85" s="5"/>
      <c r="D85" s="9" t="str">
        <f>IF(C85="","",VLOOKUP(C85,'Student Roster'!A:C,2,FALSE))</f>
        <v/>
      </c>
      <c r="E85" s="9" t="str">
        <f>IF(C85="","",VLOOKUP(C85,'Student Roster'!A:C,3,FALSE))</f>
        <v/>
      </c>
      <c r="F85" s="10" t="str">
        <f>IF(B85="","",VLOOKUP(B85,'ISS Placements'!A:N,14,FALSE))</f>
        <v/>
      </c>
      <c r="G85" s="5"/>
      <c r="H85" s="5"/>
      <c r="I85" s="5"/>
      <c r="J85" s="5"/>
      <c r="K85" s="5"/>
      <c r="L85" s="5"/>
      <c r="M85" s="5"/>
      <c r="N85" s="5"/>
      <c r="O85" s="5"/>
      <c r="P85" s="5"/>
      <c r="Q85" s="5"/>
      <c r="R85" s="5"/>
      <c r="S85" s="5"/>
      <c r="T85" s="5"/>
      <c r="U85" s="5"/>
      <c r="V85" s="5"/>
      <c r="W85" s="9">
        <f t="shared" si="6"/>
        <v>0</v>
      </c>
      <c r="X85" s="9">
        <f t="shared" si="7"/>
        <v>8</v>
      </c>
      <c r="Y85" s="9" t="str">
        <f t="shared" si="8"/>
        <v/>
      </c>
      <c r="Z85" s="5"/>
    </row>
    <row r="86" spans="1:26" s="1" customFormat="1" ht="18" customHeight="1" x14ac:dyDescent="0.45">
      <c r="A86" s="7"/>
      <c r="B86" s="7"/>
      <c r="C86" s="7"/>
      <c r="D86" s="9" t="str">
        <f>IF(C86="","",VLOOKUP(C86,'Student Roster'!A:C,2,FALSE))</f>
        <v/>
      </c>
      <c r="E86" s="9" t="str">
        <f>IF(C86="","",VLOOKUP(C86,'Student Roster'!A:C,3,FALSE))</f>
        <v/>
      </c>
      <c r="F86" s="10" t="str">
        <f>IF(B86="","",VLOOKUP(B86,'ISS Placements'!A:N,14,FALSE))</f>
        <v/>
      </c>
      <c r="G86" s="7"/>
      <c r="H86" s="7"/>
      <c r="I86" s="7"/>
      <c r="J86" s="7"/>
      <c r="K86" s="7"/>
      <c r="L86" s="7"/>
      <c r="M86" s="7"/>
      <c r="N86" s="7"/>
      <c r="O86" s="7"/>
      <c r="P86" s="7"/>
      <c r="Q86" s="7"/>
      <c r="R86" s="7"/>
      <c r="S86" s="7"/>
      <c r="T86" s="7"/>
      <c r="U86" s="7"/>
      <c r="V86" s="7"/>
      <c r="W86" s="9">
        <f t="shared" si="6"/>
        <v>0</v>
      </c>
      <c r="X86" s="9">
        <f t="shared" si="7"/>
        <v>8</v>
      </c>
      <c r="Y86" s="9" t="str">
        <f t="shared" si="8"/>
        <v/>
      </c>
      <c r="Z86" s="7"/>
    </row>
    <row r="87" spans="1:26" s="1" customFormat="1" ht="18" customHeight="1" x14ac:dyDescent="0.45">
      <c r="A87" s="5"/>
      <c r="B87" s="5"/>
      <c r="C87" s="5"/>
      <c r="D87" s="9" t="str">
        <f>IF(C87="","",VLOOKUP(C87,'Student Roster'!A:C,2,FALSE))</f>
        <v/>
      </c>
      <c r="E87" s="9" t="str">
        <f>IF(C87="","",VLOOKUP(C87,'Student Roster'!A:C,3,FALSE))</f>
        <v/>
      </c>
      <c r="F87" s="10" t="str">
        <f>IF(B87="","",VLOOKUP(B87,'ISS Placements'!A:N,14,FALSE))</f>
        <v/>
      </c>
      <c r="G87" s="5"/>
      <c r="H87" s="5"/>
      <c r="I87" s="5"/>
      <c r="J87" s="5"/>
      <c r="K87" s="5"/>
      <c r="L87" s="5"/>
      <c r="M87" s="5"/>
      <c r="N87" s="5"/>
      <c r="O87" s="5"/>
      <c r="P87" s="5"/>
      <c r="Q87" s="5"/>
      <c r="R87" s="5"/>
      <c r="S87" s="5"/>
      <c r="T87" s="5"/>
      <c r="U87" s="5"/>
      <c r="V87" s="5"/>
      <c r="W87" s="9">
        <f t="shared" si="6"/>
        <v>0</v>
      </c>
      <c r="X87" s="9">
        <f t="shared" si="7"/>
        <v>8</v>
      </c>
      <c r="Y87" s="9" t="str">
        <f t="shared" si="8"/>
        <v/>
      </c>
      <c r="Z87" s="5"/>
    </row>
    <row r="88" spans="1:26" s="1" customFormat="1" ht="18" customHeight="1" x14ac:dyDescent="0.45">
      <c r="A88" s="7"/>
      <c r="B88" s="7"/>
      <c r="C88" s="7"/>
      <c r="D88" s="9" t="str">
        <f>IF(C88="","",VLOOKUP(C88,'Student Roster'!A:C,2,FALSE))</f>
        <v/>
      </c>
      <c r="E88" s="9" t="str">
        <f>IF(C88="","",VLOOKUP(C88,'Student Roster'!A:C,3,FALSE))</f>
        <v/>
      </c>
      <c r="F88" s="10" t="str">
        <f>IF(B88="","",VLOOKUP(B88,'ISS Placements'!A:N,14,FALSE))</f>
        <v/>
      </c>
      <c r="G88" s="7"/>
      <c r="H88" s="7"/>
      <c r="I88" s="7"/>
      <c r="J88" s="7"/>
      <c r="K88" s="7"/>
      <c r="L88" s="7"/>
      <c r="M88" s="7"/>
      <c r="N88" s="7"/>
      <c r="O88" s="7"/>
      <c r="P88" s="7"/>
      <c r="Q88" s="7"/>
      <c r="R88" s="7"/>
      <c r="S88" s="7"/>
      <c r="T88" s="7"/>
      <c r="U88" s="7"/>
      <c r="V88" s="7"/>
      <c r="W88" s="9">
        <f t="shared" si="6"/>
        <v>0</v>
      </c>
      <c r="X88" s="9">
        <f t="shared" si="7"/>
        <v>8</v>
      </c>
      <c r="Y88" s="9" t="str">
        <f t="shared" si="8"/>
        <v/>
      </c>
      <c r="Z88" s="7"/>
    </row>
    <row r="89" spans="1:26" s="1" customFormat="1" ht="18" customHeight="1" x14ac:dyDescent="0.45">
      <c r="A89" s="5"/>
      <c r="B89" s="5"/>
      <c r="C89" s="5"/>
      <c r="D89" s="9" t="str">
        <f>IF(C89="","",VLOOKUP(C89,'Student Roster'!A:C,2,FALSE))</f>
        <v/>
      </c>
      <c r="E89" s="9" t="str">
        <f>IF(C89="","",VLOOKUP(C89,'Student Roster'!A:C,3,FALSE))</f>
        <v/>
      </c>
      <c r="F89" s="10" t="str">
        <f>IF(B89="","",VLOOKUP(B89,'ISS Placements'!A:N,14,FALSE))</f>
        <v/>
      </c>
      <c r="G89" s="5"/>
      <c r="H89" s="5"/>
      <c r="I89" s="5"/>
      <c r="J89" s="5"/>
      <c r="K89" s="5"/>
      <c r="L89" s="5"/>
      <c r="M89" s="5"/>
      <c r="N89" s="5"/>
      <c r="O89" s="5"/>
      <c r="P89" s="5"/>
      <c r="Q89" s="5"/>
      <c r="R89" s="5"/>
      <c r="S89" s="5"/>
      <c r="T89" s="5"/>
      <c r="U89" s="5"/>
      <c r="V89" s="5"/>
      <c r="W89" s="9">
        <f t="shared" si="6"/>
        <v>0</v>
      </c>
      <c r="X89" s="9">
        <f t="shared" si="7"/>
        <v>8</v>
      </c>
      <c r="Y89" s="9" t="str">
        <f t="shared" si="8"/>
        <v/>
      </c>
      <c r="Z89" s="5"/>
    </row>
    <row r="90" spans="1:26" s="1" customFormat="1" ht="18" customHeight="1" x14ac:dyDescent="0.45">
      <c r="A90" s="7"/>
      <c r="B90" s="7"/>
      <c r="C90" s="7"/>
      <c r="D90" s="9" t="str">
        <f>IF(C90="","",VLOOKUP(C90,'Student Roster'!A:C,2,FALSE))</f>
        <v/>
      </c>
      <c r="E90" s="9" t="str">
        <f>IF(C90="","",VLOOKUP(C90,'Student Roster'!A:C,3,FALSE))</f>
        <v/>
      </c>
      <c r="F90" s="10" t="str">
        <f>IF(B90="","",VLOOKUP(B90,'ISS Placements'!A:N,14,FALSE))</f>
        <v/>
      </c>
      <c r="G90" s="7"/>
      <c r="H90" s="7"/>
      <c r="I90" s="7"/>
      <c r="J90" s="7"/>
      <c r="K90" s="7"/>
      <c r="L90" s="7"/>
      <c r="M90" s="7"/>
      <c r="N90" s="7"/>
      <c r="O90" s="7"/>
      <c r="P90" s="7"/>
      <c r="Q90" s="7"/>
      <c r="R90" s="7"/>
      <c r="S90" s="7"/>
      <c r="T90" s="7"/>
      <c r="U90" s="7"/>
      <c r="V90" s="7"/>
      <c r="W90" s="9">
        <f t="shared" si="6"/>
        <v>0</v>
      </c>
      <c r="X90" s="9">
        <f t="shared" si="7"/>
        <v>8</v>
      </c>
      <c r="Y90" s="9" t="str">
        <f t="shared" si="8"/>
        <v/>
      </c>
      <c r="Z90" s="7"/>
    </row>
    <row r="91" spans="1:26" s="1" customFormat="1" ht="18" customHeight="1" x14ac:dyDescent="0.45">
      <c r="A91" s="5"/>
      <c r="B91" s="5"/>
      <c r="C91" s="5"/>
      <c r="D91" s="9" t="str">
        <f>IF(C91="","",VLOOKUP(C91,'Student Roster'!A:C,2,FALSE))</f>
        <v/>
      </c>
      <c r="E91" s="9" t="str">
        <f>IF(C91="","",VLOOKUP(C91,'Student Roster'!A:C,3,FALSE))</f>
        <v/>
      </c>
      <c r="F91" s="10" t="str">
        <f>IF(B91="","",VLOOKUP(B91,'ISS Placements'!A:N,14,FALSE))</f>
        <v/>
      </c>
      <c r="G91" s="5"/>
      <c r="H91" s="5"/>
      <c r="I91" s="5"/>
      <c r="J91" s="5"/>
      <c r="K91" s="5"/>
      <c r="L91" s="5"/>
      <c r="M91" s="5"/>
      <c r="N91" s="5"/>
      <c r="O91" s="5"/>
      <c r="P91" s="5"/>
      <c r="Q91" s="5"/>
      <c r="R91" s="5"/>
      <c r="S91" s="5"/>
      <c r="T91" s="5"/>
      <c r="U91" s="5"/>
      <c r="V91" s="5"/>
      <c r="W91" s="9">
        <f t="shared" si="6"/>
        <v>0</v>
      </c>
      <c r="X91" s="9">
        <f t="shared" si="7"/>
        <v>8</v>
      </c>
      <c r="Y91" s="9" t="str">
        <f t="shared" si="8"/>
        <v/>
      </c>
      <c r="Z91" s="5"/>
    </row>
    <row r="92" spans="1:26" s="1" customFormat="1" ht="18" customHeight="1" x14ac:dyDescent="0.45">
      <c r="A92" s="7"/>
      <c r="B92" s="7"/>
      <c r="C92" s="7"/>
      <c r="D92" s="9" t="str">
        <f>IF(C92="","",VLOOKUP(C92,'Student Roster'!A:C,2,FALSE))</f>
        <v/>
      </c>
      <c r="E92" s="9" t="str">
        <f>IF(C92="","",VLOOKUP(C92,'Student Roster'!A:C,3,FALSE))</f>
        <v/>
      </c>
      <c r="F92" s="10" t="str">
        <f>IF(B92="","",VLOOKUP(B92,'ISS Placements'!A:N,14,FALSE))</f>
        <v/>
      </c>
      <c r="G92" s="7"/>
      <c r="H92" s="7"/>
      <c r="I92" s="7"/>
      <c r="J92" s="7"/>
      <c r="K92" s="7"/>
      <c r="L92" s="7"/>
      <c r="M92" s="7"/>
      <c r="N92" s="7"/>
      <c r="O92" s="7"/>
      <c r="P92" s="7"/>
      <c r="Q92" s="7"/>
      <c r="R92" s="7"/>
      <c r="S92" s="7"/>
      <c r="T92" s="7"/>
      <c r="U92" s="7"/>
      <c r="V92" s="7"/>
      <c r="W92" s="9">
        <f t="shared" si="6"/>
        <v>0</v>
      </c>
      <c r="X92" s="9">
        <f t="shared" si="7"/>
        <v>8</v>
      </c>
      <c r="Y92" s="9" t="str">
        <f t="shared" si="8"/>
        <v/>
      </c>
      <c r="Z92" s="7"/>
    </row>
    <row r="93" spans="1:26" s="1" customFormat="1" ht="18" customHeight="1" x14ac:dyDescent="0.45">
      <c r="A93" s="5"/>
      <c r="B93" s="5"/>
      <c r="C93" s="5"/>
      <c r="D93" s="9" t="str">
        <f>IF(C93="","",VLOOKUP(C93,'Student Roster'!A:C,2,FALSE))</f>
        <v/>
      </c>
      <c r="E93" s="9" t="str">
        <f>IF(C93="","",VLOOKUP(C93,'Student Roster'!A:C,3,FALSE))</f>
        <v/>
      </c>
      <c r="F93" s="10" t="str">
        <f>IF(B93="","",VLOOKUP(B93,'ISS Placements'!A:N,14,FALSE))</f>
        <v/>
      </c>
      <c r="G93" s="5"/>
      <c r="H93" s="5"/>
      <c r="I93" s="5"/>
      <c r="J93" s="5"/>
      <c r="K93" s="5"/>
      <c r="L93" s="5"/>
      <c r="M93" s="5"/>
      <c r="N93" s="5"/>
      <c r="O93" s="5"/>
      <c r="P93" s="5"/>
      <c r="Q93" s="5"/>
      <c r="R93" s="5"/>
      <c r="S93" s="5"/>
      <c r="T93" s="5"/>
      <c r="U93" s="5"/>
      <c r="V93" s="5"/>
      <c r="W93" s="9">
        <f t="shared" si="6"/>
        <v>0</v>
      </c>
      <c r="X93" s="9">
        <f t="shared" si="7"/>
        <v>8</v>
      </c>
      <c r="Y93" s="9" t="str">
        <f t="shared" si="8"/>
        <v/>
      </c>
      <c r="Z93" s="5"/>
    </row>
    <row r="94" spans="1:26" s="1" customFormat="1" ht="18" customHeight="1" x14ac:dyDescent="0.45">
      <c r="A94" s="7"/>
      <c r="B94" s="7"/>
      <c r="C94" s="7"/>
      <c r="D94" s="9" t="str">
        <f>IF(C94="","",VLOOKUP(C94,'Student Roster'!A:C,2,FALSE))</f>
        <v/>
      </c>
      <c r="E94" s="9" t="str">
        <f>IF(C94="","",VLOOKUP(C94,'Student Roster'!A:C,3,FALSE))</f>
        <v/>
      </c>
      <c r="F94" s="10" t="str">
        <f>IF(B94="","",VLOOKUP(B94,'ISS Placements'!A:N,14,FALSE))</f>
        <v/>
      </c>
      <c r="G94" s="7"/>
      <c r="H94" s="7"/>
      <c r="I94" s="7"/>
      <c r="J94" s="7"/>
      <c r="K94" s="7"/>
      <c r="L94" s="7"/>
      <c r="M94" s="7"/>
      <c r="N94" s="7"/>
      <c r="O94" s="7"/>
      <c r="P94" s="7"/>
      <c r="Q94" s="7"/>
      <c r="R94" s="7"/>
      <c r="S94" s="7"/>
      <c r="T94" s="7"/>
      <c r="U94" s="7"/>
      <c r="V94" s="7"/>
      <c r="W94" s="9">
        <f t="shared" si="6"/>
        <v>0</v>
      </c>
      <c r="X94" s="9">
        <f t="shared" si="7"/>
        <v>8</v>
      </c>
      <c r="Y94" s="9" t="str">
        <f t="shared" si="8"/>
        <v/>
      </c>
      <c r="Z94" s="7"/>
    </row>
    <row r="95" spans="1:26" s="1" customFormat="1" ht="18" customHeight="1" x14ac:dyDescent="0.45">
      <c r="A95" s="5"/>
      <c r="B95" s="5"/>
      <c r="C95" s="5"/>
      <c r="D95" s="9" t="str">
        <f>IF(C95="","",VLOOKUP(C95,'Student Roster'!A:C,2,FALSE))</f>
        <v/>
      </c>
      <c r="E95" s="9" t="str">
        <f>IF(C95="","",VLOOKUP(C95,'Student Roster'!A:C,3,FALSE))</f>
        <v/>
      </c>
      <c r="F95" s="10" t="str">
        <f>IF(B95="","",VLOOKUP(B95,'ISS Placements'!A:N,14,FALSE))</f>
        <v/>
      </c>
      <c r="G95" s="5"/>
      <c r="H95" s="5"/>
      <c r="I95" s="5"/>
      <c r="J95" s="5"/>
      <c r="K95" s="5"/>
      <c r="L95" s="5"/>
      <c r="M95" s="5"/>
      <c r="N95" s="5"/>
      <c r="O95" s="5"/>
      <c r="P95" s="5"/>
      <c r="Q95" s="5"/>
      <c r="R95" s="5"/>
      <c r="S95" s="5"/>
      <c r="T95" s="5"/>
      <c r="U95" s="5"/>
      <c r="V95" s="5"/>
      <c r="W95" s="9">
        <f t="shared" si="6"/>
        <v>0</v>
      </c>
      <c r="X95" s="9">
        <f t="shared" si="7"/>
        <v>8</v>
      </c>
      <c r="Y95" s="9" t="str">
        <f t="shared" si="8"/>
        <v/>
      </c>
      <c r="Z95" s="5"/>
    </row>
    <row r="96" spans="1:26" s="1" customFormat="1" ht="18" customHeight="1" x14ac:dyDescent="0.45">
      <c r="A96" s="7"/>
      <c r="B96" s="7"/>
      <c r="C96" s="7"/>
      <c r="D96" s="9" t="str">
        <f>IF(C96="","",VLOOKUP(C96,'Student Roster'!A:C,2,FALSE))</f>
        <v/>
      </c>
      <c r="E96" s="9" t="str">
        <f>IF(C96="","",VLOOKUP(C96,'Student Roster'!A:C,3,FALSE))</f>
        <v/>
      </c>
      <c r="F96" s="10" t="str">
        <f>IF(B96="","",VLOOKUP(B96,'ISS Placements'!A:N,14,FALSE))</f>
        <v/>
      </c>
      <c r="G96" s="7"/>
      <c r="H96" s="7"/>
      <c r="I96" s="7"/>
      <c r="J96" s="7"/>
      <c r="K96" s="7"/>
      <c r="L96" s="7"/>
      <c r="M96" s="7"/>
      <c r="N96" s="7"/>
      <c r="O96" s="7"/>
      <c r="P96" s="7"/>
      <c r="Q96" s="7"/>
      <c r="R96" s="7"/>
      <c r="S96" s="7"/>
      <c r="T96" s="7"/>
      <c r="U96" s="7"/>
      <c r="V96" s="7"/>
      <c r="W96" s="9">
        <f t="shared" si="6"/>
        <v>0</v>
      </c>
      <c r="X96" s="9">
        <f t="shared" si="7"/>
        <v>8</v>
      </c>
      <c r="Y96" s="9" t="str">
        <f t="shared" si="8"/>
        <v/>
      </c>
      <c r="Z96" s="7"/>
    </row>
    <row r="97" spans="1:26" s="1" customFormat="1" ht="18" customHeight="1" x14ac:dyDescent="0.45">
      <c r="A97" s="5"/>
      <c r="B97" s="5"/>
      <c r="C97" s="5"/>
      <c r="D97" s="9" t="str">
        <f>IF(C97="","",VLOOKUP(C97,'Student Roster'!A:C,2,FALSE))</f>
        <v/>
      </c>
      <c r="E97" s="9" t="str">
        <f>IF(C97="","",VLOOKUP(C97,'Student Roster'!A:C,3,FALSE))</f>
        <v/>
      </c>
      <c r="F97" s="10" t="str">
        <f>IF(B97="","",VLOOKUP(B97,'ISS Placements'!A:N,14,FALSE))</f>
        <v/>
      </c>
      <c r="G97" s="5"/>
      <c r="H97" s="5"/>
      <c r="I97" s="5"/>
      <c r="J97" s="5"/>
      <c r="K97" s="5"/>
      <c r="L97" s="5"/>
      <c r="M97" s="5"/>
      <c r="N97" s="5"/>
      <c r="O97" s="5"/>
      <c r="P97" s="5"/>
      <c r="Q97" s="5"/>
      <c r="R97" s="5"/>
      <c r="S97" s="5"/>
      <c r="T97" s="5"/>
      <c r="U97" s="5"/>
      <c r="V97" s="5"/>
      <c r="W97" s="9">
        <f t="shared" si="6"/>
        <v>0</v>
      </c>
      <c r="X97" s="9">
        <f t="shared" si="7"/>
        <v>8</v>
      </c>
      <c r="Y97" s="9" t="str">
        <f t="shared" si="8"/>
        <v/>
      </c>
      <c r="Z97" s="5"/>
    </row>
    <row r="98" spans="1:26" s="1" customFormat="1" ht="18" customHeight="1" x14ac:dyDescent="0.45">
      <c r="A98" s="7"/>
      <c r="B98" s="7"/>
      <c r="C98" s="7"/>
      <c r="D98" s="9" t="str">
        <f>IF(C98="","",VLOOKUP(C98,'Student Roster'!A:C,2,FALSE))</f>
        <v/>
      </c>
      <c r="E98" s="9" t="str">
        <f>IF(C98="","",VLOOKUP(C98,'Student Roster'!A:C,3,FALSE))</f>
        <v/>
      </c>
      <c r="F98" s="10" t="str">
        <f>IF(B98="","",VLOOKUP(B98,'ISS Placements'!A:N,14,FALSE))</f>
        <v/>
      </c>
      <c r="G98" s="7"/>
      <c r="H98" s="7"/>
      <c r="I98" s="7"/>
      <c r="J98" s="7"/>
      <c r="K98" s="7"/>
      <c r="L98" s="7"/>
      <c r="M98" s="7"/>
      <c r="N98" s="7"/>
      <c r="O98" s="7"/>
      <c r="P98" s="7"/>
      <c r="Q98" s="7"/>
      <c r="R98" s="7"/>
      <c r="S98" s="7"/>
      <c r="T98" s="7"/>
      <c r="U98" s="7"/>
      <c r="V98" s="7"/>
      <c r="W98" s="9">
        <f t="shared" si="6"/>
        <v>0</v>
      </c>
      <c r="X98" s="9">
        <f t="shared" si="7"/>
        <v>8</v>
      </c>
      <c r="Y98" s="9" t="str">
        <f t="shared" si="8"/>
        <v/>
      </c>
      <c r="Z98" s="7"/>
    </row>
    <row r="99" spans="1:26" s="1" customFormat="1" ht="18" customHeight="1" x14ac:dyDescent="0.45">
      <c r="A99" s="5"/>
      <c r="B99" s="5"/>
      <c r="C99" s="5"/>
      <c r="D99" s="9" t="str">
        <f>IF(C99="","",VLOOKUP(C99,'Student Roster'!A:C,2,FALSE))</f>
        <v/>
      </c>
      <c r="E99" s="9" t="str">
        <f>IF(C99="","",VLOOKUP(C99,'Student Roster'!A:C,3,FALSE))</f>
        <v/>
      </c>
      <c r="F99" s="10" t="str">
        <f>IF(B99="","",VLOOKUP(B99,'ISS Placements'!A:N,14,FALSE))</f>
        <v/>
      </c>
      <c r="G99" s="5"/>
      <c r="H99" s="5"/>
      <c r="I99" s="5"/>
      <c r="J99" s="5"/>
      <c r="K99" s="5"/>
      <c r="L99" s="5"/>
      <c r="M99" s="5"/>
      <c r="N99" s="5"/>
      <c r="O99" s="5"/>
      <c r="P99" s="5"/>
      <c r="Q99" s="5"/>
      <c r="R99" s="5"/>
      <c r="S99" s="5"/>
      <c r="T99" s="5"/>
      <c r="U99" s="5"/>
      <c r="V99" s="5"/>
      <c r="W99" s="9">
        <f t="shared" si="6"/>
        <v>0</v>
      </c>
      <c r="X99" s="9">
        <f t="shared" si="7"/>
        <v>8</v>
      </c>
      <c r="Y99" s="9" t="str">
        <f t="shared" si="8"/>
        <v/>
      </c>
      <c r="Z99" s="5"/>
    </row>
    <row r="100" spans="1:26" s="1" customFormat="1" ht="18" customHeight="1" x14ac:dyDescent="0.45">
      <c r="A100" s="7"/>
      <c r="B100" s="7"/>
      <c r="C100" s="7"/>
      <c r="D100" s="9" t="str">
        <f>IF(C100="","",VLOOKUP(C100,'Student Roster'!A:C,2,FALSE))</f>
        <v/>
      </c>
      <c r="E100" s="9" t="str">
        <f>IF(C100="","",VLOOKUP(C100,'Student Roster'!A:C,3,FALSE))</f>
        <v/>
      </c>
      <c r="F100" s="10" t="str">
        <f>IF(B100="","",VLOOKUP(B100,'ISS Placements'!A:N,14,FALSE))</f>
        <v/>
      </c>
      <c r="G100" s="7"/>
      <c r="H100" s="7"/>
      <c r="I100" s="7"/>
      <c r="J100" s="7"/>
      <c r="K100" s="7"/>
      <c r="L100" s="7"/>
      <c r="M100" s="7"/>
      <c r="N100" s="7"/>
      <c r="O100" s="7"/>
      <c r="P100" s="7"/>
      <c r="Q100" s="7"/>
      <c r="R100" s="7"/>
      <c r="S100" s="7"/>
      <c r="T100" s="7"/>
      <c r="U100" s="7"/>
      <c r="V100" s="7"/>
      <c r="W100" s="9">
        <f t="shared" ref="W100:W131" si="9">COUNTIF(G100:V100,"Yes")</f>
        <v>0</v>
      </c>
      <c r="X100" s="9">
        <f t="shared" ref="X100:X131" si="10">8-W100</f>
        <v>8</v>
      </c>
      <c r="Y100" s="9" t="str">
        <f t="shared" ref="Y100:Y131" si="11">IF(C100="","",IF(W100&gt;=8,"✅ READY","❌ NOT READY"))</f>
        <v/>
      </c>
      <c r="Z100" s="7"/>
    </row>
    <row r="101" spans="1:26" s="1" customFormat="1" ht="18" customHeight="1" x14ac:dyDescent="0.45">
      <c r="A101" s="5"/>
      <c r="B101" s="5"/>
      <c r="C101" s="5"/>
      <c r="D101" s="9" t="str">
        <f>IF(C101="","",VLOOKUP(C101,'Student Roster'!A:C,2,FALSE))</f>
        <v/>
      </c>
      <c r="E101" s="9" t="str">
        <f>IF(C101="","",VLOOKUP(C101,'Student Roster'!A:C,3,FALSE))</f>
        <v/>
      </c>
      <c r="F101" s="10" t="str">
        <f>IF(B101="","",VLOOKUP(B101,'ISS Placements'!A:N,14,FALSE))</f>
        <v/>
      </c>
      <c r="G101" s="5"/>
      <c r="H101" s="5"/>
      <c r="I101" s="5"/>
      <c r="J101" s="5"/>
      <c r="K101" s="5"/>
      <c r="L101" s="5"/>
      <c r="M101" s="5"/>
      <c r="N101" s="5"/>
      <c r="O101" s="5"/>
      <c r="P101" s="5"/>
      <c r="Q101" s="5"/>
      <c r="R101" s="5"/>
      <c r="S101" s="5"/>
      <c r="T101" s="5"/>
      <c r="U101" s="5"/>
      <c r="V101" s="5"/>
      <c r="W101" s="9">
        <f t="shared" si="9"/>
        <v>0</v>
      </c>
      <c r="X101" s="9">
        <f t="shared" si="10"/>
        <v>8</v>
      </c>
      <c r="Y101" s="9" t="str">
        <f t="shared" si="11"/>
        <v/>
      </c>
      <c r="Z101" s="5"/>
    </row>
    <row r="102" spans="1:26" s="1" customFormat="1" ht="18" customHeight="1" x14ac:dyDescent="0.45">
      <c r="A102" s="7"/>
      <c r="B102" s="7"/>
      <c r="C102" s="7"/>
      <c r="D102" s="9" t="str">
        <f>IF(C102="","",VLOOKUP(C102,'Student Roster'!A:C,2,FALSE))</f>
        <v/>
      </c>
      <c r="E102" s="9" t="str">
        <f>IF(C102="","",VLOOKUP(C102,'Student Roster'!A:C,3,FALSE))</f>
        <v/>
      </c>
      <c r="F102" s="10" t="str">
        <f>IF(B102="","",VLOOKUP(B102,'ISS Placements'!A:N,14,FALSE))</f>
        <v/>
      </c>
      <c r="G102" s="7"/>
      <c r="H102" s="7"/>
      <c r="I102" s="7"/>
      <c r="J102" s="7"/>
      <c r="K102" s="7"/>
      <c r="L102" s="7"/>
      <c r="M102" s="7"/>
      <c r="N102" s="7"/>
      <c r="O102" s="7"/>
      <c r="P102" s="7"/>
      <c r="Q102" s="7"/>
      <c r="R102" s="7"/>
      <c r="S102" s="7"/>
      <c r="T102" s="7"/>
      <c r="U102" s="7"/>
      <c r="V102" s="7"/>
      <c r="W102" s="9">
        <f t="shared" si="9"/>
        <v>0</v>
      </c>
      <c r="X102" s="9">
        <f t="shared" si="10"/>
        <v>8</v>
      </c>
      <c r="Y102" s="9" t="str">
        <f t="shared" si="11"/>
        <v/>
      </c>
      <c r="Z102" s="7"/>
    </row>
    <row r="103" spans="1:26" s="1" customFormat="1" ht="18" customHeight="1" x14ac:dyDescent="0.45">
      <c r="A103" s="5"/>
      <c r="B103" s="5"/>
      <c r="C103" s="5"/>
      <c r="D103" s="9" t="str">
        <f>IF(C103="","",VLOOKUP(C103,'Student Roster'!A:C,2,FALSE))</f>
        <v/>
      </c>
      <c r="E103" s="9" t="str">
        <f>IF(C103="","",VLOOKUP(C103,'Student Roster'!A:C,3,FALSE))</f>
        <v/>
      </c>
      <c r="F103" s="10" t="str">
        <f>IF(B103="","",VLOOKUP(B103,'ISS Placements'!A:N,14,FALSE))</f>
        <v/>
      </c>
      <c r="G103" s="5"/>
      <c r="H103" s="5"/>
      <c r="I103" s="5"/>
      <c r="J103" s="5"/>
      <c r="K103" s="5"/>
      <c r="L103" s="5"/>
      <c r="M103" s="5"/>
      <c r="N103" s="5"/>
      <c r="O103" s="5"/>
      <c r="P103" s="5"/>
      <c r="Q103" s="5"/>
      <c r="R103" s="5"/>
      <c r="S103" s="5"/>
      <c r="T103" s="5"/>
      <c r="U103" s="5"/>
      <c r="V103" s="5"/>
      <c r="W103" s="9">
        <f t="shared" si="9"/>
        <v>0</v>
      </c>
      <c r="X103" s="9">
        <f t="shared" si="10"/>
        <v>8</v>
      </c>
      <c r="Y103" s="9" t="str">
        <f t="shared" si="11"/>
        <v/>
      </c>
      <c r="Z103" s="5"/>
    </row>
    <row r="104" spans="1:26" s="1" customFormat="1" ht="18" customHeight="1" x14ac:dyDescent="0.45">
      <c r="A104" s="7"/>
      <c r="B104" s="7"/>
      <c r="C104" s="7"/>
      <c r="D104" s="9" t="str">
        <f>IF(C104="","",VLOOKUP(C104,'Student Roster'!A:C,2,FALSE))</f>
        <v/>
      </c>
      <c r="E104" s="9" t="str">
        <f>IF(C104="","",VLOOKUP(C104,'Student Roster'!A:C,3,FALSE))</f>
        <v/>
      </c>
      <c r="F104" s="10" t="str">
        <f>IF(B104="","",VLOOKUP(B104,'ISS Placements'!A:N,14,FALSE))</f>
        <v/>
      </c>
      <c r="G104" s="7"/>
      <c r="H104" s="7"/>
      <c r="I104" s="7"/>
      <c r="J104" s="7"/>
      <c r="K104" s="7"/>
      <c r="L104" s="7"/>
      <c r="M104" s="7"/>
      <c r="N104" s="7"/>
      <c r="O104" s="7"/>
      <c r="P104" s="7"/>
      <c r="Q104" s="7"/>
      <c r="R104" s="7"/>
      <c r="S104" s="7"/>
      <c r="T104" s="7"/>
      <c r="U104" s="7"/>
      <c r="V104" s="7"/>
      <c r="W104" s="9">
        <f t="shared" si="9"/>
        <v>0</v>
      </c>
      <c r="X104" s="9">
        <f t="shared" si="10"/>
        <v>8</v>
      </c>
      <c r="Y104" s="9" t="str">
        <f t="shared" si="11"/>
        <v/>
      </c>
      <c r="Z104" s="7"/>
    </row>
    <row r="105" spans="1:26" s="1" customFormat="1" ht="18" customHeight="1" x14ac:dyDescent="0.45">
      <c r="A105" s="5"/>
      <c r="B105" s="5"/>
      <c r="C105" s="5"/>
      <c r="D105" s="9" t="str">
        <f>IF(C105="","",VLOOKUP(C105,'Student Roster'!A:C,2,FALSE))</f>
        <v/>
      </c>
      <c r="E105" s="9" t="str">
        <f>IF(C105="","",VLOOKUP(C105,'Student Roster'!A:C,3,FALSE))</f>
        <v/>
      </c>
      <c r="F105" s="10" t="str">
        <f>IF(B105="","",VLOOKUP(B105,'ISS Placements'!A:N,14,FALSE))</f>
        <v/>
      </c>
      <c r="G105" s="5"/>
      <c r="H105" s="5"/>
      <c r="I105" s="5"/>
      <c r="J105" s="5"/>
      <c r="K105" s="5"/>
      <c r="L105" s="5"/>
      <c r="M105" s="5"/>
      <c r="N105" s="5"/>
      <c r="O105" s="5"/>
      <c r="P105" s="5"/>
      <c r="Q105" s="5"/>
      <c r="R105" s="5"/>
      <c r="S105" s="5"/>
      <c r="T105" s="5"/>
      <c r="U105" s="5"/>
      <c r="V105" s="5"/>
      <c r="W105" s="9">
        <f t="shared" si="9"/>
        <v>0</v>
      </c>
      <c r="X105" s="9">
        <f t="shared" si="10"/>
        <v>8</v>
      </c>
      <c r="Y105" s="9" t="str">
        <f t="shared" si="11"/>
        <v/>
      </c>
      <c r="Z105" s="5"/>
    </row>
    <row r="106" spans="1:26" s="1" customFormat="1" ht="18" customHeight="1" x14ac:dyDescent="0.45">
      <c r="A106" s="7"/>
      <c r="B106" s="7"/>
      <c r="C106" s="7"/>
      <c r="D106" s="9" t="str">
        <f>IF(C106="","",VLOOKUP(C106,'Student Roster'!A:C,2,FALSE))</f>
        <v/>
      </c>
      <c r="E106" s="9" t="str">
        <f>IF(C106="","",VLOOKUP(C106,'Student Roster'!A:C,3,FALSE))</f>
        <v/>
      </c>
      <c r="F106" s="10" t="str">
        <f>IF(B106="","",VLOOKUP(B106,'ISS Placements'!A:N,14,FALSE))</f>
        <v/>
      </c>
      <c r="G106" s="7"/>
      <c r="H106" s="7"/>
      <c r="I106" s="7"/>
      <c r="J106" s="7"/>
      <c r="K106" s="7"/>
      <c r="L106" s="7"/>
      <c r="M106" s="7"/>
      <c r="N106" s="7"/>
      <c r="O106" s="7"/>
      <c r="P106" s="7"/>
      <c r="Q106" s="7"/>
      <c r="R106" s="7"/>
      <c r="S106" s="7"/>
      <c r="T106" s="7"/>
      <c r="U106" s="7"/>
      <c r="V106" s="7"/>
      <c r="W106" s="9">
        <f t="shared" si="9"/>
        <v>0</v>
      </c>
      <c r="X106" s="9">
        <f t="shared" si="10"/>
        <v>8</v>
      </c>
      <c r="Y106" s="9" t="str">
        <f t="shared" si="11"/>
        <v/>
      </c>
      <c r="Z106" s="7"/>
    </row>
    <row r="107" spans="1:26" s="1" customFormat="1" ht="18" customHeight="1" x14ac:dyDescent="0.45">
      <c r="A107" s="5"/>
      <c r="B107" s="5"/>
      <c r="C107" s="5"/>
      <c r="D107" s="9" t="str">
        <f>IF(C107="","",VLOOKUP(C107,'Student Roster'!A:C,2,FALSE))</f>
        <v/>
      </c>
      <c r="E107" s="9" t="str">
        <f>IF(C107="","",VLOOKUP(C107,'Student Roster'!A:C,3,FALSE))</f>
        <v/>
      </c>
      <c r="F107" s="10" t="str">
        <f>IF(B107="","",VLOOKUP(B107,'ISS Placements'!A:N,14,FALSE))</f>
        <v/>
      </c>
      <c r="G107" s="5"/>
      <c r="H107" s="5"/>
      <c r="I107" s="5"/>
      <c r="J107" s="5"/>
      <c r="K107" s="5"/>
      <c r="L107" s="5"/>
      <c r="M107" s="5"/>
      <c r="N107" s="5"/>
      <c r="O107" s="5"/>
      <c r="P107" s="5"/>
      <c r="Q107" s="5"/>
      <c r="R107" s="5"/>
      <c r="S107" s="5"/>
      <c r="T107" s="5"/>
      <c r="U107" s="5"/>
      <c r="V107" s="5"/>
      <c r="W107" s="9">
        <f t="shared" si="9"/>
        <v>0</v>
      </c>
      <c r="X107" s="9">
        <f t="shared" si="10"/>
        <v>8</v>
      </c>
      <c r="Y107" s="9" t="str">
        <f t="shared" si="11"/>
        <v/>
      </c>
      <c r="Z107" s="5"/>
    </row>
    <row r="108" spans="1:26" s="1" customFormat="1" ht="18" customHeight="1" x14ac:dyDescent="0.45">
      <c r="A108" s="7"/>
      <c r="B108" s="7"/>
      <c r="C108" s="7"/>
      <c r="D108" s="9" t="str">
        <f>IF(C108="","",VLOOKUP(C108,'Student Roster'!A:C,2,FALSE))</f>
        <v/>
      </c>
      <c r="E108" s="9" t="str">
        <f>IF(C108="","",VLOOKUP(C108,'Student Roster'!A:C,3,FALSE))</f>
        <v/>
      </c>
      <c r="F108" s="10" t="str">
        <f>IF(B108="","",VLOOKUP(B108,'ISS Placements'!A:N,14,FALSE))</f>
        <v/>
      </c>
      <c r="G108" s="7"/>
      <c r="H108" s="7"/>
      <c r="I108" s="7"/>
      <c r="J108" s="7"/>
      <c r="K108" s="7"/>
      <c r="L108" s="7"/>
      <c r="M108" s="7"/>
      <c r="N108" s="7"/>
      <c r="O108" s="7"/>
      <c r="P108" s="7"/>
      <c r="Q108" s="7"/>
      <c r="R108" s="7"/>
      <c r="S108" s="7"/>
      <c r="T108" s="7"/>
      <c r="U108" s="7"/>
      <c r="V108" s="7"/>
      <c r="W108" s="9">
        <f t="shared" si="9"/>
        <v>0</v>
      </c>
      <c r="X108" s="9">
        <f t="shared" si="10"/>
        <v>8</v>
      </c>
      <c r="Y108" s="9" t="str">
        <f t="shared" si="11"/>
        <v/>
      </c>
      <c r="Z108" s="7"/>
    </row>
    <row r="109" spans="1:26" s="1" customFormat="1" ht="18" customHeight="1" x14ac:dyDescent="0.45">
      <c r="A109" s="5"/>
      <c r="B109" s="5"/>
      <c r="C109" s="5"/>
      <c r="D109" s="9" t="str">
        <f>IF(C109="","",VLOOKUP(C109,'Student Roster'!A:C,2,FALSE))</f>
        <v/>
      </c>
      <c r="E109" s="9" t="str">
        <f>IF(C109="","",VLOOKUP(C109,'Student Roster'!A:C,3,FALSE))</f>
        <v/>
      </c>
      <c r="F109" s="10" t="str">
        <f>IF(B109="","",VLOOKUP(B109,'ISS Placements'!A:N,14,FALSE))</f>
        <v/>
      </c>
      <c r="G109" s="5"/>
      <c r="H109" s="5"/>
      <c r="I109" s="5"/>
      <c r="J109" s="5"/>
      <c r="K109" s="5"/>
      <c r="L109" s="5"/>
      <c r="M109" s="5"/>
      <c r="N109" s="5"/>
      <c r="O109" s="5"/>
      <c r="P109" s="5"/>
      <c r="Q109" s="5"/>
      <c r="R109" s="5"/>
      <c r="S109" s="5"/>
      <c r="T109" s="5"/>
      <c r="U109" s="5"/>
      <c r="V109" s="5"/>
      <c r="W109" s="9">
        <f t="shared" si="9"/>
        <v>0</v>
      </c>
      <c r="X109" s="9">
        <f t="shared" si="10"/>
        <v>8</v>
      </c>
      <c r="Y109" s="9" t="str">
        <f t="shared" si="11"/>
        <v/>
      </c>
      <c r="Z109" s="5"/>
    </row>
    <row r="110" spans="1:26" s="1" customFormat="1" ht="18" customHeight="1" x14ac:dyDescent="0.45">
      <c r="A110" s="7"/>
      <c r="B110" s="7"/>
      <c r="C110" s="7"/>
      <c r="D110" s="9" t="str">
        <f>IF(C110="","",VLOOKUP(C110,'Student Roster'!A:C,2,FALSE))</f>
        <v/>
      </c>
      <c r="E110" s="9" t="str">
        <f>IF(C110="","",VLOOKUP(C110,'Student Roster'!A:C,3,FALSE))</f>
        <v/>
      </c>
      <c r="F110" s="10" t="str">
        <f>IF(B110="","",VLOOKUP(B110,'ISS Placements'!A:N,14,FALSE))</f>
        <v/>
      </c>
      <c r="G110" s="7"/>
      <c r="H110" s="7"/>
      <c r="I110" s="7"/>
      <c r="J110" s="7"/>
      <c r="K110" s="7"/>
      <c r="L110" s="7"/>
      <c r="M110" s="7"/>
      <c r="N110" s="7"/>
      <c r="O110" s="7"/>
      <c r="P110" s="7"/>
      <c r="Q110" s="7"/>
      <c r="R110" s="7"/>
      <c r="S110" s="7"/>
      <c r="T110" s="7"/>
      <c r="U110" s="7"/>
      <c r="V110" s="7"/>
      <c r="W110" s="9">
        <f t="shared" si="9"/>
        <v>0</v>
      </c>
      <c r="X110" s="9">
        <f t="shared" si="10"/>
        <v>8</v>
      </c>
      <c r="Y110" s="9" t="str">
        <f t="shared" si="11"/>
        <v/>
      </c>
      <c r="Z110" s="7"/>
    </row>
    <row r="111" spans="1:26" s="1" customFormat="1" ht="18" customHeight="1" x14ac:dyDescent="0.45">
      <c r="A111" s="5"/>
      <c r="B111" s="5"/>
      <c r="C111" s="5"/>
      <c r="D111" s="9" t="str">
        <f>IF(C111="","",VLOOKUP(C111,'Student Roster'!A:C,2,FALSE))</f>
        <v/>
      </c>
      <c r="E111" s="9" t="str">
        <f>IF(C111="","",VLOOKUP(C111,'Student Roster'!A:C,3,FALSE))</f>
        <v/>
      </c>
      <c r="F111" s="10" t="str">
        <f>IF(B111="","",VLOOKUP(B111,'ISS Placements'!A:N,14,FALSE))</f>
        <v/>
      </c>
      <c r="G111" s="5"/>
      <c r="H111" s="5"/>
      <c r="I111" s="5"/>
      <c r="J111" s="5"/>
      <c r="K111" s="5"/>
      <c r="L111" s="5"/>
      <c r="M111" s="5"/>
      <c r="N111" s="5"/>
      <c r="O111" s="5"/>
      <c r="P111" s="5"/>
      <c r="Q111" s="5"/>
      <c r="R111" s="5"/>
      <c r="S111" s="5"/>
      <c r="T111" s="5"/>
      <c r="U111" s="5"/>
      <c r="V111" s="5"/>
      <c r="W111" s="9">
        <f t="shared" si="9"/>
        <v>0</v>
      </c>
      <c r="X111" s="9">
        <f t="shared" si="10"/>
        <v>8</v>
      </c>
      <c r="Y111" s="9" t="str">
        <f t="shared" si="11"/>
        <v/>
      </c>
      <c r="Z111" s="5"/>
    </row>
    <row r="112" spans="1:26" s="1" customFormat="1" ht="18" customHeight="1" x14ac:dyDescent="0.45">
      <c r="A112" s="7"/>
      <c r="B112" s="7"/>
      <c r="C112" s="7"/>
      <c r="D112" s="9" t="str">
        <f>IF(C112="","",VLOOKUP(C112,'Student Roster'!A:C,2,FALSE))</f>
        <v/>
      </c>
      <c r="E112" s="9" t="str">
        <f>IF(C112="","",VLOOKUP(C112,'Student Roster'!A:C,3,FALSE))</f>
        <v/>
      </c>
      <c r="F112" s="10" t="str">
        <f>IF(B112="","",VLOOKUP(B112,'ISS Placements'!A:N,14,FALSE))</f>
        <v/>
      </c>
      <c r="G112" s="7"/>
      <c r="H112" s="7"/>
      <c r="I112" s="7"/>
      <c r="J112" s="7"/>
      <c r="K112" s="7"/>
      <c r="L112" s="7"/>
      <c r="M112" s="7"/>
      <c r="N112" s="7"/>
      <c r="O112" s="7"/>
      <c r="P112" s="7"/>
      <c r="Q112" s="7"/>
      <c r="R112" s="7"/>
      <c r="S112" s="7"/>
      <c r="T112" s="7"/>
      <c r="U112" s="7"/>
      <c r="V112" s="7"/>
      <c r="W112" s="9">
        <f t="shared" si="9"/>
        <v>0</v>
      </c>
      <c r="X112" s="9">
        <f t="shared" si="10"/>
        <v>8</v>
      </c>
      <c r="Y112" s="9" t="str">
        <f t="shared" si="11"/>
        <v/>
      </c>
      <c r="Z112" s="7"/>
    </row>
    <row r="113" spans="1:26" s="1" customFormat="1" ht="18" customHeight="1" x14ac:dyDescent="0.45">
      <c r="A113" s="5"/>
      <c r="B113" s="5"/>
      <c r="C113" s="5"/>
      <c r="D113" s="9" t="str">
        <f>IF(C113="","",VLOOKUP(C113,'Student Roster'!A:C,2,FALSE))</f>
        <v/>
      </c>
      <c r="E113" s="9" t="str">
        <f>IF(C113="","",VLOOKUP(C113,'Student Roster'!A:C,3,FALSE))</f>
        <v/>
      </c>
      <c r="F113" s="10" t="str">
        <f>IF(B113="","",VLOOKUP(B113,'ISS Placements'!A:N,14,FALSE))</f>
        <v/>
      </c>
      <c r="G113" s="5"/>
      <c r="H113" s="5"/>
      <c r="I113" s="5"/>
      <c r="J113" s="5"/>
      <c r="K113" s="5"/>
      <c r="L113" s="5"/>
      <c r="M113" s="5"/>
      <c r="N113" s="5"/>
      <c r="O113" s="5"/>
      <c r="P113" s="5"/>
      <c r="Q113" s="5"/>
      <c r="R113" s="5"/>
      <c r="S113" s="5"/>
      <c r="T113" s="5"/>
      <c r="U113" s="5"/>
      <c r="V113" s="5"/>
      <c r="W113" s="9">
        <f t="shared" si="9"/>
        <v>0</v>
      </c>
      <c r="X113" s="9">
        <f t="shared" si="10"/>
        <v>8</v>
      </c>
      <c r="Y113" s="9" t="str">
        <f t="shared" si="11"/>
        <v/>
      </c>
      <c r="Z113" s="5"/>
    </row>
    <row r="114" spans="1:26" s="1" customFormat="1" ht="18" customHeight="1" x14ac:dyDescent="0.45">
      <c r="A114" s="7"/>
      <c r="B114" s="7"/>
      <c r="C114" s="7"/>
      <c r="D114" s="9" t="str">
        <f>IF(C114="","",VLOOKUP(C114,'Student Roster'!A:C,2,FALSE))</f>
        <v/>
      </c>
      <c r="E114" s="9" t="str">
        <f>IF(C114="","",VLOOKUP(C114,'Student Roster'!A:C,3,FALSE))</f>
        <v/>
      </c>
      <c r="F114" s="10" t="str">
        <f>IF(B114="","",VLOOKUP(B114,'ISS Placements'!A:N,14,FALSE))</f>
        <v/>
      </c>
      <c r="G114" s="7"/>
      <c r="H114" s="7"/>
      <c r="I114" s="7"/>
      <c r="J114" s="7"/>
      <c r="K114" s="7"/>
      <c r="L114" s="7"/>
      <c r="M114" s="7"/>
      <c r="N114" s="7"/>
      <c r="O114" s="7"/>
      <c r="P114" s="7"/>
      <c r="Q114" s="7"/>
      <c r="R114" s="7"/>
      <c r="S114" s="7"/>
      <c r="T114" s="7"/>
      <c r="U114" s="7"/>
      <c r="V114" s="7"/>
      <c r="W114" s="9">
        <f t="shared" si="9"/>
        <v>0</v>
      </c>
      <c r="X114" s="9">
        <f t="shared" si="10"/>
        <v>8</v>
      </c>
      <c r="Y114" s="9" t="str">
        <f t="shared" si="11"/>
        <v/>
      </c>
      <c r="Z114" s="7"/>
    </row>
    <row r="115" spans="1:26" s="1" customFormat="1" ht="18" customHeight="1" x14ac:dyDescent="0.45">
      <c r="A115" s="5"/>
      <c r="B115" s="5"/>
      <c r="C115" s="5"/>
      <c r="D115" s="9" t="str">
        <f>IF(C115="","",VLOOKUP(C115,'Student Roster'!A:C,2,FALSE))</f>
        <v/>
      </c>
      <c r="E115" s="9" t="str">
        <f>IF(C115="","",VLOOKUP(C115,'Student Roster'!A:C,3,FALSE))</f>
        <v/>
      </c>
      <c r="F115" s="10" t="str">
        <f>IF(B115="","",VLOOKUP(B115,'ISS Placements'!A:N,14,FALSE))</f>
        <v/>
      </c>
      <c r="G115" s="5"/>
      <c r="H115" s="5"/>
      <c r="I115" s="5"/>
      <c r="J115" s="5"/>
      <c r="K115" s="5"/>
      <c r="L115" s="5"/>
      <c r="M115" s="5"/>
      <c r="N115" s="5"/>
      <c r="O115" s="5"/>
      <c r="P115" s="5"/>
      <c r="Q115" s="5"/>
      <c r="R115" s="5"/>
      <c r="S115" s="5"/>
      <c r="T115" s="5"/>
      <c r="U115" s="5"/>
      <c r="V115" s="5"/>
      <c r="W115" s="9">
        <f t="shared" si="9"/>
        <v>0</v>
      </c>
      <c r="X115" s="9">
        <f t="shared" si="10"/>
        <v>8</v>
      </c>
      <c r="Y115" s="9" t="str">
        <f t="shared" si="11"/>
        <v/>
      </c>
      <c r="Z115" s="5"/>
    </row>
    <row r="116" spans="1:26" s="1" customFormat="1" ht="18" customHeight="1" x14ac:dyDescent="0.45">
      <c r="A116" s="7"/>
      <c r="B116" s="7"/>
      <c r="C116" s="7"/>
      <c r="D116" s="9" t="str">
        <f>IF(C116="","",VLOOKUP(C116,'Student Roster'!A:C,2,FALSE))</f>
        <v/>
      </c>
      <c r="E116" s="9" t="str">
        <f>IF(C116="","",VLOOKUP(C116,'Student Roster'!A:C,3,FALSE))</f>
        <v/>
      </c>
      <c r="F116" s="10" t="str">
        <f>IF(B116="","",VLOOKUP(B116,'ISS Placements'!A:N,14,FALSE))</f>
        <v/>
      </c>
      <c r="G116" s="7"/>
      <c r="H116" s="7"/>
      <c r="I116" s="7"/>
      <c r="J116" s="7"/>
      <c r="K116" s="7"/>
      <c r="L116" s="7"/>
      <c r="M116" s="7"/>
      <c r="N116" s="7"/>
      <c r="O116" s="7"/>
      <c r="P116" s="7"/>
      <c r="Q116" s="7"/>
      <c r="R116" s="7"/>
      <c r="S116" s="7"/>
      <c r="T116" s="7"/>
      <c r="U116" s="7"/>
      <c r="V116" s="7"/>
      <c r="W116" s="9">
        <f t="shared" si="9"/>
        <v>0</v>
      </c>
      <c r="X116" s="9">
        <f t="shared" si="10"/>
        <v>8</v>
      </c>
      <c r="Y116" s="9" t="str">
        <f t="shared" si="11"/>
        <v/>
      </c>
      <c r="Z116" s="7"/>
    </row>
    <row r="117" spans="1:26" s="1" customFormat="1" ht="18" customHeight="1" x14ac:dyDescent="0.45">
      <c r="A117" s="5"/>
      <c r="B117" s="5"/>
      <c r="C117" s="5"/>
      <c r="D117" s="9" t="str">
        <f>IF(C117="","",VLOOKUP(C117,'Student Roster'!A:C,2,FALSE))</f>
        <v/>
      </c>
      <c r="E117" s="9" t="str">
        <f>IF(C117="","",VLOOKUP(C117,'Student Roster'!A:C,3,FALSE))</f>
        <v/>
      </c>
      <c r="F117" s="10" t="str">
        <f>IF(B117="","",VLOOKUP(B117,'ISS Placements'!A:N,14,FALSE))</f>
        <v/>
      </c>
      <c r="G117" s="5"/>
      <c r="H117" s="5"/>
      <c r="I117" s="5"/>
      <c r="J117" s="5"/>
      <c r="K117" s="5"/>
      <c r="L117" s="5"/>
      <c r="M117" s="5"/>
      <c r="N117" s="5"/>
      <c r="O117" s="5"/>
      <c r="P117" s="5"/>
      <c r="Q117" s="5"/>
      <c r="R117" s="5"/>
      <c r="S117" s="5"/>
      <c r="T117" s="5"/>
      <c r="U117" s="5"/>
      <c r="V117" s="5"/>
      <c r="W117" s="9">
        <f t="shared" si="9"/>
        <v>0</v>
      </c>
      <c r="X117" s="9">
        <f t="shared" si="10"/>
        <v>8</v>
      </c>
      <c r="Y117" s="9" t="str">
        <f t="shared" si="11"/>
        <v/>
      </c>
      <c r="Z117" s="5"/>
    </row>
    <row r="118" spans="1:26" s="1" customFormat="1" ht="18" customHeight="1" x14ac:dyDescent="0.45">
      <c r="A118" s="7"/>
      <c r="B118" s="7"/>
      <c r="C118" s="7"/>
      <c r="D118" s="9" t="str">
        <f>IF(C118="","",VLOOKUP(C118,'Student Roster'!A:C,2,FALSE))</f>
        <v/>
      </c>
      <c r="E118" s="9" t="str">
        <f>IF(C118="","",VLOOKUP(C118,'Student Roster'!A:C,3,FALSE))</f>
        <v/>
      </c>
      <c r="F118" s="10" t="str">
        <f>IF(B118="","",VLOOKUP(B118,'ISS Placements'!A:N,14,FALSE))</f>
        <v/>
      </c>
      <c r="G118" s="7"/>
      <c r="H118" s="7"/>
      <c r="I118" s="7"/>
      <c r="J118" s="7"/>
      <c r="K118" s="7"/>
      <c r="L118" s="7"/>
      <c r="M118" s="7"/>
      <c r="N118" s="7"/>
      <c r="O118" s="7"/>
      <c r="P118" s="7"/>
      <c r="Q118" s="7"/>
      <c r="R118" s="7"/>
      <c r="S118" s="7"/>
      <c r="T118" s="7"/>
      <c r="U118" s="7"/>
      <c r="V118" s="7"/>
      <c r="W118" s="9">
        <f t="shared" si="9"/>
        <v>0</v>
      </c>
      <c r="X118" s="9">
        <f t="shared" si="10"/>
        <v>8</v>
      </c>
      <c r="Y118" s="9" t="str">
        <f t="shared" si="11"/>
        <v/>
      </c>
      <c r="Z118" s="7"/>
    </row>
    <row r="119" spans="1:26" s="1" customFormat="1" ht="18" customHeight="1" x14ac:dyDescent="0.45">
      <c r="A119" s="5"/>
      <c r="B119" s="5"/>
      <c r="C119" s="5"/>
      <c r="D119" s="9" t="str">
        <f>IF(C119="","",VLOOKUP(C119,'Student Roster'!A:C,2,FALSE))</f>
        <v/>
      </c>
      <c r="E119" s="9" t="str">
        <f>IF(C119="","",VLOOKUP(C119,'Student Roster'!A:C,3,FALSE))</f>
        <v/>
      </c>
      <c r="F119" s="10" t="str">
        <f>IF(B119="","",VLOOKUP(B119,'ISS Placements'!A:N,14,FALSE))</f>
        <v/>
      </c>
      <c r="G119" s="5"/>
      <c r="H119" s="5"/>
      <c r="I119" s="5"/>
      <c r="J119" s="5"/>
      <c r="K119" s="5"/>
      <c r="L119" s="5"/>
      <c r="M119" s="5"/>
      <c r="N119" s="5"/>
      <c r="O119" s="5"/>
      <c r="P119" s="5"/>
      <c r="Q119" s="5"/>
      <c r="R119" s="5"/>
      <c r="S119" s="5"/>
      <c r="T119" s="5"/>
      <c r="U119" s="5"/>
      <c r="V119" s="5"/>
      <c r="W119" s="9">
        <f t="shared" si="9"/>
        <v>0</v>
      </c>
      <c r="X119" s="9">
        <f t="shared" si="10"/>
        <v>8</v>
      </c>
      <c r="Y119" s="9" t="str">
        <f t="shared" si="11"/>
        <v/>
      </c>
      <c r="Z119" s="5"/>
    </row>
    <row r="120" spans="1:26" s="1" customFormat="1" ht="18" customHeight="1" x14ac:dyDescent="0.45">
      <c r="A120" s="7"/>
      <c r="B120" s="7"/>
      <c r="C120" s="7"/>
      <c r="D120" s="9" t="str">
        <f>IF(C120="","",VLOOKUP(C120,'Student Roster'!A:C,2,FALSE))</f>
        <v/>
      </c>
      <c r="E120" s="9" t="str">
        <f>IF(C120="","",VLOOKUP(C120,'Student Roster'!A:C,3,FALSE))</f>
        <v/>
      </c>
      <c r="F120" s="10" t="str">
        <f>IF(B120="","",VLOOKUP(B120,'ISS Placements'!A:N,14,FALSE))</f>
        <v/>
      </c>
      <c r="G120" s="7"/>
      <c r="H120" s="7"/>
      <c r="I120" s="7"/>
      <c r="J120" s="7"/>
      <c r="K120" s="7"/>
      <c r="L120" s="7"/>
      <c r="M120" s="7"/>
      <c r="N120" s="7"/>
      <c r="O120" s="7"/>
      <c r="P120" s="7"/>
      <c r="Q120" s="7"/>
      <c r="R120" s="7"/>
      <c r="S120" s="7"/>
      <c r="T120" s="7"/>
      <c r="U120" s="7"/>
      <c r="V120" s="7"/>
      <c r="W120" s="9">
        <f t="shared" si="9"/>
        <v>0</v>
      </c>
      <c r="X120" s="9">
        <f t="shared" si="10"/>
        <v>8</v>
      </c>
      <c r="Y120" s="9" t="str">
        <f t="shared" si="11"/>
        <v/>
      </c>
      <c r="Z120" s="7"/>
    </row>
    <row r="121" spans="1:26" s="1" customFormat="1" ht="18" customHeight="1" x14ac:dyDescent="0.45">
      <c r="A121" s="5"/>
      <c r="B121" s="5"/>
      <c r="C121" s="5"/>
      <c r="D121" s="9" t="str">
        <f>IF(C121="","",VLOOKUP(C121,'Student Roster'!A:C,2,FALSE))</f>
        <v/>
      </c>
      <c r="E121" s="9" t="str">
        <f>IF(C121="","",VLOOKUP(C121,'Student Roster'!A:C,3,FALSE))</f>
        <v/>
      </c>
      <c r="F121" s="10" t="str">
        <f>IF(B121="","",VLOOKUP(B121,'ISS Placements'!A:N,14,FALSE))</f>
        <v/>
      </c>
      <c r="G121" s="5"/>
      <c r="H121" s="5"/>
      <c r="I121" s="5"/>
      <c r="J121" s="5"/>
      <c r="K121" s="5"/>
      <c r="L121" s="5"/>
      <c r="M121" s="5"/>
      <c r="N121" s="5"/>
      <c r="O121" s="5"/>
      <c r="P121" s="5"/>
      <c r="Q121" s="5"/>
      <c r="R121" s="5"/>
      <c r="S121" s="5"/>
      <c r="T121" s="5"/>
      <c r="U121" s="5"/>
      <c r="V121" s="5"/>
      <c r="W121" s="9">
        <f t="shared" si="9"/>
        <v>0</v>
      </c>
      <c r="X121" s="9">
        <f t="shared" si="10"/>
        <v>8</v>
      </c>
      <c r="Y121" s="9" t="str">
        <f t="shared" si="11"/>
        <v/>
      </c>
      <c r="Z121" s="5"/>
    </row>
    <row r="122" spans="1:26" s="1" customFormat="1" ht="18" customHeight="1" x14ac:dyDescent="0.45">
      <c r="A122" s="7"/>
      <c r="B122" s="7"/>
      <c r="C122" s="7"/>
      <c r="D122" s="9" t="str">
        <f>IF(C122="","",VLOOKUP(C122,'Student Roster'!A:C,2,FALSE))</f>
        <v/>
      </c>
      <c r="E122" s="9" t="str">
        <f>IF(C122="","",VLOOKUP(C122,'Student Roster'!A:C,3,FALSE))</f>
        <v/>
      </c>
      <c r="F122" s="10" t="str">
        <f>IF(B122="","",VLOOKUP(B122,'ISS Placements'!A:N,14,FALSE))</f>
        <v/>
      </c>
      <c r="G122" s="7"/>
      <c r="H122" s="7"/>
      <c r="I122" s="7"/>
      <c r="J122" s="7"/>
      <c r="K122" s="7"/>
      <c r="L122" s="7"/>
      <c r="M122" s="7"/>
      <c r="N122" s="7"/>
      <c r="O122" s="7"/>
      <c r="P122" s="7"/>
      <c r="Q122" s="7"/>
      <c r="R122" s="7"/>
      <c r="S122" s="7"/>
      <c r="T122" s="7"/>
      <c r="U122" s="7"/>
      <c r="V122" s="7"/>
      <c r="W122" s="9">
        <f t="shared" si="9"/>
        <v>0</v>
      </c>
      <c r="X122" s="9">
        <f t="shared" si="10"/>
        <v>8</v>
      </c>
      <c r="Y122" s="9" t="str">
        <f t="shared" si="11"/>
        <v/>
      </c>
      <c r="Z122" s="7"/>
    </row>
    <row r="123" spans="1:26" s="1" customFormat="1" ht="18" customHeight="1" x14ac:dyDescent="0.45">
      <c r="A123" s="5"/>
      <c r="B123" s="5"/>
      <c r="C123" s="5"/>
      <c r="D123" s="9" t="str">
        <f>IF(C123="","",VLOOKUP(C123,'Student Roster'!A:C,2,FALSE))</f>
        <v/>
      </c>
      <c r="E123" s="9" t="str">
        <f>IF(C123="","",VLOOKUP(C123,'Student Roster'!A:C,3,FALSE))</f>
        <v/>
      </c>
      <c r="F123" s="10" t="str">
        <f>IF(B123="","",VLOOKUP(B123,'ISS Placements'!A:N,14,FALSE))</f>
        <v/>
      </c>
      <c r="G123" s="5"/>
      <c r="H123" s="5"/>
      <c r="I123" s="5"/>
      <c r="J123" s="5"/>
      <c r="K123" s="5"/>
      <c r="L123" s="5"/>
      <c r="M123" s="5"/>
      <c r="N123" s="5"/>
      <c r="O123" s="5"/>
      <c r="P123" s="5"/>
      <c r="Q123" s="5"/>
      <c r="R123" s="5"/>
      <c r="S123" s="5"/>
      <c r="T123" s="5"/>
      <c r="U123" s="5"/>
      <c r="V123" s="5"/>
      <c r="W123" s="9">
        <f t="shared" si="9"/>
        <v>0</v>
      </c>
      <c r="X123" s="9">
        <f t="shared" si="10"/>
        <v>8</v>
      </c>
      <c r="Y123" s="9" t="str">
        <f t="shared" si="11"/>
        <v/>
      </c>
      <c r="Z123" s="5"/>
    </row>
    <row r="124" spans="1:26" s="1" customFormat="1" ht="18" customHeight="1" x14ac:dyDescent="0.45">
      <c r="A124" s="7"/>
      <c r="B124" s="7"/>
      <c r="C124" s="7"/>
      <c r="D124" s="9" t="str">
        <f>IF(C124="","",VLOOKUP(C124,'Student Roster'!A:C,2,FALSE))</f>
        <v/>
      </c>
      <c r="E124" s="9" t="str">
        <f>IF(C124="","",VLOOKUP(C124,'Student Roster'!A:C,3,FALSE))</f>
        <v/>
      </c>
      <c r="F124" s="10" t="str">
        <f>IF(B124="","",VLOOKUP(B124,'ISS Placements'!A:N,14,FALSE))</f>
        <v/>
      </c>
      <c r="G124" s="7"/>
      <c r="H124" s="7"/>
      <c r="I124" s="7"/>
      <c r="J124" s="7"/>
      <c r="K124" s="7"/>
      <c r="L124" s="7"/>
      <c r="M124" s="7"/>
      <c r="N124" s="7"/>
      <c r="O124" s="7"/>
      <c r="P124" s="7"/>
      <c r="Q124" s="7"/>
      <c r="R124" s="7"/>
      <c r="S124" s="7"/>
      <c r="T124" s="7"/>
      <c r="U124" s="7"/>
      <c r="V124" s="7"/>
      <c r="W124" s="9">
        <f t="shared" si="9"/>
        <v>0</v>
      </c>
      <c r="X124" s="9">
        <f t="shared" si="10"/>
        <v>8</v>
      </c>
      <c r="Y124" s="9" t="str">
        <f t="shared" si="11"/>
        <v/>
      </c>
      <c r="Z124" s="7"/>
    </row>
    <row r="125" spans="1:26" s="1" customFormat="1" ht="18" customHeight="1" x14ac:dyDescent="0.45">
      <c r="A125" s="5"/>
      <c r="B125" s="5"/>
      <c r="C125" s="5"/>
      <c r="D125" s="9" t="str">
        <f>IF(C125="","",VLOOKUP(C125,'Student Roster'!A:C,2,FALSE))</f>
        <v/>
      </c>
      <c r="E125" s="9" t="str">
        <f>IF(C125="","",VLOOKUP(C125,'Student Roster'!A:C,3,FALSE))</f>
        <v/>
      </c>
      <c r="F125" s="10" t="str">
        <f>IF(B125="","",VLOOKUP(B125,'ISS Placements'!A:N,14,FALSE))</f>
        <v/>
      </c>
      <c r="G125" s="5"/>
      <c r="H125" s="5"/>
      <c r="I125" s="5"/>
      <c r="J125" s="5"/>
      <c r="K125" s="5"/>
      <c r="L125" s="5"/>
      <c r="M125" s="5"/>
      <c r="N125" s="5"/>
      <c r="O125" s="5"/>
      <c r="P125" s="5"/>
      <c r="Q125" s="5"/>
      <c r="R125" s="5"/>
      <c r="S125" s="5"/>
      <c r="T125" s="5"/>
      <c r="U125" s="5"/>
      <c r="V125" s="5"/>
      <c r="W125" s="9">
        <f t="shared" si="9"/>
        <v>0</v>
      </c>
      <c r="X125" s="9">
        <f t="shared" si="10"/>
        <v>8</v>
      </c>
      <c r="Y125" s="9" t="str">
        <f t="shared" si="11"/>
        <v/>
      </c>
      <c r="Z125" s="5"/>
    </row>
    <row r="126" spans="1:26" s="1" customFormat="1" ht="18" customHeight="1" x14ac:dyDescent="0.45">
      <c r="A126" s="7"/>
      <c r="B126" s="7"/>
      <c r="C126" s="7"/>
      <c r="D126" s="9" t="str">
        <f>IF(C126="","",VLOOKUP(C126,'Student Roster'!A:C,2,FALSE))</f>
        <v/>
      </c>
      <c r="E126" s="9" t="str">
        <f>IF(C126="","",VLOOKUP(C126,'Student Roster'!A:C,3,FALSE))</f>
        <v/>
      </c>
      <c r="F126" s="10" t="str">
        <f>IF(B126="","",VLOOKUP(B126,'ISS Placements'!A:N,14,FALSE))</f>
        <v/>
      </c>
      <c r="G126" s="7"/>
      <c r="H126" s="7"/>
      <c r="I126" s="7"/>
      <c r="J126" s="7"/>
      <c r="K126" s="7"/>
      <c r="L126" s="7"/>
      <c r="M126" s="7"/>
      <c r="N126" s="7"/>
      <c r="O126" s="7"/>
      <c r="P126" s="7"/>
      <c r="Q126" s="7"/>
      <c r="R126" s="7"/>
      <c r="S126" s="7"/>
      <c r="T126" s="7"/>
      <c r="U126" s="7"/>
      <c r="V126" s="7"/>
      <c r="W126" s="9">
        <f t="shared" si="9"/>
        <v>0</v>
      </c>
      <c r="X126" s="9">
        <f t="shared" si="10"/>
        <v>8</v>
      </c>
      <c r="Y126" s="9" t="str">
        <f t="shared" si="11"/>
        <v/>
      </c>
      <c r="Z126" s="7"/>
    </row>
    <row r="127" spans="1:26" s="1" customFormat="1" ht="18" customHeight="1" x14ac:dyDescent="0.45">
      <c r="A127" s="5"/>
      <c r="B127" s="5"/>
      <c r="C127" s="5"/>
      <c r="D127" s="9" t="str">
        <f>IF(C127="","",VLOOKUP(C127,'Student Roster'!A:C,2,FALSE))</f>
        <v/>
      </c>
      <c r="E127" s="9" t="str">
        <f>IF(C127="","",VLOOKUP(C127,'Student Roster'!A:C,3,FALSE))</f>
        <v/>
      </c>
      <c r="F127" s="10" t="str">
        <f>IF(B127="","",VLOOKUP(B127,'ISS Placements'!A:N,14,FALSE))</f>
        <v/>
      </c>
      <c r="G127" s="5"/>
      <c r="H127" s="5"/>
      <c r="I127" s="5"/>
      <c r="J127" s="5"/>
      <c r="K127" s="5"/>
      <c r="L127" s="5"/>
      <c r="M127" s="5"/>
      <c r="N127" s="5"/>
      <c r="O127" s="5"/>
      <c r="P127" s="5"/>
      <c r="Q127" s="5"/>
      <c r="R127" s="5"/>
      <c r="S127" s="5"/>
      <c r="T127" s="5"/>
      <c r="U127" s="5"/>
      <c r="V127" s="5"/>
      <c r="W127" s="9">
        <f t="shared" si="9"/>
        <v>0</v>
      </c>
      <c r="X127" s="9">
        <f t="shared" si="10"/>
        <v>8</v>
      </c>
      <c r="Y127" s="9" t="str">
        <f t="shared" si="11"/>
        <v/>
      </c>
      <c r="Z127" s="5"/>
    </row>
    <row r="128" spans="1:26" s="1" customFormat="1" ht="18" customHeight="1" x14ac:dyDescent="0.45">
      <c r="A128" s="7"/>
      <c r="B128" s="7"/>
      <c r="C128" s="7"/>
      <c r="D128" s="9" t="str">
        <f>IF(C128="","",VLOOKUP(C128,'Student Roster'!A:C,2,FALSE))</f>
        <v/>
      </c>
      <c r="E128" s="9" t="str">
        <f>IF(C128="","",VLOOKUP(C128,'Student Roster'!A:C,3,FALSE))</f>
        <v/>
      </c>
      <c r="F128" s="10" t="str">
        <f>IF(B128="","",VLOOKUP(B128,'ISS Placements'!A:N,14,FALSE))</f>
        <v/>
      </c>
      <c r="G128" s="7"/>
      <c r="H128" s="7"/>
      <c r="I128" s="7"/>
      <c r="J128" s="7"/>
      <c r="K128" s="7"/>
      <c r="L128" s="7"/>
      <c r="M128" s="7"/>
      <c r="N128" s="7"/>
      <c r="O128" s="7"/>
      <c r="P128" s="7"/>
      <c r="Q128" s="7"/>
      <c r="R128" s="7"/>
      <c r="S128" s="7"/>
      <c r="T128" s="7"/>
      <c r="U128" s="7"/>
      <c r="V128" s="7"/>
      <c r="W128" s="9">
        <f t="shared" si="9"/>
        <v>0</v>
      </c>
      <c r="X128" s="9">
        <f t="shared" si="10"/>
        <v>8</v>
      </c>
      <c r="Y128" s="9" t="str">
        <f t="shared" si="11"/>
        <v/>
      </c>
      <c r="Z128" s="7"/>
    </row>
    <row r="129" spans="1:26" s="1" customFormat="1" ht="18" customHeight="1" x14ac:dyDescent="0.45">
      <c r="A129" s="5"/>
      <c r="B129" s="5"/>
      <c r="C129" s="5"/>
      <c r="D129" s="9" t="str">
        <f>IF(C129="","",VLOOKUP(C129,'Student Roster'!A:C,2,FALSE))</f>
        <v/>
      </c>
      <c r="E129" s="9" t="str">
        <f>IF(C129="","",VLOOKUP(C129,'Student Roster'!A:C,3,FALSE))</f>
        <v/>
      </c>
      <c r="F129" s="10" t="str">
        <f>IF(B129="","",VLOOKUP(B129,'ISS Placements'!A:N,14,FALSE))</f>
        <v/>
      </c>
      <c r="G129" s="5"/>
      <c r="H129" s="5"/>
      <c r="I129" s="5"/>
      <c r="J129" s="5"/>
      <c r="K129" s="5"/>
      <c r="L129" s="5"/>
      <c r="M129" s="5"/>
      <c r="N129" s="5"/>
      <c r="O129" s="5"/>
      <c r="P129" s="5"/>
      <c r="Q129" s="5"/>
      <c r="R129" s="5"/>
      <c r="S129" s="5"/>
      <c r="T129" s="5"/>
      <c r="U129" s="5"/>
      <c r="V129" s="5"/>
      <c r="W129" s="9">
        <f t="shared" si="9"/>
        <v>0</v>
      </c>
      <c r="X129" s="9">
        <f t="shared" si="10"/>
        <v>8</v>
      </c>
      <c r="Y129" s="9" t="str">
        <f t="shared" si="11"/>
        <v/>
      </c>
      <c r="Z129" s="5"/>
    </row>
    <row r="130" spans="1:26" s="1" customFormat="1" ht="18" customHeight="1" x14ac:dyDescent="0.45">
      <c r="A130" s="7"/>
      <c r="B130" s="7"/>
      <c r="C130" s="7"/>
      <c r="D130" s="9" t="str">
        <f>IF(C130="","",VLOOKUP(C130,'Student Roster'!A:C,2,FALSE))</f>
        <v/>
      </c>
      <c r="E130" s="9" t="str">
        <f>IF(C130="","",VLOOKUP(C130,'Student Roster'!A:C,3,FALSE))</f>
        <v/>
      </c>
      <c r="F130" s="10" t="str">
        <f>IF(B130="","",VLOOKUP(B130,'ISS Placements'!A:N,14,FALSE))</f>
        <v/>
      </c>
      <c r="G130" s="7"/>
      <c r="H130" s="7"/>
      <c r="I130" s="7"/>
      <c r="J130" s="7"/>
      <c r="K130" s="7"/>
      <c r="L130" s="7"/>
      <c r="M130" s="7"/>
      <c r="N130" s="7"/>
      <c r="O130" s="7"/>
      <c r="P130" s="7"/>
      <c r="Q130" s="7"/>
      <c r="R130" s="7"/>
      <c r="S130" s="7"/>
      <c r="T130" s="7"/>
      <c r="U130" s="7"/>
      <c r="V130" s="7"/>
      <c r="W130" s="9">
        <f t="shared" si="9"/>
        <v>0</v>
      </c>
      <c r="X130" s="9">
        <f t="shared" si="10"/>
        <v>8</v>
      </c>
      <c r="Y130" s="9" t="str">
        <f t="shared" si="11"/>
        <v/>
      </c>
      <c r="Z130" s="7"/>
    </row>
    <row r="131" spans="1:26" s="1" customFormat="1" ht="18" customHeight="1" x14ac:dyDescent="0.45">
      <c r="A131" s="5"/>
      <c r="B131" s="5"/>
      <c r="C131" s="5"/>
      <c r="D131" s="9" t="str">
        <f>IF(C131="","",VLOOKUP(C131,'Student Roster'!A:C,2,FALSE))</f>
        <v/>
      </c>
      <c r="E131" s="9" t="str">
        <f>IF(C131="","",VLOOKUP(C131,'Student Roster'!A:C,3,FALSE))</f>
        <v/>
      </c>
      <c r="F131" s="10" t="str">
        <f>IF(B131="","",VLOOKUP(B131,'ISS Placements'!A:N,14,FALSE))</f>
        <v/>
      </c>
      <c r="G131" s="5"/>
      <c r="H131" s="5"/>
      <c r="I131" s="5"/>
      <c r="J131" s="5"/>
      <c r="K131" s="5"/>
      <c r="L131" s="5"/>
      <c r="M131" s="5"/>
      <c r="N131" s="5"/>
      <c r="O131" s="5"/>
      <c r="P131" s="5"/>
      <c r="Q131" s="5"/>
      <c r="R131" s="5"/>
      <c r="S131" s="5"/>
      <c r="T131" s="5"/>
      <c r="U131" s="5"/>
      <c r="V131" s="5"/>
      <c r="W131" s="9">
        <f t="shared" si="9"/>
        <v>0</v>
      </c>
      <c r="X131" s="9">
        <f t="shared" si="10"/>
        <v>8</v>
      </c>
      <c r="Y131" s="9" t="str">
        <f t="shared" si="11"/>
        <v/>
      </c>
      <c r="Z131" s="5"/>
    </row>
    <row r="132" spans="1:26" s="1" customFormat="1" ht="18" customHeight="1" x14ac:dyDescent="0.45">
      <c r="A132" s="7"/>
      <c r="B132" s="7"/>
      <c r="C132" s="7"/>
      <c r="D132" s="9" t="str">
        <f>IF(C132="","",VLOOKUP(C132,'Student Roster'!A:C,2,FALSE))</f>
        <v/>
      </c>
      <c r="E132" s="9" t="str">
        <f>IF(C132="","",VLOOKUP(C132,'Student Roster'!A:C,3,FALSE))</f>
        <v/>
      </c>
      <c r="F132" s="10" t="str">
        <f>IF(B132="","",VLOOKUP(B132,'ISS Placements'!A:N,14,FALSE))</f>
        <v/>
      </c>
      <c r="G132" s="7"/>
      <c r="H132" s="7"/>
      <c r="I132" s="7"/>
      <c r="J132" s="7"/>
      <c r="K132" s="7"/>
      <c r="L132" s="7"/>
      <c r="M132" s="7"/>
      <c r="N132" s="7"/>
      <c r="O132" s="7"/>
      <c r="P132" s="7"/>
      <c r="Q132" s="7"/>
      <c r="R132" s="7"/>
      <c r="S132" s="7"/>
      <c r="T132" s="7"/>
      <c r="U132" s="7"/>
      <c r="V132" s="7"/>
      <c r="W132" s="9">
        <f t="shared" ref="W132:W163" si="12">COUNTIF(G132:V132,"Yes")</f>
        <v>0</v>
      </c>
      <c r="X132" s="9">
        <f t="shared" ref="X132:X163" si="13">8-W132</f>
        <v>8</v>
      </c>
      <c r="Y132" s="9" t="str">
        <f t="shared" ref="Y132:Y153" si="14">IF(C132="","",IF(W132&gt;=8,"✅ READY","❌ NOT READY"))</f>
        <v/>
      </c>
      <c r="Z132" s="7"/>
    </row>
    <row r="133" spans="1:26" s="1" customFormat="1" ht="18" customHeight="1" x14ac:dyDescent="0.45">
      <c r="A133" s="5"/>
      <c r="B133" s="5"/>
      <c r="C133" s="5"/>
      <c r="D133" s="9" t="str">
        <f>IF(C133="","",VLOOKUP(C133,'Student Roster'!A:C,2,FALSE))</f>
        <v/>
      </c>
      <c r="E133" s="9" t="str">
        <f>IF(C133="","",VLOOKUP(C133,'Student Roster'!A:C,3,FALSE))</f>
        <v/>
      </c>
      <c r="F133" s="10" t="str">
        <f>IF(B133="","",VLOOKUP(B133,'ISS Placements'!A:N,14,FALSE))</f>
        <v/>
      </c>
      <c r="G133" s="5"/>
      <c r="H133" s="5"/>
      <c r="I133" s="5"/>
      <c r="J133" s="5"/>
      <c r="K133" s="5"/>
      <c r="L133" s="5"/>
      <c r="M133" s="5"/>
      <c r="N133" s="5"/>
      <c r="O133" s="5"/>
      <c r="P133" s="5"/>
      <c r="Q133" s="5"/>
      <c r="R133" s="5"/>
      <c r="S133" s="5"/>
      <c r="T133" s="5"/>
      <c r="U133" s="5"/>
      <c r="V133" s="5"/>
      <c r="W133" s="9">
        <f t="shared" si="12"/>
        <v>0</v>
      </c>
      <c r="X133" s="9">
        <f t="shared" si="13"/>
        <v>8</v>
      </c>
      <c r="Y133" s="9" t="str">
        <f t="shared" si="14"/>
        <v/>
      </c>
      <c r="Z133" s="5"/>
    </row>
    <row r="134" spans="1:26" s="1" customFormat="1" ht="18" customHeight="1" x14ac:dyDescent="0.45">
      <c r="A134" s="7"/>
      <c r="B134" s="7"/>
      <c r="C134" s="7"/>
      <c r="D134" s="9" t="str">
        <f>IF(C134="","",VLOOKUP(C134,'Student Roster'!A:C,2,FALSE))</f>
        <v/>
      </c>
      <c r="E134" s="9" t="str">
        <f>IF(C134="","",VLOOKUP(C134,'Student Roster'!A:C,3,FALSE))</f>
        <v/>
      </c>
      <c r="F134" s="10" t="str">
        <f>IF(B134="","",VLOOKUP(B134,'ISS Placements'!A:N,14,FALSE))</f>
        <v/>
      </c>
      <c r="G134" s="7"/>
      <c r="H134" s="7"/>
      <c r="I134" s="7"/>
      <c r="J134" s="7"/>
      <c r="K134" s="7"/>
      <c r="L134" s="7"/>
      <c r="M134" s="7"/>
      <c r="N134" s="7"/>
      <c r="O134" s="7"/>
      <c r="P134" s="7"/>
      <c r="Q134" s="7"/>
      <c r="R134" s="7"/>
      <c r="S134" s="7"/>
      <c r="T134" s="7"/>
      <c r="U134" s="7"/>
      <c r="V134" s="7"/>
      <c r="W134" s="9">
        <f t="shared" si="12"/>
        <v>0</v>
      </c>
      <c r="X134" s="9">
        <f t="shared" si="13"/>
        <v>8</v>
      </c>
      <c r="Y134" s="9" t="str">
        <f t="shared" si="14"/>
        <v/>
      </c>
      <c r="Z134" s="7"/>
    </row>
    <row r="135" spans="1:26" s="1" customFormat="1" ht="18" customHeight="1" x14ac:dyDescent="0.45">
      <c r="A135" s="5"/>
      <c r="B135" s="5"/>
      <c r="C135" s="5"/>
      <c r="D135" s="9" t="str">
        <f>IF(C135="","",VLOOKUP(C135,'Student Roster'!A:C,2,FALSE))</f>
        <v/>
      </c>
      <c r="E135" s="9" t="str">
        <f>IF(C135="","",VLOOKUP(C135,'Student Roster'!A:C,3,FALSE))</f>
        <v/>
      </c>
      <c r="F135" s="10" t="str">
        <f>IF(B135="","",VLOOKUP(B135,'ISS Placements'!A:N,14,FALSE))</f>
        <v/>
      </c>
      <c r="G135" s="5"/>
      <c r="H135" s="5"/>
      <c r="I135" s="5"/>
      <c r="J135" s="5"/>
      <c r="K135" s="5"/>
      <c r="L135" s="5"/>
      <c r="M135" s="5"/>
      <c r="N135" s="5"/>
      <c r="O135" s="5"/>
      <c r="P135" s="5"/>
      <c r="Q135" s="5"/>
      <c r="R135" s="5"/>
      <c r="S135" s="5"/>
      <c r="T135" s="5"/>
      <c r="U135" s="5"/>
      <c r="V135" s="5"/>
      <c r="W135" s="9">
        <f t="shared" si="12"/>
        <v>0</v>
      </c>
      <c r="X135" s="9">
        <f t="shared" si="13"/>
        <v>8</v>
      </c>
      <c r="Y135" s="9" t="str">
        <f t="shared" si="14"/>
        <v/>
      </c>
      <c r="Z135" s="5"/>
    </row>
    <row r="136" spans="1:26" s="1" customFormat="1" ht="18" customHeight="1" x14ac:dyDescent="0.45">
      <c r="A136" s="7"/>
      <c r="B136" s="7"/>
      <c r="C136" s="7"/>
      <c r="D136" s="9" t="str">
        <f>IF(C136="","",VLOOKUP(C136,'Student Roster'!A:C,2,FALSE))</f>
        <v/>
      </c>
      <c r="E136" s="9" t="str">
        <f>IF(C136="","",VLOOKUP(C136,'Student Roster'!A:C,3,FALSE))</f>
        <v/>
      </c>
      <c r="F136" s="10" t="str">
        <f>IF(B136="","",VLOOKUP(B136,'ISS Placements'!A:N,14,FALSE))</f>
        <v/>
      </c>
      <c r="G136" s="7"/>
      <c r="H136" s="7"/>
      <c r="I136" s="7"/>
      <c r="J136" s="7"/>
      <c r="K136" s="7"/>
      <c r="L136" s="7"/>
      <c r="M136" s="7"/>
      <c r="N136" s="7"/>
      <c r="O136" s="7"/>
      <c r="P136" s="7"/>
      <c r="Q136" s="7"/>
      <c r="R136" s="7"/>
      <c r="S136" s="7"/>
      <c r="T136" s="7"/>
      <c r="U136" s="7"/>
      <c r="V136" s="7"/>
      <c r="W136" s="9">
        <f t="shared" si="12"/>
        <v>0</v>
      </c>
      <c r="X136" s="9">
        <f t="shared" si="13"/>
        <v>8</v>
      </c>
      <c r="Y136" s="9" t="str">
        <f t="shared" si="14"/>
        <v/>
      </c>
      <c r="Z136" s="7"/>
    </row>
    <row r="137" spans="1:26" s="1" customFormat="1" ht="18" customHeight="1" x14ac:dyDescent="0.45">
      <c r="A137" s="5"/>
      <c r="B137" s="5"/>
      <c r="C137" s="5"/>
      <c r="D137" s="9" t="str">
        <f>IF(C137="","",VLOOKUP(C137,'Student Roster'!A:C,2,FALSE))</f>
        <v/>
      </c>
      <c r="E137" s="9" t="str">
        <f>IF(C137="","",VLOOKUP(C137,'Student Roster'!A:C,3,FALSE))</f>
        <v/>
      </c>
      <c r="F137" s="10" t="str">
        <f>IF(B137="","",VLOOKUP(B137,'ISS Placements'!A:N,14,FALSE))</f>
        <v/>
      </c>
      <c r="G137" s="5"/>
      <c r="H137" s="5"/>
      <c r="I137" s="5"/>
      <c r="J137" s="5"/>
      <c r="K137" s="5"/>
      <c r="L137" s="5"/>
      <c r="M137" s="5"/>
      <c r="N137" s="5"/>
      <c r="O137" s="5"/>
      <c r="P137" s="5"/>
      <c r="Q137" s="5"/>
      <c r="R137" s="5"/>
      <c r="S137" s="5"/>
      <c r="T137" s="5"/>
      <c r="U137" s="5"/>
      <c r="V137" s="5"/>
      <c r="W137" s="9">
        <f t="shared" si="12"/>
        <v>0</v>
      </c>
      <c r="X137" s="9">
        <f t="shared" si="13"/>
        <v>8</v>
      </c>
      <c r="Y137" s="9" t="str">
        <f t="shared" si="14"/>
        <v/>
      </c>
      <c r="Z137" s="5"/>
    </row>
    <row r="138" spans="1:26" s="1" customFormat="1" ht="18" customHeight="1" x14ac:dyDescent="0.45">
      <c r="A138" s="7"/>
      <c r="B138" s="7"/>
      <c r="C138" s="7"/>
      <c r="D138" s="9" t="str">
        <f>IF(C138="","",VLOOKUP(C138,'Student Roster'!A:C,2,FALSE))</f>
        <v/>
      </c>
      <c r="E138" s="9" t="str">
        <f>IF(C138="","",VLOOKUP(C138,'Student Roster'!A:C,3,FALSE))</f>
        <v/>
      </c>
      <c r="F138" s="10" t="str">
        <f>IF(B138="","",VLOOKUP(B138,'ISS Placements'!A:N,14,FALSE))</f>
        <v/>
      </c>
      <c r="G138" s="7"/>
      <c r="H138" s="7"/>
      <c r="I138" s="7"/>
      <c r="J138" s="7"/>
      <c r="K138" s="7"/>
      <c r="L138" s="7"/>
      <c r="M138" s="7"/>
      <c r="N138" s="7"/>
      <c r="O138" s="7"/>
      <c r="P138" s="7"/>
      <c r="Q138" s="7"/>
      <c r="R138" s="7"/>
      <c r="S138" s="7"/>
      <c r="T138" s="7"/>
      <c r="U138" s="7"/>
      <c r="V138" s="7"/>
      <c r="W138" s="9">
        <f t="shared" si="12"/>
        <v>0</v>
      </c>
      <c r="X138" s="9">
        <f t="shared" si="13"/>
        <v>8</v>
      </c>
      <c r="Y138" s="9" t="str">
        <f t="shared" si="14"/>
        <v/>
      </c>
      <c r="Z138" s="7"/>
    </row>
    <row r="139" spans="1:26" s="1" customFormat="1" ht="18" customHeight="1" x14ac:dyDescent="0.45">
      <c r="A139" s="5"/>
      <c r="B139" s="5"/>
      <c r="C139" s="5"/>
      <c r="D139" s="9" t="str">
        <f>IF(C139="","",VLOOKUP(C139,'Student Roster'!A:C,2,FALSE))</f>
        <v/>
      </c>
      <c r="E139" s="9" t="str">
        <f>IF(C139="","",VLOOKUP(C139,'Student Roster'!A:C,3,FALSE))</f>
        <v/>
      </c>
      <c r="F139" s="10" t="str">
        <f>IF(B139="","",VLOOKUP(B139,'ISS Placements'!A:N,14,FALSE))</f>
        <v/>
      </c>
      <c r="G139" s="5"/>
      <c r="H139" s="5"/>
      <c r="I139" s="5"/>
      <c r="J139" s="5"/>
      <c r="K139" s="5"/>
      <c r="L139" s="5"/>
      <c r="M139" s="5"/>
      <c r="N139" s="5"/>
      <c r="O139" s="5"/>
      <c r="P139" s="5"/>
      <c r="Q139" s="5"/>
      <c r="R139" s="5"/>
      <c r="S139" s="5"/>
      <c r="T139" s="5"/>
      <c r="U139" s="5"/>
      <c r="V139" s="5"/>
      <c r="W139" s="9">
        <f t="shared" si="12"/>
        <v>0</v>
      </c>
      <c r="X139" s="9">
        <f t="shared" si="13"/>
        <v>8</v>
      </c>
      <c r="Y139" s="9" t="str">
        <f t="shared" si="14"/>
        <v/>
      </c>
      <c r="Z139" s="5"/>
    </row>
    <row r="140" spans="1:26" s="1" customFormat="1" ht="18" customHeight="1" x14ac:dyDescent="0.45">
      <c r="A140" s="7"/>
      <c r="B140" s="7"/>
      <c r="C140" s="7"/>
      <c r="D140" s="9" t="str">
        <f>IF(C140="","",VLOOKUP(C140,'Student Roster'!A:C,2,FALSE))</f>
        <v/>
      </c>
      <c r="E140" s="9" t="str">
        <f>IF(C140="","",VLOOKUP(C140,'Student Roster'!A:C,3,FALSE))</f>
        <v/>
      </c>
      <c r="F140" s="10" t="str">
        <f>IF(B140="","",VLOOKUP(B140,'ISS Placements'!A:N,14,FALSE))</f>
        <v/>
      </c>
      <c r="G140" s="7"/>
      <c r="H140" s="7"/>
      <c r="I140" s="7"/>
      <c r="J140" s="7"/>
      <c r="K140" s="7"/>
      <c r="L140" s="7"/>
      <c r="M140" s="7"/>
      <c r="N140" s="7"/>
      <c r="O140" s="7"/>
      <c r="P140" s="7"/>
      <c r="Q140" s="7"/>
      <c r="R140" s="7"/>
      <c r="S140" s="7"/>
      <c r="T140" s="7"/>
      <c r="U140" s="7"/>
      <c r="V140" s="7"/>
      <c r="W140" s="9">
        <f t="shared" si="12"/>
        <v>0</v>
      </c>
      <c r="X140" s="9">
        <f t="shared" si="13"/>
        <v>8</v>
      </c>
      <c r="Y140" s="9" t="str">
        <f t="shared" si="14"/>
        <v/>
      </c>
      <c r="Z140" s="7"/>
    </row>
    <row r="141" spans="1:26" s="1" customFormat="1" ht="18" customHeight="1" x14ac:dyDescent="0.45">
      <c r="A141" s="5"/>
      <c r="B141" s="5"/>
      <c r="C141" s="5"/>
      <c r="D141" s="9" t="str">
        <f>IF(C141="","",VLOOKUP(C141,'Student Roster'!A:C,2,FALSE))</f>
        <v/>
      </c>
      <c r="E141" s="9" t="str">
        <f>IF(C141="","",VLOOKUP(C141,'Student Roster'!A:C,3,FALSE))</f>
        <v/>
      </c>
      <c r="F141" s="10" t="str">
        <f>IF(B141="","",VLOOKUP(B141,'ISS Placements'!A:N,14,FALSE))</f>
        <v/>
      </c>
      <c r="G141" s="5"/>
      <c r="H141" s="5"/>
      <c r="I141" s="5"/>
      <c r="J141" s="5"/>
      <c r="K141" s="5"/>
      <c r="L141" s="5"/>
      <c r="M141" s="5"/>
      <c r="N141" s="5"/>
      <c r="O141" s="5"/>
      <c r="P141" s="5"/>
      <c r="Q141" s="5"/>
      <c r="R141" s="5"/>
      <c r="S141" s="5"/>
      <c r="T141" s="5"/>
      <c r="U141" s="5"/>
      <c r="V141" s="5"/>
      <c r="W141" s="9">
        <f t="shared" si="12"/>
        <v>0</v>
      </c>
      <c r="X141" s="9">
        <f t="shared" si="13"/>
        <v>8</v>
      </c>
      <c r="Y141" s="9" t="str">
        <f t="shared" si="14"/>
        <v/>
      </c>
      <c r="Z141" s="5"/>
    </row>
    <row r="142" spans="1:26" s="1" customFormat="1" ht="18" customHeight="1" x14ac:dyDescent="0.45">
      <c r="A142" s="7"/>
      <c r="B142" s="7"/>
      <c r="C142" s="7"/>
      <c r="D142" s="9" t="str">
        <f>IF(C142="","",VLOOKUP(C142,'Student Roster'!A:C,2,FALSE))</f>
        <v/>
      </c>
      <c r="E142" s="9" t="str">
        <f>IF(C142="","",VLOOKUP(C142,'Student Roster'!A:C,3,FALSE))</f>
        <v/>
      </c>
      <c r="F142" s="10" t="str">
        <f>IF(B142="","",VLOOKUP(B142,'ISS Placements'!A:N,14,FALSE))</f>
        <v/>
      </c>
      <c r="G142" s="7"/>
      <c r="H142" s="7"/>
      <c r="I142" s="7"/>
      <c r="J142" s="7"/>
      <c r="K142" s="7"/>
      <c r="L142" s="7"/>
      <c r="M142" s="7"/>
      <c r="N142" s="7"/>
      <c r="O142" s="7"/>
      <c r="P142" s="7"/>
      <c r="Q142" s="7"/>
      <c r="R142" s="7"/>
      <c r="S142" s="7"/>
      <c r="T142" s="7"/>
      <c r="U142" s="7"/>
      <c r="V142" s="7"/>
      <c r="W142" s="9">
        <f t="shared" si="12"/>
        <v>0</v>
      </c>
      <c r="X142" s="9">
        <f t="shared" si="13"/>
        <v>8</v>
      </c>
      <c r="Y142" s="9" t="str">
        <f t="shared" si="14"/>
        <v/>
      </c>
      <c r="Z142" s="7"/>
    </row>
    <row r="143" spans="1:26" s="1" customFormat="1" ht="18" customHeight="1" x14ac:dyDescent="0.45">
      <c r="A143" s="5"/>
      <c r="B143" s="5"/>
      <c r="C143" s="5"/>
      <c r="D143" s="9" t="str">
        <f>IF(C143="","",VLOOKUP(C143,'Student Roster'!A:C,2,FALSE))</f>
        <v/>
      </c>
      <c r="E143" s="9" t="str">
        <f>IF(C143="","",VLOOKUP(C143,'Student Roster'!A:C,3,FALSE))</f>
        <v/>
      </c>
      <c r="F143" s="10" t="str">
        <f>IF(B143="","",VLOOKUP(B143,'ISS Placements'!A:N,14,FALSE))</f>
        <v/>
      </c>
      <c r="G143" s="5"/>
      <c r="H143" s="5"/>
      <c r="I143" s="5"/>
      <c r="J143" s="5"/>
      <c r="K143" s="5"/>
      <c r="L143" s="5"/>
      <c r="M143" s="5"/>
      <c r="N143" s="5"/>
      <c r="O143" s="5"/>
      <c r="P143" s="5"/>
      <c r="Q143" s="5"/>
      <c r="R143" s="5"/>
      <c r="S143" s="5"/>
      <c r="T143" s="5"/>
      <c r="U143" s="5"/>
      <c r="V143" s="5"/>
      <c r="W143" s="9">
        <f t="shared" si="12"/>
        <v>0</v>
      </c>
      <c r="X143" s="9">
        <f t="shared" si="13"/>
        <v>8</v>
      </c>
      <c r="Y143" s="9" t="str">
        <f t="shared" si="14"/>
        <v/>
      </c>
      <c r="Z143" s="5"/>
    </row>
    <row r="144" spans="1:26" s="1" customFormat="1" ht="18" customHeight="1" x14ac:dyDescent="0.45">
      <c r="A144" s="7"/>
      <c r="B144" s="7"/>
      <c r="C144" s="7"/>
      <c r="D144" s="9" t="str">
        <f>IF(C144="","",VLOOKUP(C144,'Student Roster'!A:C,2,FALSE))</f>
        <v/>
      </c>
      <c r="E144" s="9" t="str">
        <f>IF(C144="","",VLOOKUP(C144,'Student Roster'!A:C,3,FALSE))</f>
        <v/>
      </c>
      <c r="F144" s="10" t="str">
        <f>IF(B144="","",VLOOKUP(B144,'ISS Placements'!A:N,14,FALSE))</f>
        <v/>
      </c>
      <c r="G144" s="7"/>
      <c r="H144" s="7"/>
      <c r="I144" s="7"/>
      <c r="J144" s="7"/>
      <c r="K144" s="7"/>
      <c r="L144" s="7"/>
      <c r="M144" s="7"/>
      <c r="N144" s="7"/>
      <c r="O144" s="7"/>
      <c r="P144" s="7"/>
      <c r="Q144" s="7"/>
      <c r="R144" s="7"/>
      <c r="S144" s="7"/>
      <c r="T144" s="7"/>
      <c r="U144" s="7"/>
      <c r="V144" s="7"/>
      <c r="W144" s="9">
        <f t="shared" si="12"/>
        <v>0</v>
      </c>
      <c r="X144" s="9">
        <f t="shared" si="13"/>
        <v>8</v>
      </c>
      <c r="Y144" s="9" t="str">
        <f t="shared" si="14"/>
        <v/>
      </c>
      <c r="Z144" s="7"/>
    </row>
    <row r="145" spans="1:26" s="1" customFormat="1" ht="18" customHeight="1" x14ac:dyDescent="0.45">
      <c r="A145" s="5"/>
      <c r="B145" s="5"/>
      <c r="C145" s="5"/>
      <c r="D145" s="9" t="str">
        <f>IF(C145="","",VLOOKUP(C145,'Student Roster'!A:C,2,FALSE))</f>
        <v/>
      </c>
      <c r="E145" s="9" t="str">
        <f>IF(C145="","",VLOOKUP(C145,'Student Roster'!A:C,3,FALSE))</f>
        <v/>
      </c>
      <c r="F145" s="10" t="str">
        <f>IF(B145="","",VLOOKUP(B145,'ISS Placements'!A:N,14,FALSE))</f>
        <v/>
      </c>
      <c r="G145" s="5"/>
      <c r="H145" s="5"/>
      <c r="I145" s="5"/>
      <c r="J145" s="5"/>
      <c r="K145" s="5"/>
      <c r="L145" s="5"/>
      <c r="M145" s="5"/>
      <c r="N145" s="5"/>
      <c r="O145" s="5"/>
      <c r="P145" s="5"/>
      <c r="Q145" s="5"/>
      <c r="R145" s="5"/>
      <c r="S145" s="5"/>
      <c r="T145" s="5"/>
      <c r="U145" s="5"/>
      <c r="V145" s="5"/>
      <c r="W145" s="9">
        <f t="shared" si="12"/>
        <v>0</v>
      </c>
      <c r="X145" s="9">
        <f t="shared" si="13"/>
        <v>8</v>
      </c>
      <c r="Y145" s="9" t="str">
        <f t="shared" si="14"/>
        <v/>
      </c>
      <c r="Z145" s="5"/>
    </row>
    <row r="146" spans="1:26" s="1" customFormat="1" ht="18" customHeight="1" x14ac:dyDescent="0.45">
      <c r="A146" s="7"/>
      <c r="B146" s="7"/>
      <c r="C146" s="7"/>
      <c r="D146" s="9" t="str">
        <f>IF(C146="","",VLOOKUP(C146,'Student Roster'!A:C,2,FALSE))</f>
        <v/>
      </c>
      <c r="E146" s="9" t="str">
        <f>IF(C146="","",VLOOKUP(C146,'Student Roster'!A:C,3,FALSE))</f>
        <v/>
      </c>
      <c r="F146" s="10" t="str">
        <f>IF(B146="","",VLOOKUP(B146,'ISS Placements'!A:N,14,FALSE))</f>
        <v/>
      </c>
      <c r="G146" s="7"/>
      <c r="H146" s="7"/>
      <c r="I146" s="7"/>
      <c r="J146" s="7"/>
      <c r="K146" s="7"/>
      <c r="L146" s="7"/>
      <c r="M146" s="7"/>
      <c r="N146" s="7"/>
      <c r="O146" s="7"/>
      <c r="P146" s="7"/>
      <c r="Q146" s="7"/>
      <c r="R146" s="7"/>
      <c r="S146" s="7"/>
      <c r="T146" s="7"/>
      <c r="U146" s="7"/>
      <c r="V146" s="7"/>
      <c r="W146" s="9">
        <f t="shared" si="12"/>
        <v>0</v>
      </c>
      <c r="X146" s="9">
        <f t="shared" si="13"/>
        <v>8</v>
      </c>
      <c r="Y146" s="9" t="str">
        <f t="shared" si="14"/>
        <v/>
      </c>
      <c r="Z146" s="7"/>
    </row>
    <row r="147" spans="1:26" s="1" customFormat="1" ht="18" customHeight="1" x14ac:dyDescent="0.45">
      <c r="A147" s="5"/>
      <c r="B147" s="5"/>
      <c r="C147" s="5"/>
      <c r="D147" s="9" t="str">
        <f>IF(C147="","",VLOOKUP(C147,'Student Roster'!A:C,2,FALSE))</f>
        <v/>
      </c>
      <c r="E147" s="9" t="str">
        <f>IF(C147="","",VLOOKUP(C147,'Student Roster'!A:C,3,FALSE))</f>
        <v/>
      </c>
      <c r="F147" s="10" t="str">
        <f>IF(B147="","",VLOOKUP(B147,'ISS Placements'!A:N,14,FALSE))</f>
        <v/>
      </c>
      <c r="G147" s="5"/>
      <c r="H147" s="5"/>
      <c r="I147" s="5"/>
      <c r="J147" s="5"/>
      <c r="K147" s="5"/>
      <c r="L147" s="5"/>
      <c r="M147" s="5"/>
      <c r="N147" s="5"/>
      <c r="O147" s="5"/>
      <c r="P147" s="5"/>
      <c r="Q147" s="5"/>
      <c r="R147" s="5"/>
      <c r="S147" s="5"/>
      <c r="T147" s="5"/>
      <c r="U147" s="5"/>
      <c r="V147" s="5"/>
      <c r="W147" s="9">
        <f t="shared" si="12"/>
        <v>0</v>
      </c>
      <c r="X147" s="9">
        <f t="shared" si="13"/>
        <v>8</v>
      </c>
      <c r="Y147" s="9" t="str">
        <f t="shared" si="14"/>
        <v/>
      </c>
      <c r="Z147" s="5"/>
    </row>
    <row r="148" spans="1:26" s="1" customFormat="1" ht="18" customHeight="1" x14ac:dyDescent="0.45">
      <c r="A148" s="7"/>
      <c r="B148" s="7"/>
      <c r="C148" s="7"/>
      <c r="D148" s="9" t="str">
        <f>IF(C148="","",VLOOKUP(C148,'Student Roster'!A:C,2,FALSE))</f>
        <v/>
      </c>
      <c r="E148" s="9" t="str">
        <f>IF(C148="","",VLOOKUP(C148,'Student Roster'!A:C,3,FALSE))</f>
        <v/>
      </c>
      <c r="F148" s="10" t="str">
        <f>IF(B148="","",VLOOKUP(B148,'ISS Placements'!A:N,14,FALSE))</f>
        <v/>
      </c>
      <c r="G148" s="7"/>
      <c r="H148" s="7"/>
      <c r="I148" s="7"/>
      <c r="J148" s="7"/>
      <c r="K148" s="7"/>
      <c r="L148" s="7"/>
      <c r="M148" s="7"/>
      <c r="N148" s="7"/>
      <c r="O148" s="7"/>
      <c r="P148" s="7"/>
      <c r="Q148" s="7"/>
      <c r="R148" s="7"/>
      <c r="S148" s="7"/>
      <c r="T148" s="7"/>
      <c r="U148" s="7"/>
      <c r="V148" s="7"/>
      <c r="W148" s="9">
        <f t="shared" si="12"/>
        <v>0</v>
      </c>
      <c r="X148" s="9">
        <f t="shared" si="13"/>
        <v>8</v>
      </c>
      <c r="Y148" s="9" t="str">
        <f t="shared" si="14"/>
        <v/>
      </c>
      <c r="Z148" s="7"/>
    </row>
    <row r="149" spans="1:26" s="1" customFormat="1" ht="18" customHeight="1" x14ac:dyDescent="0.45">
      <c r="A149" s="5"/>
      <c r="B149" s="5"/>
      <c r="C149" s="5"/>
      <c r="D149" s="9" t="str">
        <f>IF(C149="","",VLOOKUP(C149,'Student Roster'!A:C,2,FALSE))</f>
        <v/>
      </c>
      <c r="E149" s="9" t="str">
        <f>IF(C149="","",VLOOKUP(C149,'Student Roster'!A:C,3,FALSE))</f>
        <v/>
      </c>
      <c r="F149" s="10" t="str">
        <f>IF(B149="","",VLOOKUP(B149,'ISS Placements'!A:N,14,FALSE))</f>
        <v/>
      </c>
      <c r="G149" s="5"/>
      <c r="H149" s="5"/>
      <c r="I149" s="5"/>
      <c r="J149" s="5"/>
      <c r="K149" s="5"/>
      <c r="L149" s="5"/>
      <c r="M149" s="5"/>
      <c r="N149" s="5"/>
      <c r="O149" s="5"/>
      <c r="P149" s="5"/>
      <c r="Q149" s="5"/>
      <c r="R149" s="5"/>
      <c r="S149" s="5"/>
      <c r="T149" s="5"/>
      <c r="U149" s="5"/>
      <c r="V149" s="5"/>
      <c r="W149" s="9">
        <f t="shared" si="12"/>
        <v>0</v>
      </c>
      <c r="X149" s="9">
        <f t="shared" si="13"/>
        <v>8</v>
      </c>
      <c r="Y149" s="9" t="str">
        <f t="shared" si="14"/>
        <v/>
      </c>
      <c r="Z149" s="5"/>
    </row>
    <row r="150" spans="1:26" s="1" customFormat="1" ht="18" customHeight="1" x14ac:dyDescent="0.45">
      <c r="A150" s="7"/>
      <c r="B150" s="7"/>
      <c r="C150" s="7"/>
      <c r="D150" s="9" t="str">
        <f>IF(C150="","",VLOOKUP(C150,'Student Roster'!A:C,2,FALSE))</f>
        <v/>
      </c>
      <c r="E150" s="9" t="str">
        <f>IF(C150="","",VLOOKUP(C150,'Student Roster'!A:C,3,FALSE))</f>
        <v/>
      </c>
      <c r="F150" s="10" t="str">
        <f>IF(B150="","",VLOOKUP(B150,'ISS Placements'!A:N,14,FALSE))</f>
        <v/>
      </c>
      <c r="G150" s="7"/>
      <c r="H150" s="7"/>
      <c r="I150" s="7"/>
      <c r="J150" s="7"/>
      <c r="K150" s="7"/>
      <c r="L150" s="7"/>
      <c r="M150" s="7"/>
      <c r="N150" s="7"/>
      <c r="O150" s="7"/>
      <c r="P150" s="7"/>
      <c r="Q150" s="7"/>
      <c r="R150" s="7"/>
      <c r="S150" s="7"/>
      <c r="T150" s="7"/>
      <c r="U150" s="7"/>
      <c r="V150" s="7"/>
      <c r="W150" s="9">
        <f t="shared" si="12"/>
        <v>0</v>
      </c>
      <c r="X150" s="9">
        <f t="shared" si="13"/>
        <v>8</v>
      </c>
      <c r="Y150" s="9" t="str">
        <f t="shared" si="14"/>
        <v/>
      </c>
      <c r="Z150" s="7"/>
    </row>
    <row r="151" spans="1:26" s="1" customFormat="1" ht="18" customHeight="1" x14ac:dyDescent="0.45">
      <c r="A151" s="5"/>
      <c r="B151" s="5"/>
      <c r="C151" s="5"/>
      <c r="D151" s="9" t="str">
        <f>IF(C151="","",VLOOKUP(C151,'Student Roster'!A:C,2,FALSE))</f>
        <v/>
      </c>
      <c r="E151" s="9" t="str">
        <f>IF(C151="","",VLOOKUP(C151,'Student Roster'!A:C,3,FALSE))</f>
        <v/>
      </c>
      <c r="F151" s="10" t="str">
        <f>IF(B151="","",VLOOKUP(B151,'ISS Placements'!A:N,14,FALSE))</f>
        <v/>
      </c>
      <c r="G151" s="5"/>
      <c r="H151" s="5"/>
      <c r="I151" s="5"/>
      <c r="J151" s="5"/>
      <c r="K151" s="5"/>
      <c r="L151" s="5"/>
      <c r="M151" s="5"/>
      <c r="N151" s="5"/>
      <c r="O151" s="5"/>
      <c r="P151" s="5"/>
      <c r="Q151" s="5"/>
      <c r="R151" s="5"/>
      <c r="S151" s="5"/>
      <c r="T151" s="5"/>
      <c r="U151" s="5"/>
      <c r="V151" s="5"/>
      <c r="W151" s="9">
        <f t="shared" si="12"/>
        <v>0</v>
      </c>
      <c r="X151" s="9">
        <f t="shared" si="13"/>
        <v>8</v>
      </c>
      <c r="Y151" s="9" t="str">
        <f t="shared" si="14"/>
        <v/>
      </c>
      <c r="Z151" s="5"/>
    </row>
    <row r="152" spans="1:26" s="1" customFormat="1" ht="18" customHeight="1" x14ac:dyDescent="0.45">
      <c r="A152" s="7"/>
      <c r="B152" s="7"/>
      <c r="C152" s="7"/>
      <c r="D152" s="9" t="str">
        <f>IF(C152="","",VLOOKUP(C152,'Student Roster'!A:C,2,FALSE))</f>
        <v/>
      </c>
      <c r="E152" s="9" t="str">
        <f>IF(C152="","",VLOOKUP(C152,'Student Roster'!A:C,3,FALSE))</f>
        <v/>
      </c>
      <c r="F152" s="10" t="str">
        <f>IF(B152="","",VLOOKUP(B152,'ISS Placements'!A:N,14,FALSE))</f>
        <v/>
      </c>
      <c r="G152" s="7"/>
      <c r="H152" s="7"/>
      <c r="I152" s="7"/>
      <c r="J152" s="7"/>
      <c r="K152" s="7"/>
      <c r="L152" s="7"/>
      <c r="M152" s="7"/>
      <c r="N152" s="7"/>
      <c r="O152" s="7"/>
      <c r="P152" s="7"/>
      <c r="Q152" s="7"/>
      <c r="R152" s="7"/>
      <c r="S152" s="7"/>
      <c r="T152" s="7"/>
      <c r="U152" s="7"/>
      <c r="V152" s="7"/>
      <c r="W152" s="9">
        <f t="shared" si="12"/>
        <v>0</v>
      </c>
      <c r="X152" s="9">
        <f t="shared" si="13"/>
        <v>8</v>
      </c>
      <c r="Y152" s="9" t="str">
        <f t="shared" si="14"/>
        <v/>
      </c>
      <c r="Z152" s="7"/>
    </row>
    <row r="153" spans="1:26" s="1" customFormat="1" ht="18" customHeight="1" x14ac:dyDescent="0.45">
      <c r="A153" s="5"/>
      <c r="B153" s="5"/>
      <c r="C153" s="5"/>
      <c r="D153" s="9" t="str">
        <f>IF(C153="","",VLOOKUP(C153,'Student Roster'!A:C,2,FALSE))</f>
        <v/>
      </c>
      <c r="E153" s="9" t="str">
        <f>IF(C153="","",VLOOKUP(C153,'Student Roster'!A:C,3,FALSE))</f>
        <v/>
      </c>
      <c r="F153" s="10" t="str">
        <f>IF(B153="","",VLOOKUP(B153,'ISS Placements'!A:N,14,FALSE))</f>
        <v/>
      </c>
      <c r="G153" s="5"/>
      <c r="H153" s="5"/>
      <c r="I153" s="5"/>
      <c r="J153" s="5"/>
      <c r="K153" s="5"/>
      <c r="L153" s="5"/>
      <c r="M153" s="5"/>
      <c r="N153" s="5"/>
      <c r="O153" s="5"/>
      <c r="P153" s="5"/>
      <c r="Q153" s="5"/>
      <c r="R153" s="5"/>
      <c r="S153" s="5"/>
      <c r="T153" s="5"/>
      <c r="U153" s="5"/>
      <c r="V153" s="5"/>
      <c r="W153" s="9">
        <f t="shared" si="12"/>
        <v>0</v>
      </c>
      <c r="X153" s="9">
        <f t="shared" si="13"/>
        <v>8</v>
      </c>
      <c r="Y153" s="9" t="str">
        <f t="shared" si="14"/>
        <v/>
      </c>
      <c r="Z153" s="5"/>
    </row>
    <row r="154" spans="1:26" s="1" customFormat="1" ht="19.5" customHeight="1" x14ac:dyDescent="0.45">
      <c r="A154" s="73" t="s">
        <v>54</v>
      </c>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sheetData>
  <mergeCells count="3">
    <mergeCell ref="A1:Z1"/>
    <mergeCell ref="A2:Z2"/>
    <mergeCell ref="A154:Z154"/>
  </mergeCells>
  <conditionalFormatting sqref="A4:Z153">
    <cfRule type="expression" dxfId="8" priority="2">
      <formula>$Y4="✅ READY TO RETURN"</formula>
    </cfRule>
    <cfRule type="expression" dxfId="7" priority="3">
      <formula>AND($Y4&lt;&gt;"✅ READY TO RETURN",$F4&lt;TODAY(),$C4&lt;&gt;"")</formula>
    </cfRule>
    <cfRule type="expression" dxfId="6" priority="4">
      <formula>AND($Y4&lt;&gt;"✅ READY TO RETURN",$F4-TODAY()&lt;=1,$C4&lt;&gt;"")</formula>
    </cfRule>
  </conditionalFormatting>
  <pageMargins left="0.75" right="0.75" top="1" bottom="1" header="0.511811023622047" footer="0.511811023622047"/>
  <pageSetup orientation="landscape" useFirstPageNumber="1" horizontalDpi="300" verticalDpi="300"/>
  <extLst>
    <ext xmlns:x14="http://schemas.microsoft.com/office/spreadsheetml/2009/9/main" uri="{CCE6A557-97BC-4b89-ADB6-D9C93CAAB3DF}">
      <x14:dataValidations xmlns:xm="http://schemas.microsoft.com/office/excel/2006/main" count="1">
        <x14:dataValidation type="list" allowBlank="1" xr:uid="{00000000-0002-0000-0400-000000000000}">
          <x14:formula1>
            <xm:f>Lists!$I$2:$I$4</xm:f>
          </x14:formula1>
          <xm:sqref>G4:G153 I4:I153 K4:K153 M4:M153 O4:O153 Q4:Q153 S4:S153 U4:U153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88888"/>
    <pageSetUpPr fitToPage="1"/>
  </sheetPr>
  <dimension ref="A1:H12"/>
  <sheetViews>
    <sheetView zoomScaleNormal="100" workbookViewId="0"/>
  </sheetViews>
  <sheetFormatPr defaultColWidth="8.6640625" defaultRowHeight="14.25" x14ac:dyDescent="0.45"/>
  <cols>
    <col min="1" max="1" width="9" style="1" customWidth="1"/>
    <col min="2" max="2" width="30" style="1" customWidth="1"/>
    <col min="3" max="4" width="36" style="1" customWidth="1"/>
    <col min="5" max="5" width="16" style="1" customWidth="1"/>
    <col min="6" max="6" width="22" style="1" customWidth="1"/>
    <col min="7" max="7" width="50" style="1" customWidth="1"/>
    <col min="8" max="8" width="36" style="1" customWidth="1"/>
  </cols>
  <sheetData>
    <row r="1" spans="1:8" s="1" customFormat="1" ht="43.5" customHeight="1" x14ac:dyDescent="0.45">
      <c r="A1" s="72" t="s">
        <v>115</v>
      </c>
      <c r="B1" s="64"/>
      <c r="C1" s="64"/>
      <c r="D1" s="64"/>
      <c r="E1" s="64"/>
      <c r="F1" s="64"/>
      <c r="G1" s="64"/>
      <c r="H1" s="64"/>
    </row>
    <row r="2" spans="1:8" s="1" customFormat="1" ht="21.75" customHeight="1" x14ac:dyDescent="0.45">
      <c r="A2" s="74" t="s">
        <v>116</v>
      </c>
      <c r="B2" s="64"/>
      <c r="C2" s="64"/>
      <c r="D2" s="64"/>
      <c r="E2" s="64"/>
      <c r="F2" s="64"/>
      <c r="G2" s="64"/>
      <c r="H2" s="64"/>
    </row>
    <row r="3" spans="1:8" s="1" customFormat="1" ht="36" customHeight="1" x14ac:dyDescent="0.45">
      <c r="A3" s="8" t="s">
        <v>117</v>
      </c>
      <c r="B3" s="8" t="s">
        <v>118</v>
      </c>
      <c r="C3" s="8" t="s">
        <v>119</v>
      </c>
      <c r="D3" s="8" t="s">
        <v>120</v>
      </c>
      <c r="E3" s="8" t="s">
        <v>121</v>
      </c>
      <c r="F3" s="8" t="s">
        <v>122</v>
      </c>
      <c r="G3" s="8" t="s">
        <v>123</v>
      </c>
      <c r="H3" s="8" t="s">
        <v>124</v>
      </c>
    </row>
    <row r="4" spans="1:8" s="1" customFormat="1" ht="69.75" customHeight="1" x14ac:dyDescent="0.45">
      <c r="A4" s="12" t="s">
        <v>125</v>
      </c>
      <c r="B4" s="13" t="s">
        <v>126</v>
      </c>
      <c r="C4" s="7" t="s">
        <v>127</v>
      </c>
      <c r="D4" s="7" t="s">
        <v>128</v>
      </c>
      <c r="E4" s="7" t="s">
        <v>129</v>
      </c>
      <c r="F4" s="7" t="s">
        <v>130</v>
      </c>
      <c r="G4" s="7" t="s">
        <v>131</v>
      </c>
      <c r="H4" s="7" t="s">
        <v>132</v>
      </c>
    </row>
    <row r="5" spans="1:8" s="1" customFormat="1" ht="69.75" customHeight="1" x14ac:dyDescent="0.45">
      <c r="A5" s="12" t="s">
        <v>133</v>
      </c>
      <c r="B5" s="14" t="s">
        <v>134</v>
      </c>
      <c r="C5" s="5" t="s">
        <v>135</v>
      </c>
      <c r="D5" s="5" t="s">
        <v>136</v>
      </c>
      <c r="E5" s="5" t="s">
        <v>137</v>
      </c>
      <c r="F5" s="5" t="s">
        <v>138</v>
      </c>
      <c r="G5" s="5" t="s">
        <v>139</v>
      </c>
      <c r="H5" s="5" t="s">
        <v>140</v>
      </c>
    </row>
    <row r="6" spans="1:8" s="1" customFormat="1" ht="69.75" customHeight="1" x14ac:dyDescent="0.45">
      <c r="A6" s="12" t="s">
        <v>141</v>
      </c>
      <c r="B6" s="13" t="s">
        <v>142</v>
      </c>
      <c r="C6" s="7" t="s">
        <v>143</v>
      </c>
      <c r="D6" s="7" t="s">
        <v>128</v>
      </c>
      <c r="E6" s="7" t="s">
        <v>129</v>
      </c>
      <c r="F6" s="7" t="s">
        <v>144</v>
      </c>
      <c r="G6" s="7" t="s">
        <v>145</v>
      </c>
      <c r="H6" s="7" t="s">
        <v>146</v>
      </c>
    </row>
    <row r="7" spans="1:8" s="1" customFormat="1" ht="69.75" customHeight="1" x14ac:dyDescent="0.45">
      <c r="A7" s="12" t="s">
        <v>147</v>
      </c>
      <c r="B7" s="14" t="s">
        <v>148</v>
      </c>
      <c r="C7" s="5" t="s">
        <v>149</v>
      </c>
      <c r="D7" s="5" t="s">
        <v>136</v>
      </c>
      <c r="E7" s="5" t="s">
        <v>150</v>
      </c>
      <c r="F7" s="5" t="s">
        <v>151</v>
      </c>
      <c r="G7" s="5" t="s">
        <v>152</v>
      </c>
      <c r="H7" s="5" t="s">
        <v>153</v>
      </c>
    </row>
    <row r="8" spans="1:8" s="1" customFormat="1" ht="69.75" customHeight="1" x14ac:dyDescent="0.45">
      <c r="A8" s="12" t="s">
        <v>154</v>
      </c>
      <c r="B8" s="13" t="s">
        <v>155</v>
      </c>
      <c r="C8" s="7" t="s">
        <v>156</v>
      </c>
      <c r="D8" s="7" t="s">
        <v>128</v>
      </c>
      <c r="E8" s="7" t="s">
        <v>157</v>
      </c>
      <c r="F8" s="7" t="s">
        <v>158</v>
      </c>
      <c r="G8" s="7" t="s">
        <v>159</v>
      </c>
      <c r="H8" s="7" t="s">
        <v>160</v>
      </c>
    </row>
    <row r="9" spans="1:8" s="1" customFormat="1" ht="69.75" customHeight="1" x14ac:dyDescent="0.45">
      <c r="A9" s="12" t="s">
        <v>161</v>
      </c>
      <c r="B9" s="14" t="s">
        <v>162</v>
      </c>
      <c r="C9" s="5" t="s">
        <v>163</v>
      </c>
      <c r="D9" s="5" t="s">
        <v>164</v>
      </c>
      <c r="E9" s="5" t="s">
        <v>165</v>
      </c>
      <c r="F9" s="5" t="s">
        <v>166</v>
      </c>
      <c r="G9" s="5" t="s">
        <v>167</v>
      </c>
      <c r="H9" s="5" t="s">
        <v>168</v>
      </c>
    </row>
    <row r="10" spans="1:8" s="1" customFormat="1" ht="69.75" customHeight="1" x14ac:dyDescent="0.45">
      <c r="A10" s="12" t="s">
        <v>169</v>
      </c>
      <c r="B10" s="13" t="s">
        <v>170</v>
      </c>
      <c r="C10" s="7" t="s">
        <v>171</v>
      </c>
      <c r="D10" s="7" t="s">
        <v>164</v>
      </c>
      <c r="E10" s="7" t="s">
        <v>172</v>
      </c>
      <c r="F10" s="7" t="s">
        <v>173</v>
      </c>
      <c r="G10" s="7" t="s">
        <v>174</v>
      </c>
      <c r="H10" s="7" t="s">
        <v>175</v>
      </c>
    </row>
    <row r="11" spans="1:8" s="1" customFormat="1" ht="69.75" customHeight="1" x14ac:dyDescent="0.45">
      <c r="A11" s="12" t="s">
        <v>176</v>
      </c>
      <c r="B11" s="14" t="s">
        <v>177</v>
      </c>
      <c r="C11" s="5" t="s">
        <v>178</v>
      </c>
      <c r="D11" s="5" t="s">
        <v>179</v>
      </c>
      <c r="E11" s="5" t="s">
        <v>180</v>
      </c>
      <c r="F11" s="5" t="s">
        <v>181</v>
      </c>
      <c r="G11" s="5" t="s">
        <v>182</v>
      </c>
      <c r="H11" s="5" t="s">
        <v>183</v>
      </c>
    </row>
    <row r="12" spans="1:8" s="1" customFormat="1" ht="19.5" customHeight="1" x14ac:dyDescent="0.45">
      <c r="A12" s="73" t="s">
        <v>54</v>
      </c>
      <c r="B12" s="64"/>
      <c r="C12" s="64"/>
      <c r="D12" s="64"/>
      <c r="E12" s="64"/>
      <c r="F12" s="64"/>
      <c r="G12" s="64"/>
      <c r="H12" s="64"/>
    </row>
  </sheetData>
  <mergeCells count="3">
    <mergeCell ref="A12:H12"/>
    <mergeCell ref="A2:H2"/>
    <mergeCell ref="A1:H1"/>
  </mergeCells>
  <pageMargins left="0.75" right="0.75" top="1" bottom="1" header="0.511811023622047" footer="0.511811023622047"/>
  <pageSetup orientation="portrait" useFirstPageNumber="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8650A"/>
  </sheetPr>
  <dimension ref="A1:I65"/>
  <sheetViews>
    <sheetView zoomScaleNormal="100" workbookViewId="0">
      <pane xSplit="1" ySplit="4" topLeftCell="B5" activePane="bottomRight" state="frozen"/>
      <selection pane="topRight"/>
      <selection pane="bottomLeft"/>
      <selection pane="bottomRight"/>
    </sheetView>
  </sheetViews>
  <sheetFormatPr defaultColWidth="8.6640625" defaultRowHeight="14.25" x14ac:dyDescent="0.45"/>
  <cols>
    <col min="1" max="1" width="3" style="1" customWidth="1"/>
    <col min="2" max="2" width="24" style="1" customWidth="1"/>
    <col min="3" max="3" width="18" style="1" customWidth="1"/>
    <col min="4" max="7" width="42" style="1" customWidth="1"/>
    <col min="8" max="8" width="28" style="1" customWidth="1"/>
    <col min="9" max="9" width="3" style="1" customWidth="1"/>
  </cols>
  <sheetData>
    <row r="1" spans="1:9" s="1" customFormat="1" ht="43.5" customHeight="1" x14ac:dyDescent="0.45">
      <c r="A1" s="72" t="s">
        <v>184</v>
      </c>
      <c r="B1" s="64"/>
      <c r="C1" s="64"/>
      <c r="D1" s="64"/>
      <c r="E1" s="64"/>
      <c r="F1" s="64"/>
      <c r="G1" s="64"/>
      <c r="H1" s="64"/>
      <c r="I1" s="64"/>
    </row>
    <row r="2" spans="1:9" s="1" customFormat="1" ht="21.75" customHeight="1" x14ac:dyDescent="0.45">
      <c r="A2" s="74" t="s">
        <v>185</v>
      </c>
      <c r="B2" s="64"/>
      <c r="C2" s="64"/>
      <c r="D2" s="64"/>
      <c r="E2" s="64"/>
      <c r="F2" s="64"/>
      <c r="G2" s="64"/>
      <c r="H2" s="64"/>
      <c r="I2" s="64"/>
    </row>
    <row r="3" spans="1:9" s="1" customFormat="1" ht="21.75" customHeight="1" x14ac:dyDescent="0.45">
      <c r="A3" s="77" t="s">
        <v>186</v>
      </c>
      <c r="B3" s="64"/>
      <c r="C3" s="64"/>
      <c r="D3" s="64"/>
      <c r="E3" s="64"/>
      <c r="F3" s="64"/>
      <c r="G3" s="64"/>
      <c r="H3" s="64"/>
      <c r="I3" s="64"/>
    </row>
    <row r="4" spans="1:9" s="1" customFormat="1" ht="39.75" customHeight="1" x14ac:dyDescent="0.45">
      <c r="A4" s="8"/>
      <c r="B4" s="8" t="s">
        <v>187</v>
      </c>
      <c r="C4" s="8" t="s">
        <v>188</v>
      </c>
      <c r="D4" s="8" t="s">
        <v>189</v>
      </c>
      <c r="E4" s="8" t="s">
        <v>190</v>
      </c>
      <c r="F4" s="8" t="s">
        <v>191</v>
      </c>
      <c r="G4" s="8" t="s">
        <v>192</v>
      </c>
      <c r="H4" s="8" t="s">
        <v>193</v>
      </c>
      <c r="I4" s="8"/>
    </row>
    <row r="5" spans="1:9" s="1" customFormat="1" ht="25.5" customHeight="1" x14ac:dyDescent="0.45">
      <c r="A5" s="15"/>
      <c r="B5" s="75" t="s">
        <v>194</v>
      </c>
      <c r="C5" s="64"/>
      <c r="D5" s="64"/>
      <c r="E5" s="64"/>
      <c r="F5" s="64"/>
      <c r="G5" s="64"/>
      <c r="H5" s="64"/>
      <c r="I5" s="64"/>
    </row>
    <row r="6" spans="1:9" s="1" customFormat="1" ht="18" customHeight="1" x14ac:dyDescent="0.45">
      <c r="A6" s="15"/>
      <c r="B6" s="76" t="s">
        <v>195</v>
      </c>
      <c r="C6" s="64"/>
      <c r="D6" s="64"/>
      <c r="E6" s="64"/>
      <c r="F6" s="64"/>
      <c r="G6" s="64"/>
      <c r="H6" s="64"/>
      <c r="I6" s="64"/>
    </row>
    <row r="7" spans="1:9" s="1" customFormat="1" ht="21.75" customHeight="1" x14ac:dyDescent="0.45">
      <c r="A7" s="16"/>
      <c r="D7" s="17" t="s">
        <v>196</v>
      </c>
      <c r="E7" s="17" t="s">
        <v>197</v>
      </c>
      <c r="F7" s="17" t="s">
        <v>198</v>
      </c>
      <c r="G7" s="17" t="s">
        <v>199</v>
      </c>
      <c r="H7" s="18" t="s">
        <v>200</v>
      </c>
      <c r="I7" s="19"/>
    </row>
    <row r="8" spans="1:9" s="1" customFormat="1" ht="90" customHeight="1" x14ac:dyDescent="0.45">
      <c r="A8" s="16"/>
      <c r="B8" s="16"/>
      <c r="C8" s="20" t="s">
        <v>201</v>
      </c>
      <c r="D8" s="21" t="s">
        <v>202</v>
      </c>
      <c r="E8" s="21" t="s">
        <v>203</v>
      </c>
      <c r="F8" s="21" t="s">
        <v>204</v>
      </c>
      <c r="G8" s="21" t="s">
        <v>205</v>
      </c>
      <c r="H8" s="22" t="s">
        <v>206</v>
      </c>
      <c r="I8" s="16"/>
    </row>
    <row r="9" spans="1:9" s="1" customFormat="1" ht="6" customHeight="1" x14ac:dyDescent="0.45">
      <c r="A9" s="23"/>
      <c r="B9" s="23"/>
      <c r="C9" s="23"/>
      <c r="D9" s="23"/>
      <c r="E9" s="23"/>
      <c r="F9" s="23"/>
      <c r="G9" s="23"/>
      <c r="H9" s="23"/>
      <c r="I9" s="23"/>
    </row>
    <row r="10" spans="1:9" s="1" customFormat="1" ht="25.5" customHeight="1" x14ac:dyDescent="0.45">
      <c r="A10" s="15"/>
      <c r="B10" s="75" t="s">
        <v>207</v>
      </c>
      <c r="C10" s="64"/>
      <c r="D10" s="64"/>
      <c r="E10" s="64"/>
      <c r="F10" s="64"/>
      <c r="G10" s="64"/>
      <c r="H10" s="64"/>
      <c r="I10" s="64"/>
    </row>
    <row r="11" spans="1:9" s="1" customFormat="1" ht="18" customHeight="1" x14ac:dyDescent="0.45">
      <c r="A11" s="15"/>
      <c r="B11" s="76" t="s">
        <v>208</v>
      </c>
      <c r="C11" s="64"/>
      <c r="D11" s="64"/>
      <c r="E11" s="64"/>
      <c r="F11" s="64"/>
      <c r="G11" s="64"/>
      <c r="H11" s="64"/>
      <c r="I11" s="64"/>
    </row>
    <row r="12" spans="1:9" s="1" customFormat="1" ht="21.75" customHeight="1" x14ac:dyDescent="0.45">
      <c r="A12" s="16"/>
      <c r="D12" s="17" t="s">
        <v>196</v>
      </c>
      <c r="E12" s="17" t="s">
        <v>197</v>
      </c>
      <c r="F12" s="17" t="s">
        <v>198</v>
      </c>
      <c r="G12" s="17" t="s">
        <v>199</v>
      </c>
      <c r="H12" s="18" t="s">
        <v>200</v>
      </c>
      <c r="I12" s="19"/>
    </row>
    <row r="13" spans="1:9" s="1" customFormat="1" ht="90" customHeight="1" x14ac:dyDescent="0.45">
      <c r="A13" s="16"/>
      <c r="B13" s="16"/>
      <c r="C13" s="20" t="s">
        <v>209</v>
      </c>
      <c r="D13" s="21" t="s">
        <v>210</v>
      </c>
      <c r="E13" s="21" t="s">
        <v>211</v>
      </c>
      <c r="F13" s="21" t="s">
        <v>212</v>
      </c>
      <c r="G13" s="21" t="s">
        <v>213</v>
      </c>
      <c r="H13" s="22" t="s">
        <v>214</v>
      </c>
      <c r="I13" s="16"/>
    </row>
    <row r="14" spans="1:9" s="1" customFormat="1" ht="6" customHeight="1" x14ac:dyDescent="0.45">
      <c r="A14" s="23"/>
      <c r="B14" s="23"/>
      <c r="C14" s="23"/>
      <c r="D14" s="23"/>
      <c r="E14" s="23"/>
      <c r="F14" s="23"/>
      <c r="G14" s="23"/>
      <c r="H14" s="23"/>
      <c r="I14" s="23"/>
    </row>
    <row r="15" spans="1:9" s="1" customFormat="1" ht="25.5" customHeight="1" x14ac:dyDescent="0.45">
      <c r="A15" s="15"/>
      <c r="B15" s="75" t="s">
        <v>215</v>
      </c>
      <c r="C15" s="64"/>
      <c r="D15" s="64"/>
      <c r="E15" s="64"/>
      <c r="F15" s="64"/>
      <c r="G15" s="64"/>
      <c r="H15" s="64"/>
      <c r="I15" s="64"/>
    </row>
    <row r="16" spans="1:9" s="1" customFormat="1" ht="18" customHeight="1" x14ac:dyDescent="0.45">
      <c r="A16" s="15"/>
      <c r="B16" s="76" t="s">
        <v>216</v>
      </c>
      <c r="C16" s="64"/>
      <c r="D16" s="64"/>
      <c r="E16" s="64"/>
      <c r="F16" s="64"/>
      <c r="G16" s="64"/>
      <c r="H16" s="64"/>
      <c r="I16" s="64"/>
    </row>
    <row r="17" spans="1:9" s="1" customFormat="1" ht="21.75" customHeight="1" x14ac:dyDescent="0.45">
      <c r="A17" s="16"/>
      <c r="D17" s="17" t="s">
        <v>196</v>
      </c>
      <c r="E17" s="17" t="s">
        <v>197</v>
      </c>
      <c r="F17" s="17" t="s">
        <v>198</v>
      </c>
      <c r="G17" s="17" t="s">
        <v>199</v>
      </c>
      <c r="H17" s="18" t="s">
        <v>200</v>
      </c>
      <c r="I17" s="19"/>
    </row>
    <row r="18" spans="1:9" s="1" customFormat="1" ht="90" customHeight="1" x14ac:dyDescent="0.45">
      <c r="A18" s="16"/>
      <c r="B18" s="16"/>
      <c r="C18" s="20" t="s">
        <v>217</v>
      </c>
      <c r="D18" s="21" t="s">
        <v>218</v>
      </c>
      <c r="E18" s="21" t="s">
        <v>219</v>
      </c>
      <c r="F18" s="21" t="s">
        <v>220</v>
      </c>
      <c r="G18" s="21" t="s">
        <v>221</v>
      </c>
      <c r="H18" s="22" t="s">
        <v>222</v>
      </c>
      <c r="I18" s="16"/>
    </row>
    <row r="19" spans="1:9" s="1" customFormat="1" ht="6" customHeight="1" x14ac:dyDescent="0.45">
      <c r="A19" s="23"/>
      <c r="B19" s="23"/>
      <c r="C19" s="23"/>
      <c r="D19" s="23"/>
      <c r="E19" s="23"/>
      <c r="F19" s="23"/>
      <c r="G19" s="23"/>
      <c r="H19" s="23"/>
      <c r="I19" s="23"/>
    </row>
    <row r="20" spans="1:9" s="1" customFormat="1" ht="25.5" customHeight="1" x14ac:dyDescent="0.45">
      <c r="A20" s="15"/>
      <c r="B20" s="75" t="s">
        <v>223</v>
      </c>
      <c r="C20" s="64"/>
      <c r="D20" s="64"/>
      <c r="E20" s="64"/>
      <c r="F20" s="64"/>
      <c r="G20" s="64"/>
      <c r="H20" s="64"/>
      <c r="I20" s="64"/>
    </row>
    <row r="21" spans="1:9" s="1" customFormat="1" ht="18" customHeight="1" x14ac:dyDescent="0.45">
      <c r="A21" s="15"/>
      <c r="B21" s="76" t="s">
        <v>224</v>
      </c>
      <c r="C21" s="64"/>
      <c r="D21" s="64"/>
      <c r="E21" s="64"/>
      <c r="F21" s="64"/>
      <c r="G21" s="64"/>
      <c r="H21" s="64"/>
      <c r="I21" s="64"/>
    </row>
    <row r="22" spans="1:9" s="1" customFormat="1" ht="21.75" customHeight="1" x14ac:dyDescent="0.45">
      <c r="A22" s="16"/>
      <c r="D22" s="17" t="s">
        <v>196</v>
      </c>
      <c r="E22" s="17" t="s">
        <v>197</v>
      </c>
      <c r="F22" s="17" t="s">
        <v>198</v>
      </c>
      <c r="G22" s="17" t="s">
        <v>199</v>
      </c>
      <c r="H22" s="18" t="s">
        <v>200</v>
      </c>
      <c r="I22" s="19"/>
    </row>
    <row r="23" spans="1:9" s="1" customFormat="1" ht="90" customHeight="1" x14ac:dyDescent="0.45">
      <c r="A23" s="16"/>
      <c r="B23" s="16"/>
      <c r="C23" s="20" t="s">
        <v>225</v>
      </c>
      <c r="D23" s="21" t="s">
        <v>226</v>
      </c>
      <c r="E23" s="21" t="s">
        <v>227</v>
      </c>
      <c r="F23" s="21" t="s">
        <v>228</v>
      </c>
      <c r="G23" s="21" t="s">
        <v>229</v>
      </c>
      <c r="H23" s="22" t="s">
        <v>230</v>
      </c>
      <c r="I23" s="16"/>
    </row>
    <row r="24" spans="1:9" s="1" customFormat="1" ht="6" customHeight="1" x14ac:dyDescent="0.45">
      <c r="A24" s="23"/>
      <c r="B24" s="23"/>
      <c r="C24" s="23"/>
      <c r="D24" s="23"/>
      <c r="E24" s="23"/>
      <c r="F24" s="23"/>
      <c r="G24" s="23"/>
      <c r="H24" s="23"/>
      <c r="I24" s="23"/>
    </row>
    <row r="25" spans="1:9" s="1" customFormat="1" ht="25.5" customHeight="1" x14ac:dyDescent="0.45">
      <c r="A25" s="15"/>
      <c r="B25" s="75" t="s">
        <v>231</v>
      </c>
      <c r="C25" s="64"/>
      <c r="D25" s="64"/>
      <c r="E25" s="64"/>
      <c r="F25" s="64"/>
      <c r="G25" s="64"/>
      <c r="H25" s="64"/>
      <c r="I25" s="64"/>
    </row>
    <row r="26" spans="1:9" s="1" customFormat="1" ht="18" customHeight="1" x14ac:dyDescent="0.45">
      <c r="A26" s="15"/>
      <c r="B26" s="76" t="s">
        <v>232</v>
      </c>
      <c r="C26" s="64"/>
      <c r="D26" s="64"/>
      <c r="E26" s="64"/>
      <c r="F26" s="64"/>
      <c r="G26" s="64"/>
      <c r="H26" s="64"/>
      <c r="I26" s="64"/>
    </row>
    <row r="27" spans="1:9" s="1" customFormat="1" ht="21.75" customHeight="1" x14ac:dyDescent="0.45">
      <c r="A27" s="16"/>
      <c r="D27" s="17" t="s">
        <v>196</v>
      </c>
      <c r="E27" s="17" t="s">
        <v>197</v>
      </c>
      <c r="F27" s="17" t="s">
        <v>198</v>
      </c>
      <c r="G27" s="17" t="s">
        <v>199</v>
      </c>
      <c r="H27" s="18" t="s">
        <v>200</v>
      </c>
      <c r="I27" s="19"/>
    </row>
    <row r="28" spans="1:9" s="1" customFormat="1" ht="90" customHeight="1" x14ac:dyDescent="0.45">
      <c r="A28" s="16"/>
      <c r="B28" s="16"/>
      <c r="C28" s="20" t="s">
        <v>233</v>
      </c>
      <c r="D28" s="21" t="s">
        <v>234</v>
      </c>
      <c r="E28" s="21" t="s">
        <v>235</v>
      </c>
      <c r="F28" s="21" t="s">
        <v>236</v>
      </c>
      <c r="G28" s="21" t="s">
        <v>237</v>
      </c>
      <c r="H28" s="22" t="s">
        <v>238</v>
      </c>
      <c r="I28" s="16"/>
    </row>
    <row r="29" spans="1:9" s="1" customFormat="1" ht="6" customHeight="1" x14ac:dyDescent="0.45">
      <c r="A29" s="23"/>
      <c r="B29" s="23"/>
      <c r="C29" s="23"/>
      <c r="D29" s="23"/>
      <c r="E29" s="23"/>
      <c r="F29" s="23"/>
      <c r="G29" s="23"/>
      <c r="H29" s="23"/>
      <c r="I29" s="23"/>
    </row>
    <row r="30" spans="1:9" s="1" customFormat="1" ht="25.5" customHeight="1" x14ac:dyDescent="0.45">
      <c r="A30" s="15"/>
      <c r="B30" s="75" t="s">
        <v>239</v>
      </c>
      <c r="C30" s="64"/>
      <c r="D30" s="64"/>
      <c r="E30" s="64"/>
      <c r="F30" s="64"/>
      <c r="G30" s="64"/>
      <c r="H30" s="64"/>
      <c r="I30" s="64"/>
    </row>
    <row r="31" spans="1:9" s="1" customFormat="1" ht="18" customHeight="1" x14ac:dyDescent="0.45">
      <c r="A31" s="15"/>
      <c r="B31" s="76" t="s">
        <v>240</v>
      </c>
      <c r="C31" s="64"/>
      <c r="D31" s="64"/>
      <c r="E31" s="64"/>
      <c r="F31" s="64"/>
      <c r="G31" s="64"/>
      <c r="H31" s="64"/>
      <c r="I31" s="64"/>
    </row>
    <row r="32" spans="1:9" s="1" customFormat="1" ht="21.75" customHeight="1" x14ac:dyDescent="0.45">
      <c r="A32" s="16"/>
      <c r="D32" s="17" t="s">
        <v>196</v>
      </c>
      <c r="E32" s="17" t="s">
        <v>197</v>
      </c>
      <c r="F32" s="17" t="s">
        <v>198</v>
      </c>
      <c r="G32" s="17" t="s">
        <v>199</v>
      </c>
      <c r="H32" s="18" t="s">
        <v>200</v>
      </c>
      <c r="I32" s="19"/>
    </row>
    <row r="33" spans="1:9" s="1" customFormat="1" ht="90" customHeight="1" x14ac:dyDescent="0.45">
      <c r="A33" s="16"/>
      <c r="B33" s="16"/>
      <c r="C33" s="20" t="s">
        <v>241</v>
      </c>
      <c r="D33" s="21" t="s">
        <v>242</v>
      </c>
      <c r="E33" s="21" t="s">
        <v>243</v>
      </c>
      <c r="F33" s="21" t="s">
        <v>244</v>
      </c>
      <c r="G33" s="21" t="s">
        <v>245</v>
      </c>
      <c r="H33" s="22" t="s">
        <v>246</v>
      </c>
      <c r="I33" s="16"/>
    </row>
    <row r="34" spans="1:9" s="1" customFormat="1" ht="6" customHeight="1" x14ac:dyDescent="0.45">
      <c r="A34" s="23"/>
      <c r="B34" s="23"/>
      <c r="C34" s="23"/>
      <c r="D34" s="23"/>
      <c r="E34" s="23"/>
      <c r="F34" s="23"/>
      <c r="G34" s="23"/>
      <c r="H34" s="23"/>
      <c r="I34" s="23"/>
    </row>
    <row r="35" spans="1:9" s="1" customFormat="1" ht="25.5" customHeight="1" x14ac:dyDescent="0.45">
      <c r="A35" s="15"/>
      <c r="B35" s="75" t="s">
        <v>247</v>
      </c>
      <c r="C35" s="64"/>
      <c r="D35" s="64"/>
      <c r="E35" s="64"/>
      <c r="F35" s="64"/>
      <c r="G35" s="64"/>
      <c r="H35" s="64"/>
      <c r="I35" s="64"/>
    </row>
    <row r="36" spans="1:9" s="1" customFormat="1" ht="18" customHeight="1" x14ac:dyDescent="0.45">
      <c r="A36" s="15"/>
      <c r="B36" s="76" t="s">
        <v>248</v>
      </c>
      <c r="C36" s="64"/>
      <c r="D36" s="64"/>
      <c r="E36" s="64"/>
      <c r="F36" s="64"/>
      <c r="G36" s="64"/>
      <c r="H36" s="64"/>
      <c r="I36" s="64"/>
    </row>
    <row r="37" spans="1:9" s="1" customFormat="1" ht="21.75" customHeight="1" x14ac:dyDescent="0.45">
      <c r="A37" s="16"/>
      <c r="D37" s="17" t="s">
        <v>196</v>
      </c>
      <c r="E37" s="17" t="s">
        <v>197</v>
      </c>
      <c r="F37" s="17" t="s">
        <v>198</v>
      </c>
      <c r="G37" s="17" t="s">
        <v>199</v>
      </c>
      <c r="H37" s="18" t="s">
        <v>200</v>
      </c>
      <c r="I37" s="19"/>
    </row>
    <row r="38" spans="1:9" s="1" customFormat="1" ht="90" customHeight="1" x14ac:dyDescent="0.45">
      <c r="A38" s="16"/>
      <c r="B38" s="16"/>
      <c r="C38" s="20" t="s">
        <v>249</v>
      </c>
      <c r="D38" s="21" t="s">
        <v>250</v>
      </c>
      <c r="E38" s="21" t="s">
        <v>251</v>
      </c>
      <c r="F38" s="21" t="s">
        <v>252</v>
      </c>
      <c r="G38" s="21" t="s">
        <v>253</v>
      </c>
      <c r="H38" s="22" t="s">
        <v>254</v>
      </c>
      <c r="I38" s="16"/>
    </row>
    <row r="39" spans="1:9" s="1" customFormat="1" ht="6" customHeight="1" x14ac:dyDescent="0.45">
      <c r="A39" s="23"/>
      <c r="B39" s="23"/>
      <c r="C39" s="23"/>
      <c r="D39" s="23"/>
      <c r="E39" s="23"/>
      <c r="F39" s="23"/>
      <c r="G39" s="23"/>
      <c r="H39" s="23"/>
      <c r="I39" s="23"/>
    </row>
    <row r="40" spans="1:9" s="1" customFormat="1" ht="25.5" customHeight="1" x14ac:dyDescent="0.45">
      <c r="A40" s="15"/>
      <c r="B40" s="75" t="s">
        <v>255</v>
      </c>
      <c r="C40" s="64"/>
      <c r="D40" s="64"/>
      <c r="E40" s="64"/>
      <c r="F40" s="64"/>
      <c r="G40" s="64"/>
      <c r="H40" s="64"/>
      <c r="I40" s="64"/>
    </row>
    <row r="41" spans="1:9" s="1" customFormat="1" ht="18" customHeight="1" x14ac:dyDescent="0.45">
      <c r="A41" s="15"/>
      <c r="B41" s="76" t="s">
        <v>256</v>
      </c>
      <c r="C41" s="64"/>
      <c r="D41" s="64"/>
      <c r="E41" s="64"/>
      <c r="F41" s="64"/>
      <c r="G41" s="64"/>
      <c r="H41" s="64"/>
      <c r="I41" s="64"/>
    </row>
    <row r="42" spans="1:9" s="1" customFormat="1" ht="21.75" customHeight="1" x14ac:dyDescent="0.45">
      <c r="A42" s="16"/>
      <c r="D42" s="17" t="s">
        <v>196</v>
      </c>
      <c r="E42" s="17" t="s">
        <v>197</v>
      </c>
      <c r="F42" s="17" t="s">
        <v>198</v>
      </c>
      <c r="G42" s="17" t="s">
        <v>199</v>
      </c>
      <c r="H42" s="18" t="s">
        <v>200</v>
      </c>
      <c r="I42" s="19"/>
    </row>
    <row r="43" spans="1:9" s="1" customFormat="1" ht="90" customHeight="1" x14ac:dyDescent="0.45">
      <c r="A43" s="16"/>
      <c r="B43" s="16"/>
      <c r="C43" s="20" t="s">
        <v>257</v>
      </c>
      <c r="D43" s="21" t="s">
        <v>258</v>
      </c>
      <c r="E43" s="21" t="s">
        <v>259</v>
      </c>
      <c r="F43" s="21" t="s">
        <v>260</v>
      </c>
      <c r="G43" s="21" t="s">
        <v>261</v>
      </c>
      <c r="H43" s="22" t="s">
        <v>262</v>
      </c>
      <c r="I43" s="16"/>
    </row>
    <row r="44" spans="1:9" s="1" customFormat="1" ht="6" customHeight="1" x14ac:dyDescent="0.45">
      <c r="A44" s="23"/>
      <c r="B44" s="23"/>
      <c r="C44" s="23"/>
      <c r="D44" s="23"/>
      <c r="E44" s="23"/>
      <c r="F44" s="23"/>
      <c r="G44" s="23"/>
      <c r="H44" s="23"/>
      <c r="I44" s="23"/>
    </row>
    <row r="45" spans="1:9" s="1" customFormat="1" ht="25.5" customHeight="1" x14ac:dyDescent="0.45">
      <c r="A45" s="15"/>
      <c r="B45" s="75" t="s">
        <v>263</v>
      </c>
      <c r="C45" s="64"/>
      <c r="D45" s="64"/>
      <c r="E45" s="64"/>
      <c r="F45" s="64"/>
      <c r="G45" s="64"/>
      <c r="H45" s="64"/>
      <c r="I45" s="64"/>
    </row>
    <row r="46" spans="1:9" s="1" customFormat="1" ht="18" customHeight="1" x14ac:dyDescent="0.45">
      <c r="A46" s="15"/>
      <c r="B46" s="76" t="s">
        <v>264</v>
      </c>
      <c r="C46" s="64"/>
      <c r="D46" s="64"/>
      <c r="E46" s="64"/>
      <c r="F46" s="64"/>
      <c r="G46" s="64"/>
      <c r="H46" s="64"/>
      <c r="I46" s="64"/>
    </row>
    <row r="47" spans="1:9" s="1" customFormat="1" ht="21.75" customHeight="1" x14ac:dyDescent="0.45">
      <c r="A47" s="16"/>
      <c r="D47" s="17" t="s">
        <v>196</v>
      </c>
      <c r="E47" s="17" t="s">
        <v>197</v>
      </c>
      <c r="F47" s="17" t="s">
        <v>198</v>
      </c>
      <c r="G47" s="17" t="s">
        <v>199</v>
      </c>
      <c r="H47" s="18" t="s">
        <v>200</v>
      </c>
      <c r="I47" s="19"/>
    </row>
    <row r="48" spans="1:9" s="1" customFormat="1" ht="90" customHeight="1" x14ac:dyDescent="0.45">
      <c r="A48" s="16"/>
      <c r="B48" s="16"/>
      <c r="C48" s="20" t="s">
        <v>265</v>
      </c>
      <c r="D48" s="21" t="s">
        <v>266</v>
      </c>
      <c r="E48" s="21" t="s">
        <v>267</v>
      </c>
      <c r="F48" s="21" t="s">
        <v>268</v>
      </c>
      <c r="G48" s="21" t="s">
        <v>269</v>
      </c>
      <c r="H48" s="22" t="s">
        <v>270</v>
      </c>
      <c r="I48" s="16"/>
    </row>
    <row r="49" spans="1:9" s="1" customFormat="1" ht="6" customHeight="1" x14ac:dyDescent="0.45">
      <c r="A49" s="23"/>
      <c r="B49" s="23"/>
      <c r="C49" s="23"/>
      <c r="D49" s="23"/>
      <c r="E49" s="23"/>
      <c r="F49" s="23"/>
      <c r="G49" s="23"/>
      <c r="H49" s="23"/>
      <c r="I49" s="23"/>
    </row>
    <row r="50" spans="1:9" s="1" customFormat="1" ht="25.5" customHeight="1" x14ac:dyDescent="0.45">
      <c r="A50" s="15"/>
      <c r="B50" s="75" t="s">
        <v>271</v>
      </c>
      <c r="C50" s="64"/>
      <c r="D50" s="64"/>
      <c r="E50" s="64"/>
      <c r="F50" s="64"/>
      <c r="G50" s="64"/>
      <c r="H50" s="64"/>
      <c r="I50" s="64"/>
    </row>
    <row r="51" spans="1:9" s="1" customFormat="1" ht="18" customHeight="1" x14ac:dyDescent="0.45">
      <c r="A51" s="15"/>
      <c r="B51" s="76" t="s">
        <v>272</v>
      </c>
      <c r="C51" s="64"/>
      <c r="D51" s="64"/>
      <c r="E51" s="64"/>
      <c r="F51" s="64"/>
      <c r="G51" s="64"/>
      <c r="H51" s="64"/>
      <c r="I51" s="64"/>
    </row>
    <row r="52" spans="1:9" s="1" customFormat="1" ht="21.75" customHeight="1" x14ac:dyDescent="0.45">
      <c r="A52" s="16"/>
      <c r="D52" s="17" t="s">
        <v>196</v>
      </c>
      <c r="E52" s="17" t="s">
        <v>197</v>
      </c>
      <c r="F52" s="17" t="s">
        <v>198</v>
      </c>
      <c r="G52" s="17" t="s">
        <v>199</v>
      </c>
      <c r="H52" s="18" t="s">
        <v>200</v>
      </c>
      <c r="I52" s="19"/>
    </row>
    <row r="53" spans="1:9" s="1" customFormat="1" ht="90" customHeight="1" x14ac:dyDescent="0.45">
      <c r="A53" s="16"/>
      <c r="B53" s="16"/>
      <c r="C53" s="20" t="s">
        <v>273</v>
      </c>
      <c r="D53" s="21" t="s">
        <v>274</v>
      </c>
      <c r="E53" s="21" t="s">
        <v>275</v>
      </c>
      <c r="F53" s="21" t="s">
        <v>276</v>
      </c>
      <c r="G53" s="21" t="s">
        <v>277</v>
      </c>
      <c r="H53" s="22" t="s">
        <v>278</v>
      </c>
      <c r="I53" s="16"/>
    </row>
    <row r="54" spans="1:9" s="1" customFormat="1" ht="6" customHeight="1" x14ac:dyDescent="0.45">
      <c r="A54" s="23"/>
      <c r="B54" s="23"/>
      <c r="C54" s="23"/>
      <c r="D54" s="23"/>
      <c r="E54" s="23"/>
      <c r="F54" s="23"/>
      <c r="G54" s="23"/>
      <c r="H54" s="23"/>
      <c r="I54" s="23"/>
    </row>
    <row r="55" spans="1:9" s="1" customFormat="1" ht="25.5" customHeight="1" x14ac:dyDescent="0.45">
      <c r="A55" s="15"/>
      <c r="B55" s="75" t="s">
        <v>279</v>
      </c>
      <c r="C55" s="64"/>
      <c r="D55" s="64"/>
      <c r="E55" s="64"/>
      <c r="F55" s="64"/>
      <c r="G55" s="64"/>
      <c r="H55" s="64"/>
      <c r="I55" s="64"/>
    </row>
    <row r="56" spans="1:9" s="1" customFormat="1" ht="18" customHeight="1" x14ac:dyDescent="0.45">
      <c r="A56" s="15"/>
      <c r="B56" s="76" t="s">
        <v>280</v>
      </c>
      <c r="C56" s="64"/>
      <c r="D56" s="64"/>
      <c r="E56" s="64"/>
      <c r="F56" s="64"/>
      <c r="G56" s="64"/>
      <c r="H56" s="64"/>
      <c r="I56" s="64"/>
    </row>
    <row r="57" spans="1:9" s="1" customFormat="1" ht="21.75" customHeight="1" x14ac:dyDescent="0.45">
      <c r="A57" s="16"/>
      <c r="D57" s="17" t="s">
        <v>196</v>
      </c>
      <c r="E57" s="17" t="s">
        <v>197</v>
      </c>
      <c r="F57" s="17" t="s">
        <v>198</v>
      </c>
      <c r="G57" s="17" t="s">
        <v>199</v>
      </c>
      <c r="H57" s="18" t="s">
        <v>200</v>
      </c>
      <c r="I57" s="19"/>
    </row>
    <row r="58" spans="1:9" s="1" customFormat="1" ht="90" customHeight="1" x14ac:dyDescent="0.45">
      <c r="A58" s="16"/>
      <c r="B58" s="16"/>
      <c r="C58" s="20" t="s">
        <v>281</v>
      </c>
      <c r="D58" s="21" t="s">
        <v>282</v>
      </c>
      <c r="E58" s="21" t="s">
        <v>283</v>
      </c>
      <c r="F58" s="21" t="s">
        <v>284</v>
      </c>
      <c r="G58" s="21" t="s">
        <v>285</v>
      </c>
      <c r="H58" s="22" t="s">
        <v>286</v>
      </c>
      <c r="I58" s="16"/>
    </row>
    <row r="59" spans="1:9" s="1" customFormat="1" ht="6" customHeight="1" x14ac:dyDescent="0.45">
      <c r="A59" s="23"/>
      <c r="B59" s="23"/>
      <c r="C59" s="23"/>
      <c r="D59" s="23"/>
      <c r="E59" s="23"/>
      <c r="F59" s="23"/>
      <c r="G59" s="23"/>
      <c r="H59" s="23"/>
      <c r="I59" s="23"/>
    </row>
    <row r="60" spans="1:9" s="1" customFormat="1" ht="25.5" customHeight="1" x14ac:dyDescent="0.45">
      <c r="A60" s="15"/>
      <c r="B60" s="75" t="s">
        <v>287</v>
      </c>
      <c r="C60" s="64"/>
      <c r="D60" s="64"/>
      <c r="E60" s="64"/>
      <c r="F60" s="64"/>
      <c r="G60" s="64"/>
      <c r="H60" s="64"/>
      <c r="I60" s="64"/>
    </row>
    <row r="61" spans="1:9" s="1" customFormat="1" ht="18" customHeight="1" x14ac:dyDescent="0.45">
      <c r="A61" s="15"/>
      <c r="B61" s="76" t="s">
        <v>288</v>
      </c>
      <c r="C61" s="64"/>
      <c r="D61" s="64"/>
      <c r="E61" s="64"/>
      <c r="F61" s="64"/>
      <c r="G61" s="64"/>
      <c r="H61" s="64"/>
      <c r="I61" s="64"/>
    </row>
    <row r="62" spans="1:9" s="1" customFormat="1" ht="21.75" customHeight="1" x14ac:dyDescent="0.45">
      <c r="A62" s="16"/>
      <c r="D62" s="17" t="s">
        <v>196</v>
      </c>
      <c r="E62" s="17" t="s">
        <v>197</v>
      </c>
      <c r="F62" s="17" t="s">
        <v>198</v>
      </c>
      <c r="G62" s="17" t="s">
        <v>199</v>
      </c>
      <c r="H62" s="18" t="s">
        <v>200</v>
      </c>
      <c r="I62" s="19"/>
    </row>
    <row r="63" spans="1:9" s="1" customFormat="1" ht="90" customHeight="1" x14ac:dyDescent="0.45">
      <c r="A63" s="16"/>
      <c r="B63" s="16"/>
      <c r="C63" s="20" t="s">
        <v>289</v>
      </c>
      <c r="D63" s="21" t="s">
        <v>290</v>
      </c>
      <c r="E63" s="21" t="s">
        <v>291</v>
      </c>
      <c r="F63" s="21" t="s">
        <v>292</v>
      </c>
      <c r="G63" s="21" t="s">
        <v>293</v>
      </c>
      <c r="H63" s="22" t="s">
        <v>294</v>
      </c>
      <c r="I63" s="16"/>
    </row>
    <row r="64" spans="1:9" s="1" customFormat="1" ht="6" customHeight="1" x14ac:dyDescent="0.45">
      <c r="A64" s="23"/>
      <c r="B64" s="23"/>
      <c r="C64" s="23"/>
      <c r="D64" s="23"/>
      <c r="E64" s="23"/>
      <c r="F64" s="23"/>
      <c r="G64" s="23"/>
      <c r="H64" s="23"/>
      <c r="I64" s="23"/>
    </row>
    <row r="65" spans="1:9" s="1" customFormat="1" ht="19.5" customHeight="1" x14ac:dyDescent="0.45">
      <c r="A65" s="73" t="s">
        <v>54</v>
      </c>
      <c r="B65" s="64"/>
      <c r="C65" s="64"/>
      <c r="D65" s="64"/>
      <c r="E65" s="64"/>
      <c r="F65" s="64"/>
      <c r="G65" s="64"/>
      <c r="H65" s="64"/>
      <c r="I65" s="64"/>
    </row>
  </sheetData>
  <mergeCells count="28">
    <mergeCell ref="A1:I1"/>
    <mergeCell ref="B36:I36"/>
    <mergeCell ref="B5:I5"/>
    <mergeCell ref="B45:I45"/>
    <mergeCell ref="B41:I41"/>
    <mergeCell ref="B35:I35"/>
    <mergeCell ref="B26:I26"/>
    <mergeCell ref="A2:I2"/>
    <mergeCell ref="B11:I11"/>
    <mergeCell ref="B60:I60"/>
    <mergeCell ref="B61:I61"/>
    <mergeCell ref="B10:I10"/>
    <mergeCell ref="B40:I40"/>
    <mergeCell ref="B30:I30"/>
    <mergeCell ref="B15:I15"/>
    <mergeCell ref="B55:I55"/>
    <mergeCell ref="B6:I6"/>
    <mergeCell ref="B51:I51"/>
    <mergeCell ref="B20:I20"/>
    <mergeCell ref="B50:I50"/>
    <mergeCell ref="A65:I65"/>
    <mergeCell ref="B25:I25"/>
    <mergeCell ref="B16:I16"/>
    <mergeCell ref="A3:I3"/>
    <mergeCell ref="B31:I31"/>
    <mergeCell ref="B46:I46"/>
    <mergeCell ref="B56:I56"/>
    <mergeCell ref="B21:I21"/>
  </mergeCells>
  <pageMargins left="0.75" right="0.75" top="1" bottom="1" header="0.511811023622047" footer="0.511811023622047"/>
  <pageSetup paperSize="9" orientation="portrait" useFirstPageNumber="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B2D7F"/>
    <pageSetUpPr fitToPage="1"/>
  </sheetPr>
  <dimension ref="A1:O154"/>
  <sheetViews>
    <sheetView zoomScaleNormal="100" workbookViewId="0">
      <pane ySplit="3" topLeftCell="A4" activePane="bottomLeft" state="frozen"/>
      <selection pane="bottomLeft"/>
    </sheetView>
  </sheetViews>
  <sheetFormatPr defaultColWidth="8.6640625" defaultRowHeight="14.25" x14ac:dyDescent="0.45"/>
  <cols>
    <col min="1" max="1" width="12" style="1" customWidth="1"/>
    <col min="2" max="2" width="16" style="1" customWidth="1"/>
    <col min="3" max="3" width="14" style="1" customWidth="1"/>
    <col min="4" max="4" width="9" style="1" customWidth="1"/>
    <col min="5" max="5" width="34" style="1" customWidth="1"/>
    <col min="6" max="7" width="16" style="1" customWidth="1"/>
    <col min="8" max="9" width="18" style="1" customWidth="1"/>
    <col min="10" max="10" width="14" style="1" customWidth="1"/>
    <col min="11" max="12" width="13" style="1" customWidth="1"/>
    <col min="13" max="14" width="18" style="1" customWidth="1"/>
    <col min="15" max="15" width="30" style="1" customWidth="1"/>
  </cols>
  <sheetData>
    <row r="1" spans="1:15" s="1" customFormat="1" ht="43.5" customHeight="1" x14ac:dyDescent="0.45">
      <c r="A1" s="72" t="s">
        <v>295</v>
      </c>
      <c r="B1" s="64"/>
      <c r="C1" s="64"/>
      <c r="D1" s="64"/>
      <c r="E1" s="64"/>
      <c r="F1" s="64"/>
      <c r="G1" s="64"/>
      <c r="H1" s="64"/>
      <c r="I1" s="64"/>
      <c r="J1" s="64"/>
      <c r="K1" s="64"/>
      <c r="L1" s="64"/>
      <c r="M1" s="64"/>
      <c r="N1" s="64"/>
      <c r="O1" s="64"/>
    </row>
    <row r="2" spans="1:15" s="1" customFormat="1" ht="21.75" customHeight="1" x14ac:dyDescent="0.45">
      <c r="A2" s="74" t="s">
        <v>296</v>
      </c>
      <c r="B2" s="64"/>
      <c r="C2" s="64"/>
      <c r="D2" s="64"/>
      <c r="E2" s="64"/>
      <c r="F2" s="64"/>
      <c r="G2" s="64"/>
      <c r="H2" s="64"/>
      <c r="I2" s="64"/>
      <c r="J2" s="64"/>
      <c r="K2" s="64"/>
      <c r="L2" s="64"/>
      <c r="M2" s="64"/>
      <c r="N2" s="64"/>
      <c r="O2" s="64"/>
    </row>
    <row r="3" spans="1:15" s="1" customFormat="1" ht="36" customHeight="1" x14ac:dyDescent="0.45">
      <c r="A3" s="8" t="s">
        <v>33</v>
      </c>
      <c r="B3" s="8" t="s">
        <v>58</v>
      </c>
      <c r="C3" s="8" t="s">
        <v>59</v>
      </c>
      <c r="D3" s="8" t="s">
        <v>60</v>
      </c>
      <c r="E3" s="8" t="s">
        <v>297</v>
      </c>
      <c r="F3" s="8" t="s">
        <v>64</v>
      </c>
      <c r="G3" s="8" t="s">
        <v>298</v>
      </c>
      <c r="H3" s="8" t="s">
        <v>299</v>
      </c>
      <c r="I3" s="8" t="s">
        <v>300</v>
      </c>
      <c r="J3" s="8" t="s">
        <v>301</v>
      </c>
      <c r="K3" s="8" t="s">
        <v>302</v>
      </c>
      <c r="L3" s="8" t="s">
        <v>303</v>
      </c>
      <c r="M3" s="8" t="s">
        <v>304</v>
      </c>
      <c r="N3" s="8" t="s">
        <v>305</v>
      </c>
      <c r="O3" s="8" t="s">
        <v>53</v>
      </c>
    </row>
    <row r="4" spans="1:15" s="1" customFormat="1" ht="18" customHeight="1" x14ac:dyDescent="0.45">
      <c r="A4" s="7"/>
      <c r="B4" s="9" t="str">
        <f>IF(A4="","",VLOOKUP(A4,'Student Roster'!A:C,2,FALSE))</f>
        <v/>
      </c>
      <c r="C4" s="9" t="str">
        <f>IF(A4="","",VLOOKUP(A4,'Student Roster'!A:C,3,FALSE))</f>
        <v/>
      </c>
      <c r="D4" s="9" t="str">
        <f>IF(A4="","",VLOOKUP(A4,'Student Roster'!A:D,4,FALSE))</f>
        <v/>
      </c>
      <c r="E4" s="7"/>
      <c r="F4" s="7"/>
      <c r="G4" s="7"/>
      <c r="H4" s="7"/>
      <c r="I4" s="7"/>
      <c r="J4" s="9" t="str">
        <f t="shared" ref="J4:J35" si="0">IF(OR(H4="",I4=""),"",I4-H4)</f>
        <v/>
      </c>
      <c r="K4" s="9" t="str">
        <f t="shared" ref="K4:K35" si="1">IF(H4=0,"",ROUND((H4-I4)/H4*100,0)&amp;"%")</f>
        <v/>
      </c>
      <c r="L4" s="9" t="str">
        <f t="shared" ref="L4:L35" si="2">IF(J4="","",IF(J4&lt;0,"✅ Effective",IF(J4=0,"↔ No Change","❌ Not Effective")))</f>
        <v/>
      </c>
      <c r="M4" s="7"/>
      <c r="N4" s="7"/>
      <c r="O4" s="7"/>
    </row>
    <row r="5" spans="1:15" s="1" customFormat="1" ht="18" customHeight="1" x14ac:dyDescent="0.45">
      <c r="A5" s="5"/>
      <c r="B5" s="9" t="str">
        <f>IF(A5="","",VLOOKUP(A5,'Student Roster'!A:C,2,FALSE))</f>
        <v/>
      </c>
      <c r="C5" s="9" t="str">
        <f>IF(A5="","",VLOOKUP(A5,'Student Roster'!A:C,3,FALSE))</f>
        <v/>
      </c>
      <c r="D5" s="9" t="str">
        <f>IF(A5="","",VLOOKUP(A5,'Student Roster'!A:D,4,FALSE))</f>
        <v/>
      </c>
      <c r="E5" s="5"/>
      <c r="F5" s="5"/>
      <c r="G5" s="5"/>
      <c r="H5" s="5"/>
      <c r="I5" s="5"/>
      <c r="J5" s="9" t="str">
        <f t="shared" si="0"/>
        <v/>
      </c>
      <c r="K5" s="9" t="str">
        <f t="shared" si="1"/>
        <v/>
      </c>
      <c r="L5" s="9" t="str">
        <f t="shared" si="2"/>
        <v/>
      </c>
      <c r="M5" s="5"/>
      <c r="N5" s="5"/>
      <c r="O5" s="5"/>
    </row>
    <row r="6" spans="1:15" s="1" customFormat="1" ht="18" customHeight="1" x14ac:dyDescent="0.45">
      <c r="A6" s="7"/>
      <c r="B6" s="9" t="str">
        <f>IF(A6="","",VLOOKUP(A6,'Student Roster'!A:C,2,FALSE))</f>
        <v/>
      </c>
      <c r="C6" s="9" t="str">
        <f>IF(A6="","",VLOOKUP(A6,'Student Roster'!A:C,3,FALSE))</f>
        <v/>
      </c>
      <c r="D6" s="9" t="str">
        <f>IF(A6="","",VLOOKUP(A6,'Student Roster'!A:D,4,FALSE))</f>
        <v/>
      </c>
      <c r="E6" s="7"/>
      <c r="F6" s="7"/>
      <c r="G6" s="7"/>
      <c r="H6" s="7"/>
      <c r="I6" s="7"/>
      <c r="J6" s="9" t="str">
        <f t="shared" si="0"/>
        <v/>
      </c>
      <c r="K6" s="9" t="str">
        <f t="shared" si="1"/>
        <v/>
      </c>
      <c r="L6" s="9" t="str">
        <f t="shared" si="2"/>
        <v/>
      </c>
      <c r="M6" s="7"/>
      <c r="N6" s="7"/>
      <c r="O6" s="7"/>
    </row>
    <row r="7" spans="1:15" s="1" customFormat="1" ht="18" customHeight="1" x14ac:dyDescent="0.45">
      <c r="A7" s="5"/>
      <c r="B7" s="9" t="str">
        <f>IF(A7="","",VLOOKUP(A7,'Student Roster'!A:C,2,FALSE))</f>
        <v/>
      </c>
      <c r="C7" s="9" t="str">
        <f>IF(A7="","",VLOOKUP(A7,'Student Roster'!A:C,3,FALSE))</f>
        <v/>
      </c>
      <c r="D7" s="9" t="str">
        <f>IF(A7="","",VLOOKUP(A7,'Student Roster'!A:D,4,FALSE))</f>
        <v/>
      </c>
      <c r="E7" s="5"/>
      <c r="F7" s="5"/>
      <c r="G7" s="5"/>
      <c r="H7" s="5"/>
      <c r="I7" s="5"/>
      <c r="J7" s="9" t="str">
        <f t="shared" si="0"/>
        <v/>
      </c>
      <c r="K7" s="9" t="str">
        <f t="shared" si="1"/>
        <v/>
      </c>
      <c r="L7" s="9" t="str">
        <f t="shared" si="2"/>
        <v/>
      </c>
      <c r="M7" s="5"/>
      <c r="N7" s="5"/>
      <c r="O7" s="5"/>
    </row>
    <row r="8" spans="1:15" s="1" customFormat="1" ht="18" customHeight="1" x14ac:dyDescent="0.45">
      <c r="A8" s="7"/>
      <c r="B8" s="9" t="str">
        <f>IF(A8="","",VLOOKUP(A8,'Student Roster'!A:C,2,FALSE))</f>
        <v/>
      </c>
      <c r="C8" s="9" t="str">
        <f>IF(A8="","",VLOOKUP(A8,'Student Roster'!A:C,3,FALSE))</f>
        <v/>
      </c>
      <c r="D8" s="9" t="str">
        <f>IF(A8="","",VLOOKUP(A8,'Student Roster'!A:D,4,FALSE))</f>
        <v/>
      </c>
      <c r="E8" s="7"/>
      <c r="F8" s="7"/>
      <c r="G8" s="7"/>
      <c r="H8" s="7"/>
      <c r="I8" s="7"/>
      <c r="J8" s="9" t="str">
        <f t="shared" si="0"/>
        <v/>
      </c>
      <c r="K8" s="9" t="str">
        <f t="shared" si="1"/>
        <v/>
      </c>
      <c r="L8" s="9" t="str">
        <f t="shared" si="2"/>
        <v/>
      </c>
      <c r="M8" s="7"/>
      <c r="N8" s="7"/>
      <c r="O8" s="7"/>
    </row>
    <row r="9" spans="1:15" s="1" customFormat="1" ht="18" customHeight="1" x14ac:dyDescent="0.45">
      <c r="A9" s="5"/>
      <c r="B9" s="9" t="str">
        <f>IF(A9="","",VLOOKUP(A9,'Student Roster'!A:C,2,FALSE))</f>
        <v/>
      </c>
      <c r="C9" s="9" t="str">
        <f>IF(A9="","",VLOOKUP(A9,'Student Roster'!A:C,3,FALSE))</f>
        <v/>
      </c>
      <c r="D9" s="9" t="str">
        <f>IF(A9="","",VLOOKUP(A9,'Student Roster'!A:D,4,FALSE))</f>
        <v/>
      </c>
      <c r="E9" s="5"/>
      <c r="F9" s="5"/>
      <c r="G9" s="5"/>
      <c r="H9" s="5"/>
      <c r="I9" s="5"/>
      <c r="J9" s="9" t="str">
        <f t="shared" si="0"/>
        <v/>
      </c>
      <c r="K9" s="9" t="str">
        <f t="shared" si="1"/>
        <v/>
      </c>
      <c r="L9" s="9" t="str">
        <f t="shared" si="2"/>
        <v/>
      </c>
      <c r="M9" s="5"/>
      <c r="N9" s="5"/>
      <c r="O9" s="5"/>
    </row>
    <row r="10" spans="1:15" s="1" customFormat="1" ht="18" customHeight="1" x14ac:dyDescent="0.45">
      <c r="A10" s="7"/>
      <c r="B10" s="9" t="str">
        <f>IF(A10="","",VLOOKUP(A10,'Student Roster'!A:C,2,FALSE))</f>
        <v/>
      </c>
      <c r="C10" s="9" t="str">
        <f>IF(A10="","",VLOOKUP(A10,'Student Roster'!A:C,3,FALSE))</f>
        <v/>
      </c>
      <c r="D10" s="9" t="str">
        <f>IF(A10="","",VLOOKUP(A10,'Student Roster'!A:D,4,FALSE))</f>
        <v/>
      </c>
      <c r="E10" s="7"/>
      <c r="F10" s="7"/>
      <c r="G10" s="7"/>
      <c r="H10" s="7"/>
      <c r="I10" s="7"/>
      <c r="J10" s="9" t="str">
        <f t="shared" si="0"/>
        <v/>
      </c>
      <c r="K10" s="9" t="str">
        <f t="shared" si="1"/>
        <v/>
      </c>
      <c r="L10" s="9" t="str">
        <f t="shared" si="2"/>
        <v/>
      </c>
      <c r="M10" s="7"/>
      <c r="N10" s="7"/>
      <c r="O10" s="7"/>
    </row>
    <row r="11" spans="1:15" s="1" customFormat="1" ht="18" customHeight="1" x14ac:dyDescent="0.45">
      <c r="A11" s="5"/>
      <c r="B11" s="9" t="str">
        <f>IF(A11="","",VLOOKUP(A11,'Student Roster'!A:C,2,FALSE))</f>
        <v/>
      </c>
      <c r="C11" s="9" t="str">
        <f>IF(A11="","",VLOOKUP(A11,'Student Roster'!A:C,3,FALSE))</f>
        <v/>
      </c>
      <c r="D11" s="9" t="str">
        <f>IF(A11="","",VLOOKUP(A11,'Student Roster'!A:D,4,FALSE))</f>
        <v/>
      </c>
      <c r="E11" s="5"/>
      <c r="F11" s="5"/>
      <c r="G11" s="5"/>
      <c r="H11" s="5"/>
      <c r="I11" s="5"/>
      <c r="J11" s="9" t="str">
        <f t="shared" si="0"/>
        <v/>
      </c>
      <c r="K11" s="9" t="str">
        <f t="shared" si="1"/>
        <v/>
      </c>
      <c r="L11" s="9" t="str">
        <f t="shared" si="2"/>
        <v/>
      </c>
      <c r="M11" s="5"/>
      <c r="N11" s="5"/>
      <c r="O11" s="5"/>
    </row>
    <row r="12" spans="1:15" s="1" customFormat="1" ht="18" customHeight="1" x14ac:dyDescent="0.45">
      <c r="A12" s="7"/>
      <c r="B12" s="9" t="str">
        <f>IF(A12="","",VLOOKUP(A12,'Student Roster'!A:C,2,FALSE))</f>
        <v/>
      </c>
      <c r="C12" s="9" t="str">
        <f>IF(A12="","",VLOOKUP(A12,'Student Roster'!A:C,3,FALSE))</f>
        <v/>
      </c>
      <c r="D12" s="9" t="str">
        <f>IF(A12="","",VLOOKUP(A12,'Student Roster'!A:D,4,FALSE))</f>
        <v/>
      </c>
      <c r="E12" s="7"/>
      <c r="F12" s="7"/>
      <c r="G12" s="7"/>
      <c r="H12" s="7"/>
      <c r="I12" s="7"/>
      <c r="J12" s="9" t="str">
        <f t="shared" si="0"/>
        <v/>
      </c>
      <c r="K12" s="9" t="str">
        <f t="shared" si="1"/>
        <v/>
      </c>
      <c r="L12" s="9" t="str">
        <f t="shared" si="2"/>
        <v/>
      </c>
      <c r="M12" s="7"/>
      <c r="N12" s="7"/>
      <c r="O12" s="7"/>
    </row>
    <row r="13" spans="1:15" s="1" customFormat="1" ht="18" customHeight="1" x14ac:dyDescent="0.45">
      <c r="A13" s="5"/>
      <c r="B13" s="9" t="str">
        <f>IF(A13="","",VLOOKUP(A13,'Student Roster'!A:C,2,FALSE))</f>
        <v/>
      </c>
      <c r="C13" s="9" t="str">
        <f>IF(A13="","",VLOOKUP(A13,'Student Roster'!A:C,3,FALSE))</f>
        <v/>
      </c>
      <c r="D13" s="9" t="str">
        <f>IF(A13="","",VLOOKUP(A13,'Student Roster'!A:D,4,FALSE))</f>
        <v/>
      </c>
      <c r="E13" s="5"/>
      <c r="F13" s="5"/>
      <c r="G13" s="5"/>
      <c r="H13" s="5"/>
      <c r="I13" s="5"/>
      <c r="J13" s="9" t="str">
        <f t="shared" si="0"/>
        <v/>
      </c>
      <c r="K13" s="9" t="str">
        <f t="shared" si="1"/>
        <v/>
      </c>
      <c r="L13" s="9" t="str">
        <f t="shared" si="2"/>
        <v/>
      </c>
      <c r="M13" s="5"/>
      <c r="N13" s="5"/>
      <c r="O13" s="5"/>
    </row>
    <row r="14" spans="1:15" s="1" customFormat="1" ht="18" customHeight="1" x14ac:dyDescent="0.45">
      <c r="A14" s="7"/>
      <c r="B14" s="9" t="str">
        <f>IF(A14="","",VLOOKUP(A14,'Student Roster'!A:C,2,FALSE))</f>
        <v/>
      </c>
      <c r="C14" s="9" t="str">
        <f>IF(A14="","",VLOOKUP(A14,'Student Roster'!A:C,3,FALSE))</f>
        <v/>
      </c>
      <c r="D14" s="9" t="str">
        <f>IF(A14="","",VLOOKUP(A14,'Student Roster'!A:D,4,FALSE))</f>
        <v/>
      </c>
      <c r="E14" s="7"/>
      <c r="F14" s="7"/>
      <c r="G14" s="7"/>
      <c r="H14" s="7"/>
      <c r="I14" s="7"/>
      <c r="J14" s="9" t="str">
        <f t="shared" si="0"/>
        <v/>
      </c>
      <c r="K14" s="9" t="str">
        <f t="shared" si="1"/>
        <v/>
      </c>
      <c r="L14" s="9" t="str">
        <f t="shared" si="2"/>
        <v/>
      </c>
      <c r="M14" s="7"/>
      <c r="N14" s="7"/>
      <c r="O14" s="7"/>
    </row>
    <row r="15" spans="1:15" s="1" customFormat="1" ht="18" customHeight="1" x14ac:dyDescent="0.45">
      <c r="A15" s="5"/>
      <c r="B15" s="9" t="str">
        <f>IF(A15="","",VLOOKUP(A15,'Student Roster'!A:C,2,FALSE))</f>
        <v/>
      </c>
      <c r="C15" s="9" t="str">
        <f>IF(A15="","",VLOOKUP(A15,'Student Roster'!A:C,3,FALSE))</f>
        <v/>
      </c>
      <c r="D15" s="9" t="str">
        <f>IF(A15="","",VLOOKUP(A15,'Student Roster'!A:D,4,FALSE))</f>
        <v/>
      </c>
      <c r="E15" s="5"/>
      <c r="F15" s="5"/>
      <c r="G15" s="5"/>
      <c r="H15" s="5"/>
      <c r="I15" s="5"/>
      <c r="J15" s="9" t="str">
        <f t="shared" si="0"/>
        <v/>
      </c>
      <c r="K15" s="9" t="str">
        <f t="shared" si="1"/>
        <v/>
      </c>
      <c r="L15" s="9" t="str">
        <f t="shared" si="2"/>
        <v/>
      </c>
      <c r="M15" s="5"/>
      <c r="N15" s="5"/>
      <c r="O15" s="5"/>
    </row>
    <row r="16" spans="1:15" s="1" customFormat="1" ht="18" customHeight="1" x14ac:dyDescent="0.45">
      <c r="A16" s="7"/>
      <c r="B16" s="9" t="str">
        <f>IF(A16="","",VLOOKUP(A16,'Student Roster'!A:C,2,FALSE))</f>
        <v/>
      </c>
      <c r="C16" s="9" t="str">
        <f>IF(A16="","",VLOOKUP(A16,'Student Roster'!A:C,3,FALSE))</f>
        <v/>
      </c>
      <c r="D16" s="9" t="str">
        <f>IF(A16="","",VLOOKUP(A16,'Student Roster'!A:D,4,FALSE))</f>
        <v/>
      </c>
      <c r="E16" s="7"/>
      <c r="F16" s="7"/>
      <c r="G16" s="7"/>
      <c r="H16" s="7"/>
      <c r="I16" s="7"/>
      <c r="J16" s="9" t="str">
        <f t="shared" si="0"/>
        <v/>
      </c>
      <c r="K16" s="9" t="str">
        <f t="shared" si="1"/>
        <v/>
      </c>
      <c r="L16" s="9" t="str">
        <f t="shared" si="2"/>
        <v/>
      </c>
      <c r="M16" s="7"/>
      <c r="N16" s="7"/>
      <c r="O16" s="7"/>
    </row>
    <row r="17" spans="1:15" s="1" customFormat="1" ht="18" customHeight="1" x14ac:dyDescent="0.45">
      <c r="A17" s="5"/>
      <c r="B17" s="9" t="str">
        <f>IF(A17="","",VLOOKUP(A17,'Student Roster'!A:C,2,FALSE))</f>
        <v/>
      </c>
      <c r="C17" s="9" t="str">
        <f>IF(A17="","",VLOOKUP(A17,'Student Roster'!A:C,3,FALSE))</f>
        <v/>
      </c>
      <c r="D17" s="9" t="str">
        <f>IF(A17="","",VLOOKUP(A17,'Student Roster'!A:D,4,FALSE))</f>
        <v/>
      </c>
      <c r="E17" s="5"/>
      <c r="F17" s="5"/>
      <c r="G17" s="5"/>
      <c r="H17" s="5"/>
      <c r="I17" s="5"/>
      <c r="J17" s="9" t="str">
        <f t="shared" si="0"/>
        <v/>
      </c>
      <c r="K17" s="9" t="str">
        <f t="shared" si="1"/>
        <v/>
      </c>
      <c r="L17" s="9" t="str">
        <f t="shared" si="2"/>
        <v/>
      </c>
      <c r="M17" s="5"/>
      <c r="N17" s="5"/>
      <c r="O17" s="5"/>
    </row>
    <row r="18" spans="1:15" s="1" customFormat="1" ht="18" customHeight="1" x14ac:dyDescent="0.45">
      <c r="A18" s="7"/>
      <c r="B18" s="9" t="str">
        <f>IF(A18="","",VLOOKUP(A18,'Student Roster'!A:C,2,FALSE))</f>
        <v/>
      </c>
      <c r="C18" s="9" t="str">
        <f>IF(A18="","",VLOOKUP(A18,'Student Roster'!A:C,3,FALSE))</f>
        <v/>
      </c>
      <c r="D18" s="9" t="str">
        <f>IF(A18="","",VLOOKUP(A18,'Student Roster'!A:D,4,FALSE))</f>
        <v/>
      </c>
      <c r="E18" s="7"/>
      <c r="F18" s="7"/>
      <c r="G18" s="7"/>
      <c r="H18" s="7"/>
      <c r="I18" s="7"/>
      <c r="J18" s="9" t="str">
        <f t="shared" si="0"/>
        <v/>
      </c>
      <c r="K18" s="9" t="str">
        <f t="shared" si="1"/>
        <v/>
      </c>
      <c r="L18" s="9" t="str">
        <f t="shared" si="2"/>
        <v/>
      </c>
      <c r="M18" s="7"/>
      <c r="N18" s="7"/>
      <c r="O18" s="7"/>
    </row>
    <row r="19" spans="1:15" s="1" customFormat="1" ht="18" customHeight="1" x14ac:dyDescent="0.45">
      <c r="A19" s="5"/>
      <c r="B19" s="9" t="str">
        <f>IF(A19="","",VLOOKUP(A19,'Student Roster'!A:C,2,FALSE))</f>
        <v/>
      </c>
      <c r="C19" s="9" t="str">
        <f>IF(A19="","",VLOOKUP(A19,'Student Roster'!A:C,3,FALSE))</f>
        <v/>
      </c>
      <c r="D19" s="9" t="str">
        <f>IF(A19="","",VLOOKUP(A19,'Student Roster'!A:D,4,FALSE))</f>
        <v/>
      </c>
      <c r="E19" s="5"/>
      <c r="F19" s="5"/>
      <c r="G19" s="5"/>
      <c r="H19" s="5"/>
      <c r="I19" s="5"/>
      <c r="J19" s="9" t="str">
        <f t="shared" si="0"/>
        <v/>
      </c>
      <c r="K19" s="9" t="str">
        <f t="shared" si="1"/>
        <v/>
      </c>
      <c r="L19" s="9" t="str">
        <f t="shared" si="2"/>
        <v/>
      </c>
      <c r="M19" s="5"/>
      <c r="N19" s="5"/>
      <c r="O19" s="5"/>
    </row>
    <row r="20" spans="1:15" s="1" customFormat="1" ht="18" customHeight="1" x14ac:dyDescent="0.45">
      <c r="A20" s="7"/>
      <c r="B20" s="9" t="str">
        <f>IF(A20="","",VLOOKUP(A20,'Student Roster'!A:C,2,FALSE))</f>
        <v/>
      </c>
      <c r="C20" s="9" t="str">
        <f>IF(A20="","",VLOOKUP(A20,'Student Roster'!A:C,3,FALSE))</f>
        <v/>
      </c>
      <c r="D20" s="9" t="str">
        <f>IF(A20="","",VLOOKUP(A20,'Student Roster'!A:D,4,FALSE))</f>
        <v/>
      </c>
      <c r="E20" s="7"/>
      <c r="F20" s="7"/>
      <c r="G20" s="7"/>
      <c r="H20" s="7"/>
      <c r="I20" s="7"/>
      <c r="J20" s="9" t="str">
        <f t="shared" si="0"/>
        <v/>
      </c>
      <c r="K20" s="9" t="str">
        <f t="shared" si="1"/>
        <v/>
      </c>
      <c r="L20" s="9" t="str">
        <f t="shared" si="2"/>
        <v/>
      </c>
      <c r="M20" s="7"/>
      <c r="N20" s="7"/>
      <c r="O20" s="7"/>
    </row>
    <row r="21" spans="1:15" s="1" customFormat="1" ht="18" customHeight="1" x14ac:dyDescent="0.45">
      <c r="A21" s="5"/>
      <c r="B21" s="9" t="str">
        <f>IF(A21="","",VLOOKUP(A21,'Student Roster'!A:C,2,FALSE))</f>
        <v/>
      </c>
      <c r="C21" s="9" t="str">
        <f>IF(A21="","",VLOOKUP(A21,'Student Roster'!A:C,3,FALSE))</f>
        <v/>
      </c>
      <c r="D21" s="9" t="str">
        <f>IF(A21="","",VLOOKUP(A21,'Student Roster'!A:D,4,FALSE))</f>
        <v/>
      </c>
      <c r="E21" s="5"/>
      <c r="F21" s="5"/>
      <c r="G21" s="5"/>
      <c r="H21" s="5"/>
      <c r="I21" s="5"/>
      <c r="J21" s="9" t="str">
        <f t="shared" si="0"/>
        <v/>
      </c>
      <c r="K21" s="9" t="str">
        <f t="shared" si="1"/>
        <v/>
      </c>
      <c r="L21" s="9" t="str">
        <f t="shared" si="2"/>
        <v/>
      </c>
      <c r="M21" s="5"/>
      <c r="N21" s="5"/>
      <c r="O21" s="5"/>
    </row>
    <row r="22" spans="1:15" s="1" customFormat="1" ht="18" customHeight="1" x14ac:dyDescent="0.45">
      <c r="A22" s="7"/>
      <c r="B22" s="9" t="str">
        <f>IF(A22="","",VLOOKUP(A22,'Student Roster'!A:C,2,FALSE))</f>
        <v/>
      </c>
      <c r="C22" s="9" t="str">
        <f>IF(A22="","",VLOOKUP(A22,'Student Roster'!A:C,3,FALSE))</f>
        <v/>
      </c>
      <c r="D22" s="9" t="str">
        <f>IF(A22="","",VLOOKUP(A22,'Student Roster'!A:D,4,FALSE))</f>
        <v/>
      </c>
      <c r="E22" s="7"/>
      <c r="F22" s="7"/>
      <c r="G22" s="7"/>
      <c r="H22" s="7"/>
      <c r="I22" s="7"/>
      <c r="J22" s="9" t="str">
        <f t="shared" si="0"/>
        <v/>
      </c>
      <c r="K22" s="9" t="str">
        <f t="shared" si="1"/>
        <v/>
      </c>
      <c r="L22" s="9" t="str">
        <f t="shared" si="2"/>
        <v/>
      </c>
      <c r="M22" s="7"/>
      <c r="N22" s="7"/>
      <c r="O22" s="7"/>
    </row>
    <row r="23" spans="1:15" s="1" customFormat="1" ht="18" customHeight="1" x14ac:dyDescent="0.45">
      <c r="A23" s="5"/>
      <c r="B23" s="9" t="str">
        <f>IF(A23="","",VLOOKUP(A23,'Student Roster'!A:C,2,FALSE))</f>
        <v/>
      </c>
      <c r="C23" s="9" t="str">
        <f>IF(A23="","",VLOOKUP(A23,'Student Roster'!A:C,3,FALSE))</f>
        <v/>
      </c>
      <c r="D23" s="9" t="str">
        <f>IF(A23="","",VLOOKUP(A23,'Student Roster'!A:D,4,FALSE))</f>
        <v/>
      </c>
      <c r="E23" s="5"/>
      <c r="F23" s="5"/>
      <c r="G23" s="5"/>
      <c r="H23" s="5"/>
      <c r="I23" s="5"/>
      <c r="J23" s="9" t="str">
        <f t="shared" si="0"/>
        <v/>
      </c>
      <c r="K23" s="9" t="str">
        <f t="shared" si="1"/>
        <v/>
      </c>
      <c r="L23" s="9" t="str">
        <f t="shared" si="2"/>
        <v/>
      </c>
      <c r="M23" s="5"/>
      <c r="N23" s="5"/>
      <c r="O23" s="5"/>
    </row>
    <row r="24" spans="1:15" s="1" customFormat="1" ht="18" customHeight="1" x14ac:dyDescent="0.45">
      <c r="A24" s="7"/>
      <c r="B24" s="9" t="str">
        <f>IF(A24="","",VLOOKUP(A24,'Student Roster'!A:C,2,FALSE))</f>
        <v/>
      </c>
      <c r="C24" s="9" t="str">
        <f>IF(A24="","",VLOOKUP(A24,'Student Roster'!A:C,3,FALSE))</f>
        <v/>
      </c>
      <c r="D24" s="9" t="str">
        <f>IF(A24="","",VLOOKUP(A24,'Student Roster'!A:D,4,FALSE))</f>
        <v/>
      </c>
      <c r="E24" s="7"/>
      <c r="F24" s="7"/>
      <c r="G24" s="7"/>
      <c r="H24" s="7"/>
      <c r="I24" s="7"/>
      <c r="J24" s="9" t="str">
        <f t="shared" si="0"/>
        <v/>
      </c>
      <c r="K24" s="9" t="str">
        <f t="shared" si="1"/>
        <v/>
      </c>
      <c r="L24" s="9" t="str">
        <f t="shared" si="2"/>
        <v/>
      </c>
      <c r="M24" s="7"/>
      <c r="N24" s="7"/>
      <c r="O24" s="7"/>
    </row>
    <row r="25" spans="1:15" s="1" customFormat="1" ht="18" customHeight="1" x14ac:dyDescent="0.45">
      <c r="A25" s="5"/>
      <c r="B25" s="9" t="str">
        <f>IF(A25="","",VLOOKUP(A25,'Student Roster'!A:C,2,FALSE))</f>
        <v/>
      </c>
      <c r="C25" s="9" t="str">
        <f>IF(A25="","",VLOOKUP(A25,'Student Roster'!A:C,3,FALSE))</f>
        <v/>
      </c>
      <c r="D25" s="9" t="str">
        <f>IF(A25="","",VLOOKUP(A25,'Student Roster'!A:D,4,FALSE))</f>
        <v/>
      </c>
      <c r="E25" s="5"/>
      <c r="F25" s="5"/>
      <c r="G25" s="5"/>
      <c r="H25" s="5"/>
      <c r="I25" s="5"/>
      <c r="J25" s="9" t="str">
        <f t="shared" si="0"/>
        <v/>
      </c>
      <c r="K25" s="9" t="str">
        <f t="shared" si="1"/>
        <v/>
      </c>
      <c r="L25" s="9" t="str">
        <f t="shared" si="2"/>
        <v/>
      </c>
      <c r="M25" s="5"/>
      <c r="N25" s="5"/>
      <c r="O25" s="5"/>
    </row>
    <row r="26" spans="1:15" s="1" customFormat="1" ht="18" customHeight="1" x14ac:dyDescent="0.45">
      <c r="A26" s="7"/>
      <c r="B26" s="9" t="str">
        <f>IF(A26="","",VLOOKUP(A26,'Student Roster'!A:C,2,FALSE))</f>
        <v/>
      </c>
      <c r="C26" s="9" t="str">
        <f>IF(A26="","",VLOOKUP(A26,'Student Roster'!A:C,3,FALSE))</f>
        <v/>
      </c>
      <c r="D26" s="9" t="str">
        <f>IF(A26="","",VLOOKUP(A26,'Student Roster'!A:D,4,FALSE))</f>
        <v/>
      </c>
      <c r="E26" s="7"/>
      <c r="F26" s="7"/>
      <c r="G26" s="7"/>
      <c r="H26" s="7"/>
      <c r="I26" s="7"/>
      <c r="J26" s="9" t="str">
        <f t="shared" si="0"/>
        <v/>
      </c>
      <c r="K26" s="9" t="str">
        <f t="shared" si="1"/>
        <v/>
      </c>
      <c r="L26" s="9" t="str">
        <f t="shared" si="2"/>
        <v/>
      </c>
      <c r="M26" s="7"/>
      <c r="N26" s="7"/>
      <c r="O26" s="7"/>
    </row>
    <row r="27" spans="1:15" s="1" customFormat="1" ht="18" customHeight="1" x14ac:dyDescent="0.45">
      <c r="A27" s="5"/>
      <c r="B27" s="9" t="str">
        <f>IF(A27="","",VLOOKUP(A27,'Student Roster'!A:C,2,FALSE))</f>
        <v/>
      </c>
      <c r="C27" s="9" t="str">
        <f>IF(A27="","",VLOOKUP(A27,'Student Roster'!A:C,3,FALSE))</f>
        <v/>
      </c>
      <c r="D27" s="9" t="str">
        <f>IF(A27="","",VLOOKUP(A27,'Student Roster'!A:D,4,FALSE))</f>
        <v/>
      </c>
      <c r="E27" s="5"/>
      <c r="F27" s="5"/>
      <c r="G27" s="5"/>
      <c r="H27" s="5"/>
      <c r="I27" s="5"/>
      <c r="J27" s="9" t="str">
        <f t="shared" si="0"/>
        <v/>
      </c>
      <c r="K27" s="9" t="str">
        <f t="shared" si="1"/>
        <v/>
      </c>
      <c r="L27" s="9" t="str">
        <f t="shared" si="2"/>
        <v/>
      </c>
      <c r="M27" s="5"/>
      <c r="N27" s="5"/>
      <c r="O27" s="5"/>
    </row>
    <row r="28" spans="1:15" s="1" customFormat="1" ht="18" customHeight="1" x14ac:dyDescent="0.45">
      <c r="A28" s="7"/>
      <c r="B28" s="9" t="str">
        <f>IF(A28="","",VLOOKUP(A28,'Student Roster'!A:C,2,FALSE))</f>
        <v/>
      </c>
      <c r="C28" s="9" t="str">
        <f>IF(A28="","",VLOOKUP(A28,'Student Roster'!A:C,3,FALSE))</f>
        <v/>
      </c>
      <c r="D28" s="9" t="str">
        <f>IF(A28="","",VLOOKUP(A28,'Student Roster'!A:D,4,FALSE))</f>
        <v/>
      </c>
      <c r="E28" s="7"/>
      <c r="F28" s="7"/>
      <c r="G28" s="7"/>
      <c r="H28" s="7"/>
      <c r="I28" s="7"/>
      <c r="J28" s="9" t="str">
        <f t="shared" si="0"/>
        <v/>
      </c>
      <c r="K28" s="9" t="str">
        <f t="shared" si="1"/>
        <v/>
      </c>
      <c r="L28" s="9" t="str">
        <f t="shared" si="2"/>
        <v/>
      </c>
      <c r="M28" s="7"/>
      <c r="N28" s="7"/>
      <c r="O28" s="7"/>
    </row>
    <row r="29" spans="1:15" s="1" customFormat="1" ht="18" customHeight="1" x14ac:dyDescent="0.45">
      <c r="A29" s="5"/>
      <c r="B29" s="9" t="str">
        <f>IF(A29="","",VLOOKUP(A29,'Student Roster'!A:C,2,FALSE))</f>
        <v/>
      </c>
      <c r="C29" s="9" t="str">
        <f>IF(A29="","",VLOOKUP(A29,'Student Roster'!A:C,3,FALSE))</f>
        <v/>
      </c>
      <c r="D29" s="9" t="str">
        <f>IF(A29="","",VLOOKUP(A29,'Student Roster'!A:D,4,FALSE))</f>
        <v/>
      </c>
      <c r="E29" s="5"/>
      <c r="F29" s="5"/>
      <c r="G29" s="5"/>
      <c r="H29" s="5"/>
      <c r="I29" s="5"/>
      <c r="J29" s="9" t="str">
        <f t="shared" si="0"/>
        <v/>
      </c>
      <c r="K29" s="9" t="str">
        <f t="shared" si="1"/>
        <v/>
      </c>
      <c r="L29" s="9" t="str">
        <f t="shared" si="2"/>
        <v/>
      </c>
      <c r="M29" s="5"/>
      <c r="N29" s="5"/>
      <c r="O29" s="5"/>
    </row>
    <row r="30" spans="1:15" s="1" customFormat="1" ht="18" customHeight="1" x14ac:dyDescent="0.45">
      <c r="A30" s="7"/>
      <c r="B30" s="9" t="str">
        <f>IF(A30="","",VLOOKUP(A30,'Student Roster'!A:C,2,FALSE))</f>
        <v/>
      </c>
      <c r="C30" s="9" t="str">
        <f>IF(A30="","",VLOOKUP(A30,'Student Roster'!A:C,3,FALSE))</f>
        <v/>
      </c>
      <c r="D30" s="9" t="str">
        <f>IF(A30="","",VLOOKUP(A30,'Student Roster'!A:D,4,FALSE))</f>
        <v/>
      </c>
      <c r="E30" s="7"/>
      <c r="F30" s="7"/>
      <c r="G30" s="7"/>
      <c r="H30" s="7"/>
      <c r="I30" s="7"/>
      <c r="J30" s="9" t="str">
        <f t="shared" si="0"/>
        <v/>
      </c>
      <c r="K30" s="9" t="str">
        <f t="shared" si="1"/>
        <v/>
      </c>
      <c r="L30" s="9" t="str">
        <f t="shared" si="2"/>
        <v/>
      </c>
      <c r="M30" s="7"/>
      <c r="N30" s="7"/>
      <c r="O30" s="7"/>
    </row>
    <row r="31" spans="1:15" s="1" customFormat="1" ht="18" customHeight="1" x14ac:dyDescent="0.45">
      <c r="A31" s="5"/>
      <c r="B31" s="9" t="str">
        <f>IF(A31="","",VLOOKUP(A31,'Student Roster'!A:C,2,FALSE))</f>
        <v/>
      </c>
      <c r="C31" s="9" t="str">
        <f>IF(A31="","",VLOOKUP(A31,'Student Roster'!A:C,3,FALSE))</f>
        <v/>
      </c>
      <c r="D31" s="9" t="str">
        <f>IF(A31="","",VLOOKUP(A31,'Student Roster'!A:D,4,FALSE))</f>
        <v/>
      </c>
      <c r="E31" s="5"/>
      <c r="F31" s="5"/>
      <c r="G31" s="5"/>
      <c r="H31" s="5"/>
      <c r="I31" s="5"/>
      <c r="J31" s="9" t="str">
        <f t="shared" si="0"/>
        <v/>
      </c>
      <c r="K31" s="9" t="str">
        <f t="shared" si="1"/>
        <v/>
      </c>
      <c r="L31" s="9" t="str">
        <f t="shared" si="2"/>
        <v/>
      </c>
      <c r="M31" s="5"/>
      <c r="N31" s="5"/>
      <c r="O31" s="5"/>
    </row>
    <row r="32" spans="1:15" s="1" customFormat="1" ht="18" customHeight="1" x14ac:dyDescent="0.45">
      <c r="A32" s="7"/>
      <c r="B32" s="9" t="str">
        <f>IF(A32="","",VLOOKUP(A32,'Student Roster'!A:C,2,FALSE))</f>
        <v/>
      </c>
      <c r="C32" s="9" t="str">
        <f>IF(A32="","",VLOOKUP(A32,'Student Roster'!A:C,3,FALSE))</f>
        <v/>
      </c>
      <c r="D32" s="9" t="str">
        <f>IF(A32="","",VLOOKUP(A32,'Student Roster'!A:D,4,FALSE))</f>
        <v/>
      </c>
      <c r="E32" s="7"/>
      <c r="F32" s="7"/>
      <c r="G32" s="7"/>
      <c r="H32" s="7"/>
      <c r="I32" s="7"/>
      <c r="J32" s="9" t="str">
        <f t="shared" si="0"/>
        <v/>
      </c>
      <c r="K32" s="9" t="str">
        <f t="shared" si="1"/>
        <v/>
      </c>
      <c r="L32" s="9" t="str">
        <f t="shared" si="2"/>
        <v/>
      </c>
      <c r="M32" s="7"/>
      <c r="N32" s="7"/>
      <c r="O32" s="7"/>
    </row>
    <row r="33" spans="1:15" s="1" customFormat="1" ht="18" customHeight="1" x14ac:dyDescent="0.45">
      <c r="A33" s="5"/>
      <c r="B33" s="9" t="str">
        <f>IF(A33="","",VLOOKUP(A33,'Student Roster'!A:C,2,FALSE))</f>
        <v/>
      </c>
      <c r="C33" s="9" t="str">
        <f>IF(A33="","",VLOOKUP(A33,'Student Roster'!A:C,3,FALSE))</f>
        <v/>
      </c>
      <c r="D33" s="9" t="str">
        <f>IF(A33="","",VLOOKUP(A33,'Student Roster'!A:D,4,FALSE))</f>
        <v/>
      </c>
      <c r="E33" s="5"/>
      <c r="F33" s="5"/>
      <c r="G33" s="5"/>
      <c r="H33" s="5"/>
      <c r="I33" s="5"/>
      <c r="J33" s="9" t="str">
        <f t="shared" si="0"/>
        <v/>
      </c>
      <c r="K33" s="9" t="str">
        <f t="shared" si="1"/>
        <v/>
      </c>
      <c r="L33" s="9" t="str">
        <f t="shared" si="2"/>
        <v/>
      </c>
      <c r="M33" s="5"/>
      <c r="N33" s="5"/>
      <c r="O33" s="5"/>
    </row>
    <row r="34" spans="1:15" s="1" customFormat="1" ht="18" customHeight="1" x14ac:dyDescent="0.45">
      <c r="A34" s="7"/>
      <c r="B34" s="9" t="str">
        <f>IF(A34="","",VLOOKUP(A34,'Student Roster'!A:C,2,FALSE))</f>
        <v/>
      </c>
      <c r="C34" s="9" t="str">
        <f>IF(A34="","",VLOOKUP(A34,'Student Roster'!A:C,3,FALSE))</f>
        <v/>
      </c>
      <c r="D34" s="9" t="str">
        <f>IF(A34="","",VLOOKUP(A34,'Student Roster'!A:D,4,FALSE))</f>
        <v/>
      </c>
      <c r="E34" s="7"/>
      <c r="F34" s="7"/>
      <c r="G34" s="7"/>
      <c r="H34" s="7"/>
      <c r="I34" s="7"/>
      <c r="J34" s="9" t="str">
        <f t="shared" si="0"/>
        <v/>
      </c>
      <c r="K34" s="9" t="str">
        <f t="shared" si="1"/>
        <v/>
      </c>
      <c r="L34" s="9" t="str">
        <f t="shared" si="2"/>
        <v/>
      </c>
      <c r="M34" s="7"/>
      <c r="N34" s="7"/>
      <c r="O34" s="7"/>
    </row>
    <row r="35" spans="1:15" s="1" customFormat="1" ht="18" customHeight="1" x14ac:dyDescent="0.45">
      <c r="A35" s="5"/>
      <c r="B35" s="9" t="str">
        <f>IF(A35="","",VLOOKUP(A35,'Student Roster'!A:C,2,FALSE))</f>
        <v/>
      </c>
      <c r="C35" s="9" t="str">
        <f>IF(A35="","",VLOOKUP(A35,'Student Roster'!A:C,3,FALSE))</f>
        <v/>
      </c>
      <c r="D35" s="9" t="str">
        <f>IF(A35="","",VLOOKUP(A35,'Student Roster'!A:D,4,FALSE))</f>
        <v/>
      </c>
      <c r="E35" s="5"/>
      <c r="F35" s="5"/>
      <c r="G35" s="5"/>
      <c r="H35" s="5"/>
      <c r="I35" s="5"/>
      <c r="J35" s="9" t="str">
        <f t="shared" si="0"/>
        <v/>
      </c>
      <c r="K35" s="9" t="str">
        <f t="shared" si="1"/>
        <v/>
      </c>
      <c r="L35" s="9" t="str">
        <f t="shared" si="2"/>
        <v/>
      </c>
      <c r="M35" s="5"/>
      <c r="N35" s="5"/>
      <c r="O35" s="5"/>
    </row>
    <row r="36" spans="1:15" s="1" customFormat="1" ht="18" customHeight="1" x14ac:dyDescent="0.45">
      <c r="A36" s="7"/>
      <c r="B36" s="9" t="str">
        <f>IF(A36="","",VLOOKUP(A36,'Student Roster'!A:C,2,FALSE))</f>
        <v/>
      </c>
      <c r="C36" s="9" t="str">
        <f>IF(A36="","",VLOOKUP(A36,'Student Roster'!A:C,3,FALSE))</f>
        <v/>
      </c>
      <c r="D36" s="9" t="str">
        <f>IF(A36="","",VLOOKUP(A36,'Student Roster'!A:D,4,FALSE))</f>
        <v/>
      </c>
      <c r="E36" s="7"/>
      <c r="F36" s="7"/>
      <c r="G36" s="7"/>
      <c r="H36" s="7"/>
      <c r="I36" s="7"/>
      <c r="J36" s="9" t="str">
        <f t="shared" ref="J36:J67" si="3">IF(OR(H36="",I36=""),"",I36-H36)</f>
        <v/>
      </c>
      <c r="K36" s="9" t="str">
        <f t="shared" ref="K36:K67" si="4">IF(H36=0,"",ROUND((H36-I36)/H36*100,0)&amp;"%")</f>
        <v/>
      </c>
      <c r="L36" s="9" t="str">
        <f t="shared" ref="L36:L67" si="5">IF(J36="","",IF(J36&lt;0,"✅ Effective",IF(J36=0,"↔ No Change","❌ Not Effective")))</f>
        <v/>
      </c>
      <c r="M36" s="7"/>
      <c r="N36" s="7"/>
      <c r="O36" s="7"/>
    </row>
    <row r="37" spans="1:15" s="1" customFormat="1" ht="18" customHeight="1" x14ac:dyDescent="0.45">
      <c r="A37" s="5"/>
      <c r="B37" s="9" t="str">
        <f>IF(A37="","",VLOOKUP(A37,'Student Roster'!A:C,2,FALSE))</f>
        <v/>
      </c>
      <c r="C37" s="9" t="str">
        <f>IF(A37="","",VLOOKUP(A37,'Student Roster'!A:C,3,FALSE))</f>
        <v/>
      </c>
      <c r="D37" s="9" t="str">
        <f>IF(A37="","",VLOOKUP(A37,'Student Roster'!A:D,4,FALSE))</f>
        <v/>
      </c>
      <c r="E37" s="5"/>
      <c r="F37" s="5"/>
      <c r="G37" s="5"/>
      <c r="H37" s="5"/>
      <c r="I37" s="5"/>
      <c r="J37" s="9" t="str">
        <f t="shared" si="3"/>
        <v/>
      </c>
      <c r="K37" s="9" t="str">
        <f t="shared" si="4"/>
        <v/>
      </c>
      <c r="L37" s="9" t="str">
        <f t="shared" si="5"/>
        <v/>
      </c>
      <c r="M37" s="5"/>
      <c r="N37" s="5"/>
      <c r="O37" s="5"/>
    </row>
    <row r="38" spans="1:15" s="1" customFormat="1" ht="18" customHeight="1" x14ac:dyDescent="0.45">
      <c r="A38" s="7"/>
      <c r="B38" s="9" t="str">
        <f>IF(A38="","",VLOOKUP(A38,'Student Roster'!A:C,2,FALSE))</f>
        <v/>
      </c>
      <c r="C38" s="9" t="str">
        <f>IF(A38="","",VLOOKUP(A38,'Student Roster'!A:C,3,FALSE))</f>
        <v/>
      </c>
      <c r="D38" s="9" t="str">
        <f>IF(A38="","",VLOOKUP(A38,'Student Roster'!A:D,4,FALSE))</f>
        <v/>
      </c>
      <c r="E38" s="7"/>
      <c r="F38" s="7"/>
      <c r="G38" s="7"/>
      <c r="H38" s="7"/>
      <c r="I38" s="7"/>
      <c r="J38" s="9" t="str">
        <f t="shared" si="3"/>
        <v/>
      </c>
      <c r="K38" s="9" t="str">
        <f t="shared" si="4"/>
        <v/>
      </c>
      <c r="L38" s="9" t="str">
        <f t="shared" si="5"/>
        <v/>
      </c>
      <c r="M38" s="7"/>
      <c r="N38" s="7"/>
      <c r="O38" s="7"/>
    </row>
    <row r="39" spans="1:15" s="1" customFormat="1" ht="18" customHeight="1" x14ac:dyDescent="0.45">
      <c r="A39" s="5"/>
      <c r="B39" s="9" t="str">
        <f>IF(A39="","",VLOOKUP(A39,'Student Roster'!A:C,2,FALSE))</f>
        <v/>
      </c>
      <c r="C39" s="9" t="str">
        <f>IF(A39="","",VLOOKUP(A39,'Student Roster'!A:C,3,FALSE))</f>
        <v/>
      </c>
      <c r="D39" s="9" t="str">
        <f>IF(A39="","",VLOOKUP(A39,'Student Roster'!A:D,4,FALSE))</f>
        <v/>
      </c>
      <c r="E39" s="5"/>
      <c r="F39" s="5"/>
      <c r="G39" s="5"/>
      <c r="H39" s="5"/>
      <c r="I39" s="5"/>
      <c r="J39" s="9" t="str">
        <f t="shared" si="3"/>
        <v/>
      </c>
      <c r="K39" s="9" t="str">
        <f t="shared" si="4"/>
        <v/>
      </c>
      <c r="L39" s="9" t="str">
        <f t="shared" si="5"/>
        <v/>
      </c>
      <c r="M39" s="5"/>
      <c r="N39" s="5"/>
      <c r="O39" s="5"/>
    </row>
    <row r="40" spans="1:15" s="1" customFormat="1" ht="18" customHeight="1" x14ac:dyDescent="0.45">
      <c r="A40" s="7"/>
      <c r="B40" s="9" t="str">
        <f>IF(A40="","",VLOOKUP(A40,'Student Roster'!A:C,2,FALSE))</f>
        <v/>
      </c>
      <c r="C40" s="9" t="str">
        <f>IF(A40="","",VLOOKUP(A40,'Student Roster'!A:C,3,FALSE))</f>
        <v/>
      </c>
      <c r="D40" s="9" t="str">
        <f>IF(A40="","",VLOOKUP(A40,'Student Roster'!A:D,4,FALSE))</f>
        <v/>
      </c>
      <c r="E40" s="7"/>
      <c r="F40" s="7"/>
      <c r="G40" s="7"/>
      <c r="H40" s="7"/>
      <c r="I40" s="7"/>
      <c r="J40" s="9" t="str">
        <f t="shared" si="3"/>
        <v/>
      </c>
      <c r="K40" s="9" t="str">
        <f t="shared" si="4"/>
        <v/>
      </c>
      <c r="L40" s="9" t="str">
        <f t="shared" si="5"/>
        <v/>
      </c>
      <c r="M40" s="7"/>
      <c r="N40" s="7"/>
      <c r="O40" s="7"/>
    </row>
    <row r="41" spans="1:15" s="1" customFormat="1" ht="18" customHeight="1" x14ac:dyDescent="0.45">
      <c r="A41" s="5"/>
      <c r="B41" s="9" t="str">
        <f>IF(A41="","",VLOOKUP(A41,'Student Roster'!A:C,2,FALSE))</f>
        <v/>
      </c>
      <c r="C41" s="9" t="str">
        <f>IF(A41="","",VLOOKUP(A41,'Student Roster'!A:C,3,FALSE))</f>
        <v/>
      </c>
      <c r="D41" s="9" t="str">
        <f>IF(A41="","",VLOOKUP(A41,'Student Roster'!A:D,4,FALSE))</f>
        <v/>
      </c>
      <c r="E41" s="5"/>
      <c r="F41" s="5"/>
      <c r="G41" s="5"/>
      <c r="H41" s="5"/>
      <c r="I41" s="5"/>
      <c r="J41" s="9" t="str">
        <f t="shared" si="3"/>
        <v/>
      </c>
      <c r="K41" s="9" t="str">
        <f t="shared" si="4"/>
        <v/>
      </c>
      <c r="L41" s="9" t="str">
        <f t="shared" si="5"/>
        <v/>
      </c>
      <c r="M41" s="5"/>
      <c r="N41" s="5"/>
      <c r="O41" s="5"/>
    </row>
    <row r="42" spans="1:15" s="1" customFormat="1" ht="18" customHeight="1" x14ac:dyDescent="0.45">
      <c r="A42" s="7"/>
      <c r="B42" s="9" t="str">
        <f>IF(A42="","",VLOOKUP(A42,'Student Roster'!A:C,2,FALSE))</f>
        <v/>
      </c>
      <c r="C42" s="9" t="str">
        <f>IF(A42="","",VLOOKUP(A42,'Student Roster'!A:C,3,FALSE))</f>
        <v/>
      </c>
      <c r="D42" s="9" t="str">
        <f>IF(A42="","",VLOOKUP(A42,'Student Roster'!A:D,4,FALSE))</f>
        <v/>
      </c>
      <c r="E42" s="7"/>
      <c r="F42" s="7"/>
      <c r="G42" s="7"/>
      <c r="H42" s="7"/>
      <c r="I42" s="7"/>
      <c r="J42" s="9" t="str">
        <f t="shared" si="3"/>
        <v/>
      </c>
      <c r="K42" s="9" t="str">
        <f t="shared" si="4"/>
        <v/>
      </c>
      <c r="L42" s="9" t="str">
        <f t="shared" si="5"/>
        <v/>
      </c>
      <c r="M42" s="7"/>
      <c r="N42" s="7"/>
      <c r="O42" s="7"/>
    </row>
    <row r="43" spans="1:15" s="1" customFormat="1" ht="18" customHeight="1" x14ac:dyDescent="0.45">
      <c r="A43" s="5"/>
      <c r="B43" s="9" t="str">
        <f>IF(A43="","",VLOOKUP(A43,'Student Roster'!A:C,2,FALSE))</f>
        <v/>
      </c>
      <c r="C43" s="9" t="str">
        <f>IF(A43="","",VLOOKUP(A43,'Student Roster'!A:C,3,FALSE))</f>
        <v/>
      </c>
      <c r="D43" s="9" t="str">
        <f>IF(A43="","",VLOOKUP(A43,'Student Roster'!A:D,4,FALSE))</f>
        <v/>
      </c>
      <c r="E43" s="5"/>
      <c r="F43" s="5"/>
      <c r="G43" s="5"/>
      <c r="H43" s="5"/>
      <c r="I43" s="5"/>
      <c r="J43" s="9" t="str">
        <f t="shared" si="3"/>
        <v/>
      </c>
      <c r="K43" s="9" t="str">
        <f t="shared" si="4"/>
        <v/>
      </c>
      <c r="L43" s="9" t="str">
        <f t="shared" si="5"/>
        <v/>
      </c>
      <c r="M43" s="5"/>
      <c r="N43" s="5"/>
      <c r="O43" s="5"/>
    </row>
    <row r="44" spans="1:15" s="1" customFormat="1" ht="18" customHeight="1" x14ac:dyDescent="0.45">
      <c r="A44" s="7"/>
      <c r="B44" s="9" t="str">
        <f>IF(A44="","",VLOOKUP(A44,'Student Roster'!A:C,2,FALSE))</f>
        <v/>
      </c>
      <c r="C44" s="9" t="str">
        <f>IF(A44="","",VLOOKUP(A44,'Student Roster'!A:C,3,FALSE))</f>
        <v/>
      </c>
      <c r="D44" s="9" t="str">
        <f>IF(A44="","",VLOOKUP(A44,'Student Roster'!A:D,4,FALSE))</f>
        <v/>
      </c>
      <c r="E44" s="7"/>
      <c r="F44" s="7"/>
      <c r="G44" s="7"/>
      <c r="H44" s="7"/>
      <c r="I44" s="7"/>
      <c r="J44" s="9" t="str">
        <f t="shared" si="3"/>
        <v/>
      </c>
      <c r="K44" s="9" t="str">
        <f t="shared" si="4"/>
        <v/>
      </c>
      <c r="L44" s="9" t="str">
        <f t="shared" si="5"/>
        <v/>
      </c>
      <c r="M44" s="7"/>
      <c r="N44" s="7"/>
      <c r="O44" s="7"/>
    </row>
    <row r="45" spans="1:15" s="1" customFormat="1" ht="18" customHeight="1" x14ac:dyDescent="0.45">
      <c r="A45" s="5"/>
      <c r="B45" s="9" t="str">
        <f>IF(A45="","",VLOOKUP(A45,'Student Roster'!A:C,2,FALSE))</f>
        <v/>
      </c>
      <c r="C45" s="9" t="str">
        <f>IF(A45="","",VLOOKUP(A45,'Student Roster'!A:C,3,FALSE))</f>
        <v/>
      </c>
      <c r="D45" s="9" t="str">
        <f>IF(A45="","",VLOOKUP(A45,'Student Roster'!A:D,4,FALSE))</f>
        <v/>
      </c>
      <c r="E45" s="5"/>
      <c r="F45" s="5"/>
      <c r="G45" s="5"/>
      <c r="H45" s="5"/>
      <c r="I45" s="5"/>
      <c r="J45" s="9" t="str">
        <f t="shared" si="3"/>
        <v/>
      </c>
      <c r="K45" s="9" t="str">
        <f t="shared" si="4"/>
        <v/>
      </c>
      <c r="L45" s="9" t="str">
        <f t="shared" si="5"/>
        <v/>
      </c>
      <c r="M45" s="5"/>
      <c r="N45" s="5"/>
      <c r="O45" s="5"/>
    </row>
    <row r="46" spans="1:15" s="1" customFormat="1" ht="18" customHeight="1" x14ac:dyDescent="0.45">
      <c r="A46" s="7"/>
      <c r="B46" s="9" t="str">
        <f>IF(A46="","",VLOOKUP(A46,'Student Roster'!A:C,2,FALSE))</f>
        <v/>
      </c>
      <c r="C46" s="9" t="str">
        <f>IF(A46="","",VLOOKUP(A46,'Student Roster'!A:C,3,FALSE))</f>
        <v/>
      </c>
      <c r="D46" s="9" t="str">
        <f>IF(A46="","",VLOOKUP(A46,'Student Roster'!A:D,4,FALSE))</f>
        <v/>
      </c>
      <c r="E46" s="7"/>
      <c r="F46" s="7"/>
      <c r="G46" s="7"/>
      <c r="H46" s="7"/>
      <c r="I46" s="7"/>
      <c r="J46" s="9" t="str">
        <f t="shared" si="3"/>
        <v/>
      </c>
      <c r="K46" s="9" t="str">
        <f t="shared" si="4"/>
        <v/>
      </c>
      <c r="L46" s="9" t="str">
        <f t="shared" si="5"/>
        <v/>
      </c>
      <c r="M46" s="7"/>
      <c r="N46" s="7"/>
      <c r="O46" s="7"/>
    </row>
    <row r="47" spans="1:15" s="1" customFormat="1" ht="18" customHeight="1" x14ac:dyDescent="0.45">
      <c r="A47" s="5"/>
      <c r="B47" s="9" t="str">
        <f>IF(A47="","",VLOOKUP(A47,'Student Roster'!A:C,2,FALSE))</f>
        <v/>
      </c>
      <c r="C47" s="9" t="str">
        <f>IF(A47="","",VLOOKUP(A47,'Student Roster'!A:C,3,FALSE))</f>
        <v/>
      </c>
      <c r="D47" s="9" t="str">
        <f>IF(A47="","",VLOOKUP(A47,'Student Roster'!A:D,4,FALSE))</f>
        <v/>
      </c>
      <c r="E47" s="5"/>
      <c r="F47" s="5"/>
      <c r="G47" s="5"/>
      <c r="H47" s="5"/>
      <c r="I47" s="5"/>
      <c r="J47" s="9" t="str">
        <f t="shared" si="3"/>
        <v/>
      </c>
      <c r="K47" s="9" t="str">
        <f t="shared" si="4"/>
        <v/>
      </c>
      <c r="L47" s="9" t="str">
        <f t="shared" si="5"/>
        <v/>
      </c>
      <c r="M47" s="5"/>
      <c r="N47" s="5"/>
      <c r="O47" s="5"/>
    </row>
    <row r="48" spans="1:15" s="1" customFormat="1" ht="18" customHeight="1" x14ac:dyDescent="0.45">
      <c r="A48" s="7"/>
      <c r="B48" s="9" t="str">
        <f>IF(A48="","",VLOOKUP(A48,'Student Roster'!A:C,2,FALSE))</f>
        <v/>
      </c>
      <c r="C48" s="9" t="str">
        <f>IF(A48="","",VLOOKUP(A48,'Student Roster'!A:C,3,FALSE))</f>
        <v/>
      </c>
      <c r="D48" s="9" t="str">
        <f>IF(A48="","",VLOOKUP(A48,'Student Roster'!A:D,4,FALSE))</f>
        <v/>
      </c>
      <c r="E48" s="7"/>
      <c r="F48" s="7"/>
      <c r="G48" s="7"/>
      <c r="H48" s="7"/>
      <c r="I48" s="7"/>
      <c r="J48" s="9" t="str">
        <f t="shared" si="3"/>
        <v/>
      </c>
      <c r="K48" s="9" t="str">
        <f t="shared" si="4"/>
        <v/>
      </c>
      <c r="L48" s="9" t="str">
        <f t="shared" si="5"/>
        <v/>
      </c>
      <c r="M48" s="7"/>
      <c r="N48" s="7"/>
      <c r="O48" s="7"/>
    </row>
    <row r="49" spans="1:15" s="1" customFormat="1" ht="18" customHeight="1" x14ac:dyDescent="0.45">
      <c r="A49" s="5"/>
      <c r="B49" s="9" t="str">
        <f>IF(A49="","",VLOOKUP(A49,'Student Roster'!A:C,2,FALSE))</f>
        <v/>
      </c>
      <c r="C49" s="9" t="str">
        <f>IF(A49="","",VLOOKUP(A49,'Student Roster'!A:C,3,FALSE))</f>
        <v/>
      </c>
      <c r="D49" s="9" t="str">
        <f>IF(A49="","",VLOOKUP(A49,'Student Roster'!A:D,4,FALSE))</f>
        <v/>
      </c>
      <c r="E49" s="5"/>
      <c r="F49" s="5"/>
      <c r="G49" s="5"/>
      <c r="H49" s="5"/>
      <c r="I49" s="5"/>
      <c r="J49" s="9" t="str">
        <f t="shared" si="3"/>
        <v/>
      </c>
      <c r="K49" s="9" t="str">
        <f t="shared" si="4"/>
        <v/>
      </c>
      <c r="L49" s="9" t="str">
        <f t="shared" si="5"/>
        <v/>
      </c>
      <c r="M49" s="5"/>
      <c r="N49" s="5"/>
      <c r="O49" s="5"/>
    </row>
    <row r="50" spans="1:15" s="1" customFormat="1" ht="18" customHeight="1" x14ac:dyDescent="0.45">
      <c r="A50" s="7"/>
      <c r="B50" s="9" t="str">
        <f>IF(A50="","",VLOOKUP(A50,'Student Roster'!A:C,2,FALSE))</f>
        <v/>
      </c>
      <c r="C50" s="9" t="str">
        <f>IF(A50="","",VLOOKUP(A50,'Student Roster'!A:C,3,FALSE))</f>
        <v/>
      </c>
      <c r="D50" s="9" t="str">
        <f>IF(A50="","",VLOOKUP(A50,'Student Roster'!A:D,4,FALSE))</f>
        <v/>
      </c>
      <c r="E50" s="7"/>
      <c r="F50" s="7"/>
      <c r="G50" s="7"/>
      <c r="H50" s="7"/>
      <c r="I50" s="7"/>
      <c r="J50" s="9" t="str">
        <f t="shared" si="3"/>
        <v/>
      </c>
      <c r="K50" s="9" t="str">
        <f t="shared" si="4"/>
        <v/>
      </c>
      <c r="L50" s="9" t="str">
        <f t="shared" si="5"/>
        <v/>
      </c>
      <c r="M50" s="7"/>
      <c r="N50" s="7"/>
      <c r="O50" s="7"/>
    </row>
    <row r="51" spans="1:15" s="1" customFormat="1" ht="18" customHeight="1" x14ac:dyDescent="0.45">
      <c r="A51" s="5"/>
      <c r="B51" s="9" t="str">
        <f>IF(A51="","",VLOOKUP(A51,'Student Roster'!A:C,2,FALSE))</f>
        <v/>
      </c>
      <c r="C51" s="9" t="str">
        <f>IF(A51="","",VLOOKUP(A51,'Student Roster'!A:C,3,FALSE))</f>
        <v/>
      </c>
      <c r="D51" s="9" t="str">
        <f>IF(A51="","",VLOOKUP(A51,'Student Roster'!A:D,4,FALSE))</f>
        <v/>
      </c>
      <c r="E51" s="5"/>
      <c r="F51" s="5"/>
      <c r="G51" s="5"/>
      <c r="H51" s="5"/>
      <c r="I51" s="5"/>
      <c r="J51" s="9" t="str">
        <f t="shared" si="3"/>
        <v/>
      </c>
      <c r="K51" s="9" t="str">
        <f t="shared" si="4"/>
        <v/>
      </c>
      <c r="L51" s="9" t="str">
        <f t="shared" si="5"/>
        <v/>
      </c>
      <c r="M51" s="5"/>
      <c r="N51" s="5"/>
      <c r="O51" s="5"/>
    </row>
    <row r="52" spans="1:15" s="1" customFormat="1" ht="18" customHeight="1" x14ac:dyDescent="0.45">
      <c r="A52" s="7"/>
      <c r="B52" s="9" t="str">
        <f>IF(A52="","",VLOOKUP(A52,'Student Roster'!A:C,2,FALSE))</f>
        <v/>
      </c>
      <c r="C52" s="9" t="str">
        <f>IF(A52="","",VLOOKUP(A52,'Student Roster'!A:C,3,FALSE))</f>
        <v/>
      </c>
      <c r="D52" s="9" t="str">
        <f>IF(A52="","",VLOOKUP(A52,'Student Roster'!A:D,4,FALSE))</f>
        <v/>
      </c>
      <c r="E52" s="7"/>
      <c r="F52" s="7"/>
      <c r="G52" s="7"/>
      <c r="H52" s="7"/>
      <c r="I52" s="7"/>
      <c r="J52" s="9" t="str">
        <f t="shared" si="3"/>
        <v/>
      </c>
      <c r="K52" s="9" t="str">
        <f t="shared" si="4"/>
        <v/>
      </c>
      <c r="L52" s="9" t="str">
        <f t="shared" si="5"/>
        <v/>
      </c>
      <c r="M52" s="7"/>
      <c r="N52" s="7"/>
      <c r="O52" s="7"/>
    </row>
    <row r="53" spans="1:15" s="1" customFormat="1" ht="18" customHeight="1" x14ac:dyDescent="0.45">
      <c r="A53" s="5"/>
      <c r="B53" s="9" t="str">
        <f>IF(A53="","",VLOOKUP(A53,'Student Roster'!A:C,2,FALSE))</f>
        <v/>
      </c>
      <c r="C53" s="9" t="str">
        <f>IF(A53="","",VLOOKUP(A53,'Student Roster'!A:C,3,FALSE))</f>
        <v/>
      </c>
      <c r="D53" s="9" t="str">
        <f>IF(A53="","",VLOOKUP(A53,'Student Roster'!A:D,4,FALSE))</f>
        <v/>
      </c>
      <c r="E53" s="5"/>
      <c r="F53" s="5"/>
      <c r="G53" s="5"/>
      <c r="H53" s="5"/>
      <c r="I53" s="5"/>
      <c r="J53" s="9" t="str">
        <f t="shared" si="3"/>
        <v/>
      </c>
      <c r="K53" s="9" t="str">
        <f t="shared" si="4"/>
        <v/>
      </c>
      <c r="L53" s="9" t="str">
        <f t="shared" si="5"/>
        <v/>
      </c>
      <c r="M53" s="5"/>
      <c r="N53" s="5"/>
      <c r="O53" s="5"/>
    </row>
    <row r="54" spans="1:15" s="1" customFormat="1" ht="18" customHeight="1" x14ac:dyDescent="0.45">
      <c r="A54" s="7"/>
      <c r="B54" s="9" t="str">
        <f>IF(A54="","",VLOOKUP(A54,'Student Roster'!A:C,2,FALSE))</f>
        <v/>
      </c>
      <c r="C54" s="9" t="str">
        <f>IF(A54="","",VLOOKUP(A54,'Student Roster'!A:C,3,FALSE))</f>
        <v/>
      </c>
      <c r="D54" s="9" t="str">
        <f>IF(A54="","",VLOOKUP(A54,'Student Roster'!A:D,4,FALSE))</f>
        <v/>
      </c>
      <c r="E54" s="7"/>
      <c r="F54" s="7"/>
      <c r="G54" s="7"/>
      <c r="H54" s="7"/>
      <c r="I54" s="7"/>
      <c r="J54" s="9" t="str">
        <f t="shared" si="3"/>
        <v/>
      </c>
      <c r="K54" s="9" t="str">
        <f t="shared" si="4"/>
        <v/>
      </c>
      <c r="L54" s="9" t="str">
        <f t="shared" si="5"/>
        <v/>
      </c>
      <c r="M54" s="7"/>
      <c r="N54" s="7"/>
      <c r="O54" s="7"/>
    </row>
    <row r="55" spans="1:15" s="1" customFormat="1" ht="18" customHeight="1" x14ac:dyDescent="0.45">
      <c r="A55" s="5"/>
      <c r="B55" s="9" t="str">
        <f>IF(A55="","",VLOOKUP(A55,'Student Roster'!A:C,2,FALSE))</f>
        <v/>
      </c>
      <c r="C55" s="9" t="str">
        <f>IF(A55="","",VLOOKUP(A55,'Student Roster'!A:C,3,FALSE))</f>
        <v/>
      </c>
      <c r="D55" s="9" t="str">
        <f>IF(A55="","",VLOOKUP(A55,'Student Roster'!A:D,4,FALSE))</f>
        <v/>
      </c>
      <c r="E55" s="5"/>
      <c r="F55" s="5"/>
      <c r="G55" s="5"/>
      <c r="H55" s="5"/>
      <c r="I55" s="5"/>
      <c r="J55" s="9" t="str">
        <f t="shared" si="3"/>
        <v/>
      </c>
      <c r="K55" s="9" t="str">
        <f t="shared" si="4"/>
        <v/>
      </c>
      <c r="L55" s="9" t="str">
        <f t="shared" si="5"/>
        <v/>
      </c>
      <c r="M55" s="5"/>
      <c r="N55" s="5"/>
      <c r="O55" s="5"/>
    </row>
    <row r="56" spans="1:15" s="1" customFormat="1" ht="18" customHeight="1" x14ac:dyDescent="0.45">
      <c r="A56" s="7"/>
      <c r="B56" s="9" t="str">
        <f>IF(A56="","",VLOOKUP(A56,'Student Roster'!A:C,2,FALSE))</f>
        <v/>
      </c>
      <c r="C56" s="9" t="str">
        <f>IF(A56="","",VLOOKUP(A56,'Student Roster'!A:C,3,FALSE))</f>
        <v/>
      </c>
      <c r="D56" s="9" t="str">
        <f>IF(A56="","",VLOOKUP(A56,'Student Roster'!A:D,4,FALSE))</f>
        <v/>
      </c>
      <c r="E56" s="7"/>
      <c r="F56" s="7"/>
      <c r="G56" s="7"/>
      <c r="H56" s="7"/>
      <c r="I56" s="7"/>
      <c r="J56" s="9" t="str">
        <f t="shared" si="3"/>
        <v/>
      </c>
      <c r="K56" s="9" t="str">
        <f t="shared" si="4"/>
        <v/>
      </c>
      <c r="L56" s="9" t="str">
        <f t="shared" si="5"/>
        <v/>
      </c>
      <c r="M56" s="7"/>
      <c r="N56" s="7"/>
      <c r="O56" s="7"/>
    </row>
    <row r="57" spans="1:15" s="1" customFormat="1" ht="18" customHeight="1" x14ac:dyDescent="0.45">
      <c r="A57" s="5"/>
      <c r="B57" s="9" t="str">
        <f>IF(A57="","",VLOOKUP(A57,'Student Roster'!A:C,2,FALSE))</f>
        <v/>
      </c>
      <c r="C57" s="9" t="str">
        <f>IF(A57="","",VLOOKUP(A57,'Student Roster'!A:C,3,FALSE))</f>
        <v/>
      </c>
      <c r="D57" s="9" t="str">
        <f>IF(A57="","",VLOOKUP(A57,'Student Roster'!A:D,4,FALSE))</f>
        <v/>
      </c>
      <c r="E57" s="5"/>
      <c r="F57" s="5"/>
      <c r="G57" s="5"/>
      <c r="H57" s="5"/>
      <c r="I57" s="5"/>
      <c r="J57" s="9" t="str">
        <f t="shared" si="3"/>
        <v/>
      </c>
      <c r="K57" s="9" t="str">
        <f t="shared" si="4"/>
        <v/>
      </c>
      <c r="L57" s="9" t="str">
        <f t="shared" si="5"/>
        <v/>
      </c>
      <c r="M57" s="5"/>
      <c r="N57" s="5"/>
      <c r="O57" s="5"/>
    </row>
    <row r="58" spans="1:15" s="1" customFormat="1" ht="18" customHeight="1" x14ac:dyDescent="0.45">
      <c r="A58" s="7"/>
      <c r="B58" s="9" t="str">
        <f>IF(A58="","",VLOOKUP(A58,'Student Roster'!A:C,2,FALSE))</f>
        <v/>
      </c>
      <c r="C58" s="9" t="str">
        <f>IF(A58="","",VLOOKUP(A58,'Student Roster'!A:C,3,FALSE))</f>
        <v/>
      </c>
      <c r="D58" s="9" t="str">
        <f>IF(A58="","",VLOOKUP(A58,'Student Roster'!A:D,4,FALSE))</f>
        <v/>
      </c>
      <c r="E58" s="7"/>
      <c r="F58" s="7"/>
      <c r="G58" s="7"/>
      <c r="H58" s="7"/>
      <c r="I58" s="7"/>
      <c r="J58" s="9" t="str">
        <f t="shared" si="3"/>
        <v/>
      </c>
      <c r="K58" s="9" t="str">
        <f t="shared" si="4"/>
        <v/>
      </c>
      <c r="L58" s="9" t="str">
        <f t="shared" si="5"/>
        <v/>
      </c>
      <c r="M58" s="7"/>
      <c r="N58" s="7"/>
      <c r="O58" s="7"/>
    </row>
    <row r="59" spans="1:15" s="1" customFormat="1" ht="18" customHeight="1" x14ac:dyDescent="0.45">
      <c r="A59" s="5"/>
      <c r="B59" s="9" t="str">
        <f>IF(A59="","",VLOOKUP(A59,'Student Roster'!A:C,2,FALSE))</f>
        <v/>
      </c>
      <c r="C59" s="9" t="str">
        <f>IF(A59="","",VLOOKUP(A59,'Student Roster'!A:C,3,FALSE))</f>
        <v/>
      </c>
      <c r="D59" s="9" t="str">
        <f>IF(A59="","",VLOOKUP(A59,'Student Roster'!A:D,4,FALSE))</f>
        <v/>
      </c>
      <c r="E59" s="5"/>
      <c r="F59" s="5"/>
      <c r="G59" s="5"/>
      <c r="H59" s="5"/>
      <c r="I59" s="5"/>
      <c r="J59" s="9" t="str">
        <f t="shared" si="3"/>
        <v/>
      </c>
      <c r="K59" s="9" t="str">
        <f t="shared" si="4"/>
        <v/>
      </c>
      <c r="L59" s="9" t="str">
        <f t="shared" si="5"/>
        <v/>
      </c>
      <c r="M59" s="5"/>
      <c r="N59" s="5"/>
      <c r="O59" s="5"/>
    </row>
    <row r="60" spans="1:15" s="1" customFormat="1" ht="18" customHeight="1" x14ac:dyDescent="0.45">
      <c r="A60" s="7"/>
      <c r="B60" s="9" t="str">
        <f>IF(A60="","",VLOOKUP(A60,'Student Roster'!A:C,2,FALSE))</f>
        <v/>
      </c>
      <c r="C60" s="9" t="str">
        <f>IF(A60="","",VLOOKUP(A60,'Student Roster'!A:C,3,FALSE))</f>
        <v/>
      </c>
      <c r="D60" s="9" t="str">
        <f>IF(A60="","",VLOOKUP(A60,'Student Roster'!A:D,4,FALSE))</f>
        <v/>
      </c>
      <c r="E60" s="7"/>
      <c r="F60" s="7"/>
      <c r="G60" s="7"/>
      <c r="H60" s="7"/>
      <c r="I60" s="7"/>
      <c r="J60" s="9" t="str">
        <f t="shared" si="3"/>
        <v/>
      </c>
      <c r="K60" s="9" t="str">
        <f t="shared" si="4"/>
        <v/>
      </c>
      <c r="L60" s="9" t="str">
        <f t="shared" si="5"/>
        <v/>
      </c>
      <c r="M60" s="7"/>
      <c r="N60" s="7"/>
      <c r="O60" s="7"/>
    </row>
    <row r="61" spans="1:15" s="1" customFormat="1" ht="18" customHeight="1" x14ac:dyDescent="0.45">
      <c r="A61" s="5"/>
      <c r="B61" s="9" t="str">
        <f>IF(A61="","",VLOOKUP(A61,'Student Roster'!A:C,2,FALSE))</f>
        <v/>
      </c>
      <c r="C61" s="9" t="str">
        <f>IF(A61="","",VLOOKUP(A61,'Student Roster'!A:C,3,FALSE))</f>
        <v/>
      </c>
      <c r="D61" s="9" t="str">
        <f>IF(A61="","",VLOOKUP(A61,'Student Roster'!A:D,4,FALSE))</f>
        <v/>
      </c>
      <c r="E61" s="5"/>
      <c r="F61" s="5"/>
      <c r="G61" s="5"/>
      <c r="H61" s="5"/>
      <c r="I61" s="5"/>
      <c r="J61" s="9" t="str">
        <f t="shared" si="3"/>
        <v/>
      </c>
      <c r="K61" s="9" t="str">
        <f t="shared" si="4"/>
        <v/>
      </c>
      <c r="L61" s="9" t="str">
        <f t="shared" si="5"/>
        <v/>
      </c>
      <c r="M61" s="5"/>
      <c r="N61" s="5"/>
      <c r="O61" s="5"/>
    </row>
    <row r="62" spans="1:15" s="1" customFormat="1" ht="18" customHeight="1" x14ac:dyDescent="0.45">
      <c r="A62" s="7"/>
      <c r="B62" s="9" t="str">
        <f>IF(A62="","",VLOOKUP(A62,'Student Roster'!A:C,2,FALSE))</f>
        <v/>
      </c>
      <c r="C62" s="9" t="str">
        <f>IF(A62="","",VLOOKUP(A62,'Student Roster'!A:C,3,FALSE))</f>
        <v/>
      </c>
      <c r="D62" s="9" t="str">
        <f>IF(A62="","",VLOOKUP(A62,'Student Roster'!A:D,4,FALSE))</f>
        <v/>
      </c>
      <c r="E62" s="7"/>
      <c r="F62" s="7"/>
      <c r="G62" s="7"/>
      <c r="H62" s="7"/>
      <c r="I62" s="7"/>
      <c r="J62" s="9" t="str">
        <f t="shared" si="3"/>
        <v/>
      </c>
      <c r="K62" s="9" t="str">
        <f t="shared" si="4"/>
        <v/>
      </c>
      <c r="L62" s="9" t="str">
        <f t="shared" si="5"/>
        <v/>
      </c>
      <c r="M62" s="7"/>
      <c r="N62" s="7"/>
      <c r="O62" s="7"/>
    </row>
    <row r="63" spans="1:15" s="1" customFormat="1" ht="18" customHeight="1" x14ac:dyDescent="0.45">
      <c r="A63" s="5"/>
      <c r="B63" s="9" t="str">
        <f>IF(A63="","",VLOOKUP(A63,'Student Roster'!A:C,2,FALSE))</f>
        <v/>
      </c>
      <c r="C63" s="9" t="str">
        <f>IF(A63="","",VLOOKUP(A63,'Student Roster'!A:C,3,FALSE))</f>
        <v/>
      </c>
      <c r="D63" s="9" t="str">
        <f>IF(A63="","",VLOOKUP(A63,'Student Roster'!A:D,4,FALSE))</f>
        <v/>
      </c>
      <c r="E63" s="5"/>
      <c r="F63" s="5"/>
      <c r="G63" s="5"/>
      <c r="H63" s="5"/>
      <c r="I63" s="5"/>
      <c r="J63" s="9" t="str">
        <f t="shared" si="3"/>
        <v/>
      </c>
      <c r="K63" s="9" t="str">
        <f t="shared" si="4"/>
        <v/>
      </c>
      <c r="L63" s="9" t="str">
        <f t="shared" si="5"/>
        <v/>
      </c>
      <c r="M63" s="5"/>
      <c r="N63" s="5"/>
      <c r="O63" s="5"/>
    </row>
    <row r="64" spans="1:15" s="1" customFormat="1" ht="18" customHeight="1" x14ac:dyDescent="0.45">
      <c r="A64" s="7"/>
      <c r="B64" s="9" t="str">
        <f>IF(A64="","",VLOOKUP(A64,'Student Roster'!A:C,2,FALSE))</f>
        <v/>
      </c>
      <c r="C64" s="9" t="str">
        <f>IF(A64="","",VLOOKUP(A64,'Student Roster'!A:C,3,FALSE))</f>
        <v/>
      </c>
      <c r="D64" s="9" t="str">
        <f>IF(A64="","",VLOOKUP(A64,'Student Roster'!A:D,4,FALSE))</f>
        <v/>
      </c>
      <c r="E64" s="7"/>
      <c r="F64" s="7"/>
      <c r="G64" s="7"/>
      <c r="H64" s="7"/>
      <c r="I64" s="7"/>
      <c r="J64" s="9" t="str">
        <f t="shared" si="3"/>
        <v/>
      </c>
      <c r="K64" s="9" t="str">
        <f t="shared" si="4"/>
        <v/>
      </c>
      <c r="L64" s="9" t="str">
        <f t="shared" si="5"/>
        <v/>
      </c>
      <c r="M64" s="7"/>
      <c r="N64" s="7"/>
      <c r="O64" s="7"/>
    </row>
    <row r="65" spans="1:15" s="1" customFormat="1" ht="18" customHeight="1" x14ac:dyDescent="0.45">
      <c r="A65" s="5"/>
      <c r="B65" s="9" t="str">
        <f>IF(A65="","",VLOOKUP(A65,'Student Roster'!A:C,2,FALSE))</f>
        <v/>
      </c>
      <c r="C65" s="9" t="str">
        <f>IF(A65="","",VLOOKUP(A65,'Student Roster'!A:C,3,FALSE))</f>
        <v/>
      </c>
      <c r="D65" s="9" t="str">
        <f>IF(A65="","",VLOOKUP(A65,'Student Roster'!A:D,4,FALSE))</f>
        <v/>
      </c>
      <c r="E65" s="5"/>
      <c r="F65" s="5"/>
      <c r="G65" s="5"/>
      <c r="H65" s="5"/>
      <c r="I65" s="5"/>
      <c r="J65" s="9" t="str">
        <f t="shared" si="3"/>
        <v/>
      </c>
      <c r="K65" s="9" t="str">
        <f t="shared" si="4"/>
        <v/>
      </c>
      <c r="L65" s="9" t="str">
        <f t="shared" si="5"/>
        <v/>
      </c>
      <c r="M65" s="5"/>
      <c r="N65" s="5"/>
      <c r="O65" s="5"/>
    </row>
    <row r="66" spans="1:15" s="1" customFormat="1" ht="18" customHeight="1" x14ac:dyDescent="0.45">
      <c r="A66" s="7"/>
      <c r="B66" s="9" t="str">
        <f>IF(A66="","",VLOOKUP(A66,'Student Roster'!A:C,2,FALSE))</f>
        <v/>
      </c>
      <c r="C66" s="9" t="str">
        <f>IF(A66="","",VLOOKUP(A66,'Student Roster'!A:C,3,FALSE))</f>
        <v/>
      </c>
      <c r="D66" s="9" t="str">
        <f>IF(A66="","",VLOOKUP(A66,'Student Roster'!A:D,4,FALSE))</f>
        <v/>
      </c>
      <c r="E66" s="7"/>
      <c r="F66" s="7"/>
      <c r="G66" s="7"/>
      <c r="H66" s="7"/>
      <c r="I66" s="7"/>
      <c r="J66" s="9" t="str">
        <f t="shared" si="3"/>
        <v/>
      </c>
      <c r="K66" s="9" t="str">
        <f t="shared" si="4"/>
        <v/>
      </c>
      <c r="L66" s="9" t="str">
        <f t="shared" si="5"/>
        <v/>
      </c>
      <c r="M66" s="7"/>
      <c r="N66" s="7"/>
      <c r="O66" s="7"/>
    </row>
    <row r="67" spans="1:15" s="1" customFormat="1" ht="18" customHeight="1" x14ac:dyDescent="0.45">
      <c r="A67" s="5"/>
      <c r="B67" s="9" t="str">
        <f>IF(A67="","",VLOOKUP(A67,'Student Roster'!A:C,2,FALSE))</f>
        <v/>
      </c>
      <c r="C67" s="9" t="str">
        <f>IF(A67="","",VLOOKUP(A67,'Student Roster'!A:C,3,FALSE))</f>
        <v/>
      </c>
      <c r="D67" s="9" t="str">
        <f>IF(A67="","",VLOOKUP(A67,'Student Roster'!A:D,4,FALSE))</f>
        <v/>
      </c>
      <c r="E67" s="5"/>
      <c r="F67" s="5"/>
      <c r="G67" s="5"/>
      <c r="H67" s="5"/>
      <c r="I67" s="5"/>
      <c r="J67" s="9" t="str">
        <f t="shared" si="3"/>
        <v/>
      </c>
      <c r="K67" s="9" t="str">
        <f t="shared" si="4"/>
        <v/>
      </c>
      <c r="L67" s="9" t="str">
        <f t="shared" si="5"/>
        <v/>
      </c>
      <c r="M67" s="5"/>
      <c r="N67" s="5"/>
      <c r="O67" s="5"/>
    </row>
    <row r="68" spans="1:15" s="1" customFormat="1" ht="18" customHeight="1" x14ac:dyDescent="0.45">
      <c r="A68" s="7"/>
      <c r="B68" s="9" t="str">
        <f>IF(A68="","",VLOOKUP(A68,'Student Roster'!A:C,2,FALSE))</f>
        <v/>
      </c>
      <c r="C68" s="9" t="str">
        <f>IF(A68="","",VLOOKUP(A68,'Student Roster'!A:C,3,FALSE))</f>
        <v/>
      </c>
      <c r="D68" s="9" t="str">
        <f>IF(A68="","",VLOOKUP(A68,'Student Roster'!A:D,4,FALSE))</f>
        <v/>
      </c>
      <c r="E68" s="7"/>
      <c r="F68" s="7"/>
      <c r="G68" s="7"/>
      <c r="H68" s="7"/>
      <c r="I68" s="7"/>
      <c r="J68" s="9" t="str">
        <f t="shared" ref="J68:J99" si="6">IF(OR(H68="",I68=""),"",I68-H68)</f>
        <v/>
      </c>
      <c r="K68" s="9" t="str">
        <f t="shared" ref="K68:K99" si="7">IF(H68=0,"",ROUND((H68-I68)/H68*100,0)&amp;"%")</f>
        <v/>
      </c>
      <c r="L68" s="9" t="str">
        <f t="shared" ref="L68:L99" si="8">IF(J68="","",IF(J68&lt;0,"✅ Effective",IF(J68=0,"↔ No Change","❌ Not Effective")))</f>
        <v/>
      </c>
      <c r="M68" s="7"/>
      <c r="N68" s="7"/>
      <c r="O68" s="7"/>
    </row>
    <row r="69" spans="1:15" s="1" customFormat="1" ht="18" customHeight="1" x14ac:dyDescent="0.45">
      <c r="A69" s="5"/>
      <c r="B69" s="9" t="str">
        <f>IF(A69="","",VLOOKUP(A69,'Student Roster'!A:C,2,FALSE))</f>
        <v/>
      </c>
      <c r="C69" s="9" t="str">
        <f>IF(A69="","",VLOOKUP(A69,'Student Roster'!A:C,3,FALSE))</f>
        <v/>
      </c>
      <c r="D69" s="9" t="str">
        <f>IF(A69="","",VLOOKUP(A69,'Student Roster'!A:D,4,FALSE))</f>
        <v/>
      </c>
      <c r="E69" s="5"/>
      <c r="F69" s="5"/>
      <c r="G69" s="5"/>
      <c r="H69" s="5"/>
      <c r="I69" s="5"/>
      <c r="J69" s="9" t="str">
        <f t="shared" si="6"/>
        <v/>
      </c>
      <c r="K69" s="9" t="str">
        <f t="shared" si="7"/>
        <v/>
      </c>
      <c r="L69" s="9" t="str">
        <f t="shared" si="8"/>
        <v/>
      </c>
      <c r="M69" s="5"/>
      <c r="N69" s="5"/>
      <c r="O69" s="5"/>
    </row>
    <row r="70" spans="1:15" s="1" customFormat="1" ht="18" customHeight="1" x14ac:dyDescent="0.45">
      <c r="A70" s="7"/>
      <c r="B70" s="9" t="str">
        <f>IF(A70="","",VLOOKUP(A70,'Student Roster'!A:C,2,FALSE))</f>
        <v/>
      </c>
      <c r="C70" s="9" t="str">
        <f>IF(A70="","",VLOOKUP(A70,'Student Roster'!A:C,3,FALSE))</f>
        <v/>
      </c>
      <c r="D70" s="9" t="str">
        <f>IF(A70="","",VLOOKUP(A70,'Student Roster'!A:D,4,FALSE))</f>
        <v/>
      </c>
      <c r="E70" s="7"/>
      <c r="F70" s="7"/>
      <c r="G70" s="7"/>
      <c r="H70" s="7"/>
      <c r="I70" s="7"/>
      <c r="J70" s="9" t="str">
        <f t="shared" si="6"/>
        <v/>
      </c>
      <c r="K70" s="9" t="str">
        <f t="shared" si="7"/>
        <v/>
      </c>
      <c r="L70" s="9" t="str">
        <f t="shared" si="8"/>
        <v/>
      </c>
      <c r="M70" s="7"/>
      <c r="N70" s="7"/>
      <c r="O70" s="7"/>
    </row>
    <row r="71" spans="1:15" s="1" customFormat="1" ht="18" customHeight="1" x14ac:dyDescent="0.45">
      <c r="A71" s="5"/>
      <c r="B71" s="9" t="str">
        <f>IF(A71="","",VLOOKUP(A71,'Student Roster'!A:C,2,FALSE))</f>
        <v/>
      </c>
      <c r="C71" s="9" t="str">
        <f>IF(A71="","",VLOOKUP(A71,'Student Roster'!A:C,3,FALSE))</f>
        <v/>
      </c>
      <c r="D71" s="9" t="str">
        <f>IF(A71="","",VLOOKUP(A71,'Student Roster'!A:D,4,FALSE))</f>
        <v/>
      </c>
      <c r="E71" s="5"/>
      <c r="F71" s="5"/>
      <c r="G71" s="5"/>
      <c r="H71" s="5"/>
      <c r="I71" s="5"/>
      <c r="J71" s="9" t="str">
        <f t="shared" si="6"/>
        <v/>
      </c>
      <c r="K71" s="9" t="str">
        <f t="shared" si="7"/>
        <v/>
      </c>
      <c r="L71" s="9" t="str">
        <f t="shared" si="8"/>
        <v/>
      </c>
      <c r="M71" s="5"/>
      <c r="N71" s="5"/>
      <c r="O71" s="5"/>
    </row>
    <row r="72" spans="1:15" s="1" customFormat="1" ht="18" customHeight="1" x14ac:dyDescent="0.45">
      <c r="A72" s="7"/>
      <c r="B72" s="9" t="str">
        <f>IF(A72="","",VLOOKUP(A72,'Student Roster'!A:C,2,FALSE))</f>
        <v/>
      </c>
      <c r="C72" s="9" t="str">
        <f>IF(A72="","",VLOOKUP(A72,'Student Roster'!A:C,3,FALSE))</f>
        <v/>
      </c>
      <c r="D72" s="9" t="str">
        <f>IF(A72="","",VLOOKUP(A72,'Student Roster'!A:D,4,FALSE))</f>
        <v/>
      </c>
      <c r="E72" s="7"/>
      <c r="F72" s="7"/>
      <c r="G72" s="7"/>
      <c r="H72" s="7"/>
      <c r="I72" s="7"/>
      <c r="J72" s="9" t="str">
        <f t="shared" si="6"/>
        <v/>
      </c>
      <c r="K72" s="9" t="str">
        <f t="shared" si="7"/>
        <v/>
      </c>
      <c r="L72" s="9" t="str">
        <f t="shared" si="8"/>
        <v/>
      </c>
      <c r="M72" s="7"/>
      <c r="N72" s="7"/>
      <c r="O72" s="7"/>
    </row>
    <row r="73" spans="1:15" s="1" customFormat="1" ht="18" customHeight="1" x14ac:dyDescent="0.45">
      <c r="A73" s="5"/>
      <c r="B73" s="9" t="str">
        <f>IF(A73="","",VLOOKUP(A73,'Student Roster'!A:C,2,FALSE))</f>
        <v/>
      </c>
      <c r="C73" s="9" t="str">
        <f>IF(A73="","",VLOOKUP(A73,'Student Roster'!A:C,3,FALSE))</f>
        <v/>
      </c>
      <c r="D73" s="9" t="str">
        <f>IF(A73="","",VLOOKUP(A73,'Student Roster'!A:D,4,FALSE))</f>
        <v/>
      </c>
      <c r="E73" s="5"/>
      <c r="F73" s="5"/>
      <c r="G73" s="5"/>
      <c r="H73" s="5"/>
      <c r="I73" s="5"/>
      <c r="J73" s="9" t="str">
        <f t="shared" si="6"/>
        <v/>
      </c>
      <c r="K73" s="9" t="str">
        <f t="shared" si="7"/>
        <v/>
      </c>
      <c r="L73" s="9" t="str">
        <f t="shared" si="8"/>
        <v/>
      </c>
      <c r="M73" s="5"/>
      <c r="N73" s="5"/>
      <c r="O73" s="5"/>
    </row>
    <row r="74" spans="1:15" s="1" customFormat="1" ht="18" customHeight="1" x14ac:dyDescent="0.45">
      <c r="A74" s="7"/>
      <c r="B74" s="9" t="str">
        <f>IF(A74="","",VLOOKUP(A74,'Student Roster'!A:C,2,FALSE))</f>
        <v/>
      </c>
      <c r="C74" s="9" t="str">
        <f>IF(A74="","",VLOOKUP(A74,'Student Roster'!A:C,3,FALSE))</f>
        <v/>
      </c>
      <c r="D74" s="9" t="str">
        <f>IF(A74="","",VLOOKUP(A74,'Student Roster'!A:D,4,FALSE))</f>
        <v/>
      </c>
      <c r="E74" s="7"/>
      <c r="F74" s="7"/>
      <c r="G74" s="7"/>
      <c r="H74" s="7"/>
      <c r="I74" s="7"/>
      <c r="J74" s="9" t="str">
        <f t="shared" si="6"/>
        <v/>
      </c>
      <c r="K74" s="9" t="str">
        <f t="shared" si="7"/>
        <v/>
      </c>
      <c r="L74" s="9" t="str">
        <f t="shared" si="8"/>
        <v/>
      </c>
      <c r="M74" s="7"/>
      <c r="N74" s="7"/>
      <c r="O74" s="7"/>
    </row>
    <row r="75" spans="1:15" s="1" customFormat="1" ht="18" customHeight="1" x14ac:dyDescent="0.45">
      <c r="A75" s="5"/>
      <c r="B75" s="9" t="str">
        <f>IF(A75="","",VLOOKUP(A75,'Student Roster'!A:C,2,FALSE))</f>
        <v/>
      </c>
      <c r="C75" s="9" t="str">
        <f>IF(A75="","",VLOOKUP(A75,'Student Roster'!A:C,3,FALSE))</f>
        <v/>
      </c>
      <c r="D75" s="9" t="str">
        <f>IF(A75="","",VLOOKUP(A75,'Student Roster'!A:D,4,FALSE))</f>
        <v/>
      </c>
      <c r="E75" s="5"/>
      <c r="F75" s="5"/>
      <c r="G75" s="5"/>
      <c r="H75" s="5"/>
      <c r="I75" s="5"/>
      <c r="J75" s="9" t="str">
        <f t="shared" si="6"/>
        <v/>
      </c>
      <c r="K75" s="9" t="str">
        <f t="shared" si="7"/>
        <v/>
      </c>
      <c r="L75" s="9" t="str">
        <f t="shared" si="8"/>
        <v/>
      </c>
      <c r="M75" s="5"/>
      <c r="N75" s="5"/>
      <c r="O75" s="5"/>
    </row>
    <row r="76" spans="1:15" s="1" customFormat="1" ht="18" customHeight="1" x14ac:dyDescent="0.45">
      <c r="A76" s="7"/>
      <c r="B76" s="9" t="str">
        <f>IF(A76="","",VLOOKUP(A76,'Student Roster'!A:C,2,FALSE))</f>
        <v/>
      </c>
      <c r="C76" s="9" t="str">
        <f>IF(A76="","",VLOOKUP(A76,'Student Roster'!A:C,3,FALSE))</f>
        <v/>
      </c>
      <c r="D76" s="9" t="str">
        <f>IF(A76="","",VLOOKUP(A76,'Student Roster'!A:D,4,FALSE))</f>
        <v/>
      </c>
      <c r="E76" s="7"/>
      <c r="F76" s="7"/>
      <c r="G76" s="7"/>
      <c r="H76" s="7"/>
      <c r="I76" s="7"/>
      <c r="J76" s="9" t="str">
        <f t="shared" si="6"/>
        <v/>
      </c>
      <c r="K76" s="9" t="str">
        <f t="shared" si="7"/>
        <v/>
      </c>
      <c r="L76" s="9" t="str">
        <f t="shared" si="8"/>
        <v/>
      </c>
      <c r="M76" s="7"/>
      <c r="N76" s="7"/>
      <c r="O76" s="7"/>
    </row>
    <row r="77" spans="1:15" s="1" customFormat="1" ht="18" customHeight="1" x14ac:dyDescent="0.45">
      <c r="A77" s="5"/>
      <c r="B77" s="9" t="str">
        <f>IF(A77="","",VLOOKUP(A77,'Student Roster'!A:C,2,FALSE))</f>
        <v/>
      </c>
      <c r="C77" s="9" t="str">
        <f>IF(A77="","",VLOOKUP(A77,'Student Roster'!A:C,3,FALSE))</f>
        <v/>
      </c>
      <c r="D77" s="9" t="str">
        <f>IF(A77="","",VLOOKUP(A77,'Student Roster'!A:D,4,FALSE))</f>
        <v/>
      </c>
      <c r="E77" s="5"/>
      <c r="F77" s="5"/>
      <c r="G77" s="5"/>
      <c r="H77" s="5"/>
      <c r="I77" s="5"/>
      <c r="J77" s="9" t="str">
        <f t="shared" si="6"/>
        <v/>
      </c>
      <c r="K77" s="9" t="str">
        <f t="shared" si="7"/>
        <v/>
      </c>
      <c r="L77" s="9" t="str">
        <f t="shared" si="8"/>
        <v/>
      </c>
      <c r="M77" s="5"/>
      <c r="N77" s="5"/>
      <c r="O77" s="5"/>
    </row>
    <row r="78" spans="1:15" s="1" customFormat="1" ht="18" customHeight="1" x14ac:dyDescent="0.45">
      <c r="A78" s="7"/>
      <c r="B78" s="9" t="str">
        <f>IF(A78="","",VLOOKUP(A78,'Student Roster'!A:C,2,FALSE))</f>
        <v/>
      </c>
      <c r="C78" s="9" t="str">
        <f>IF(A78="","",VLOOKUP(A78,'Student Roster'!A:C,3,FALSE))</f>
        <v/>
      </c>
      <c r="D78" s="9" t="str">
        <f>IF(A78="","",VLOOKUP(A78,'Student Roster'!A:D,4,FALSE))</f>
        <v/>
      </c>
      <c r="E78" s="7"/>
      <c r="F78" s="7"/>
      <c r="G78" s="7"/>
      <c r="H78" s="7"/>
      <c r="I78" s="7"/>
      <c r="J78" s="9" t="str">
        <f t="shared" si="6"/>
        <v/>
      </c>
      <c r="K78" s="9" t="str">
        <f t="shared" si="7"/>
        <v/>
      </c>
      <c r="L78" s="9" t="str">
        <f t="shared" si="8"/>
        <v/>
      </c>
      <c r="M78" s="7"/>
      <c r="N78" s="7"/>
      <c r="O78" s="7"/>
    </row>
    <row r="79" spans="1:15" s="1" customFormat="1" ht="18" customHeight="1" x14ac:dyDescent="0.45">
      <c r="A79" s="5"/>
      <c r="B79" s="9" t="str">
        <f>IF(A79="","",VLOOKUP(A79,'Student Roster'!A:C,2,FALSE))</f>
        <v/>
      </c>
      <c r="C79" s="9" t="str">
        <f>IF(A79="","",VLOOKUP(A79,'Student Roster'!A:C,3,FALSE))</f>
        <v/>
      </c>
      <c r="D79" s="9" t="str">
        <f>IF(A79="","",VLOOKUP(A79,'Student Roster'!A:D,4,FALSE))</f>
        <v/>
      </c>
      <c r="E79" s="5"/>
      <c r="F79" s="5"/>
      <c r="G79" s="5"/>
      <c r="H79" s="5"/>
      <c r="I79" s="5"/>
      <c r="J79" s="9" t="str">
        <f t="shared" si="6"/>
        <v/>
      </c>
      <c r="K79" s="9" t="str">
        <f t="shared" si="7"/>
        <v/>
      </c>
      <c r="L79" s="9" t="str">
        <f t="shared" si="8"/>
        <v/>
      </c>
      <c r="M79" s="5"/>
      <c r="N79" s="5"/>
      <c r="O79" s="5"/>
    </row>
    <row r="80" spans="1:15" s="1" customFormat="1" ht="18" customHeight="1" x14ac:dyDescent="0.45">
      <c r="A80" s="7"/>
      <c r="B80" s="9" t="str">
        <f>IF(A80="","",VLOOKUP(A80,'Student Roster'!A:C,2,FALSE))</f>
        <v/>
      </c>
      <c r="C80" s="9" t="str">
        <f>IF(A80="","",VLOOKUP(A80,'Student Roster'!A:C,3,FALSE))</f>
        <v/>
      </c>
      <c r="D80" s="9" t="str">
        <f>IF(A80="","",VLOOKUP(A80,'Student Roster'!A:D,4,FALSE))</f>
        <v/>
      </c>
      <c r="E80" s="7"/>
      <c r="F80" s="7"/>
      <c r="G80" s="7"/>
      <c r="H80" s="7"/>
      <c r="I80" s="7"/>
      <c r="J80" s="9" t="str">
        <f t="shared" si="6"/>
        <v/>
      </c>
      <c r="K80" s="9" t="str">
        <f t="shared" si="7"/>
        <v/>
      </c>
      <c r="L80" s="9" t="str">
        <f t="shared" si="8"/>
        <v/>
      </c>
      <c r="M80" s="7"/>
      <c r="N80" s="7"/>
      <c r="O80" s="7"/>
    </row>
    <row r="81" spans="1:15" s="1" customFormat="1" ht="18" customHeight="1" x14ac:dyDescent="0.45">
      <c r="A81" s="5"/>
      <c r="B81" s="9" t="str">
        <f>IF(A81="","",VLOOKUP(A81,'Student Roster'!A:C,2,FALSE))</f>
        <v/>
      </c>
      <c r="C81" s="9" t="str">
        <f>IF(A81="","",VLOOKUP(A81,'Student Roster'!A:C,3,FALSE))</f>
        <v/>
      </c>
      <c r="D81" s="9" t="str">
        <f>IF(A81="","",VLOOKUP(A81,'Student Roster'!A:D,4,FALSE))</f>
        <v/>
      </c>
      <c r="E81" s="5"/>
      <c r="F81" s="5"/>
      <c r="G81" s="5"/>
      <c r="H81" s="5"/>
      <c r="I81" s="5"/>
      <c r="J81" s="9" t="str">
        <f t="shared" si="6"/>
        <v/>
      </c>
      <c r="K81" s="9" t="str">
        <f t="shared" si="7"/>
        <v/>
      </c>
      <c r="L81" s="9" t="str">
        <f t="shared" si="8"/>
        <v/>
      </c>
      <c r="M81" s="5"/>
      <c r="N81" s="5"/>
      <c r="O81" s="5"/>
    </row>
    <row r="82" spans="1:15" s="1" customFormat="1" ht="18" customHeight="1" x14ac:dyDescent="0.45">
      <c r="A82" s="7"/>
      <c r="B82" s="9" t="str">
        <f>IF(A82="","",VLOOKUP(A82,'Student Roster'!A:C,2,FALSE))</f>
        <v/>
      </c>
      <c r="C82" s="9" t="str">
        <f>IF(A82="","",VLOOKUP(A82,'Student Roster'!A:C,3,FALSE))</f>
        <v/>
      </c>
      <c r="D82" s="9" t="str">
        <f>IF(A82="","",VLOOKUP(A82,'Student Roster'!A:D,4,FALSE))</f>
        <v/>
      </c>
      <c r="E82" s="7"/>
      <c r="F82" s="7"/>
      <c r="G82" s="7"/>
      <c r="H82" s="7"/>
      <c r="I82" s="7"/>
      <c r="J82" s="9" t="str">
        <f t="shared" si="6"/>
        <v/>
      </c>
      <c r="K82" s="9" t="str">
        <f t="shared" si="7"/>
        <v/>
      </c>
      <c r="L82" s="9" t="str">
        <f t="shared" si="8"/>
        <v/>
      </c>
      <c r="M82" s="7"/>
      <c r="N82" s="7"/>
      <c r="O82" s="7"/>
    </row>
    <row r="83" spans="1:15" s="1" customFormat="1" ht="18" customHeight="1" x14ac:dyDescent="0.45">
      <c r="A83" s="5"/>
      <c r="B83" s="9" t="str">
        <f>IF(A83="","",VLOOKUP(A83,'Student Roster'!A:C,2,FALSE))</f>
        <v/>
      </c>
      <c r="C83" s="9" t="str">
        <f>IF(A83="","",VLOOKUP(A83,'Student Roster'!A:C,3,FALSE))</f>
        <v/>
      </c>
      <c r="D83" s="9" t="str">
        <f>IF(A83="","",VLOOKUP(A83,'Student Roster'!A:D,4,FALSE))</f>
        <v/>
      </c>
      <c r="E83" s="5"/>
      <c r="F83" s="5"/>
      <c r="G83" s="5"/>
      <c r="H83" s="5"/>
      <c r="I83" s="5"/>
      <c r="J83" s="9" t="str">
        <f t="shared" si="6"/>
        <v/>
      </c>
      <c r="K83" s="9" t="str">
        <f t="shared" si="7"/>
        <v/>
      </c>
      <c r="L83" s="9" t="str">
        <f t="shared" si="8"/>
        <v/>
      </c>
      <c r="M83" s="5"/>
      <c r="N83" s="5"/>
      <c r="O83" s="5"/>
    </row>
    <row r="84" spans="1:15" s="1" customFormat="1" ht="18" customHeight="1" x14ac:dyDescent="0.45">
      <c r="A84" s="7"/>
      <c r="B84" s="9" t="str">
        <f>IF(A84="","",VLOOKUP(A84,'Student Roster'!A:C,2,FALSE))</f>
        <v/>
      </c>
      <c r="C84" s="9" t="str">
        <f>IF(A84="","",VLOOKUP(A84,'Student Roster'!A:C,3,FALSE))</f>
        <v/>
      </c>
      <c r="D84" s="9" t="str">
        <f>IF(A84="","",VLOOKUP(A84,'Student Roster'!A:D,4,FALSE))</f>
        <v/>
      </c>
      <c r="E84" s="7"/>
      <c r="F84" s="7"/>
      <c r="G84" s="7"/>
      <c r="H84" s="7"/>
      <c r="I84" s="7"/>
      <c r="J84" s="9" t="str">
        <f t="shared" si="6"/>
        <v/>
      </c>
      <c r="K84" s="9" t="str">
        <f t="shared" si="7"/>
        <v/>
      </c>
      <c r="L84" s="9" t="str">
        <f t="shared" si="8"/>
        <v/>
      </c>
      <c r="M84" s="7"/>
      <c r="N84" s="7"/>
      <c r="O84" s="7"/>
    </row>
    <row r="85" spans="1:15" s="1" customFormat="1" ht="18" customHeight="1" x14ac:dyDescent="0.45">
      <c r="A85" s="5"/>
      <c r="B85" s="9" t="str">
        <f>IF(A85="","",VLOOKUP(A85,'Student Roster'!A:C,2,FALSE))</f>
        <v/>
      </c>
      <c r="C85" s="9" t="str">
        <f>IF(A85="","",VLOOKUP(A85,'Student Roster'!A:C,3,FALSE))</f>
        <v/>
      </c>
      <c r="D85" s="9" t="str">
        <f>IF(A85="","",VLOOKUP(A85,'Student Roster'!A:D,4,FALSE))</f>
        <v/>
      </c>
      <c r="E85" s="5"/>
      <c r="F85" s="5"/>
      <c r="G85" s="5"/>
      <c r="H85" s="5"/>
      <c r="I85" s="5"/>
      <c r="J85" s="9" t="str">
        <f t="shared" si="6"/>
        <v/>
      </c>
      <c r="K85" s="9" t="str">
        <f t="shared" si="7"/>
        <v/>
      </c>
      <c r="L85" s="9" t="str">
        <f t="shared" si="8"/>
        <v/>
      </c>
      <c r="M85" s="5"/>
      <c r="N85" s="5"/>
      <c r="O85" s="5"/>
    </row>
    <row r="86" spans="1:15" s="1" customFormat="1" ht="18" customHeight="1" x14ac:dyDescent="0.45">
      <c r="A86" s="7"/>
      <c r="B86" s="9" t="str">
        <f>IF(A86="","",VLOOKUP(A86,'Student Roster'!A:C,2,FALSE))</f>
        <v/>
      </c>
      <c r="C86" s="9" t="str">
        <f>IF(A86="","",VLOOKUP(A86,'Student Roster'!A:C,3,FALSE))</f>
        <v/>
      </c>
      <c r="D86" s="9" t="str">
        <f>IF(A86="","",VLOOKUP(A86,'Student Roster'!A:D,4,FALSE))</f>
        <v/>
      </c>
      <c r="E86" s="7"/>
      <c r="F86" s="7"/>
      <c r="G86" s="7"/>
      <c r="H86" s="7"/>
      <c r="I86" s="7"/>
      <c r="J86" s="9" t="str">
        <f t="shared" si="6"/>
        <v/>
      </c>
      <c r="K86" s="9" t="str">
        <f t="shared" si="7"/>
        <v/>
      </c>
      <c r="L86" s="9" t="str">
        <f t="shared" si="8"/>
        <v/>
      </c>
      <c r="M86" s="7"/>
      <c r="N86" s="7"/>
      <c r="O86" s="7"/>
    </row>
    <row r="87" spans="1:15" s="1" customFormat="1" ht="18" customHeight="1" x14ac:dyDescent="0.45">
      <c r="A87" s="5"/>
      <c r="B87" s="9" t="str">
        <f>IF(A87="","",VLOOKUP(A87,'Student Roster'!A:C,2,FALSE))</f>
        <v/>
      </c>
      <c r="C87" s="9" t="str">
        <f>IF(A87="","",VLOOKUP(A87,'Student Roster'!A:C,3,FALSE))</f>
        <v/>
      </c>
      <c r="D87" s="9" t="str">
        <f>IF(A87="","",VLOOKUP(A87,'Student Roster'!A:D,4,FALSE))</f>
        <v/>
      </c>
      <c r="E87" s="5"/>
      <c r="F87" s="5"/>
      <c r="G87" s="5"/>
      <c r="H87" s="5"/>
      <c r="I87" s="5"/>
      <c r="J87" s="9" t="str">
        <f t="shared" si="6"/>
        <v/>
      </c>
      <c r="K87" s="9" t="str">
        <f t="shared" si="7"/>
        <v/>
      </c>
      <c r="L87" s="9" t="str">
        <f t="shared" si="8"/>
        <v/>
      </c>
      <c r="M87" s="5"/>
      <c r="N87" s="5"/>
      <c r="O87" s="5"/>
    </row>
    <row r="88" spans="1:15" s="1" customFormat="1" ht="18" customHeight="1" x14ac:dyDescent="0.45">
      <c r="A88" s="7"/>
      <c r="B88" s="9" t="str">
        <f>IF(A88="","",VLOOKUP(A88,'Student Roster'!A:C,2,FALSE))</f>
        <v/>
      </c>
      <c r="C88" s="9" t="str">
        <f>IF(A88="","",VLOOKUP(A88,'Student Roster'!A:C,3,FALSE))</f>
        <v/>
      </c>
      <c r="D88" s="9" t="str">
        <f>IF(A88="","",VLOOKUP(A88,'Student Roster'!A:D,4,FALSE))</f>
        <v/>
      </c>
      <c r="E88" s="7"/>
      <c r="F88" s="7"/>
      <c r="G88" s="7"/>
      <c r="H88" s="7"/>
      <c r="I88" s="7"/>
      <c r="J88" s="9" t="str">
        <f t="shared" si="6"/>
        <v/>
      </c>
      <c r="K88" s="9" t="str">
        <f t="shared" si="7"/>
        <v/>
      </c>
      <c r="L88" s="9" t="str">
        <f t="shared" si="8"/>
        <v/>
      </c>
      <c r="M88" s="7"/>
      <c r="N88" s="7"/>
      <c r="O88" s="7"/>
    </row>
    <row r="89" spans="1:15" s="1" customFormat="1" ht="18" customHeight="1" x14ac:dyDescent="0.45">
      <c r="A89" s="5"/>
      <c r="B89" s="9" t="str">
        <f>IF(A89="","",VLOOKUP(A89,'Student Roster'!A:C,2,FALSE))</f>
        <v/>
      </c>
      <c r="C89" s="9" t="str">
        <f>IF(A89="","",VLOOKUP(A89,'Student Roster'!A:C,3,FALSE))</f>
        <v/>
      </c>
      <c r="D89" s="9" t="str">
        <f>IF(A89="","",VLOOKUP(A89,'Student Roster'!A:D,4,FALSE))</f>
        <v/>
      </c>
      <c r="E89" s="5"/>
      <c r="F89" s="5"/>
      <c r="G89" s="5"/>
      <c r="H89" s="5"/>
      <c r="I89" s="5"/>
      <c r="J89" s="9" t="str">
        <f t="shared" si="6"/>
        <v/>
      </c>
      <c r="K89" s="9" t="str">
        <f t="shared" si="7"/>
        <v/>
      </c>
      <c r="L89" s="9" t="str">
        <f t="shared" si="8"/>
        <v/>
      </c>
      <c r="M89" s="5"/>
      <c r="N89" s="5"/>
      <c r="O89" s="5"/>
    </row>
    <row r="90" spans="1:15" s="1" customFormat="1" ht="18" customHeight="1" x14ac:dyDescent="0.45">
      <c r="A90" s="7"/>
      <c r="B90" s="9" t="str">
        <f>IF(A90="","",VLOOKUP(A90,'Student Roster'!A:C,2,FALSE))</f>
        <v/>
      </c>
      <c r="C90" s="9" t="str">
        <f>IF(A90="","",VLOOKUP(A90,'Student Roster'!A:C,3,FALSE))</f>
        <v/>
      </c>
      <c r="D90" s="9" t="str">
        <f>IF(A90="","",VLOOKUP(A90,'Student Roster'!A:D,4,FALSE))</f>
        <v/>
      </c>
      <c r="E90" s="7"/>
      <c r="F90" s="7"/>
      <c r="G90" s="7"/>
      <c r="H90" s="7"/>
      <c r="I90" s="7"/>
      <c r="J90" s="9" t="str">
        <f t="shared" si="6"/>
        <v/>
      </c>
      <c r="K90" s="9" t="str">
        <f t="shared" si="7"/>
        <v/>
      </c>
      <c r="L90" s="9" t="str">
        <f t="shared" si="8"/>
        <v/>
      </c>
      <c r="M90" s="7"/>
      <c r="N90" s="7"/>
      <c r="O90" s="7"/>
    </row>
    <row r="91" spans="1:15" s="1" customFormat="1" ht="18" customHeight="1" x14ac:dyDescent="0.45">
      <c r="A91" s="5"/>
      <c r="B91" s="9" t="str">
        <f>IF(A91="","",VLOOKUP(A91,'Student Roster'!A:C,2,FALSE))</f>
        <v/>
      </c>
      <c r="C91" s="9" t="str">
        <f>IF(A91="","",VLOOKUP(A91,'Student Roster'!A:C,3,FALSE))</f>
        <v/>
      </c>
      <c r="D91" s="9" t="str">
        <f>IF(A91="","",VLOOKUP(A91,'Student Roster'!A:D,4,FALSE))</f>
        <v/>
      </c>
      <c r="E91" s="5"/>
      <c r="F91" s="5"/>
      <c r="G91" s="5"/>
      <c r="H91" s="5"/>
      <c r="I91" s="5"/>
      <c r="J91" s="9" t="str">
        <f t="shared" si="6"/>
        <v/>
      </c>
      <c r="K91" s="9" t="str">
        <f t="shared" si="7"/>
        <v/>
      </c>
      <c r="L91" s="9" t="str">
        <f t="shared" si="8"/>
        <v/>
      </c>
      <c r="M91" s="5"/>
      <c r="N91" s="5"/>
      <c r="O91" s="5"/>
    </row>
    <row r="92" spans="1:15" s="1" customFormat="1" ht="18" customHeight="1" x14ac:dyDescent="0.45">
      <c r="A92" s="7"/>
      <c r="B92" s="9" t="str">
        <f>IF(A92="","",VLOOKUP(A92,'Student Roster'!A:C,2,FALSE))</f>
        <v/>
      </c>
      <c r="C92" s="9" t="str">
        <f>IF(A92="","",VLOOKUP(A92,'Student Roster'!A:C,3,FALSE))</f>
        <v/>
      </c>
      <c r="D92" s="9" t="str">
        <f>IF(A92="","",VLOOKUP(A92,'Student Roster'!A:D,4,FALSE))</f>
        <v/>
      </c>
      <c r="E92" s="7"/>
      <c r="F92" s="7"/>
      <c r="G92" s="7"/>
      <c r="H92" s="7"/>
      <c r="I92" s="7"/>
      <c r="J92" s="9" t="str">
        <f t="shared" si="6"/>
        <v/>
      </c>
      <c r="K92" s="9" t="str">
        <f t="shared" si="7"/>
        <v/>
      </c>
      <c r="L92" s="9" t="str">
        <f t="shared" si="8"/>
        <v/>
      </c>
      <c r="M92" s="7"/>
      <c r="N92" s="7"/>
      <c r="O92" s="7"/>
    </row>
    <row r="93" spans="1:15" s="1" customFormat="1" ht="18" customHeight="1" x14ac:dyDescent="0.45">
      <c r="A93" s="5"/>
      <c r="B93" s="9" t="str">
        <f>IF(A93="","",VLOOKUP(A93,'Student Roster'!A:C,2,FALSE))</f>
        <v/>
      </c>
      <c r="C93" s="9" t="str">
        <f>IF(A93="","",VLOOKUP(A93,'Student Roster'!A:C,3,FALSE))</f>
        <v/>
      </c>
      <c r="D93" s="9" t="str">
        <f>IF(A93="","",VLOOKUP(A93,'Student Roster'!A:D,4,FALSE))</f>
        <v/>
      </c>
      <c r="E93" s="5"/>
      <c r="F93" s="5"/>
      <c r="G93" s="5"/>
      <c r="H93" s="5"/>
      <c r="I93" s="5"/>
      <c r="J93" s="9" t="str">
        <f t="shared" si="6"/>
        <v/>
      </c>
      <c r="K93" s="9" t="str">
        <f t="shared" si="7"/>
        <v/>
      </c>
      <c r="L93" s="9" t="str">
        <f t="shared" si="8"/>
        <v/>
      </c>
      <c r="M93" s="5"/>
      <c r="N93" s="5"/>
      <c r="O93" s="5"/>
    </row>
    <row r="94" spans="1:15" s="1" customFormat="1" ht="18" customHeight="1" x14ac:dyDescent="0.45">
      <c r="A94" s="7"/>
      <c r="B94" s="9" t="str">
        <f>IF(A94="","",VLOOKUP(A94,'Student Roster'!A:C,2,FALSE))</f>
        <v/>
      </c>
      <c r="C94" s="9" t="str">
        <f>IF(A94="","",VLOOKUP(A94,'Student Roster'!A:C,3,FALSE))</f>
        <v/>
      </c>
      <c r="D94" s="9" t="str">
        <f>IF(A94="","",VLOOKUP(A94,'Student Roster'!A:D,4,FALSE))</f>
        <v/>
      </c>
      <c r="E94" s="7"/>
      <c r="F94" s="7"/>
      <c r="G94" s="7"/>
      <c r="H94" s="7"/>
      <c r="I94" s="7"/>
      <c r="J94" s="9" t="str">
        <f t="shared" si="6"/>
        <v/>
      </c>
      <c r="K94" s="9" t="str">
        <f t="shared" si="7"/>
        <v/>
      </c>
      <c r="L94" s="9" t="str">
        <f t="shared" si="8"/>
        <v/>
      </c>
      <c r="M94" s="7"/>
      <c r="N94" s="7"/>
      <c r="O94" s="7"/>
    </row>
    <row r="95" spans="1:15" s="1" customFormat="1" ht="18" customHeight="1" x14ac:dyDescent="0.45">
      <c r="A95" s="5"/>
      <c r="B95" s="9" t="str">
        <f>IF(A95="","",VLOOKUP(A95,'Student Roster'!A:C,2,FALSE))</f>
        <v/>
      </c>
      <c r="C95" s="9" t="str">
        <f>IF(A95="","",VLOOKUP(A95,'Student Roster'!A:C,3,FALSE))</f>
        <v/>
      </c>
      <c r="D95" s="9" t="str">
        <f>IF(A95="","",VLOOKUP(A95,'Student Roster'!A:D,4,FALSE))</f>
        <v/>
      </c>
      <c r="E95" s="5"/>
      <c r="F95" s="5"/>
      <c r="G95" s="5"/>
      <c r="H95" s="5"/>
      <c r="I95" s="5"/>
      <c r="J95" s="9" t="str">
        <f t="shared" si="6"/>
        <v/>
      </c>
      <c r="K95" s="9" t="str">
        <f t="shared" si="7"/>
        <v/>
      </c>
      <c r="L95" s="9" t="str">
        <f t="shared" si="8"/>
        <v/>
      </c>
      <c r="M95" s="5"/>
      <c r="N95" s="5"/>
      <c r="O95" s="5"/>
    </row>
    <row r="96" spans="1:15" s="1" customFormat="1" ht="18" customHeight="1" x14ac:dyDescent="0.45">
      <c r="A96" s="7"/>
      <c r="B96" s="9" t="str">
        <f>IF(A96="","",VLOOKUP(A96,'Student Roster'!A:C,2,FALSE))</f>
        <v/>
      </c>
      <c r="C96" s="9" t="str">
        <f>IF(A96="","",VLOOKUP(A96,'Student Roster'!A:C,3,FALSE))</f>
        <v/>
      </c>
      <c r="D96" s="9" t="str">
        <f>IF(A96="","",VLOOKUP(A96,'Student Roster'!A:D,4,FALSE))</f>
        <v/>
      </c>
      <c r="E96" s="7"/>
      <c r="F96" s="7"/>
      <c r="G96" s="7"/>
      <c r="H96" s="7"/>
      <c r="I96" s="7"/>
      <c r="J96" s="9" t="str">
        <f t="shared" si="6"/>
        <v/>
      </c>
      <c r="K96" s="9" t="str">
        <f t="shared" si="7"/>
        <v/>
      </c>
      <c r="L96" s="9" t="str">
        <f t="shared" si="8"/>
        <v/>
      </c>
      <c r="M96" s="7"/>
      <c r="N96" s="7"/>
      <c r="O96" s="7"/>
    </row>
    <row r="97" spans="1:15" s="1" customFormat="1" ht="18" customHeight="1" x14ac:dyDescent="0.45">
      <c r="A97" s="5"/>
      <c r="B97" s="9" t="str">
        <f>IF(A97="","",VLOOKUP(A97,'Student Roster'!A:C,2,FALSE))</f>
        <v/>
      </c>
      <c r="C97" s="9" t="str">
        <f>IF(A97="","",VLOOKUP(A97,'Student Roster'!A:C,3,FALSE))</f>
        <v/>
      </c>
      <c r="D97" s="9" t="str">
        <f>IF(A97="","",VLOOKUP(A97,'Student Roster'!A:D,4,FALSE))</f>
        <v/>
      </c>
      <c r="E97" s="5"/>
      <c r="F97" s="5"/>
      <c r="G97" s="5"/>
      <c r="H97" s="5"/>
      <c r="I97" s="5"/>
      <c r="J97" s="9" t="str">
        <f t="shared" si="6"/>
        <v/>
      </c>
      <c r="K97" s="9" t="str">
        <f t="shared" si="7"/>
        <v/>
      </c>
      <c r="L97" s="9" t="str">
        <f t="shared" si="8"/>
        <v/>
      </c>
      <c r="M97" s="5"/>
      <c r="N97" s="5"/>
      <c r="O97" s="5"/>
    </row>
    <row r="98" spans="1:15" s="1" customFormat="1" ht="18" customHeight="1" x14ac:dyDescent="0.45">
      <c r="A98" s="7"/>
      <c r="B98" s="9" t="str">
        <f>IF(A98="","",VLOOKUP(A98,'Student Roster'!A:C,2,FALSE))</f>
        <v/>
      </c>
      <c r="C98" s="9" t="str">
        <f>IF(A98="","",VLOOKUP(A98,'Student Roster'!A:C,3,FALSE))</f>
        <v/>
      </c>
      <c r="D98" s="9" t="str">
        <f>IF(A98="","",VLOOKUP(A98,'Student Roster'!A:D,4,FALSE))</f>
        <v/>
      </c>
      <c r="E98" s="7"/>
      <c r="F98" s="7"/>
      <c r="G98" s="7"/>
      <c r="H98" s="7"/>
      <c r="I98" s="7"/>
      <c r="J98" s="9" t="str">
        <f t="shared" si="6"/>
        <v/>
      </c>
      <c r="K98" s="9" t="str">
        <f t="shared" si="7"/>
        <v/>
      </c>
      <c r="L98" s="9" t="str">
        <f t="shared" si="8"/>
        <v/>
      </c>
      <c r="M98" s="7"/>
      <c r="N98" s="7"/>
      <c r="O98" s="7"/>
    </row>
    <row r="99" spans="1:15" s="1" customFormat="1" ht="18" customHeight="1" x14ac:dyDescent="0.45">
      <c r="A99" s="5"/>
      <c r="B99" s="9" t="str">
        <f>IF(A99="","",VLOOKUP(A99,'Student Roster'!A:C,2,FALSE))</f>
        <v/>
      </c>
      <c r="C99" s="9" t="str">
        <f>IF(A99="","",VLOOKUP(A99,'Student Roster'!A:C,3,FALSE))</f>
        <v/>
      </c>
      <c r="D99" s="9" t="str">
        <f>IF(A99="","",VLOOKUP(A99,'Student Roster'!A:D,4,FALSE))</f>
        <v/>
      </c>
      <c r="E99" s="5"/>
      <c r="F99" s="5"/>
      <c r="G99" s="5"/>
      <c r="H99" s="5"/>
      <c r="I99" s="5"/>
      <c r="J99" s="9" t="str">
        <f t="shared" si="6"/>
        <v/>
      </c>
      <c r="K99" s="9" t="str">
        <f t="shared" si="7"/>
        <v/>
      </c>
      <c r="L99" s="9" t="str">
        <f t="shared" si="8"/>
        <v/>
      </c>
      <c r="M99" s="5"/>
      <c r="N99" s="5"/>
      <c r="O99" s="5"/>
    </row>
    <row r="100" spans="1:15" s="1" customFormat="1" ht="18" customHeight="1" x14ac:dyDescent="0.45">
      <c r="A100" s="7"/>
      <c r="B100" s="9" t="str">
        <f>IF(A100="","",VLOOKUP(A100,'Student Roster'!A:C,2,FALSE))</f>
        <v/>
      </c>
      <c r="C100" s="9" t="str">
        <f>IF(A100="","",VLOOKUP(A100,'Student Roster'!A:C,3,FALSE))</f>
        <v/>
      </c>
      <c r="D100" s="9" t="str">
        <f>IF(A100="","",VLOOKUP(A100,'Student Roster'!A:D,4,FALSE))</f>
        <v/>
      </c>
      <c r="E100" s="7"/>
      <c r="F100" s="7"/>
      <c r="G100" s="7"/>
      <c r="H100" s="7"/>
      <c r="I100" s="7"/>
      <c r="J100" s="9" t="str">
        <f t="shared" ref="J100:J131" si="9">IF(OR(H100="",I100=""),"",I100-H100)</f>
        <v/>
      </c>
      <c r="K100" s="9" t="str">
        <f t="shared" ref="K100:K131" si="10">IF(H100=0,"",ROUND((H100-I100)/H100*100,0)&amp;"%")</f>
        <v/>
      </c>
      <c r="L100" s="9" t="str">
        <f t="shared" ref="L100:L131" si="11">IF(J100="","",IF(J100&lt;0,"✅ Effective",IF(J100=0,"↔ No Change","❌ Not Effective")))</f>
        <v/>
      </c>
      <c r="M100" s="7"/>
      <c r="N100" s="7"/>
      <c r="O100" s="7"/>
    </row>
    <row r="101" spans="1:15" s="1" customFormat="1" ht="18" customHeight="1" x14ac:dyDescent="0.45">
      <c r="A101" s="5"/>
      <c r="B101" s="9" t="str">
        <f>IF(A101="","",VLOOKUP(A101,'Student Roster'!A:C,2,FALSE))</f>
        <v/>
      </c>
      <c r="C101" s="9" t="str">
        <f>IF(A101="","",VLOOKUP(A101,'Student Roster'!A:C,3,FALSE))</f>
        <v/>
      </c>
      <c r="D101" s="9" t="str">
        <f>IF(A101="","",VLOOKUP(A101,'Student Roster'!A:D,4,FALSE))</f>
        <v/>
      </c>
      <c r="E101" s="5"/>
      <c r="F101" s="5"/>
      <c r="G101" s="5"/>
      <c r="H101" s="5"/>
      <c r="I101" s="5"/>
      <c r="J101" s="9" t="str">
        <f t="shared" si="9"/>
        <v/>
      </c>
      <c r="K101" s="9" t="str">
        <f t="shared" si="10"/>
        <v/>
      </c>
      <c r="L101" s="9" t="str">
        <f t="shared" si="11"/>
        <v/>
      </c>
      <c r="M101" s="5"/>
      <c r="N101" s="5"/>
      <c r="O101" s="5"/>
    </row>
    <row r="102" spans="1:15" s="1" customFormat="1" ht="18" customHeight="1" x14ac:dyDescent="0.45">
      <c r="A102" s="7"/>
      <c r="B102" s="9" t="str">
        <f>IF(A102="","",VLOOKUP(A102,'Student Roster'!A:C,2,FALSE))</f>
        <v/>
      </c>
      <c r="C102" s="9" t="str">
        <f>IF(A102="","",VLOOKUP(A102,'Student Roster'!A:C,3,FALSE))</f>
        <v/>
      </c>
      <c r="D102" s="9" t="str">
        <f>IF(A102="","",VLOOKUP(A102,'Student Roster'!A:D,4,FALSE))</f>
        <v/>
      </c>
      <c r="E102" s="7"/>
      <c r="F102" s="7"/>
      <c r="G102" s="7"/>
      <c r="H102" s="7"/>
      <c r="I102" s="7"/>
      <c r="J102" s="9" t="str">
        <f t="shared" si="9"/>
        <v/>
      </c>
      <c r="K102" s="9" t="str">
        <f t="shared" si="10"/>
        <v/>
      </c>
      <c r="L102" s="9" t="str">
        <f t="shared" si="11"/>
        <v/>
      </c>
      <c r="M102" s="7"/>
      <c r="N102" s="7"/>
      <c r="O102" s="7"/>
    </row>
    <row r="103" spans="1:15" s="1" customFormat="1" ht="18" customHeight="1" x14ac:dyDescent="0.45">
      <c r="A103" s="5"/>
      <c r="B103" s="9" t="str">
        <f>IF(A103="","",VLOOKUP(A103,'Student Roster'!A:C,2,FALSE))</f>
        <v/>
      </c>
      <c r="C103" s="9" t="str">
        <f>IF(A103="","",VLOOKUP(A103,'Student Roster'!A:C,3,FALSE))</f>
        <v/>
      </c>
      <c r="D103" s="9" t="str">
        <f>IF(A103="","",VLOOKUP(A103,'Student Roster'!A:D,4,FALSE))</f>
        <v/>
      </c>
      <c r="E103" s="5"/>
      <c r="F103" s="5"/>
      <c r="G103" s="5"/>
      <c r="H103" s="5"/>
      <c r="I103" s="5"/>
      <c r="J103" s="9" t="str">
        <f t="shared" si="9"/>
        <v/>
      </c>
      <c r="K103" s="9" t="str">
        <f t="shared" si="10"/>
        <v/>
      </c>
      <c r="L103" s="9" t="str">
        <f t="shared" si="11"/>
        <v/>
      </c>
      <c r="M103" s="5"/>
      <c r="N103" s="5"/>
      <c r="O103" s="5"/>
    </row>
    <row r="104" spans="1:15" s="1" customFormat="1" ht="18" customHeight="1" x14ac:dyDescent="0.45">
      <c r="A104" s="7"/>
      <c r="B104" s="9" t="str">
        <f>IF(A104="","",VLOOKUP(A104,'Student Roster'!A:C,2,FALSE))</f>
        <v/>
      </c>
      <c r="C104" s="9" t="str">
        <f>IF(A104="","",VLOOKUP(A104,'Student Roster'!A:C,3,FALSE))</f>
        <v/>
      </c>
      <c r="D104" s="9" t="str">
        <f>IF(A104="","",VLOOKUP(A104,'Student Roster'!A:D,4,FALSE))</f>
        <v/>
      </c>
      <c r="E104" s="7"/>
      <c r="F104" s="7"/>
      <c r="G104" s="7"/>
      <c r="H104" s="7"/>
      <c r="I104" s="7"/>
      <c r="J104" s="9" t="str">
        <f t="shared" si="9"/>
        <v/>
      </c>
      <c r="K104" s="9" t="str">
        <f t="shared" si="10"/>
        <v/>
      </c>
      <c r="L104" s="9" t="str">
        <f t="shared" si="11"/>
        <v/>
      </c>
      <c r="M104" s="7"/>
      <c r="N104" s="7"/>
      <c r="O104" s="7"/>
    </row>
    <row r="105" spans="1:15" s="1" customFormat="1" ht="18" customHeight="1" x14ac:dyDescent="0.45">
      <c r="A105" s="5"/>
      <c r="B105" s="9" t="str">
        <f>IF(A105="","",VLOOKUP(A105,'Student Roster'!A:C,2,FALSE))</f>
        <v/>
      </c>
      <c r="C105" s="9" t="str">
        <f>IF(A105="","",VLOOKUP(A105,'Student Roster'!A:C,3,FALSE))</f>
        <v/>
      </c>
      <c r="D105" s="9" t="str">
        <f>IF(A105="","",VLOOKUP(A105,'Student Roster'!A:D,4,FALSE))</f>
        <v/>
      </c>
      <c r="E105" s="5"/>
      <c r="F105" s="5"/>
      <c r="G105" s="5"/>
      <c r="H105" s="5"/>
      <c r="I105" s="5"/>
      <c r="J105" s="9" t="str">
        <f t="shared" si="9"/>
        <v/>
      </c>
      <c r="K105" s="9" t="str">
        <f t="shared" si="10"/>
        <v/>
      </c>
      <c r="L105" s="9" t="str">
        <f t="shared" si="11"/>
        <v/>
      </c>
      <c r="M105" s="5"/>
      <c r="N105" s="5"/>
      <c r="O105" s="5"/>
    </row>
    <row r="106" spans="1:15" s="1" customFormat="1" ht="18" customHeight="1" x14ac:dyDescent="0.45">
      <c r="A106" s="7"/>
      <c r="B106" s="9" t="str">
        <f>IF(A106="","",VLOOKUP(A106,'Student Roster'!A:C,2,FALSE))</f>
        <v/>
      </c>
      <c r="C106" s="9" t="str">
        <f>IF(A106="","",VLOOKUP(A106,'Student Roster'!A:C,3,FALSE))</f>
        <v/>
      </c>
      <c r="D106" s="9" t="str">
        <f>IF(A106="","",VLOOKUP(A106,'Student Roster'!A:D,4,FALSE))</f>
        <v/>
      </c>
      <c r="E106" s="7"/>
      <c r="F106" s="7"/>
      <c r="G106" s="7"/>
      <c r="H106" s="7"/>
      <c r="I106" s="7"/>
      <c r="J106" s="9" t="str">
        <f t="shared" si="9"/>
        <v/>
      </c>
      <c r="K106" s="9" t="str">
        <f t="shared" si="10"/>
        <v/>
      </c>
      <c r="L106" s="9" t="str">
        <f t="shared" si="11"/>
        <v/>
      </c>
      <c r="M106" s="7"/>
      <c r="N106" s="7"/>
      <c r="O106" s="7"/>
    </row>
    <row r="107" spans="1:15" s="1" customFormat="1" ht="18" customHeight="1" x14ac:dyDescent="0.45">
      <c r="A107" s="5"/>
      <c r="B107" s="9" t="str">
        <f>IF(A107="","",VLOOKUP(A107,'Student Roster'!A:C,2,FALSE))</f>
        <v/>
      </c>
      <c r="C107" s="9" t="str">
        <f>IF(A107="","",VLOOKUP(A107,'Student Roster'!A:C,3,FALSE))</f>
        <v/>
      </c>
      <c r="D107" s="9" t="str">
        <f>IF(A107="","",VLOOKUP(A107,'Student Roster'!A:D,4,FALSE))</f>
        <v/>
      </c>
      <c r="E107" s="5"/>
      <c r="F107" s="5"/>
      <c r="G107" s="5"/>
      <c r="H107" s="5"/>
      <c r="I107" s="5"/>
      <c r="J107" s="9" t="str">
        <f t="shared" si="9"/>
        <v/>
      </c>
      <c r="K107" s="9" t="str">
        <f t="shared" si="10"/>
        <v/>
      </c>
      <c r="L107" s="9" t="str">
        <f t="shared" si="11"/>
        <v/>
      </c>
      <c r="M107" s="5"/>
      <c r="N107" s="5"/>
      <c r="O107" s="5"/>
    </row>
    <row r="108" spans="1:15" s="1" customFormat="1" ht="18" customHeight="1" x14ac:dyDescent="0.45">
      <c r="A108" s="7"/>
      <c r="B108" s="9" t="str">
        <f>IF(A108="","",VLOOKUP(A108,'Student Roster'!A:C,2,FALSE))</f>
        <v/>
      </c>
      <c r="C108" s="9" t="str">
        <f>IF(A108="","",VLOOKUP(A108,'Student Roster'!A:C,3,FALSE))</f>
        <v/>
      </c>
      <c r="D108" s="9" t="str">
        <f>IF(A108="","",VLOOKUP(A108,'Student Roster'!A:D,4,FALSE))</f>
        <v/>
      </c>
      <c r="E108" s="7"/>
      <c r="F108" s="7"/>
      <c r="G108" s="7"/>
      <c r="H108" s="7"/>
      <c r="I108" s="7"/>
      <c r="J108" s="9" t="str">
        <f t="shared" si="9"/>
        <v/>
      </c>
      <c r="K108" s="9" t="str">
        <f t="shared" si="10"/>
        <v/>
      </c>
      <c r="L108" s="9" t="str">
        <f t="shared" si="11"/>
        <v/>
      </c>
      <c r="M108" s="7"/>
      <c r="N108" s="7"/>
      <c r="O108" s="7"/>
    </row>
    <row r="109" spans="1:15" s="1" customFormat="1" ht="18" customHeight="1" x14ac:dyDescent="0.45">
      <c r="A109" s="5"/>
      <c r="B109" s="9" t="str">
        <f>IF(A109="","",VLOOKUP(A109,'Student Roster'!A:C,2,FALSE))</f>
        <v/>
      </c>
      <c r="C109" s="9" t="str">
        <f>IF(A109="","",VLOOKUP(A109,'Student Roster'!A:C,3,FALSE))</f>
        <v/>
      </c>
      <c r="D109" s="9" t="str">
        <f>IF(A109="","",VLOOKUP(A109,'Student Roster'!A:D,4,FALSE))</f>
        <v/>
      </c>
      <c r="E109" s="5"/>
      <c r="F109" s="5"/>
      <c r="G109" s="5"/>
      <c r="H109" s="5"/>
      <c r="I109" s="5"/>
      <c r="J109" s="9" t="str">
        <f t="shared" si="9"/>
        <v/>
      </c>
      <c r="K109" s="9" t="str">
        <f t="shared" si="10"/>
        <v/>
      </c>
      <c r="L109" s="9" t="str">
        <f t="shared" si="11"/>
        <v/>
      </c>
      <c r="M109" s="5"/>
      <c r="N109" s="5"/>
      <c r="O109" s="5"/>
    </row>
    <row r="110" spans="1:15" s="1" customFormat="1" ht="18" customHeight="1" x14ac:dyDescent="0.45">
      <c r="A110" s="7"/>
      <c r="B110" s="9" t="str">
        <f>IF(A110="","",VLOOKUP(A110,'Student Roster'!A:C,2,FALSE))</f>
        <v/>
      </c>
      <c r="C110" s="9" t="str">
        <f>IF(A110="","",VLOOKUP(A110,'Student Roster'!A:C,3,FALSE))</f>
        <v/>
      </c>
      <c r="D110" s="9" t="str">
        <f>IF(A110="","",VLOOKUP(A110,'Student Roster'!A:D,4,FALSE))</f>
        <v/>
      </c>
      <c r="E110" s="7"/>
      <c r="F110" s="7"/>
      <c r="G110" s="7"/>
      <c r="H110" s="7"/>
      <c r="I110" s="7"/>
      <c r="J110" s="9" t="str">
        <f t="shared" si="9"/>
        <v/>
      </c>
      <c r="K110" s="9" t="str">
        <f t="shared" si="10"/>
        <v/>
      </c>
      <c r="L110" s="9" t="str">
        <f t="shared" si="11"/>
        <v/>
      </c>
      <c r="M110" s="7"/>
      <c r="N110" s="7"/>
      <c r="O110" s="7"/>
    </row>
    <row r="111" spans="1:15" s="1" customFormat="1" ht="18" customHeight="1" x14ac:dyDescent="0.45">
      <c r="A111" s="5"/>
      <c r="B111" s="9" t="str">
        <f>IF(A111="","",VLOOKUP(A111,'Student Roster'!A:C,2,FALSE))</f>
        <v/>
      </c>
      <c r="C111" s="9" t="str">
        <f>IF(A111="","",VLOOKUP(A111,'Student Roster'!A:C,3,FALSE))</f>
        <v/>
      </c>
      <c r="D111" s="9" t="str">
        <f>IF(A111="","",VLOOKUP(A111,'Student Roster'!A:D,4,FALSE))</f>
        <v/>
      </c>
      <c r="E111" s="5"/>
      <c r="F111" s="5"/>
      <c r="G111" s="5"/>
      <c r="H111" s="5"/>
      <c r="I111" s="5"/>
      <c r="J111" s="9" t="str">
        <f t="shared" si="9"/>
        <v/>
      </c>
      <c r="K111" s="9" t="str">
        <f t="shared" si="10"/>
        <v/>
      </c>
      <c r="L111" s="9" t="str">
        <f t="shared" si="11"/>
        <v/>
      </c>
      <c r="M111" s="5"/>
      <c r="N111" s="5"/>
      <c r="O111" s="5"/>
    </row>
    <row r="112" spans="1:15" s="1" customFormat="1" ht="18" customHeight="1" x14ac:dyDescent="0.45">
      <c r="A112" s="7"/>
      <c r="B112" s="9" t="str">
        <f>IF(A112="","",VLOOKUP(A112,'Student Roster'!A:C,2,FALSE))</f>
        <v/>
      </c>
      <c r="C112" s="9" t="str">
        <f>IF(A112="","",VLOOKUP(A112,'Student Roster'!A:C,3,FALSE))</f>
        <v/>
      </c>
      <c r="D112" s="9" t="str">
        <f>IF(A112="","",VLOOKUP(A112,'Student Roster'!A:D,4,FALSE))</f>
        <v/>
      </c>
      <c r="E112" s="7"/>
      <c r="F112" s="7"/>
      <c r="G112" s="7"/>
      <c r="H112" s="7"/>
      <c r="I112" s="7"/>
      <c r="J112" s="9" t="str">
        <f t="shared" si="9"/>
        <v/>
      </c>
      <c r="K112" s="9" t="str">
        <f t="shared" si="10"/>
        <v/>
      </c>
      <c r="L112" s="9" t="str">
        <f t="shared" si="11"/>
        <v/>
      </c>
      <c r="M112" s="7"/>
      <c r="N112" s="7"/>
      <c r="O112" s="7"/>
    </row>
    <row r="113" spans="1:15" s="1" customFormat="1" ht="18" customHeight="1" x14ac:dyDescent="0.45">
      <c r="A113" s="5"/>
      <c r="B113" s="9" t="str">
        <f>IF(A113="","",VLOOKUP(A113,'Student Roster'!A:C,2,FALSE))</f>
        <v/>
      </c>
      <c r="C113" s="9" t="str">
        <f>IF(A113="","",VLOOKUP(A113,'Student Roster'!A:C,3,FALSE))</f>
        <v/>
      </c>
      <c r="D113" s="9" t="str">
        <f>IF(A113="","",VLOOKUP(A113,'Student Roster'!A:D,4,FALSE))</f>
        <v/>
      </c>
      <c r="E113" s="5"/>
      <c r="F113" s="5"/>
      <c r="G113" s="5"/>
      <c r="H113" s="5"/>
      <c r="I113" s="5"/>
      <c r="J113" s="9" t="str">
        <f t="shared" si="9"/>
        <v/>
      </c>
      <c r="K113" s="9" t="str">
        <f t="shared" si="10"/>
        <v/>
      </c>
      <c r="L113" s="9" t="str">
        <f t="shared" si="11"/>
        <v/>
      </c>
      <c r="M113" s="5"/>
      <c r="N113" s="5"/>
      <c r="O113" s="5"/>
    </row>
    <row r="114" spans="1:15" s="1" customFormat="1" ht="18" customHeight="1" x14ac:dyDescent="0.45">
      <c r="A114" s="7"/>
      <c r="B114" s="9" t="str">
        <f>IF(A114="","",VLOOKUP(A114,'Student Roster'!A:C,2,FALSE))</f>
        <v/>
      </c>
      <c r="C114" s="9" t="str">
        <f>IF(A114="","",VLOOKUP(A114,'Student Roster'!A:C,3,FALSE))</f>
        <v/>
      </c>
      <c r="D114" s="9" t="str">
        <f>IF(A114="","",VLOOKUP(A114,'Student Roster'!A:D,4,FALSE))</f>
        <v/>
      </c>
      <c r="E114" s="7"/>
      <c r="F114" s="7"/>
      <c r="G114" s="7"/>
      <c r="H114" s="7"/>
      <c r="I114" s="7"/>
      <c r="J114" s="9" t="str">
        <f t="shared" si="9"/>
        <v/>
      </c>
      <c r="K114" s="9" t="str">
        <f t="shared" si="10"/>
        <v/>
      </c>
      <c r="L114" s="9" t="str">
        <f t="shared" si="11"/>
        <v/>
      </c>
      <c r="M114" s="7"/>
      <c r="N114" s="7"/>
      <c r="O114" s="7"/>
    </row>
    <row r="115" spans="1:15" s="1" customFormat="1" ht="18" customHeight="1" x14ac:dyDescent="0.45">
      <c r="A115" s="5"/>
      <c r="B115" s="9" t="str">
        <f>IF(A115="","",VLOOKUP(A115,'Student Roster'!A:C,2,FALSE))</f>
        <v/>
      </c>
      <c r="C115" s="9" t="str">
        <f>IF(A115="","",VLOOKUP(A115,'Student Roster'!A:C,3,FALSE))</f>
        <v/>
      </c>
      <c r="D115" s="9" t="str">
        <f>IF(A115="","",VLOOKUP(A115,'Student Roster'!A:D,4,FALSE))</f>
        <v/>
      </c>
      <c r="E115" s="5"/>
      <c r="F115" s="5"/>
      <c r="G115" s="5"/>
      <c r="H115" s="5"/>
      <c r="I115" s="5"/>
      <c r="J115" s="9" t="str">
        <f t="shared" si="9"/>
        <v/>
      </c>
      <c r="K115" s="9" t="str">
        <f t="shared" si="10"/>
        <v/>
      </c>
      <c r="L115" s="9" t="str">
        <f t="shared" si="11"/>
        <v/>
      </c>
      <c r="M115" s="5"/>
      <c r="N115" s="5"/>
      <c r="O115" s="5"/>
    </row>
    <row r="116" spans="1:15" s="1" customFormat="1" ht="18" customHeight="1" x14ac:dyDescent="0.45">
      <c r="A116" s="7"/>
      <c r="B116" s="9" t="str">
        <f>IF(A116="","",VLOOKUP(A116,'Student Roster'!A:C,2,FALSE))</f>
        <v/>
      </c>
      <c r="C116" s="9" t="str">
        <f>IF(A116="","",VLOOKUP(A116,'Student Roster'!A:C,3,FALSE))</f>
        <v/>
      </c>
      <c r="D116" s="9" t="str">
        <f>IF(A116="","",VLOOKUP(A116,'Student Roster'!A:D,4,FALSE))</f>
        <v/>
      </c>
      <c r="E116" s="7"/>
      <c r="F116" s="7"/>
      <c r="G116" s="7"/>
      <c r="H116" s="7"/>
      <c r="I116" s="7"/>
      <c r="J116" s="9" t="str">
        <f t="shared" si="9"/>
        <v/>
      </c>
      <c r="K116" s="9" t="str">
        <f t="shared" si="10"/>
        <v/>
      </c>
      <c r="L116" s="9" t="str">
        <f t="shared" si="11"/>
        <v/>
      </c>
      <c r="M116" s="7"/>
      <c r="N116" s="7"/>
      <c r="O116" s="7"/>
    </row>
    <row r="117" spans="1:15" s="1" customFormat="1" ht="18" customHeight="1" x14ac:dyDescent="0.45">
      <c r="A117" s="5"/>
      <c r="B117" s="9" t="str">
        <f>IF(A117="","",VLOOKUP(A117,'Student Roster'!A:C,2,FALSE))</f>
        <v/>
      </c>
      <c r="C117" s="9" t="str">
        <f>IF(A117="","",VLOOKUP(A117,'Student Roster'!A:C,3,FALSE))</f>
        <v/>
      </c>
      <c r="D117" s="9" t="str">
        <f>IF(A117="","",VLOOKUP(A117,'Student Roster'!A:D,4,FALSE))</f>
        <v/>
      </c>
      <c r="E117" s="5"/>
      <c r="F117" s="5"/>
      <c r="G117" s="5"/>
      <c r="H117" s="5"/>
      <c r="I117" s="5"/>
      <c r="J117" s="9" t="str">
        <f t="shared" si="9"/>
        <v/>
      </c>
      <c r="K117" s="9" t="str">
        <f t="shared" si="10"/>
        <v/>
      </c>
      <c r="L117" s="9" t="str">
        <f t="shared" si="11"/>
        <v/>
      </c>
      <c r="M117" s="5"/>
      <c r="N117" s="5"/>
      <c r="O117" s="5"/>
    </row>
    <row r="118" spans="1:15" s="1" customFormat="1" ht="18" customHeight="1" x14ac:dyDescent="0.45">
      <c r="A118" s="7"/>
      <c r="B118" s="9" t="str">
        <f>IF(A118="","",VLOOKUP(A118,'Student Roster'!A:C,2,FALSE))</f>
        <v/>
      </c>
      <c r="C118" s="9" t="str">
        <f>IF(A118="","",VLOOKUP(A118,'Student Roster'!A:C,3,FALSE))</f>
        <v/>
      </c>
      <c r="D118" s="9" t="str">
        <f>IF(A118="","",VLOOKUP(A118,'Student Roster'!A:D,4,FALSE))</f>
        <v/>
      </c>
      <c r="E118" s="7"/>
      <c r="F118" s="7"/>
      <c r="G118" s="7"/>
      <c r="H118" s="7"/>
      <c r="I118" s="7"/>
      <c r="J118" s="9" t="str">
        <f t="shared" si="9"/>
        <v/>
      </c>
      <c r="K118" s="9" t="str">
        <f t="shared" si="10"/>
        <v/>
      </c>
      <c r="L118" s="9" t="str">
        <f t="shared" si="11"/>
        <v/>
      </c>
      <c r="M118" s="7"/>
      <c r="N118" s="7"/>
      <c r="O118" s="7"/>
    </row>
    <row r="119" spans="1:15" s="1" customFormat="1" ht="18" customHeight="1" x14ac:dyDescent="0.45">
      <c r="A119" s="5"/>
      <c r="B119" s="9" t="str">
        <f>IF(A119="","",VLOOKUP(A119,'Student Roster'!A:C,2,FALSE))</f>
        <v/>
      </c>
      <c r="C119" s="9" t="str">
        <f>IF(A119="","",VLOOKUP(A119,'Student Roster'!A:C,3,FALSE))</f>
        <v/>
      </c>
      <c r="D119" s="9" t="str">
        <f>IF(A119="","",VLOOKUP(A119,'Student Roster'!A:D,4,FALSE))</f>
        <v/>
      </c>
      <c r="E119" s="5"/>
      <c r="F119" s="5"/>
      <c r="G119" s="5"/>
      <c r="H119" s="5"/>
      <c r="I119" s="5"/>
      <c r="J119" s="9" t="str">
        <f t="shared" si="9"/>
        <v/>
      </c>
      <c r="K119" s="9" t="str">
        <f t="shared" si="10"/>
        <v/>
      </c>
      <c r="L119" s="9" t="str">
        <f t="shared" si="11"/>
        <v/>
      </c>
      <c r="M119" s="5"/>
      <c r="N119" s="5"/>
      <c r="O119" s="5"/>
    </row>
    <row r="120" spans="1:15" s="1" customFormat="1" ht="18" customHeight="1" x14ac:dyDescent="0.45">
      <c r="A120" s="7"/>
      <c r="B120" s="9" t="str">
        <f>IF(A120="","",VLOOKUP(A120,'Student Roster'!A:C,2,FALSE))</f>
        <v/>
      </c>
      <c r="C120" s="9" t="str">
        <f>IF(A120="","",VLOOKUP(A120,'Student Roster'!A:C,3,FALSE))</f>
        <v/>
      </c>
      <c r="D120" s="9" t="str">
        <f>IF(A120="","",VLOOKUP(A120,'Student Roster'!A:D,4,FALSE))</f>
        <v/>
      </c>
      <c r="E120" s="7"/>
      <c r="F120" s="7"/>
      <c r="G120" s="7"/>
      <c r="H120" s="7"/>
      <c r="I120" s="7"/>
      <c r="J120" s="9" t="str">
        <f t="shared" si="9"/>
        <v/>
      </c>
      <c r="K120" s="9" t="str">
        <f t="shared" si="10"/>
        <v/>
      </c>
      <c r="L120" s="9" t="str">
        <f t="shared" si="11"/>
        <v/>
      </c>
      <c r="M120" s="7"/>
      <c r="N120" s="7"/>
      <c r="O120" s="7"/>
    </row>
    <row r="121" spans="1:15" s="1" customFormat="1" ht="18" customHeight="1" x14ac:dyDescent="0.45">
      <c r="A121" s="5"/>
      <c r="B121" s="9" t="str">
        <f>IF(A121="","",VLOOKUP(A121,'Student Roster'!A:C,2,FALSE))</f>
        <v/>
      </c>
      <c r="C121" s="9" t="str">
        <f>IF(A121="","",VLOOKUP(A121,'Student Roster'!A:C,3,FALSE))</f>
        <v/>
      </c>
      <c r="D121" s="9" t="str">
        <f>IF(A121="","",VLOOKUP(A121,'Student Roster'!A:D,4,FALSE))</f>
        <v/>
      </c>
      <c r="E121" s="5"/>
      <c r="F121" s="5"/>
      <c r="G121" s="5"/>
      <c r="H121" s="5"/>
      <c r="I121" s="5"/>
      <c r="J121" s="9" t="str">
        <f t="shared" si="9"/>
        <v/>
      </c>
      <c r="K121" s="9" t="str">
        <f t="shared" si="10"/>
        <v/>
      </c>
      <c r="L121" s="9" t="str">
        <f t="shared" si="11"/>
        <v/>
      </c>
      <c r="M121" s="5"/>
      <c r="N121" s="5"/>
      <c r="O121" s="5"/>
    </row>
    <row r="122" spans="1:15" s="1" customFormat="1" ht="18" customHeight="1" x14ac:dyDescent="0.45">
      <c r="A122" s="7"/>
      <c r="B122" s="9" t="str">
        <f>IF(A122="","",VLOOKUP(A122,'Student Roster'!A:C,2,FALSE))</f>
        <v/>
      </c>
      <c r="C122" s="9" t="str">
        <f>IF(A122="","",VLOOKUP(A122,'Student Roster'!A:C,3,FALSE))</f>
        <v/>
      </c>
      <c r="D122" s="9" t="str">
        <f>IF(A122="","",VLOOKUP(A122,'Student Roster'!A:D,4,FALSE))</f>
        <v/>
      </c>
      <c r="E122" s="7"/>
      <c r="F122" s="7"/>
      <c r="G122" s="7"/>
      <c r="H122" s="7"/>
      <c r="I122" s="7"/>
      <c r="J122" s="9" t="str">
        <f t="shared" si="9"/>
        <v/>
      </c>
      <c r="K122" s="9" t="str">
        <f t="shared" si="10"/>
        <v/>
      </c>
      <c r="L122" s="9" t="str">
        <f t="shared" si="11"/>
        <v/>
      </c>
      <c r="M122" s="7"/>
      <c r="N122" s="7"/>
      <c r="O122" s="7"/>
    </row>
    <row r="123" spans="1:15" s="1" customFormat="1" ht="18" customHeight="1" x14ac:dyDescent="0.45">
      <c r="A123" s="5"/>
      <c r="B123" s="9" t="str">
        <f>IF(A123="","",VLOOKUP(A123,'Student Roster'!A:C,2,FALSE))</f>
        <v/>
      </c>
      <c r="C123" s="9" t="str">
        <f>IF(A123="","",VLOOKUP(A123,'Student Roster'!A:C,3,FALSE))</f>
        <v/>
      </c>
      <c r="D123" s="9" t="str">
        <f>IF(A123="","",VLOOKUP(A123,'Student Roster'!A:D,4,FALSE))</f>
        <v/>
      </c>
      <c r="E123" s="5"/>
      <c r="F123" s="5"/>
      <c r="G123" s="5"/>
      <c r="H123" s="5"/>
      <c r="I123" s="5"/>
      <c r="J123" s="9" t="str">
        <f t="shared" si="9"/>
        <v/>
      </c>
      <c r="K123" s="9" t="str">
        <f t="shared" si="10"/>
        <v/>
      </c>
      <c r="L123" s="9" t="str">
        <f t="shared" si="11"/>
        <v/>
      </c>
      <c r="M123" s="5"/>
      <c r="N123" s="5"/>
      <c r="O123" s="5"/>
    </row>
    <row r="124" spans="1:15" s="1" customFormat="1" ht="18" customHeight="1" x14ac:dyDescent="0.45">
      <c r="A124" s="7"/>
      <c r="B124" s="9" t="str">
        <f>IF(A124="","",VLOOKUP(A124,'Student Roster'!A:C,2,FALSE))</f>
        <v/>
      </c>
      <c r="C124" s="9" t="str">
        <f>IF(A124="","",VLOOKUP(A124,'Student Roster'!A:C,3,FALSE))</f>
        <v/>
      </c>
      <c r="D124" s="9" t="str">
        <f>IF(A124="","",VLOOKUP(A124,'Student Roster'!A:D,4,FALSE))</f>
        <v/>
      </c>
      <c r="E124" s="7"/>
      <c r="F124" s="7"/>
      <c r="G124" s="7"/>
      <c r="H124" s="7"/>
      <c r="I124" s="7"/>
      <c r="J124" s="9" t="str">
        <f t="shared" si="9"/>
        <v/>
      </c>
      <c r="K124" s="9" t="str">
        <f t="shared" si="10"/>
        <v/>
      </c>
      <c r="L124" s="9" t="str">
        <f t="shared" si="11"/>
        <v/>
      </c>
      <c r="M124" s="7"/>
      <c r="N124" s="7"/>
      <c r="O124" s="7"/>
    </row>
    <row r="125" spans="1:15" s="1" customFormat="1" ht="18" customHeight="1" x14ac:dyDescent="0.45">
      <c r="A125" s="5"/>
      <c r="B125" s="9" t="str">
        <f>IF(A125="","",VLOOKUP(A125,'Student Roster'!A:C,2,FALSE))</f>
        <v/>
      </c>
      <c r="C125" s="9" t="str">
        <f>IF(A125="","",VLOOKUP(A125,'Student Roster'!A:C,3,FALSE))</f>
        <v/>
      </c>
      <c r="D125" s="9" t="str">
        <f>IF(A125="","",VLOOKUP(A125,'Student Roster'!A:D,4,FALSE))</f>
        <v/>
      </c>
      <c r="E125" s="5"/>
      <c r="F125" s="5"/>
      <c r="G125" s="5"/>
      <c r="H125" s="5"/>
      <c r="I125" s="5"/>
      <c r="J125" s="9" t="str">
        <f t="shared" si="9"/>
        <v/>
      </c>
      <c r="K125" s="9" t="str">
        <f t="shared" si="10"/>
        <v/>
      </c>
      <c r="L125" s="9" t="str">
        <f t="shared" si="11"/>
        <v/>
      </c>
      <c r="M125" s="5"/>
      <c r="N125" s="5"/>
      <c r="O125" s="5"/>
    </row>
    <row r="126" spans="1:15" s="1" customFormat="1" ht="18" customHeight="1" x14ac:dyDescent="0.45">
      <c r="A126" s="7"/>
      <c r="B126" s="9" t="str">
        <f>IF(A126="","",VLOOKUP(A126,'Student Roster'!A:C,2,FALSE))</f>
        <v/>
      </c>
      <c r="C126" s="9" t="str">
        <f>IF(A126="","",VLOOKUP(A126,'Student Roster'!A:C,3,FALSE))</f>
        <v/>
      </c>
      <c r="D126" s="9" t="str">
        <f>IF(A126="","",VLOOKUP(A126,'Student Roster'!A:D,4,FALSE))</f>
        <v/>
      </c>
      <c r="E126" s="7"/>
      <c r="F126" s="7"/>
      <c r="G126" s="7"/>
      <c r="H126" s="7"/>
      <c r="I126" s="7"/>
      <c r="J126" s="9" t="str">
        <f t="shared" si="9"/>
        <v/>
      </c>
      <c r="K126" s="9" t="str">
        <f t="shared" si="10"/>
        <v/>
      </c>
      <c r="L126" s="9" t="str">
        <f t="shared" si="11"/>
        <v/>
      </c>
      <c r="M126" s="7"/>
      <c r="N126" s="7"/>
      <c r="O126" s="7"/>
    </row>
    <row r="127" spans="1:15" s="1" customFormat="1" ht="18" customHeight="1" x14ac:dyDescent="0.45">
      <c r="A127" s="5"/>
      <c r="B127" s="9" t="str">
        <f>IF(A127="","",VLOOKUP(A127,'Student Roster'!A:C,2,FALSE))</f>
        <v/>
      </c>
      <c r="C127" s="9" t="str">
        <f>IF(A127="","",VLOOKUP(A127,'Student Roster'!A:C,3,FALSE))</f>
        <v/>
      </c>
      <c r="D127" s="9" t="str">
        <f>IF(A127="","",VLOOKUP(A127,'Student Roster'!A:D,4,FALSE))</f>
        <v/>
      </c>
      <c r="E127" s="5"/>
      <c r="F127" s="5"/>
      <c r="G127" s="5"/>
      <c r="H127" s="5"/>
      <c r="I127" s="5"/>
      <c r="J127" s="9" t="str">
        <f t="shared" si="9"/>
        <v/>
      </c>
      <c r="K127" s="9" t="str">
        <f t="shared" si="10"/>
        <v/>
      </c>
      <c r="L127" s="9" t="str">
        <f t="shared" si="11"/>
        <v/>
      </c>
      <c r="M127" s="5"/>
      <c r="N127" s="5"/>
      <c r="O127" s="5"/>
    </row>
    <row r="128" spans="1:15" s="1" customFormat="1" ht="18" customHeight="1" x14ac:dyDescent="0.45">
      <c r="A128" s="7"/>
      <c r="B128" s="9" t="str">
        <f>IF(A128="","",VLOOKUP(A128,'Student Roster'!A:C,2,FALSE))</f>
        <v/>
      </c>
      <c r="C128" s="9" t="str">
        <f>IF(A128="","",VLOOKUP(A128,'Student Roster'!A:C,3,FALSE))</f>
        <v/>
      </c>
      <c r="D128" s="9" t="str">
        <f>IF(A128="","",VLOOKUP(A128,'Student Roster'!A:D,4,FALSE))</f>
        <v/>
      </c>
      <c r="E128" s="7"/>
      <c r="F128" s="7"/>
      <c r="G128" s="7"/>
      <c r="H128" s="7"/>
      <c r="I128" s="7"/>
      <c r="J128" s="9" t="str">
        <f t="shared" si="9"/>
        <v/>
      </c>
      <c r="K128" s="9" t="str">
        <f t="shared" si="10"/>
        <v/>
      </c>
      <c r="L128" s="9" t="str">
        <f t="shared" si="11"/>
        <v/>
      </c>
      <c r="M128" s="7"/>
      <c r="N128" s="7"/>
      <c r="O128" s="7"/>
    </row>
    <row r="129" spans="1:15" s="1" customFormat="1" ht="18" customHeight="1" x14ac:dyDescent="0.45">
      <c r="A129" s="5"/>
      <c r="B129" s="9" t="str">
        <f>IF(A129="","",VLOOKUP(A129,'Student Roster'!A:C,2,FALSE))</f>
        <v/>
      </c>
      <c r="C129" s="9" t="str">
        <f>IF(A129="","",VLOOKUP(A129,'Student Roster'!A:C,3,FALSE))</f>
        <v/>
      </c>
      <c r="D129" s="9" t="str">
        <f>IF(A129="","",VLOOKUP(A129,'Student Roster'!A:D,4,FALSE))</f>
        <v/>
      </c>
      <c r="E129" s="5"/>
      <c r="F129" s="5"/>
      <c r="G129" s="5"/>
      <c r="H129" s="5"/>
      <c r="I129" s="5"/>
      <c r="J129" s="9" t="str">
        <f t="shared" si="9"/>
        <v/>
      </c>
      <c r="K129" s="9" t="str">
        <f t="shared" si="10"/>
        <v/>
      </c>
      <c r="L129" s="9" t="str">
        <f t="shared" si="11"/>
        <v/>
      </c>
      <c r="M129" s="5"/>
      <c r="N129" s="5"/>
      <c r="O129" s="5"/>
    </row>
    <row r="130" spans="1:15" s="1" customFormat="1" ht="18" customHeight="1" x14ac:dyDescent="0.45">
      <c r="A130" s="7"/>
      <c r="B130" s="9" t="str">
        <f>IF(A130="","",VLOOKUP(A130,'Student Roster'!A:C,2,FALSE))</f>
        <v/>
      </c>
      <c r="C130" s="9" t="str">
        <f>IF(A130="","",VLOOKUP(A130,'Student Roster'!A:C,3,FALSE))</f>
        <v/>
      </c>
      <c r="D130" s="9" t="str">
        <f>IF(A130="","",VLOOKUP(A130,'Student Roster'!A:D,4,FALSE))</f>
        <v/>
      </c>
      <c r="E130" s="7"/>
      <c r="F130" s="7"/>
      <c r="G130" s="7"/>
      <c r="H130" s="7"/>
      <c r="I130" s="7"/>
      <c r="J130" s="9" t="str">
        <f t="shared" si="9"/>
        <v/>
      </c>
      <c r="K130" s="9" t="str">
        <f t="shared" si="10"/>
        <v/>
      </c>
      <c r="L130" s="9" t="str">
        <f t="shared" si="11"/>
        <v/>
      </c>
      <c r="M130" s="7"/>
      <c r="N130" s="7"/>
      <c r="O130" s="7"/>
    </row>
    <row r="131" spans="1:15" s="1" customFormat="1" ht="18" customHeight="1" x14ac:dyDescent="0.45">
      <c r="A131" s="5"/>
      <c r="B131" s="9" t="str">
        <f>IF(A131="","",VLOOKUP(A131,'Student Roster'!A:C,2,FALSE))</f>
        <v/>
      </c>
      <c r="C131" s="9" t="str">
        <f>IF(A131="","",VLOOKUP(A131,'Student Roster'!A:C,3,FALSE))</f>
        <v/>
      </c>
      <c r="D131" s="9" t="str">
        <f>IF(A131="","",VLOOKUP(A131,'Student Roster'!A:D,4,FALSE))</f>
        <v/>
      </c>
      <c r="E131" s="5"/>
      <c r="F131" s="5"/>
      <c r="G131" s="5"/>
      <c r="H131" s="5"/>
      <c r="I131" s="5"/>
      <c r="J131" s="9" t="str">
        <f t="shared" si="9"/>
        <v/>
      </c>
      <c r="K131" s="9" t="str">
        <f t="shared" si="10"/>
        <v/>
      </c>
      <c r="L131" s="9" t="str">
        <f t="shared" si="11"/>
        <v/>
      </c>
      <c r="M131" s="5"/>
      <c r="N131" s="5"/>
      <c r="O131" s="5"/>
    </row>
    <row r="132" spans="1:15" s="1" customFormat="1" ht="18" customHeight="1" x14ac:dyDescent="0.45">
      <c r="A132" s="7"/>
      <c r="B132" s="9" t="str">
        <f>IF(A132="","",VLOOKUP(A132,'Student Roster'!A:C,2,FALSE))</f>
        <v/>
      </c>
      <c r="C132" s="9" t="str">
        <f>IF(A132="","",VLOOKUP(A132,'Student Roster'!A:C,3,FALSE))</f>
        <v/>
      </c>
      <c r="D132" s="9" t="str">
        <f>IF(A132="","",VLOOKUP(A132,'Student Roster'!A:D,4,FALSE))</f>
        <v/>
      </c>
      <c r="E132" s="7"/>
      <c r="F132" s="7"/>
      <c r="G132" s="7"/>
      <c r="H132" s="7"/>
      <c r="I132" s="7"/>
      <c r="J132" s="9" t="str">
        <f t="shared" ref="J132:J163" si="12">IF(OR(H132="",I132=""),"",I132-H132)</f>
        <v/>
      </c>
      <c r="K132" s="9" t="str">
        <f t="shared" ref="K132:K153" si="13">IF(H132=0,"",ROUND((H132-I132)/H132*100,0)&amp;"%")</f>
        <v/>
      </c>
      <c r="L132" s="9" t="str">
        <f t="shared" ref="L132:L153" si="14">IF(J132="","",IF(J132&lt;0,"✅ Effective",IF(J132=0,"↔ No Change","❌ Not Effective")))</f>
        <v/>
      </c>
      <c r="M132" s="7"/>
      <c r="N132" s="7"/>
      <c r="O132" s="7"/>
    </row>
    <row r="133" spans="1:15" s="1" customFormat="1" ht="18" customHeight="1" x14ac:dyDescent="0.45">
      <c r="A133" s="5"/>
      <c r="B133" s="9" t="str">
        <f>IF(A133="","",VLOOKUP(A133,'Student Roster'!A:C,2,FALSE))</f>
        <v/>
      </c>
      <c r="C133" s="9" t="str">
        <f>IF(A133="","",VLOOKUP(A133,'Student Roster'!A:C,3,FALSE))</f>
        <v/>
      </c>
      <c r="D133" s="9" t="str">
        <f>IF(A133="","",VLOOKUP(A133,'Student Roster'!A:D,4,FALSE))</f>
        <v/>
      </c>
      <c r="E133" s="5"/>
      <c r="F133" s="5"/>
      <c r="G133" s="5"/>
      <c r="H133" s="5"/>
      <c r="I133" s="5"/>
      <c r="J133" s="9" t="str">
        <f t="shared" si="12"/>
        <v/>
      </c>
      <c r="K133" s="9" t="str">
        <f t="shared" si="13"/>
        <v/>
      </c>
      <c r="L133" s="9" t="str">
        <f t="shared" si="14"/>
        <v/>
      </c>
      <c r="M133" s="5"/>
      <c r="N133" s="5"/>
      <c r="O133" s="5"/>
    </row>
    <row r="134" spans="1:15" s="1" customFormat="1" ht="18" customHeight="1" x14ac:dyDescent="0.45">
      <c r="A134" s="7"/>
      <c r="B134" s="9" t="str">
        <f>IF(A134="","",VLOOKUP(A134,'Student Roster'!A:C,2,FALSE))</f>
        <v/>
      </c>
      <c r="C134" s="9" t="str">
        <f>IF(A134="","",VLOOKUP(A134,'Student Roster'!A:C,3,FALSE))</f>
        <v/>
      </c>
      <c r="D134" s="9" t="str">
        <f>IF(A134="","",VLOOKUP(A134,'Student Roster'!A:D,4,FALSE))</f>
        <v/>
      </c>
      <c r="E134" s="7"/>
      <c r="F134" s="7"/>
      <c r="G134" s="7"/>
      <c r="H134" s="7"/>
      <c r="I134" s="7"/>
      <c r="J134" s="9" t="str">
        <f t="shared" si="12"/>
        <v/>
      </c>
      <c r="K134" s="9" t="str">
        <f t="shared" si="13"/>
        <v/>
      </c>
      <c r="L134" s="9" t="str">
        <f t="shared" si="14"/>
        <v/>
      </c>
      <c r="M134" s="7"/>
      <c r="N134" s="7"/>
      <c r="O134" s="7"/>
    </row>
    <row r="135" spans="1:15" s="1" customFormat="1" ht="18" customHeight="1" x14ac:dyDescent="0.45">
      <c r="A135" s="5"/>
      <c r="B135" s="9" t="str">
        <f>IF(A135="","",VLOOKUP(A135,'Student Roster'!A:C,2,FALSE))</f>
        <v/>
      </c>
      <c r="C135" s="9" t="str">
        <f>IF(A135="","",VLOOKUP(A135,'Student Roster'!A:C,3,FALSE))</f>
        <v/>
      </c>
      <c r="D135" s="9" t="str">
        <f>IF(A135="","",VLOOKUP(A135,'Student Roster'!A:D,4,FALSE))</f>
        <v/>
      </c>
      <c r="E135" s="5"/>
      <c r="F135" s="5"/>
      <c r="G135" s="5"/>
      <c r="H135" s="5"/>
      <c r="I135" s="5"/>
      <c r="J135" s="9" t="str">
        <f t="shared" si="12"/>
        <v/>
      </c>
      <c r="K135" s="9" t="str">
        <f t="shared" si="13"/>
        <v/>
      </c>
      <c r="L135" s="9" t="str">
        <f t="shared" si="14"/>
        <v/>
      </c>
      <c r="M135" s="5"/>
      <c r="N135" s="5"/>
      <c r="O135" s="5"/>
    </row>
    <row r="136" spans="1:15" s="1" customFormat="1" ht="18" customHeight="1" x14ac:dyDescent="0.45">
      <c r="A136" s="7"/>
      <c r="B136" s="9" t="str">
        <f>IF(A136="","",VLOOKUP(A136,'Student Roster'!A:C,2,FALSE))</f>
        <v/>
      </c>
      <c r="C136" s="9" t="str">
        <f>IF(A136="","",VLOOKUP(A136,'Student Roster'!A:C,3,FALSE))</f>
        <v/>
      </c>
      <c r="D136" s="9" t="str">
        <f>IF(A136="","",VLOOKUP(A136,'Student Roster'!A:D,4,FALSE))</f>
        <v/>
      </c>
      <c r="E136" s="7"/>
      <c r="F136" s="7"/>
      <c r="G136" s="7"/>
      <c r="H136" s="7"/>
      <c r="I136" s="7"/>
      <c r="J136" s="9" t="str">
        <f t="shared" si="12"/>
        <v/>
      </c>
      <c r="K136" s="9" t="str">
        <f t="shared" si="13"/>
        <v/>
      </c>
      <c r="L136" s="9" t="str">
        <f t="shared" si="14"/>
        <v/>
      </c>
      <c r="M136" s="7"/>
      <c r="N136" s="7"/>
      <c r="O136" s="7"/>
    </row>
    <row r="137" spans="1:15" s="1" customFormat="1" ht="18" customHeight="1" x14ac:dyDescent="0.45">
      <c r="A137" s="5"/>
      <c r="B137" s="9" t="str">
        <f>IF(A137="","",VLOOKUP(A137,'Student Roster'!A:C,2,FALSE))</f>
        <v/>
      </c>
      <c r="C137" s="9" t="str">
        <f>IF(A137="","",VLOOKUP(A137,'Student Roster'!A:C,3,FALSE))</f>
        <v/>
      </c>
      <c r="D137" s="9" t="str">
        <f>IF(A137="","",VLOOKUP(A137,'Student Roster'!A:D,4,FALSE))</f>
        <v/>
      </c>
      <c r="E137" s="5"/>
      <c r="F137" s="5"/>
      <c r="G137" s="5"/>
      <c r="H137" s="5"/>
      <c r="I137" s="5"/>
      <c r="J137" s="9" t="str">
        <f t="shared" si="12"/>
        <v/>
      </c>
      <c r="K137" s="9" t="str">
        <f t="shared" si="13"/>
        <v/>
      </c>
      <c r="L137" s="9" t="str">
        <f t="shared" si="14"/>
        <v/>
      </c>
      <c r="M137" s="5"/>
      <c r="N137" s="5"/>
      <c r="O137" s="5"/>
    </row>
    <row r="138" spans="1:15" s="1" customFormat="1" ht="18" customHeight="1" x14ac:dyDescent="0.45">
      <c r="A138" s="7"/>
      <c r="B138" s="9" t="str">
        <f>IF(A138="","",VLOOKUP(A138,'Student Roster'!A:C,2,FALSE))</f>
        <v/>
      </c>
      <c r="C138" s="9" t="str">
        <f>IF(A138="","",VLOOKUP(A138,'Student Roster'!A:C,3,FALSE))</f>
        <v/>
      </c>
      <c r="D138" s="9" t="str">
        <f>IF(A138="","",VLOOKUP(A138,'Student Roster'!A:D,4,FALSE))</f>
        <v/>
      </c>
      <c r="E138" s="7"/>
      <c r="F138" s="7"/>
      <c r="G138" s="7"/>
      <c r="H138" s="7"/>
      <c r="I138" s="7"/>
      <c r="J138" s="9" t="str">
        <f t="shared" si="12"/>
        <v/>
      </c>
      <c r="K138" s="9" t="str">
        <f t="shared" si="13"/>
        <v/>
      </c>
      <c r="L138" s="9" t="str">
        <f t="shared" si="14"/>
        <v/>
      </c>
      <c r="M138" s="7"/>
      <c r="N138" s="7"/>
      <c r="O138" s="7"/>
    </row>
    <row r="139" spans="1:15" s="1" customFormat="1" ht="18" customHeight="1" x14ac:dyDescent="0.45">
      <c r="A139" s="5"/>
      <c r="B139" s="9" t="str">
        <f>IF(A139="","",VLOOKUP(A139,'Student Roster'!A:C,2,FALSE))</f>
        <v/>
      </c>
      <c r="C139" s="9" t="str">
        <f>IF(A139="","",VLOOKUP(A139,'Student Roster'!A:C,3,FALSE))</f>
        <v/>
      </c>
      <c r="D139" s="9" t="str">
        <f>IF(A139="","",VLOOKUP(A139,'Student Roster'!A:D,4,FALSE))</f>
        <v/>
      </c>
      <c r="E139" s="5"/>
      <c r="F139" s="5"/>
      <c r="G139" s="5"/>
      <c r="H139" s="5"/>
      <c r="I139" s="5"/>
      <c r="J139" s="9" t="str">
        <f t="shared" si="12"/>
        <v/>
      </c>
      <c r="K139" s="9" t="str">
        <f t="shared" si="13"/>
        <v/>
      </c>
      <c r="L139" s="9" t="str">
        <f t="shared" si="14"/>
        <v/>
      </c>
      <c r="M139" s="5"/>
      <c r="N139" s="5"/>
      <c r="O139" s="5"/>
    </row>
    <row r="140" spans="1:15" s="1" customFormat="1" ht="18" customHeight="1" x14ac:dyDescent="0.45">
      <c r="A140" s="7"/>
      <c r="B140" s="9" t="str">
        <f>IF(A140="","",VLOOKUP(A140,'Student Roster'!A:C,2,FALSE))</f>
        <v/>
      </c>
      <c r="C140" s="9" t="str">
        <f>IF(A140="","",VLOOKUP(A140,'Student Roster'!A:C,3,FALSE))</f>
        <v/>
      </c>
      <c r="D140" s="9" t="str">
        <f>IF(A140="","",VLOOKUP(A140,'Student Roster'!A:D,4,FALSE))</f>
        <v/>
      </c>
      <c r="E140" s="7"/>
      <c r="F140" s="7"/>
      <c r="G140" s="7"/>
      <c r="H140" s="7"/>
      <c r="I140" s="7"/>
      <c r="J140" s="9" t="str">
        <f t="shared" si="12"/>
        <v/>
      </c>
      <c r="K140" s="9" t="str">
        <f t="shared" si="13"/>
        <v/>
      </c>
      <c r="L140" s="9" t="str">
        <f t="shared" si="14"/>
        <v/>
      </c>
      <c r="M140" s="7"/>
      <c r="N140" s="7"/>
      <c r="O140" s="7"/>
    </row>
    <row r="141" spans="1:15" s="1" customFormat="1" ht="18" customHeight="1" x14ac:dyDescent="0.45">
      <c r="A141" s="5"/>
      <c r="B141" s="9" t="str">
        <f>IF(A141="","",VLOOKUP(A141,'Student Roster'!A:C,2,FALSE))</f>
        <v/>
      </c>
      <c r="C141" s="9" t="str">
        <f>IF(A141="","",VLOOKUP(A141,'Student Roster'!A:C,3,FALSE))</f>
        <v/>
      </c>
      <c r="D141" s="9" t="str">
        <f>IF(A141="","",VLOOKUP(A141,'Student Roster'!A:D,4,FALSE))</f>
        <v/>
      </c>
      <c r="E141" s="5"/>
      <c r="F141" s="5"/>
      <c r="G141" s="5"/>
      <c r="H141" s="5"/>
      <c r="I141" s="5"/>
      <c r="J141" s="9" t="str">
        <f t="shared" si="12"/>
        <v/>
      </c>
      <c r="K141" s="9" t="str">
        <f t="shared" si="13"/>
        <v/>
      </c>
      <c r="L141" s="9" t="str">
        <f t="shared" si="14"/>
        <v/>
      </c>
      <c r="M141" s="5"/>
      <c r="N141" s="5"/>
      <c r="O141" s="5"/>
    </row>
    <row r="142" spans="1:15" s="1" customFormat="1" ht="18" customHeight="1" x14ac:dyDescent="0.45">
      <c r="A142" s="7"/>
      <c r="B142" s="9" t="str">
        <f>IF(A142="","",VLOOKUP(A142,'Student Roster'!A:C,2,FALSE))</f>
        <v/>
      </c>
      <c r="C142" s="9" t="str">
        <f>IF(A142="","",VLOOKUP(A142,'Student Roster'!A:C,3,FALSE))</f>
        <v/>
      </c>
      <c r="D142" s="9" t="str">
        <f>IF(A142="","",VLOOKUP(A142,'Student Roster'!A:D,4,FALSE))</f>
        <v/>
      </c>
      <c r="E142" s="7"/>
      <c r="F142" s="7"/>
      <c r="G142" s="7"/>
      <c r="H142" s="7"/>
      <c r="I142" s="7"/>
      <c r="J142" s="9" t="str">
        <f t="shared" si="12"/>
        <v/>
      </c>
      <c r="K142" s="9" t="str">
        <f t="shared" si="13"/>
        <v/>
      </c>
      <c r="L142" s="9" t="str">
        <f t="shared" si="14"/>
        <v/>
      </c>
      <c r="M142" s="7"/>
      <c r="N142" s="7"/>
      <c r="O142" s="7"/>
    </row>
    <row r="143" spans="1:15" s="1" customFormat="1" ht="18" customHeight="1" x14ac:dyDescent="0.45">
      <c r="A143" s="5"/>
      <c r="B143" s="9" t="str">
        <f>IF(A143="","",VLOOKUP(A143,'Student Roster'!A:C,2,FALSE))</f>
        <v/>
      </c>
      <c r="C143" s="9" t="str">
        <f>IF(A143="","",VLOOKUP(A143,'Student Roster'!A:C,3,FALSE))</f>
        <v/>
      </c>
      <c r="D143" s="9" t="str">
        <f>IF(A143="","",VLOOKUP(A143,'Student Roster'!A:D,4,FALSE))</f>
        <v/>
      </c>
      <c r="E143" s="5"/>
      <c r="F143" s="5"/>
      <c r="G143" s="5"/>
      <c r="H143" s="5"/>
      <c r="I143" s="5"/>
      <c r="J143" s="9" t="str">
        <f t="shared" si="12"/>
        <v/>
      </c>
      <c r="K143" s="9" t="str">
        <f t="shared" si="13"/>
        <v/>
      </c>
      <c r="L143" s="9" t="str">
        <f t="shared" si="14"/>
        <v/>
      </c>
      <c r="M143" s="5"/>
      <c r="N143" s="5"/>
      <c r="O143" s="5"/>
    </row>
    <row r="144" spans="1:15" s="1" customFormat="1" ht="18" customHeight="1" x14ac:dyDescent="0.45">
      <c r="A144" s="7"/>
      <c r="B144" s="9" t="str">
        <f>IF(A144="","",VLOOKUP(A144,'Student Roster'!A:C,2,FALSE))</f>
        <v/>
      </c>
      <c r="C144" s="9" t="str">
        <f>IF(A144="","",VLOOKUP(A144,'Student Roster'!A:C,3,FALSE))</f>
        <v/>
      </c>
      <c r="D144" s="9" t="str">
        <f>IF(A144="","",VLOOKUP(A144,'Student Roster'!A:D,4,FALSE))</f>
        <v/>
      </c>
      <c r="E144" s="7"/>
      <c r="F144" s="7"/>
      <c r="G144" s="7"/>
      <c r="H144" s="7"/>
      <c r="I144" s="7"/>
      <c r="J144" s="9" t="str">
        <f t="shared" si="12"/>
        <v/>
      </c>
      <c r="K144" s="9" t="str">
        <f t="shared" si="13"/>
        <v/>
      </c>
      <c r="L144" s="9" t="str">
        <f t="shared" si="14"/>
        <v/>
      </c>
      <c r="M144" s="7"/>
      <c r="N144" s="7"/>
      <c r="O144" s="7"/>
    </row>
    <row r="145" spans="1:15" s="1" customFormat="1" ht="18" customHeight="1" x14ac:dyDescent="0.45">
      <c r="A145" s="5"/>
      <c r="B145" s="9" t="str">
        <f>IF(A145="","",VLOOKUP(A145,'Student Roster'!A:C,2,FALSE))</f>
        <v/>
      </c>
      <c r="C145" s="9" t="str">
        <f>IF(A145="","",VLOOKUP(A145,'Student Roster'!A:C,3,FALSE))</f>
        <v/>
      </c>
      <c r="D145" s="9" t="str">
        <f>IF(A145="","",VLOOKUP(A145,'Student Roster'!A:D,4,FALSE))</f>
        <v/>
      </c>
      <c r="E145" s="5"/>
      <c r="F145" s="5"/>
      <c r="G145" s="5"/>
      <c r="H145" s="5"/>
      <c r="I145" s="5"/>
      <c r="J145" s="9" t="str">
        <f t="shared" si="12"/>
        <v/>
      </c>
      <c r="K145" s="9" t="str">
        <f t="shared" si="13"/>
        <v/>
      </c>
      <c r="L145" s="9" t="str">
        <f t="shared" si="14"/>
        <v/>
      </c>
      <c r="M145" s="5"/>
      <c r="N145" s="5"/>
      <c r="O145" s="5"/>
    </row>
    <row r="146" spans="1:15" s="1" customFormat="1" ht="18" customHeight="1" x14ac:dyDescent="0.45">
      <c r="A146" s="7"/>
      <c r="B146" s="9" t="str">
        <f>IF(A146="","",VLOOKUP(A146,'Student Roster'!A:C,2,FALSE))</f>
        <v/>
      </c>
      <c r="C146" s="9" t="str">
        <f>IF(A146="","",VLOOKUP(A146,'Student Roster'!A:C,3,FALSE))</f>
        <v/>
      </c>
      <c r="D146" s="9" t="str">
        <f>IF(A146="","",VLOOKUP(A146,'Student Roster'!A:D,4,FALSE))</f>
        <v/>
      </c>
      <c r="E146" s="7"/>
      <c r="F146" s="7"/>
      <c r="G146" s="7"/>
      <c r="H146" s="7"/>
      <c r="I146" s="7"/>
      <c r="J146" s="9" t="str">
        <f t="shared" si="12"/>
        <v/>
      </c>
      <c r="K146" s="9" t="str">
        <f t="shared" si="13"/>
        <v/>
      </c>
      <c r="L146" s="9" t="str">
        <f t="shared" si="14"/>
        <v/>
      </c>
      <c r="M146" s="7"/>
      <c r="N146" s="7"/>
      <c r="O146" s="7"/>
    </row>
    <row r="147" spans="1:15" s="1" customFormat="1" ht="18" customHeight="1" x14ac:dyDescent="0.45">
      <c r="A147" s="5"/>
      <c r="B147" s="9" t="str">
        <f>IF(A147="","",VLOOKUP(A147,'Student Roster'!A:C,2,FALSE))</f>
        <v/>
      </c>
      <c r="C147" s="9" t="str">
        <f>IF(A147="","",VLOOKUP(A147,'Student Roster'!A:C,3,FALSE))</f>
        <v/>
      </c>
      <c r="D147" s="9" t="str">
        <f>IF(A147="","",VLOOKUP(A147,'Student Roster'!A:D,4,FALSE))</f>
        <v/>
      </c>
      <c r="E147" s="5"/>
      <c r="F147" s="5"/>
      <c r="G147" s="5"/>
      <c r="H147" s="5"/>
      <c r="I147" s="5"/>
      <c r="J147" s="9" t="str">
        <f t="shared" si="12"/>
        <v/>
      </c>
      <c r="K147" s="9" t="str">
        <f t="shared" si="13"/>
        <v/>
      </c>
      <c r="L147" s="9" t="str">
        <f t="shared" si="14"/>
        <v/>
      </c>
      <c r="M147" s="5"/>
      <c r="N147" s="5"/>
      <c r="O147" s="5"/>
    </row>
    <row r="148" spans="1:15" s="1" customFormat="1" ht="18" customHeight="1" x14ac:dyDescent="0.45">
      <c r="A148" s="7"/>
      <c r="B148" s="9" t="str">
        <f>IF(A148="","",VLOOKUP(A148,'Student Roster'!A:C,2,FALSE))</f>
        <v/>
      </c>
      <c r="C148" s="9" t="str">
        <f>IF(A148="","",VLOOKUP(A148,'Student Roster'!A:C,3,FALSE))</f>
        <v/>
      </c>
      <c r="D148" s="9" t="str">
        <f>IF(A148="","",VLOOKUP(A148,'Student Roster'!A:D,4,FALSE))</f>
        <v/>
      </c>
      <c r="E148" s="7"/>
      <c r="F148" s="7"/>
      <c r="G148" s="7"/>
      <c r="H148" s="7"/>
      <c r="I148" s="7"/>
      <c r="J148" s="9" t="str">
        <f t="shared" si="12"/>
        <v/>
      </c>
      <c r="K148" s="9" t="str">
        <f t="shared" si="13"/>
        <v/>
      </c>
      <c r="L148" s="9" t="str">
        <f t="shared" si="14"/>
        <v/>
      </c>
      <c r="M148" s="7"/>
      <c r="N148" s="7"/>
      <c r="O148" s="7"/>
    </row>
    <row r="149" spans="1:15" s="1" customFormat="1" ht="18" customHeight="1" x14ac:dyDescent="0.45">
      <c r="A149" s="5"/>
      <c r="B149" s="9" t="str">
        <f>IF(A149="","",VLOOKUP(A149,'Student Roster'!A:C,2,FALSE))</f>
        <v/>
      </c>
      <c r="C149" s="9" t="str">
        <f>IF(A149="","",VLOOKUP(A149,'Student Roster'!A:C,3,FALSE))</f>
        <v/>
      </c>
      <c r="D149" s="9" t="str">
        <f>IF(A149="","",VLOOKUP(A149,'Student Roster'!A:D,4,FALSE))</f>
        <v/>
      </c>
      <c r="E149" s="5"/>
      <c r="F149" s="5"/>
      <c r="G149" s="5"/>
      <c r="H149" s="5"/>
      <c r="I149" s="5"/>
      <c r="J149" s="9" t="str">
        <f t="shared" si="12"/>
        <v/>
      </c>
      <c r="K149" s="9" t="str">
        <f t="shared" si="13"/>
        <v/>
      </c>
      <c r="L149" s="9" t="str">
        <f t="shared" si="14"/>
        <v/>
      </c>
      <c r="M149" s="5"/>
      <c r="N149" s="5"/>
      <c r="O149" s="5"/>
    </row>
    <row r="150" spans="1:15" s="1" customFormat="1" ht="18" customHeight="1" x14ac:dyDescent="0.45">
      <c r="A150" s="7"/>
      <c r="B150" s="9" t="str">
        <f>IF(A150="","",VLOOKUP(A150,'Student Roster'!A:C,2,FALSE))</f>
        <v/>
      </c>
      <c r="C150" s="9" t="str">
        <f>IF(A150="","",VLOOKUP(A150,'Student Roster'!A:C,3,FALSE))</f>
        <v/>
      </c>
      <c r="D150" s="9" t="str">
        <f>IF(A150="","",VLOOKUP(A150,'Student Roster'!A:D,4,FALSE))</f>
        <v/>
      </c>
      <c r="E150" s="7"/>
      <c r="F150" s="7"/>
      <c r="G150" s="7"/>
      <c r="H150" s="7"/>
      <c r="I150" s="7"/>
      <c r="J150" s="9" t="str">
        <f t="shared" si="12"/>
        <v/>
      </c>
      <c r="K150" s="9" t="str">
        <f t="shared" si="13"/>
        <v/>
      </c>
      <c r="L150" s="9" t="str">
        <f t="shared" si="14"/>
        <v/>
      </c>
      <c r="M150" s="7"/>
      <c r="N150" s="7"/>
      <c r="O150" s="7"/>
    </row>
    <row r="151" spans="1:15" s="1" customFormat="1" ht="18" customHeight="1" x14ac:dyDescent="0.45">
      <c r="A151" s="5"/>
      <c r="B151" s="9" t="str">
        <f>IF(A151="","",VLOOKUP(A151,'Student Roster'!A:C,2,FALSE))</f>
        <v/>
      </c>
      <c r="C151" s="9" t="str">
        <f>IF(A151="","",VLOOKUP(A151,'Student Roster'!A:C,3,FALSE))</f>
        <v/>
      </c>
      <c r="D151" s="9" t="str">
        <f>IF(A151="","",VLOOKUP(A151,'Student Roster'!A:D,4,FALSE))</f>
        <v/>
      </c>
      <c r="E151" s="5"/>
      <c r="F151" s="5"/>
      <c r="G151" s="5"/>
      <c r="H151" s="5"/>
      <c r="I151" s="5"/>
      <c r="J151" s="9" t="str">
        <f t="shared" si="12"/>
        <v/>
      </c>
      <c r="K151" s="9" t="str">
        <f t="shared" si="13"/>
        <v/>
      </c>
      <c r="L151" s="9" t="str">
        <f t="shared" si="14"/>
        <v/>
      </c>
      <c r="M151" s="5"/>
      <c r="N151" s="5"/>
      <c r="O151" s="5"/>
    </row>
    <row r="152" spans="1:15" s="1" customFormat="1" ht="18" customHeight="1" x14ac:dyDescent="0.45">
      <c r="A152" s="7"/>
      <c r="B152" s="9" t="str">
        <f>IF(A152="","",VLOOKUP(A152,'Student Roster'!A:C,2,FALSE))</f>
        <v/>
      </c>
      <c r="C152" s="9" t="str">
        <f>IF(A152="","",VLOOKUP(A152,'Student Roster'!A:C,3,FALSE))</f>
        <v/>
      </c>
      <c r="D152" s="9" t="str">
        <f>IF(A152="","",VLOOKUP(A152,'Student Roster'!A:D,4,FALSE))</f>
        <v/>
      </c>
      <c r="E152" s="7"/>
      <c r="F152" s="7"/>
      <c r="G152" s="7"/>
      <c r="H152" s="7"/>
      <c r="I152" s="7"/>
      <c r="J152" s="9" t="str">
        <f t="shared" si="12"/>
        <v/>
      </c>
      <c r="K152" s="9" t="str">
        <f t="shared" si="13"/>
        <v/>
      </c>
      <c r="L152" s="9" t="str">
        <f t="shared" si="14"/>
        <v/>
      </c>
      <c r="M152" s="7"/>
      <c r="N152" s="7"/>
      <c r="O152" s="7"/>
    </row>
    <row r="153" spans="1:15" s="1" customFormat="1" ht="18" customHeight="1" x14ac:dyDescent="0.45">
      <c r="A153" s="5"/>
      <c r="B153" s="9" t="str">
        <f>IF(A153="","",VLOOKUP(A153,'Student Roster'!A:C,2,FALSE))</f>
        <v/>
      </c>
      <c r="C153" s="9" t="str">
        <f>IF(A153="","",VLOOKUP(A153,'Student Roster'!A:C,3,FALSE))</f>
        <v/>
      </c>
      <c r="D153" s="9" t="str">
        <f>IF(A153="","",VLOOKUP(A153,'Student Roster'!A:D,4,FALSE))</f>
        <v/>
      </c>
      <c r="E153" s="5"/>
      <c r="F153" s="5"/>
      <c r="G153" s="5"/>
      <c r="H153" s="5"/>
      <c r="I153" s="5"/>
      <c r="J153" s="9" t="str">
        <f t="shared" si="12"/>
        <v/>
      </c>
      <c r="K153" s="9" t="str">
        <f t="shared" si="13"/>
        <v/>
      </c>
      <c r="L153" s="9" t="str">
        <f t="shared" si="14"/>
        <v/>
      </c>
      <c r="M153" s="5"/>
      <c r="N153" s="5"/>
      <c r="O153" s="5"/>
    </row>
    <row r="154" spans="1:15" s="1" customFormat="1" ht="19.5" customHeight="1" x14ac:dyDescent="0.45">
      <c r="A154" s="73" t="s">
        <v>54</v>
      </c>
      <c r="B154" s="64"/>
      <c r="C154" s="64"/>
      <c r="D154" s="64"/>
      <c r="E154" s="64"/>
      <c r="F154" s="64"/>
      <c r="G154" s="64"/>
      <c r="H154" s="64"/>
      <c r="I154" s="64"/>
      <c r="J154" s="64"/>
      <c r="K154" s="64"/>
      <c r="L154" s="64"/>
      <c r="M154" s="64"/>
      <c r="N154" s="64"/>
      <c r="O154" s="64"/>
    </row>
  </sheetData>
  <mergeCells count="3">
    <mergeCell ref="A1:O1"/>
    <mergeCell ref="A2:O2"/>
    <mergeCell ref="A154:O154"/>
  </mergeCells>
  <conditionalFormatting sqref="A4:O153">
    <cfRule type="expression" dxfId="5" priority="2">
      <formula>$L4="✅ Yes"</formula>
    </cfRule>
    <cfRule type="expression" dxfId="4" priority="3">
      <formula>$L4="❌ No"</formula>
    </cfRule>
    <cfRule type="expression" dxfId="3" priority="4">
      <formula>$M4="Yes"</formula>
    </cfRule>
  </conditionalFormatting>
  <pageMargins left="0.75" right="0.75" top="1" bottom="1" header="0.511811023622047" footer="0.511811023622047"/>
  <pageSetup orientation="landscape" useFirstPageNumber="1" horizontalDpi="300" verticalDpi="300"/>
  <extLst>
    <ext xmlns:x14="http://schemas.microsoft.com/office/spreadsheetml/2009/9/main" uri="{CCE6A557-97BC-4b89-ADB6-D9C93CAAB3DF}">
      <x14:dataValidations xmlns:xm="http://schemas.microsoft.com/office/excel/2006/main" count="2">
        <x14:dataValidation type="list" allowBlank="1" xr:uid="{00000000-0002-0000-0700-000000000000}">
          <x14:formula1>
            <xm:f>Lists!$D$2:$D$9</xm:f>
          </x14:formula1>
          <xm:sqref>E4:E153</xm:sqref>
        </x14:dataValidation>
        <x14:dataValidation type="list" allowBlank="1" xr:uid="{00000000-0002-0000-0700-000001000000}">
          <x14:formula1>
            <xm:f>Lists!$H$2:$H$3</xm:f>
          </x14:formula1>
          <xm:sqref>M4:N153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4A620"/>
  </sheetPr>
  <dimension ref="A1:D31"/>
  <sheetViews>
    <sheetView zoomScaleNormal="100" workbookViewId="0">
      <pane ySplit="2" topLeftCell="A3" activePane="bottomLeft" state="frozen"/>
      <selection pane="bottomLeft"/>
    </sheetView>
  </sheetViews>
  <sheetFormatPr defaultColWidth="8.6640625" defaultRowHeight="14.25" x14ac:dyDescent="0.45"/>
  <cols>
    <col min="1" max="1" width="36" style="1" customWidth="1"/>
    <col min="2" max="3" width="18" style="1" customWidth="1"/>
    <col min="4" max="4" width="4" style="1" customWidth="1"/>
  </cols>
  <sheetData>
    <row r="1" spans="1:4" s="1" customFormat="1" ht="51.75" customHeight="1" x14ac:dyDescent="0.45">
      <c r="A1" s="78" t="s">
        <v>306</v>
      </c>
      <c r="B1" s="64"/>
      <c r="C1" s="64"/>
      <c r="D1" s="64"/>
    </row>
    <row r="2" spans="1:4" s="1" customFormat="1" ht="21.75" customHeight="1" x14ac:dyDescent="0.45">
      <c r="A2" s="81" t="str">
        <f ca="1">"Dashboard refreshed: "&amp;TEXT(TODAY(),"MMMM D, YYYY")</f>
        <v>Dashboard refreshed: July 14, 2026</v>
      </c>
      <c r="B2" s="64"/>
      <c r="C2" s="64"/>
      <c r="D2" s="64"/>
    </row>
    <row r="3" spans="1:4" s="1" customFormat="1" ht="27.75" customHeight="1" x14ac:dyDescent="0.45">
      <c r="A3" s="65" t="s">
        <v>307</v>
      </c>
      <c r="B3" s="64"/>
      <c r="C3" s="64"/>
      <c r="D3" s="64"/>
    </row>
    <row r="4" spans="1:4" s="1" customFormat="1" ht="27.75" customHeight="1" x14ac:dyDescent="0.45">
      <c r="A4" s="24" t="s">
        <v>308</v>
      </c>
      <c r="B4" s="25">
        <f>COUNTA('Student Roster'!A4:A103)</f>
        <v>0</v>
      </c>
      <c r="C4" s="26"/>
    </row>
    <row r="5" spans="1:4" s="1" customFormat="1" ht="27.75" customHeight="1" x14ac:dyDescent="0.45">
      <c r="A5" s="27" t="s">
        <v>309</v>
      </c>
      <c r="B5" s="28">
        <f>COUNTIF('Student Roster'!P4:P103,"YES")</f>
        <v>0</v>
      </c>
      <c r="C5" s="29"/>
    </row>
    <row r="6" spans="1:4" s="1" customFormat="1" ht="27.75" customHeight="1" x14ac:dyDescent="0.45">
      <c r="A6" s="24" t="s">
        <v>310</v>
      </c>
      <c r="B6" s="25">
        <f>COUNTA('ISS Placements'!A4:A203)</f>
        <v>0</v>
      </c>
      <c r="C6" s="26"/>
    </row>
    <row r="7" spans="1:4" s="1" customFormat="1" ht="27.75" customHeight="1" x14ac:dyDescent="0.45">
      <c r="A7" s="27" t="s">
        <v>311</v>
      </c>
      <c r="B7" s="28">
        <f>COUNTIF('Student Roster'!N4:N103,"&gt;="&amp;3)</f>
        <v>0</v>
      </c>
      <c r="C7" s="29"/>
    </row>
    <row r="8" spans="1:4" s="1" customFormat="1" ht="7.5" customHeight="1" x14ac:dyDescent="0.45"/>
    <row r="9" spans="1:4" s="1" customFormat="1" ht="27.75" customHeight="1" x14ac:dyDescent="0.45">
      <c r="A9" s="67" t="s">
        <v>312</v>
      </c>
      <c r="B9" s="64"/>
      <c r="C9" s="64"/>
      <c r="D9" s="64"/>
    </row>
    <row r="10" spans="1:4" s="1" customFormat="1" ht="27.75" customHeight="1" x14ac:dyDescent="0.45">
      <c r="A10" s="24" t="s">
        <v>313</v>
      </c>
      <c r="B10" s="30">
        <f>COUNTIF('Re-Entry Checklist'!Y4:Y153,"✅ READY")</f>
        <v>0</v>
      </c>
      <c r="C10" s="26"/>
    </row>
    <row r="11" spans="1:4" s="1" customFormat="1" ht="27.75" customHeight="1" x14ac:dyDescent="0.45">
      <c r="A11" s="27" t="s">
        <v>314</v>
      </c>
      <c r="B11" s="31">
        <f>COUNTIFS('Re-Entry Checklist'!Y4:Y153,"❌ NOT READY",'Re-Entry Checklist'!C4:C153,"&lt;&gt;")</f>
        <v>0</v>
      </c>
      <c r="C11" s="29"/>
    </row>
    <row r="12" spans="1:4" s="1" customFormat="1" ht="27.75" customHeight="1" x14ac:dyDescent="0.45">
      <c r="A12" s="24" t="s">
        <v>315</v>
      </c>
      <c r="B12" s="30">
        <f ca="1">COUNTIFS('ISS Placements'!N4:N203,"&gt;="&amp;TODAY(),'ISS Placements'!N4:N203,"&lt;="&amp;TODAY()+2,'ISS Placements'!O4:O203,"")</f>
        <v>0</v>
      </c>
      <c r="C12" s="26"/>
    </row>
    <row r="13" spans="1:4" s="1" customFormat="1" ht="7.5" customHeight="1" x14ac:dyDescent="0.45"/>
    <row r="14" spans="1:4" s="1" customFormat="1" ht="27.75" customHeight="1" x14ac:dyDescent="0.45">
      <c r="A14" s="82" t="s">
        <v>316</v>
      </c>
      <c r="B14" s="64"/>
      <c r="C14" s="64"/>
      <c r="D14" s="64"/>
    </row>
    <row r="15" spans="1:4" s="1" customFormat="1" ht="27.75" customHeight="1" x14ac:dyDescent="0.45">
      <c r="A15" s="27" t="s">
        <v>317</v>
      </c>
      <c r="B15" s="32">
        <f>COUNTA('Daily Activity Log'!A4:A503)</f>
        <v>0</v>
      </c>
      <c r="C15" s="29"/>
    </row>
    <row r="16" spans="1:4" s="1" customFormat="1" ht="27.75" customHeight="1" x14ac:dyDescent="0.45">
      <c r="A16" s="24" t="s">
        <v>318</v>
      </c>
      <c r="B16" s="33">
        <f>COUNTIF('Daily Activity Log'!K4:K503,"Complete")</f>
        <v>0</v>
      </c>
      <c r="C16" s="26"/>
    </row>
    <row r="17" spans="1:4" s="1" customFormat="1" ht="27.75" customHeight="1" x14ac:dyDescent="0.45">
      <c r="A17" s="27" t="s">
        <v>319</v>
      </c>
      <c r="B17" s="32">
        <f>COUNTIF('Daily Activity Log'!K4:K503,"Refused")</f>
        <v>0</v>
      </c>
      <c r="C17" s="29"/>
    </row>
    <row r="18" spans="1:4" s="1" customFormat="1" ht="27.75" customHeight="1" x14ac:dyDescent="0.45">
      <c r="A18" s="24" t="s">
        <v>320</v>
      </c>
      <c r="B18" s="33">
        <f>COUNTIF('Daily Activity Log'!P4:P503,"Yes")</f>
        <v>0</v>
      </c>
      <c r="C18" s="26"/>
    </row>
    <row r="19" spans="1:4" s="1" customFormat="1" ht="7.5" customHeight="1" x14ac:dyDescent="0.45"/>
    <row r="20" spans="1:4" s="1" customFormat="1" ht="27.75" customHeight="1" x14ac:dyDescent="0.45">
      <c r="A20" s="79" t="s">
        <v>321</v>
      </c>
      <c r="B20" s="64"/>
      <c r="C20" s="64"/>
      <c r="D20" s="64"/>
    </row>
    <row r="21" spans="1:4" s="1" customFormat="1" ht="27.75" customHeight="1" x14ac:dyDescent="0.45">
      <c r="A21" s="27" t="s">
        <v>322</v>
      </c>
      <c r="B21" s="34">
        <f>COUNTIF('Student Roster'!I4:I103,"Yes")</f>
        <v>0</v>
      </c>
      <c r="C21" s="29"/>
    </row>
    <row r="22" spans="1:4" s="1" customFormat="1" ht="27.75" customHeight="1" x14ac:dyDescent="0.45">
      <c r="A22" s="24" t="s">
        <v>323</v>
      </c>
      <c r="B22" s="35">
        <f ca="1">COUNTIF('ISS Placements'!S4:S203,"⚠*")</f>
        <v>0</v>
      </c>
      <c r="C22" s="26"/>
    </row>
    <row r="23" spans="1:4" s="1" customFormat="1" ht="27.75" customHeight="1" x14ac:dyDescent="0.45">
      <c r="A23" s="27" t="s">
        <v>324</v>
      </c>
      <c r="B23" s="34">
        <f>COUNTIF('Student Roster'!T4:T103,"Tier 3*")</f>
        <v>0</v>
      </c>
      <c r="C23" s="29"/>
    </row>
    <row r="24" spans="1:4" s="1" customFormat="1" ht="7.5" customHeight="1" x14ac:dyDescent="0.45"/>
    <row r="25" spans="1:4" s="1" customFormat="1" ht="27.75" customHeight="1" x14ac:dyDescent="0.45">
      <c r="A25" s="80" t="s">
        <v>325</v>
      </c>
      <c r="B25" s="64"/>
      <c r="C25" s="64"/>
      <c r="D25" s="64"/>
    </row>
    <row r="26" spans="1:4" s="1" customFormat="1" ht="27.75" customHeight="1" x14ac:dyDescent="0.45">
      <c r="A26" s="24" t="s">
        <v>326</v>
      </c>
      <c r="B26" s="36">
        <f>COUNTA('Outcome Tracker'!A4:A153)</f>
        <v>0</v>
      </c>
      <c r="C26" s="26"/>
    </row>
    <row r="27" spans="1:4" s="1" customFormat="1" ht="27.75" customHeight="1" x14ac:dyDescent="0.45">
      <c r="A27" s="27" t="s">
        <v>327</v>
      </c>
      <c r="B27" s="37">
        <f>COUNTIF('Outcome Tracker'!L4:L153,"✅*")</f>
        <v>0</v>
      </c>
      <c r="C27" s="29"/>
    </row>
    <row r="28" spans="1:4" s="1" customFormat="1" ht="27.75" customHeight="1" x14ac:dyDescent="0.45">
      <c r="A28" s="24" t="s">
        <v>328</v>
      </c>
      <c r="B28" s="36">
        <f>COUNTIF('Outcome Tracker'!L4:L153,"❌*")</f>
        <v>0</v>
      </c>
      <c r="C28" s="26"/>
    </row>
    <row r="29" spans="1:4" s="1" customFormat="1" ht="27.75" customHeight="1" x14ac:dyDescent="0.45">
      <c r="A29" s="27" t="s">
        <v>329</v>
      </c>
      <c r="B29" s="37">
        <f>COUNTIF('Outcome Tracker'!M4:M153,"Yes")</f>
        <v>0</v>
      </c>
      <c r="C29" s="29"/>
    </row>
    <row r="30" spans="1:4" s="1" customFormat="1" ht="7.5" customHeight="1" x14ac:dyDescent="0.45"/>
    <row r="31" spans="1:4" s="1" customFormat="1" ht="33.75" customHeight="1" x14ac:dyDescent="0.45">
      <c r="A31" s="67" t="s">
        <v>330</v>
      </c>
      <c r="B31" s="64"/>
      <c r="C31" s="64"/>
      <c r="D31" s="64"/>
    </row>
  </sheetData>
  <mergeCells count="8">
    <mergeCell ref="A1:D1"/>
    <mergeCell ref="A9:D9"/>
    <mergeCell ref="A31:D31"/>
    <mergeCell ref="A3:D3"/>
    <mergeCell ref="A20:D20"/>
    <mergeCell ref="A25:D25"/>
    <mergeCell ref="A2:D2"/>
    <mergeCell ref="A14:D14"/>
  </mergeCells>
  <pageMargins left="0.75" right="0.75" top="1" bottom="1" header="0.511811023622047" footer="0.511811023622047"/>
  <pageSetup paperSize="9" orientation="portrait" useFirstPageNumber="1"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8650A"/>
    <pageSetUpPr fitToPage="1"/>
  </sheetPr>
  <dimension ref="A1:G55"/>
  <sheetViews>
    <sheetView zoomScaleNormal="100" workbookViewId="0"/>
  </sheetViews>
  <sheetFormatPr defaultColWidth="8.6640625" defaultRowHeight="14.25" x14ac:dyDescent="0.45"/>
  <cols>
    <col min="1" max="1" width="13" style="1" customWidth="1"/>
    <col min="2" max="2" width="16" style="1" customWidth="1"/>
    <col min="3" max="4" width="14" style="1" customWidth="1"/>
    <col min="5" max="5" width="16" style="1" customWidth="1"/>
    <col min="6" max="6" width="13" style="1" customWidth="1"/>
    <col min="7" max="7" width="20" style="1" customWidth="1"/>
  </cols>
  <sheetData>
    <row r="1" spans="1:7" s="1" customFormat="1" ht="43.5" customHeight="1" x14ac:dyDescent="0.45">
      <c r="A1" s="72" t="s">
        <v>331</v>
      </c>
      <c r="B1" s="64"/>
      <c r="C1" s="64"/>
      <c r="D1" s="64"/>
      <c r="E1" s="64"/>
      <c r="F1" s="64"/>
      <c r="G1" s="64"/>
    </row>
    <row r="2" spans="1:7" s="1" customFormat="1" ht="21.75" customHeight="1" x14ac:dyDescent="0.45">
      <c r="A2" s="83" t="str">
        <f ca="1">"Print this tab every Monday.  Week of: "&amp;TEXT(TODAY(),"MMMM D, YYYY")</f>
        <v>Print this tab every Monday.  Week of: July 14, 2026</v>
      </c>
      <c r="B2" s="64"/>
      <c r="C2" s="64"/>
      <c r="D2" s="64"/>
      <c r="E2" s="64"/>
      <c r="F2" s="64"/>
      <c r="G2" s="64"/>
    </row>
    <row r="3" spans="1:7" s="1" customFormat="1" ht="25.5" customHeight="1" x14ac:dyDescent="0.45">
      <c r="A3" s="67" t="s">
        <v>332</v>
      </c>
      <c r="B3" s="64"/>
      <c r="C3" s="64"/>
      <c r="D3" s="64"/>
      <c r="E3" s="64"/>
      <c r="F3" s="64"/>
      <c r="G3" s="64"/>
    </row>
    <row r="4" spans="1:7" s="1" customFormat="1" ht="30" customHeight="1" x14ac:dyDescent="0.45">
      <c r="A4" s="8" t="s">
        <v>33</v>
      </c>
      <c r="B4" s="8" t="s">
        <v>34</v>
      </c>
      <c r="C4" s="8" t="s">
        <v>35</v>
      </c>
      <c r="D4" s="8" t="s">
        <v>333</v>
      </c>
      <c r="E4" s="8" t="s">
        <v>334</v>
      </c>
      <c r="F4" s="8" t="s">
        <v>335</v>
      </c>
      <c r="G4" s="8" t="s">
        <v>336</v>
      </c>
    </row>
    <row r="5" spans="1:7" s="1" customFormat="1" ht="19.5" customHeight="1" x14ac:dyDescent="0.45">
      <c r="A5" s="38" t="str">
        <f ca="1">IFERROR(INDEX('ISS Placements'!B$4:B$203,MATCH(1,'ISS Placements'!W$4:W$203,0)),"")</f>
        <v/>
      </c>
      <c r="B5" s="38" t="str">
        <f ca="1">IF(A5="","",VLOOKUP(A5,'Student Roster'!A:C,2,FALSE))</f>
        <v/>
      </c>
      <c r="C5" s="38" t="str">
        <f ca="1">IF(A5="","",VLOOKUP(A5,'Student Roster'!A:C,3,FALSE))</f>
        <v/>
      </c>
      <c r="D5" s="39" t="str">
        <f ca="1">IF(A5="","",INDEX('ISS Placements'!N$4:N$203,MATCH(A5,'ISS Placements'!B$4:B$203,0)))</f>
        <v/>
      </c>
      <c r="E5" s="40" t="str">
        <f t="shared" ref="E5:E36" ca="1" si="0">IF(D5="","",D5-TODAY())</f>
        <v/>
      </c>
      <c r="F5" s="38" t="str">
        <f ca="1">IF(A5="","",IFERROR(INDEX('Re-Entry Checklist'!W$4:W$153,MATCH(A5,'Re-Entry Checklist'!C$4:C$153,0)),0))</f>
        <v/>
      </c>
      <c r="G5" s="38" t="str">
        <f t="shared" ref="G5:G36" ca="1" si="1">IF(A5="","",IF(F5&gt;=8,"✅ READY","❌ NOT READY"))</f>
        <v/>
      </c>
    </row>
    <row r="6" spans="1:7" s="1" customFormat="1" ht="19.5" customHeight="1" x14ac:dyDescent="0.45">
      <c r="A6" s="41" t="str">
        <f ca="1">IFERROR(INDEX('ISS Placements'!B$4:B$203,MATCH(2,'ISS Placements'!W$4:W$203,0)),"")</f>
        <v/>
      </c>
      <c r="B6" s="41" t="str">
        <f ca="1">IF(A6="","",VLOOKUP(A6,'Student Roster'!A:C,2,FALSE))</f>
        <v/>
      </c>
      <c r="C6" s="41" t="str">
        <f ca="1">IF(A6="","",VLOOKUP(A6,'Student Roster'!A:C,3,FALSE))</f>
        <v/>
      </c>
      <c r="D6" s="42" t="str">
        <f ca="1">IF(A6="","",INDEX('ISS Placements'!N$4:N$203,MATCH(A6,'ISS Placements'!B$4:B$203,0)))</f>
        <v/>
      </c>
      <c r="E6" s="43" t="str">
        <f t="shared" ca="1" si="0"/>
        <v/>
      </c>
      <c r="F6" s="41" t="str">
        <f ca="1">IF(A6="","",IFERROR(INDEX('Re-Entry Checklist'!W$4:W$153,MATCH(A6,'Re-Entry Checklist'!C$4:C$153,0)),0))</f>
        <v/>
      </c>
      <c r="G6" s="41" t="str">
        <f t="shared" ca="1" si="1"/>
        <v/>
      </c>
    </row>
    <row r="7" spans="1:7" s="1" customFormat="1" ht="19.5" customHeight="1" x14ac:dyDescent="0.45">
      <c r="A7" s="38" t="str">
        <f ca="1">IFERROR(INDEX('ISS Placements'!B$4:B$203,MATCH(3,'ISS Placements'!W$4:W$203,0)),"")</f>
        <v/>
      </c>
      <c r="B7" s="38" t="str">
        <f ca="1">IF(A7="","",VLOOKUP(A7,'Student Roster'!A:C,2,FALSE))</f>
        <v/>
      </c>
      <c r="C7" s="38" t="str">
        <f ca="1">IF(A7="","",VLOOKUP(A7,'Student Roster'!A:C,3,FALSE))</f>
        <v/>
      </c>
      <c r="D7" s="39" t="str">
        <f ca="1">IF(A7="","",INDEX('ISS Placements'!N$4:N$203,MATCH(A7,'ISS Placements'!B$4:B$203,0)))</f>
        <v/>
      </c>
      <c r="E7" s="40" t="str">
        <f t="shared" ca="1" si="0"/>
        <v/>
      </c>
      <c r="F7" s="38" t="str">
        <f ca="1">IF(A7="","",IFERROR(INDEX('Re-Entry Checklist'!W$4:W$153,MATCH(A7,'Re-Entry Checklist'!C$4:C$153,0)),0))</f>
        <v/>
      </c>
      <c r="G7" s="38" t="str">
        <f t="shared" ca="1" si="1"/>
        <v/>
      </c>
    </row>
    <row r="8" spans="1:7" s="1" customFormat="1" ht="19.5" customHeight="1" x14ac:dyDescent="0.45">
      <c r="A8" s="41" t="str">
        <f ca="1">IFERROR(INDEX('ISS Placements'!B$4:B$203,MATCH(4,'ISS Placements'!W$4:W$203,0)),"")</f>
        <v/>
      </c>
      <c r="B8" s="41" t="str">
        <f ca="1">IF(A8="","",VLOOKUP(A8,'Student Roster'!A:C,2,FALSE))</f>
        <v/>
      </c>
      <c r="C8" s="41" t="str">
        <f ca="1">IF(A8="","",VLOOKUP(A8,'Student Roster'!A:C,3,FALSE))</f>
        <v/>
      </c>
      <c r="D8" s="42" t="str">
        <f ca="1">IF(A8="","",INDEX('ISS Placements'!N$4:N$203,MATCH(A8,'ISS Placements'!B$4:B$203,0)))</f>
        <v/>
      </c>
      <c r="E8" s="43" t="str">
        <f t="shared" ca="1" si="0"/>
        <v/>
      </c>
      <c r="F8" s="41" t="str">
        <f ca="1">IF(A8="","",IFERROR(INDEX('Re-Entry Checklist'!W$4:W$153,MATCH(A8,'Re-Entry Checklist'!C$4:C$153,0)),0))</f>
        <v/>
      </c>
      <c r="G8" s="41" t="str">
        <f t="shared" ca="1" si="1"/>
        <v/>
      </c>
    </row>
    <row r="9" spans="1:7" s="1" customFormat="1" ht="19.5" customHeight="1" x14ac:dyDescent="0.45">
      <c r="A9" s="38" t="str">
        <f ca="1">IFERROR(INDEX('ISS Placements'!B$4:B$203,MATCH(5,'ISS Placements'!W$4:W$203,0)),"")</f>
        <v/>
      </c>
      <c r="B9" s="38" t="str">
        <f ca="1">IF(A9="","",VLOOKUP(A9,'Student Roster'!A:C,2,FALSE))</f>
        <v/>
      </c>
      <c r="C9" s="38" t="str">
        <f ca="1">IF(A9="","",VLOOKUP(A9,'Student Roster'!A:C,3,FALSE))</f>
        <v/>
      </c>
      <c r="D9" s="39" t="str">
        <f ca="1">IF(A9="","",INDEX('ISS Placements'!N$4:N$203,MATCH(A9,'ISS Placements'!B$4:B$203,0)))</f>
        <v/>
      </c>
      <c r="E9" s="40" t="str">
        <f t="shared" ca="1" si="0"/>
        <v/>
      </c>
      <c r="F9" s="38" t="str">
        <f ca="1">IF(A9="","",IFERROR(INDEX('Re-Entry Checklist'!W$4:W$153,MATCH(A9,'Re-Entry Checklist'!C$4:C$153,0)),0))</f>
        <v/>
      </c>
      <c r="G9" s="38" t="str">
        <f t="shared" ca="1" si="1"/>
        <v/>
      </c>
    </row>
    <row r="10" spans="1:7" s="1" customFormat="1" ht="19.5" customHeight="1" x14ac:dyDescent="0.45">
      <c r="A10" s="41" t="str">
        <f ca="1">IFERROR(INDEX('ISS Placements'!B$4:B$203,MATCH(6,'ISS Placements'!W$4:W$203,0)),"")</f>
        <v/>
      </c>
      <c r="B10" s="41" t="str">
        <f ca="1">IF(A10="","",VLOOKUP(A10,'Student Roster'!A:C,2,FALSE))</f>
        <v/>
      </c>
      <c r="C10" s="41" t="str">
        <f ca="1">IF(A10="","",VLOOKUP(A10,'Student Roster'!A:C,3,FALSE))</f>
        <v/>
      </c>
      <c r="D10" s="42" t="str">
        <f ca="1">IF(A10="","",INDEX('ISS Placements'!N$4:N$203,MATCH(A10,'ISS Placements'!B$4:B$203,0)))</f>
        <v/>
      </c>
      <c r="E10" s="43" t="str">
        <f t="shared" ca="1" si="0"/>
        <v/>
      </c>
      <c r="F10" s="41" t="str">
        <f ca="1">IF(A10="","",IFERROR(INDEX('Re-Entry Checklist'!W$4:W$153,MATCH(A10,'Re-Entry Checklist'!C$4:C$153,0)),0))</f>
        <v/>
      </c>
      <c r="G10" s="41" t="str">
        <f t="shared" ca="1" si="1"/>
        <v/>
      </c>
    </row>
    <row r="11" spans="1:7" s="1" customFormat="1" ht="19.5" customHeight="1" x14ac:dyDescent="0.45">
      <c r="A11" s="38" t="str">
        <f ca="1">IFERROR(INDEX('ISS Placements'!B$4:B$203,MATCH(7,'ISS Placements'!W$4:W$203,0)),"")</f>
        <v/>
      </c>
      <c r="B11" s="38" t="str">
        <f ca="1">IF(A11="","",VLOOKUP(A11,'Student Roster'!A:C,2,FALSE))</f>
        <v/>
      </c>
      <c r="C11" s="38" t="str">
        <f ca="1">IF(A11="","",VLOOKUP(A11,'Student Roster'!A:C,3,FALSE))</f>
        <v/>
      </c>
      <c r="D11" s="39" t="str">
        <f ca="1">IF(A11="","",INDEX('ISS Placements'!N$4:N$203,MATCH(A11,'ISS Placements'!B$4:B$203,0)))</f>
        <v/>
      </c>
      <c r="E11" s="40" t="str">
        <f t="shared" ca="1" si="0"/>
        <v/>
      </c>
      <c r="F11" s="38" t="str">
        <f ca="1">IF(A11="","",IFERROR(INDEX('Re-Entry Checklist'!W$4:W$153,MATCH(A11,'Re-Entry Checklist'!C$4:C$153,0)),0))</f>
        <v/>
      </c>
      <c r="G11" s="38" t="str">
        <f t="shared" ca="1" si="1"/>
        <v/>
      </c>
    </row>
    <row r="12" spans="1:7" s="1" customFormat="1" ht="19.5" customHeight="1" x14ac:dyDescent="0.45">
      <c r="A12" s="41" t="str">
        <f ca="1">IFERROR(INDEX('ISS Placements'!B$4:B$203,MATCH(8,'ISS Placements'!W$4:W$203,0)),"")</f>
        <v/>
      </c>
      <c r="B12" s="41" t="str">
        <f ca="1">IF(A12="","",VLOOKUP(A12,'Student Roster'!A:C,2,FALSE))</f>
        <v/>
      </c>
      <c r="C12" s="41" t="str">
        <f ca="1">IF(A12="","",VLOOKUP(A12,'Student Roster'!A:C,3,FALSE))</f>
        <v/>
      </c>
      <c r="D12" s="42" t="str">
        <f ca="1">IF(A12="","",INDEX('ISS Placements'!N$4:N$203,MATCH(A12,'ISS Placements'!B$4:B$203,0)))</f>
        <v/>
      </c>
      <c r="E12" s="43" t="str">
        <f t="shared" ca="1" si="0"/>
        <v/>
      </c>
      <c r="F12" s="41" t="str">
        <f ca="1">IF(A12="","",IFERROR(INDEX('Re-Entry Checklist'!W$4:W$153,MATCH(A12,'Re-Entry Checklist'!C$4:C$153,0)),0))</f>
        <v/>
      </c>
      <c r="G12" s="41" t="str">
        <f t="shared" ca="1" si="1"/>
        <v/>
      </c>
    </row>
    <row r="13" spans="1:7" s="1" customFormat="1" ht="19.5" customHeight="1" x14ac:dyDescent="0.45">
      <c r="A13" s="38" t="str">
        <f ca="1">IFERROR(INDEX('ISS Placements'!B$4:B$203,MATCH(9,'ISS Placements'!W$4:W$203,0)),"")</f>
        <v/>
      </c>
      <c r="B13" s="38" t="str">
        <f ca="1">IF(A13="","",VLOOKUP(A13,'Student Roster'!A:C,2,FALSE))</f>
        <v/>
      </c>
      <c r="C13" s="38" t="str">
        <f ca="1">IF(A13="","",VLOOKUP(A13,'Student Roster'!A:C,3,FALSE))</f>
        <v/>
      </c>
      <c r="D13" s="39" t="str">
        <f ca="1">IF(A13="","",INDEX('ISS Placements'!N$4:N$203,MATCH(A13,'ISS Placements'!B$4:B$203,0)))</f>
        <v/>
      </c>
      <c r="E13" s="40" t="str">
        <f t="shared" ca="1" si="0"/>
        <v/>
      </c>
      <c r="F13" s="38" t="str">
        <f ca="1">IF(A13="","",IFERROR(INDEX('Re-Entry Checklist'!W$4:W$153,MATCH(A13,'Re-Entry Checklist'!C$4:C$153,0)),0))</f>
        <v/>
      </c>
      <c r="G13" s="38" t="str">
        <f t="shared" ca="1" si="1"/>
        <v/>
      </c>
    </row>
    <row r="14" spans="1:7" s="1" customFormat="1" ht="19.5" customHeight="1" x14ac:dyDescent="0.45">
      <c r="A14" s="41" t="str">
        <f ca="1">IFERROR(INDEX('ISS Placements'!B$4:B$203,MATCH(10,'ISS Placements'!W$4:W$203,0)),"")</f>
        <v/>
      </c>
      <c r="B14" s="41" t="str">
        <f ca="1">IF(A14="","",VLOOKUP(A14,'Student Roster'!A:C,2,FALSE))</f>
        <v/>
      </c>
      <c r="C14" s="41" t="str">
        <f ca="1">IF(A14="","",VLOOKUP(A14,'Student Roster'!A:C,3,FALSE))</f>
        <v/>
      </c>
      <c r="D14" s="42" t="str">
        <f ca="1">IF(A14="","",INDEX('ISS Placements'!N$4:N$203,MATCH(A14,'ISS Placements'!B$4:B$203,0)))</f>
        <v/>
      </c>
      <c r="E14" s="43" t="str">
        <f t="shared" ca="1" si="0"/>
        <v/>
      </c>
      <c r="F14" s="41" t="str">
        <f ca="1">IF(A14="","",IFERROR(INDEX('Re-Entry Checklist'!W$4:W$153,MATCH(A14,'Re-Entry Checklist'!C$4:C$153,0)),0))</f>
        <v/>
      </c>
      <c r="G14" s="41" t="str">
        <f t="shared" ca="1" si="1"/>
        <v/>
      </c>
    </row>
    <row r="15" spans="1:7" s="1" customFormat="1" ht="19.5" customHeight="1" x14ac:dyDescent="0.45">
      <c r="A15" s="38" t="str">
        <f ca="1">IFERROR(INDEX('ISS Placements'!B$4:B$203,MATCH(11,'ISS Placements'!W$4:W$203,0)),"")</f>
        <v/>
      </c>
      <c r="B15" s="38" t="str">
        <f ca="1">IF(A15="","",VLOOKUP(A15,'Student Roster'!A:C,2,FALSE))</f>
        <v/>
      </c>
      <c r="C15" s="38" t="str">
        <f ca="1">IF(A15="","",VLOOKUP(A15,'Student Roster'!A:C,3,FALSE))</f>
        <v/>
      </c>
      <c r="D15" s="39" t="str">
        <f ca="1">IF(A15="","",INDEX('ISS Placements'!N$4:N$203,MATCH(A15,'ISS Placements'!B$4:B$203,0)))</f>
        <v/>
      </c>
      <c r="E15" s="40" t="str">
        <f t="shared" ca="1" si="0"/>
        <v/>
      </c>
      <c r="F15" s="38" t="str">
        <f ca="1">IF(A15="","",IFERROR(INDEX('Re-Entry Checklist'!W$4:W$153,MATCH(A15,'Re-Entry Checklist'!C$4:C$153,0)),0))</f>
        <v/>
      </c>
      <c r="G15" s="38" t="str">
        <f t="shared" ca="1" si="1"/>
        <v/>
      </c>
    </row>
    <row r="16" spans="1:7" s="1" customFormat="1" ht="19.5" customHeight="1" x14ac:dyDescent="0.45">
      <c r="A16" s="41" t="str">
        <f ca="1">IFERROR(INDEX('ISS Placements'!B$4:B$203,MATCH(12,'ISS Placements'!W$4:W$203,0)),"")</f>
        <v/>
      </c>
      <c r="B16" s="41" t="str">
        <f ca="1">IF(A16="","",VLOOKUP(A16,'Student Roster'!A:C,2,FALSE))</f>
        <v/>
      </c>
      <c r="C16" s="41" t="str">
        <f ca="1">IF(A16="","",VLOOKUP(A16,'Student Roster'!A:C,3,FALSE))</f>
        <v/>
      </c>
      <c r="D16" s="42" t="str">
        <f ca="1">IF(A16="","",INDEX('ISS Placements'!N$4:N$203,MATCH(A16,'ISS Placements'!B$4:B$203,0)))</f>
        <v/>
      </c>
      <c r="E16" s="43" t="str">
        <f t="shared" ca="1" si="0"/>
        <v/>
      </c>
      <c r="F16" s="41" t="str">
        <f ca="1">IF(A16="","",IFERROR(INDEX('Re-Entry Checklist'!W$4:W$153,MATCH(A16,'Re-Entry Checklist'!C$4:C$153,0)),0))</f>
        <v/>
      </c>
      <c r="G16" s="41" t="str">
        <f t="shared" ca="1" si="1"/>
        <v/>
      </c>
    </row>
    <row r="17" spans="1:7" s="1" customFormat="1" ht="19.5" customHeight="1" x14ac:dyDescent="0.45">
      <c r="A17" s="38" t="str">
        <f ca="1">IFERROR(INDEX('ISS Placements'!B$4:B$203,MATCH(13,'ISS Placements'!W$4:W$203,0)),"")</f>
        <v/>
      </c>
      <c r="B17" s="38" t="str">
        <f ca="1">IF(A17="","",VLOOKUP(A17,'Student Roster'!A:C,2,FALSE))</f>
        <v/>
      </c>
      <c r="C17" s="38" t="str">
        <f ca="1">IF(A17="","",VLOOKUP(A17,'Student Roster'!A:C,3,FALSE))</f>
        <v/>
      </c>
      <c r="D17" s="39" t="str">
        <f ca="1">IF(A17="","",INDEX('ISS Placements'!N$4:N$203,MATCH(A17,'ISS Placements'!B$4:B$203,0)))</f>
        <v/>
      </c>
      <c r="E17" s="40" t="str">
        <f t="shared" ca="1" si="0"/>
        <v/>
      </c>
      <c r="F17" s="38" t="str">
        <f ca="1">IF(A17="","",IFERROR(INDEX('Re-Entry Checklist'!W$4:W$153,MATCH(A17,'Re-Entry Checklist'!C$4:C$153,0)),0))</f>
        <v/>
      </c>
      <c r="G17" s="38" t="str">
        <f t="shared" ca="1" si="1"/>
        <v/>
      </c>
    </row>
    <row r="18" spans="1:7" s="1" customFormat="1" ht="19.5" customHeight="1" x14ac:dyDescent="0.45">
      <c r="A18" s="41" t="str">
        <f ca="1">IFERROR(INDEX('ISS Placements'!B$4:B$203,MATCH(14,'ISS Placements'!W$4:W$203,0)),"")</f>
        <v/>
      </c>
      <c r="B18" s="41" t="str">
        <f ca="1">IF(A18="","",VLOOKUP(A18,'Student Roster'!A:C,2,FALSE))</f>
        <v/>
      </c>
      <c r="C18" s="41" t="str">
        <f ca="1">IF(A18="","",VLOOKUP(A18,'Student Roster'!A:C,3,FALSE))</f>
        <v/>
      </c>
      <c r="D18" s="42" t="str">
        <f ca="1">IF(A18="","",INDEX('ISS Placements'!N$4:N$203,MATCH(A18,'ISS Placements'!B$4:B$203,0)))</f>
        <v/>
      </c>
      <c r="E18" s="43" t="str">
        <f t="shared" ca="1" si="0"/>
        <v/>
      </c>
      <c r="F18" s="41" t="str">
        <f ca="1">IF(A18="","",IFERROR(INDEX('Re-Entry Checklist'!W$4:W$153,MATCH(A18,'Re-Entry Checklist'!C$4:C$153,0)),0))</f>
        <v/>
      </c>
      <c r="G18" s="41" t="str">
        <f t="shared" ca="1" si="1"/>
        <v/>
      </c>
    </row>
    <row r="19" spans="1:7" s="1" customFormat="1" ht="19.5" customHeight="1" x14ac:dyDescent="0.45">
      <c r="A19" s="38" t="str">
        <f ca="1">IFERROR(INDEX('ISS Placements'!B$4:B$203,MATCH(15,'ISS Placements'!W$4:W$203,0)),"")</f>
        <v/>
      </c>
      <c r="B19" s="38" t="str">
        <f ca="1">IF(A19="","",VLOOKUP(A19,'Student Roster'!A:C,2,FALSE))</f>
        <v/>
      </c>
      <c r="C19" s="38" t="str">
        <f ca="1">IF(A19="","",VLOOKUP(A19,'Student Roster'!A:C,3,FALSE))</f>
        <v/>
      </c>
      <c r="D19" s="39" t="str">
        <f ca="1">IF(A19="","",INDEX('ISS Placements'!N$4:N$203,MATCH(A19,'ISS Placements'!B$4:B$203,0)))</f>
        <v/>
      </c>
      <c r="E19" s="40" t="str">
        <f t="shared" ca="1" si="0"/>
        <v/>
      </c>
      <c r="F19" s="38" t="str">
        <f ca="1">IF(A19="","",IFERROR(INDEX('Re-Entry Checklist'!W$4:W$153,MATCH(A19,'Re-Entry Checklist'!C$4:C$153,0)),0))</f>
        <v/>
      </c>
      <c r="G19" s="38" t="str">
        <f t="shared" ca="1" si="1"/>
        <v/>
      </c>
    </row>
    <row r="20" spans="1:7" s="1" customFormat="1" ht="19.5" customHeight="1" x14ac:dyDescent="0.45">
      <c r="A20" s="41" t="str">
        <f ca="1">IFERROR(INDEX('ISS Placements'!B$4:B$203,MATCH(16,'ISS Placements'!W$4:W$203,0)),"")</f>
        <v/>
      </c>
      <c r="B20" s="41" t="str">
        <f ca="1">IF(A20="","",VLOOKUP(A20,'Student Roster'!A:C,2,FALSE))</f>
        <v/>
      </c>
      <c r="C20" s="41" t="str">
        <f ca="1">IF(A20="","",VLOOKUP(A20,'Student Roster'!A:C,3,FALSE))</f>
        <v/>
      </c>
      <c r="D20" s="42" t="str">
        <f ca="1">IF(A20="","",INDEX('ISS Placements'!N$4:N$203,MATCH(A20,'ISS Placements'!B$4:B$203,0)))</f>
        <v/>
      </c>
      <c r="E20" s="43" t="str">
        <f t="shared" ca="1" si="0"/>
        <v/>
      </c>
      <c r="F20" s="41" t="str">
        <f ca="1">IF(A20="","",IFERROR(INDEX('Re-Entry Checklist'!W$4:W$153,MATCH(A20,'Re-Entry Checklist'!C$4:C$153,0)),0))</f>
        <v/>
      </c>
      <c r="G20" s="41" t="str">
        <f t="shared" ca="1" si="1"/>
        <v/>
      </c>
    </row>
    <row r="21" spans="1:7" s="1" customFormat="1" ht="19.5" customHeight="1" x14ac:dyDescent="0.45">
      <c r="A21" s="38" t="str">
        <f ca="1">IFERROR(INDEX('ISS Placements'!B$4:B$203,MATCH(17,'ISS Placements'!W$4:W$203,0)),"")</f>
        <v/>
      </c>
      <c r="B21" s="38" t="str">
        <f ca="1">IF(A21="","",VLOOKUP(A21,'Student Roster'!A:C,2,FALSE))</f>
        <v/>
      </c>
      <c r="C21" s="38" t="str">
        <f ca="1">IF(A21="","",VLOOKUP(A21,'Student Roster'!A:C,3,FALSE))</f>
        <v/>
      </c>
      <c r="D21" s="39" t="str">
        <f ca="1">IF(A21="","",INDEX('ISS Placements'!N$4:N$203,MATCH(A21,'ISS Placements'!B$4:B$203,0)))</f>
        <v/>
      </c>
      <c r="E21" s="40" t="str">
        <f t="shared" ca="1" si="0"/>
        <v/>
      </c>
      <c r="F21" s="38" t="str">
        <f ca="1">IF(A21="","",IFERROR(INDEX('Re-Entry Checklist'!W$4:W$153,MATCH(A21,'Re-Entry Checklist'!C$4:C$153,0)),0))</f>
        <v/>
      </c>
      <c r="G21" s="38" t="str">
        <f t="shared" ca="1" si="1"/>
        <v/>
      </c>
    </row>
    <row r="22" spans="1:7" s="1" customFormat="1" ht="19.5" customHeight="1" x14ac:dyDescent="0.45">
      <c r="A22" s="41" t="str">
        <f ca="1">IFERROR(INDEX('ISS Placements'!B$4:B$203,MATCH(18,'ISS Placements'!W$4:W$203,0)),"")</f>
        <v/>
      </c>
      <c r="B22" s="41" t="str">
        <f ca="1">IF(A22="","",VLOOKUP(A22,'Student Roster'!A:C,2,FALSE))</f>
        <v/>
      </c>
      <c r="C22" s="41" t="str">
        <f ca="1">IF(A22="","",VLOOKUP(A22,'Student Roster'!A:C,3,FALSE))</f>
        <v/>
      </c>
      <c r="D22" s="42" t="str">
        <f ca="1">IF(A22="","",INDEX('ISS Placements'!N$4:N$203,MATCH(A22,'ISS Placements'!B$4:B$203,0)))</f>
        <v/>
      </c>
      <c r="E22" s="43" t="str">
        <f t="shared" ca="1" si="0"/>
        <v/>
      </c>
      <c r="F22" s="41" t="str">
        <f ca="1">IF(A22="","",IFERROR(INDEX('Re-Entry Checklist'!W$4:W$153,MATCH(A22,'Re-Entry Checklist'!C$4:C$153,0)),0))</f>
        <v/>
      </c>
      <c r="G22" s="41" t="str">
        <f t="shared" ca="1" si="1"/>
        <v/>
      </c>
    </row>
    <row r="23" spans="1:7" s="1" customFormat="1" ht="19.5" customHeight="1" x14ac:dyDescent="0.45">
      <c r="A23" s="38" t="str">
        <f ca="1">IFERROR(INDEX('ISS Placements'!B$4:B$203,MATCH(19,'ISS Placements'!W$4:W$203,0)),"")</f>
        <v/>
      </c>
      <c r="B23" s="38" t="str">
        <f ca="1">IF(A23="","",VLOOKUP(A23,'Student Roster'!A:C,2,FALSE))</f>
        <v/>
      </c>
      <c r="C23" s="38" t="str">
        <f ca="1">IF(A23="","",VLOOKUP(A23,'Student Roster'!A:C,3,FALSE))</f>
        <v/>
      </c>
      <c r="D23" s="39" t="str">
        <f ca="1">IF(A23="","",INDEX('ISS Placements'!N$4:N$203,MATCH(A23,'ISS Placements'!B$4:B$203,0)))</f>
        <v/>
      </c>
      <c r="E23" s="40" t="str">
        <f t="shared" ca="1" si="0"/>
        <v/>
      </c>
      <c r="F23" s="38" t="str">
        <f ca="1">IF(A23="","",IFERROR(INDEX('Re-Entry Checklist'!W$4:W$153,MATCH(A23,'Re-Entry Checklist'!C$4:C$153,0)),0))</f>
        <v/>
      </c>
      <c r="G23" s="38" t="str">
        <f t="shared" ca="1" si="1"/>
        <v/>
      </c>
    </row>
    <row r="24" spans="1:7" s="1" customFormat="1" ht="19.5" customHeight="1" x14ac:dyDescent="0.45">
      <c r="A24" s="41" t="str">
        <f ca="1">IFERROR(INDEX('ISS Placements'!B$4:B$203,MATCH(20,'ISS Placements'!W$4:W$203,0)),"")</f>
        <v/>
      </c>
      <c r="B24" s="41" t="str">
        <f ca="1">IF(A24="","",VLOOKUP(A24,'Student Roster'!A:C,2,FALSE))</f>
        <v/>
      </c>
      <c r="C24" s="41" t="str">
        <f ca="1">IF(A24="","",VLOOKUP(A24,'Student Roster'!A:C,3,FALSE))</f>
        <v/>
      </c>
      <c r="D24" s="42" t="str">
        <f ca="1">IF(A24="","",INDEX('ISS Placements'!N$4:N$203,MATCH(A24,'ISS Placements'!B$4:B$203,0)))</f>
        <v/>
      </c>
      <c r="E24" s="43" t="str">
        <f t="shared" ca="1" si="0"/>
        <v/>
      </c>
      <c r="F24" s="41" t="str">
        <f ca="1">IF(A24="","",IFERROR(INDEX('Re-Entry Checklist'!W$4:W$153,MATCH(A24,'Re-Entry Checklist'!C$4:C$153,0)),0))</f>
        <v/>
      </c>
      <c r="G24" s="41" t="str">
        <f t="shared" ca="1" si="1"/>
        <v/>
      </c>
    </row>
    <row r="25" spans="1:7" s="1" customFormat="1" ht="19.5" customHeight="1" x14ac:dyDescent="0.45">
      <c r="A25" s="38" t="str">
        <f ca="1">IFERROR(INDEX('ISS Placements'!B$4:B$203,MATCH(21,'ISS Placements'!W$4:W$203,0)),"")</f>
        <v/>
      </c>
      <c r="B25" s="38" t="str">
        <f ca="1">IF(A25="","",VLOOKUP(A25,'Student Roster'!A:C,2,FALSE))</f>
        <v/>
      </c>
      <c r="C25" s="38" t="str">
        <f ca="1">IF(A25="","",VLOOKUP(A25,'Student Roster'!A:C,3,FALSE))</f>
        <v/>
      </c>
      <c r="D25" s="39" t="str">
        <f ca="1">IF(A25="","",INDEX('ISS Placements'!N$4:N$203,MATCH(A25,'ISS Placements'!B$4:B$203,0)))</f>
        <v/>
      </c>
      <c r="E25" s="40" t="str">
        <f t="shared" ca="1" si="0"/>
        <v/>
      </c>
      <c r="F25" s="38" t="str">
        <f ca="1">IF(A25="","",IFERROR(INDEX('Re-Entry Checklist'!W$4:W$153,MATCH(A25,'Re-Entry Checklist'!C$4:C$153,0)),0))</f>
        <v/>
      </c>
      <c r="G25" s="38" t="str">
        <f t="shared" ca="1" si="1"/>
        <v/>
      </c>
    </row>
    <row r="26" spans="1:7" s="1" customFormat="1" ht="19.5" customHeight="1" x14ac:dyDescent="0.45">
      <c r="A26" s="41" t="str">
        <f ca="1">IFERROR(INDEX('ISS Placements'!B$4:B$203,MATCH(22,'ISS Placements'!W$4:W$203,0)),"")</f>
        <v/>
      </c>
      <c r="B26" s="41" t="str">
        <f ca="1">IF(A26="","",VLOOKUP(A26,'Student Roster'!A:C,2,FALSE))</f>
        <v/>
      </c>
      <c r="C26" s="41" t="str">
        <f ca="1">IF(A26="","",VLOOKUP(A26,'Student Roster'!A:C,3,FALSE))</f>
        <v/>
      </c>
      <c r="D26" s="42" t="str">
        <f ca="1">IF(A26="","",INDEX('ISS Placements'!N$4:N$203,MATCH(A26,'ISS Placements'!B$4:B$203,0)))</f>
        <v/>
      </c>
      <c r="E26" s="43" t="str">
        <f t="shared" ca="1" si="0"/>
        <v/>
      </c>
      <c r="F26" s="41" t="str">
        <f ca="1">IF(A26="","",IFERROR(INDEX('Re-Entry Checklist'!W$4:W$153,MATCH(A26,'Re-Entry Checklist'!C$4:C$153,0)),0))</f>
        <v/>
      </c>
      <c r="G26" s="41" t="str">
        <f t="shared" ca="1" si="1"/>
        <v/>
      </c>
    </row>
    <row r="27" spans="1:7" s="1" customFormat="1" ht="19.5" customHeight="1" x14ac:dyDescent="0.45">
      <c r="A27" s="38" t="str">
        <f ca="1">IFERROR(INDEX('ISS Placements'!B$4:B$203,MATCH(23,'ISS Placements'!W$4:W$203,0)),"")</f>
        <v/>
      </c>
      <c r="B27" s="38" t="str">
        <f ca="1">IF(A27="","",VLOOKUP(A27,'Student Roster'!A:C,2,FALSE))</f>
        <v/>
      </c>
      <c r="C27" s="38" t="str">
        <f ca="1">IF(A27="","",VLOOKUP(A27,'Student Roster'!A:C,3,FALSE))</f>
        <v/>
      </c>
      <c r="D27" s="39" t="str">
        <f ca="1">IF(A27="","",INDEX('ISS Placements'!N$4:N$203,MATCH(A27,'ISS Placements'!B$4:B$203,0)))</f>
        <v/>
      </c>
      <c r="E27" s="40" t="str">
        <f t="shared" ca="1" si="0"/>
        <v/>
      </c>
      <c r="F27" s="38" t="str">
        <f ca="1">IF(A27="","",IFERROR(INDEX('Re-Entry Checklist'!W$4:W$153,MATCH(A27,'Re-Entry Checklist'!C$4:C$153,0)),0))</f>
        <v/>
      </c>
      <c r="G27" s="38" t="str">
        <f t="shared" ca="1" si="1"/>
        <v/>
      </c>
    </row>
    <row r="28" spans="1:7" s="1" customFormat="1" ht="19.5" customHeight="1" x14ac:dyDescent="0.45">
      <c r="A28" s="41" t="str">
        <f ca="1">IFERROR(INDEX('ISS Placements'!B$4:B$203,MATCH(24,'ISS Placements'!W$4:W$203,0)),"")</f>
        <v/>
      </c>
      <c r="B28" s="41" t="str">
        <f ca="1">IF(A28="","",VLOOKUP(A28,'Student Roster'!A:C,2,FALSE))</f>
        <v/>
      </c>
      <c r="C28" s="41" t="str">
        <f ca="1">IF(A28="","",VLOOKUP(A28,'Student Roster'!A:C,3,FALSE))</f>
        <v/>
      </c>
      <c r="D28" s="42" t="str">
        <f ca="1">IF(A28="","",INDEX('ISS Placements'!N$4:N$203,MATCH(A28,'ISS Placements'!B$4:B$203,0)))</f>
        <v/>
      </c>
      <c r="E28" s="43" t="str">
        <f t="shared" ca="1" si="0"/>
        <v/>
      </c>
      <c r="F28" s="41" t="str">
        <f ca="1">IF(A28="","",IFERROR(INDEX('Re-Entry Checklist'!W$4:W$153,MATCH(A28,'Re-Entry Checklist'!C$4:C$153,0)),0))</f>
        <v/>
      </c>
      <c r="G28" s="41" t="str">
        <f t="shared" ca="1" si="1"/>
        <v/>
      </c>
    </row>
    <row r="29" spans="1:7" s="1" customFormat="1" ht="19.5" customHeight="1" x14ac:dyDescent="0.45">
      <c r="A29" s="38" t="str">
        <f ca="1">IFERROR(INDEX('ISS Placements'!B$4:B$203,MATCH(25,'ISS Placements'!W$4:W$203,0)),"")</f>
        <v/>
      </c>
      <c r="B29" s="38" t="str">
        <f ca="1">IF(A29="","",VLOOKUP(A29,'Student Roster'!A:C,2,FALSE))</f>
        <v/>
      </c>
      <c r="C29" s="38" t="str">
        <f ca="1">IF(A29="","",VLOOKUP(A29,'Student Roster'!A:C,3,FALSE))</f>
        <v/>
      </c>
      <c r="D29" s="39" t="str">
        <f ca="1">IF(A29="","",INDEX('ISS Placements'!N$4:N$203,MATCH(A29,'ISS Placements'!B$4:B$203,0)))</f>
        <v/>
      </c>
      <c r="E29" s="40" t="str">
        <f t="shared" ca="1" si="0"/>
        <v/>
      </c>
      <c r="F29" s="38" t="str">
        <f ca="1">IF(A29="","",IFERROR(INDEX('Re-Entry Checklist'!W$4:W$153,MATCH(A29,'Re-Entry Checklist'!C$4:C$153,0)),0))</f>
        <v/>
      </c>
      <c r="G29" s="38" t="str">
        <f t="shared" ca="1" si="1"/>
        <v/>
      </c>
    </row>
    <row r="30" spans="1:7" s="1" customFormat="1" ht="19.5" customHeight="1" x14ac:dyDescent="0.45">
      <c r="A30" s="41" t="str">
        <f ca="1">IFERROR(INDEX('ISS Placements'!B$4:B$203,MATCH(26,'ISS Placements'!W$4:W$203,0)),"")</f>
        <v/>
      </c>
      <c r="B30" s="41" t="str">
        <f ca="1">IF(A30="","",VLOOKUP(A30,'Student Roster'!A:C,2,FALSE))</f>
        <v/>
      </c>
      <c r="C30" s="41" t="str">
        <f ca="1">IF(A30="","",VLOOKUP(A30,'Student Roster'!A:C,3,FALSE))</f>
        <v/>
      </c>
      <c r="D30" s="42" t="str">
        <f ca="1">IF(A30="","",INDEX('ISS Placements'!N$4:N$203,MATCH(A30,'ISS Placements'!B$4:B$203,0)))</f>
        <v/>
      </c>
      <c r="E30" s="43" t="str">
        <f t="shared" ca="1" si="0"/>
        <v/>
      </c>
      <c r="F30" s="41" t="str">
        <f ca="1">IF(A30="","",IFERROR(INDEX('Re-Entry Checklist'!W$4:W$153,MATCH(A30,'Re-Entry Checklist'!C$4:C$153,0)),0))</f>
        <v/>
      </c>
      <c r="G30" s="41" t="str">
        <f t="shared" ca="1" si="1"/>
        <v/>
      </c>
    </row>
    <row r="31" spans="1:7" s="1" customFormat="1" ht="19.5" customHeight="1" x14ac:dyDescent="0.45">
      <c r="A31" s="38" t="str">
        <f ca="1">IFERROR(INDEX('ISS Placements'!B$4:B$203,MATCH(27,'ISS Placements'!W$4:W$203,0)),"")</f>
        <v/>
      </c>
      <c r="B31" s="38" t="str">
        <f ca="1">IF(A31="","",VLOOKUP(A31,'Student Roster'!A:C,2,FALSE))</f>
        <v/>
      </c>
      <c r="C31" s="38" t="str">
        <f ca="1">IF(A31="","",VLOOKUP(A31,'Student Roster'!A:C,3,FALSE))</f>
        <v/>
      </c>
      <c r="D31" s="39" t="str">
        <f ca="1">IF(A31="","",INDEX('ISS Placements'!N$4:N$203,MATCH(A31,'ISS Placements'!B$4:B$203,0)))</f>
        <v/>
      </c>
      <c r="E31" s="40" t="str">
        <f t="shared" ca="1" si="0"/>
        <v/>
      </c>
      <c r="F31" s="38" t="str">
        <f ca="1">IF(A31="","",IFERROR(INDEX('Re-Entry Checklist'!W$4:W$153,MATCH(A31,'Re-Entry Checklist'!C$4:C$153,0)),0))</f>
        <v/>
      </c>
      <c r="G31" s="38" t="str">
        <f t="shared" ca="1" si="1"/>
        <v/>
      </c>
    </row>
    <row r="32" spans="1:7" s="1" customFormat="1" ht="19.5" customHeight="1" x14ac:dyDescent="0.45">
      <c r="A32" s="41" t="str">
        <f ca="1">IFERROR(INDEX('ISS Placements'!B$4:B$203,MATCH(28,'ISS Placements'!W$4:W$203,0)),"")</f>
        <v/>
      </c>
      <c r="B32" s="41" t="str">
        <f ca="1">IF(A32="","",VLOOKUP(A32,'Student Roster'!A:C,2,FALSE))</f>
        <v/>
      </c>
      <c r="C32" s="41" t="str">
        <f ca="1">IF(A32="","",VLOOKUP(A32,'Student Roster'!A:C,3,FALSE))</f>
        <v/>
      </c>
      <c r="D32" s="42" t="str">
        <f ca="1">IF(A32="","",INDEX('ISS Placements'!N$4:N$203,MATCH(A32,'ISS Placements'!B$4:B$203,0)))</f>
        <v/>
      </c>
      <c r="E32" s="43" t="str">
        <f t="shared" ca="1" si="0"/>
        <v/>
      </c>
      <c r="F32" s="41" t="str">
        <f ca="1">IF(A32="","",IFERROR(INDEX('Re-Entry Checklist'!W$4:W$153,MATCH(A32,'Re-Entry Checklist'!C$4:C$153,0)),0))</f>
        <v/>
      </c>
      <c r="G32" s="41" t="str">
        <f t="shared" ca="1" si="1"/>
        <v/>
      </c>
    </row>
    <row r="33" spans="1:7" s="1" customFormat="1" ht="19.5" customHeight="1" x14ac:dyDescent="0.45">
      <c r="A33" s="38" t="str">
        <f ca="1">IFERROR(INDEX('ISS Placements'!B$4:B$203,MATCH(29,'ISS Placements'!W$4:W$203,0)),"")</f>
        <v/>
      </c>
      <c r="B33" s="38" t="str">
        <f ca="1">IF(A33="","",VLOOKUP(A33,'Student Roster'!A:C,2,FALSE))</f>
        <v/>
      </c>
      <c r="C33" s="38" t="str">
        <f ca="1">IF(A33="","",VLOOKUP(A33,'Student Roster'!A:C,3,FALSE))</f>
        <v/>
      </c>
      <c r="D33" s="39" t="str">
        <f ca="1">IF(A33="","",INDEX('ISS Placements'!N$4:N$203,MATCH(A33,'ISS Placements'!B$4:B$203,0)))</f>
        <v/>
      </c>
      <c r="E33" s="40" t="str">
        <f t="shared" ca="1" si="0"/>
        <v/>
      </c>
      <c r="F33" s="38" t="str">
        <f ca="1">IF(A33="","",IFERROR(INDEX('Re-Entry Checklist'!W$4:W$153,MATCH(A33,'Re-Entry Checklist'!C$4:C$153,0)),0))</f>
        <v/>
      </c>
      <c r="G33" s="38" t="str">
        <f t="shared" ca="1" si="1"/>
        <v/>
      </c>
    </row>
    <row r="34" spans="1:7" s="1" customFormat="1" ht="19.5" customHeight="1" x14ac:dyDescent="0.45">
      <c r="A34" s="41" t="str">
        <f ca="1">IFERROR(INDEX('ISS Placements'!B$4:B$203,MATCH(30,'ISS Placements'!W$4:W$203,0)),"")</f>
        <v/>
      </c>
      <c r="B34" s="41" t="str">
        <f ca="1">IF(A34="","",VLOOKUP(A34,'Student Roster'!A:C,2,FALSE))</f>
        <v/>
      </c>
      <c r="C34" s="41" t="str">
        <f ca="1">IF(A34="","",VLOOKUP(A34,'Student Roster'!A:C,3,FALSE))</f>
        <v/>
      </c>
      <c r="D34" s="42" t="str">
        <f ca="1">IF(A34="","",INDEX('ISS Placements'!N$4:N$203,MATCH(A34,'ISS Placements'!B$4:B$203,0)))</f>
        <v/>
      </c>
      <c r="E34" s="43" t="str">
        <f t="shared" ca="1" si="0"/>
        <v/>
      </c>
      <c r="F34" s="41" t="str">
        <f ca="1">IF(A34="","",IFERROR(INDEX('Re-Entry Checklist'!W$4:W$153,MATCH(A34,'Re-Entry Checklist'!C$4:C$153,0)),0))</f>
        <v/>
      </c>
      <c r="G34" s="41" t="str">
        <f t="shared" ca="1" si="1"/>
        <v/>
      </c>
    </row>
    <row r="35" spans="1:7" s="1" customFormat="1" ht="19.5" customHeight="1" x14ac:dyDescent="0.45">
      <c r="A35" s="38" t="str">
        <f ca="1">IFERROR(INDEX('ISS Placements'!B$4:B$203,MATCH(31,'ISS Placements'!W$4:W$203,0)),"")</f>
        <v/>
      </c>
      <c r="B35" s="38" t="str">
        <f ca="1">IF(A35="","",VLOOKUP(A35,'Student Roster'!A:C,2,FALSE))</f>
        <v/>
      </c>
      <c r="C35" s="38" t="str">
        <f ca="1">IF(A35="","",VLOOKUP(A35,'Student Roster'!A:C,3,FALSE))</f>
        <v/>
      </c>
      <c r="D35" s="39" t="str">
        <f ca="1">IF(A35="","",INDEX('ISS Placements'!N$4:N$203,MATCH(A35,'ISS Placements'!B$4:B$203,0)))</f>
        <v/>
      </c>
      <c r="E35" s="40" t="str">
        <f t="shared" ca="1" si="0"/>
        <v/>
      </c>
      <c r="F35" s="38" t="str">
        <f ca="1">IF(A35="","",IFERROR(INDEX('Re-Entry Checklist'!W$4:W$153,MATCH(A35,'Re-Entry Checklist'!C$4:C$153,0)),0))</f>
        <v/>
      </c>
      <c r="G35" s="38" t="str">
        <f t="shared" ca="1" si="1"/>
        <v/>
      </c>
    </row>
    <row r="36" spans="1:7" s="1" customFormat="1" ht="19.5" customHeight="1" x14ac:dyDescent="0.45">
      <c r="A36" s="41" t="str">
        <f ca="1">IFERROR(INDEX('ISS Placements'!B$4:B$203,MATCH(32,'ISS Placements'!W$4:W$203,0)),"")</f>
        <v/>
      </c>
      <c r="B36" s="41" t="str">
        <f ca="1">IF(A36="","",VLOOKUP(A36,'Student Roster'!A:C,2,FALSE))</f>
        <v/>
      </c>
      <c r="C36" s="41" t="str">
        <f ca="1">IF(A36="","",VLOOKUP(A36,'Student Roster'!A:C,3,FALSE))</f>
        <v/>
      </c>
      <c r="D36" s="42" t="str">
        <f ca="1">IF(A36="","",INDEX('ISS Placements'!N$4:N$203,MATCH(A36,'ISS Placements'!B$4:B$203,0)))</f>
        <v/>
      </c>
      <c r="E36" s="43" t="str">
        <f t="shared" ca="1" si="0"/>
        <v/>
      </c>
      <c r="F36" s="41" t="str">
        <f ca="1">IF(A36="","",IFERROR(INDEX('Re-Entry Checklist'!W$4:W$153,MATCH(A36,'Re-Entry Checklist'!C$4:C$153,0)),0))</f>
        <v/>
      </c>
      <c r="G36" s="41" t="str">
        <f t="shared" ca="1" si="1"/>
        <v/>
      </c>
    </row>
    <row r="37" spans="1:7" s="1" customFormat="1" ht="19.5" customHeight="1" x14ac:dyDescent="0.45">
      <c r="A37" s="38" t="str">
        <f ca="1">IFERROR(INDEX('ISS Placements'!B$4:B$203,MATCH(33,'ISS Placements'!W$4:W$203,0)),"")</f>
        <v/>
      </c>
      <c r="B37" s="38" t="str">
        <f ca="1">IF(A37="","",VLOOKUP(A37,'Student Roster'!A:C,2,FALSE))</f>
        <v/>
      </c>
      <c r="C37" s="38" t="str">
        <f ca="1">IF(A37="","",VLOOKUP(A37,'Student Roster'!A:C,3,FALSE))</f>
        <v/>
      </c>
      <c r="D37" s="39" t="str">
        <f ca="1">IF(A37="","",INDEX('ISS Placements'!N$4:N$203,MATCH(A37,'ISS Placements'!B$4:B$203,0)))</f>
        <v/>
      </c>
      <c r="E37" s="40" t="str">
        <f t="shared" ref="E37:E68" ca="1" si="2">IF(D37="","",D37-TODAY())</f>
        <v/>
      </c>
      <c r="F37" s="38" t="str">
        <f ca="1">IF(A37="","",IFERROR(INDEX('Re-Entry Checklist'!W$4:W$153,MATCH(A37,'Re-Entry Checklist'!C$4:C$153,0)),0))</f>
        <v/>
      </c>
      <c r="G37" s="38" t="str">
        <f t="shared" ref="G37:G68" ca="1" si="3">IF(A37="","",IF(F37&gt;=8,"✅ READY","❌ NOT READY"))</f>
        <v/>
      </c>
    </row>
    <row r="38" spans="1:7" s="1" customFormat="1" ht="19.5" customHeight="1" x14ac:dyDescent="0.45">
      <c r="A38" s="41" t="str">
        <f ca="1">IFERROR(INDEX('ISS Placements'!B$4:B$203,MATCH(34,'ISS Placements'!W$4:W$203,0)),"")</f>
        <v/>
      </c>
      <c r="B38" s="41" t="str">
        <f ca="1">IF(A38="","",VLOOKUP(A38,'Student Roster'!A:C,2,FALSE))</f>
        <v/>
      </c>
      <c r="C38" s="41" t="str">
        <f ca="1">IF(A38="","",VLOOKUP(A38,'Student Roster'!A:C,3,FALSE))</f>
        <v/>
      </c>
      <c r="D38" s="42" t="str">
        <f ca="1">IF(A38="","",INDEX('ISS Placements'!N$4:N$203,MATCH(A38,'ISS Placements'!B$4:B$203,0)))</f>
        <v/>
      </c>
      <c r="E38" s="43" t="str">
        <f t="shared" ca="1" si="2"/>
        <v/>
      </c>
      <c r="F38" s="41" t="str">
        <f ca="1">IF(A38="","",IFERROR(INDEX('Re-Entry Checklist'!W$4:W$153,MATCH(A38,'Re-Entry Checklist'!C$4:C$153,0)),0))</f>
        <v/>
      </c>
      <c r="G38" s="41" t="str">
        <f t="shared" ca="1" si="3"/>
        <v/>
      </c>
    </row>
    <row r="39" spans="1:7" s="1" customFormat="1" ht="19.5" customHeight="1" x14ac:dyDescent="0.45">
      <c r="A39" s="38" t="str">
        <f ca="1">IFERROR(INDEX('ISS Placements'!B$4:B$203,MATCH(35,'ISS Placements'!W$4:W$203,0)),"")</f>
        <v/>
      </c>
      <c r="B39" s="38" t="str">
        <f ca="1">IF(A39="","",VLOOKUP(A39,'Student Roster'!A:C,2,FALSE))</f>
        <v/>
      </c>
      <c r="C39" s="38" t="str">
        <f ca="1">IF(A39="","",VLOOKUP(A39,'Student Roster'!A:C,3,FALSE))</f>
        <v/>
      </c>
      <c r="D39" s="39" t="str">
        <f ca="1">IF(A39="","",INDEX('ISS Placements'!N$4:N$203,MATCH(A39,'ISS Placements'!B$4:B$203,0)))</f>
        <v/>
      </c>
      <c r="E39" s="40" t="str">
        <f t="shared" ca="1" si="2"/>
        <v/>
      </c>
      <c r="F39" s="38" t="str">
        <f ca="1">IF(A39="","",IFERROR(INDEX('Re-Entry Checklist'!W$4:W$153,MATCH(A39,'Re-Entry Checklist'!C$4:C$153,0)),0))</f>
        <v/>
      </c>
      <c r="G39" s="38" t="str">
        <f t="shared" ca="1" si="3"/>
        <v/>
      </c>
    </row>
    <row r="40" spans="1:7" s="1" customFormat="1" ht="19.5" customHeight="1" x14ac:dyDescent="0.45">
      <c r="A40" s="41" t="str">
        <f ca="1">IFERROR(INDEX('ISS Placements'!B$4:B$203,MATCH(36,'ISS Placements'!W$4:W$203,0)),"")</f>
        <v/>
      </c>
      <c r="B40" s="41" t="str">
        <f ca="1">IF(A40="","",VLOOKUP(A40,'Student Roster'!A:C,2,FALSE))</f>
        <v/>
      </c>
      <c r="C40" s="41" t="str">
        <f ca="1">IF(A40="","",VLOOKUP(A40,'Student Roster'!A:C,3,FALSE))</f>
        <v/>
      </c>
      <c r="D40" s="42" t="str">
        <f ca="1">IF(A40="","",INDEX('ISS Placements'!N$4:N$203,MATCH(A40,'ISS Placements'!B$4:B$203,0)))</f>
        <v/>
      </c>
      <c r="E40" s="43" t="str">
        <f t="shared" ca="1" si="2"/>
        <v/>
      </c>
      <c r="F40" s="41" t="str">
        <f ca="1">IF(A40="","",IFERROR(INDEX('Re-Entry Checklist'!W$4:W$153,MATCH(A40,'Re-Entry Checklist'!C$4:C$153,0)),0))</f>
        <v/>
      </c>
      <c r="G40" s="41" t="str">
        <f t="shared" ca="1" si="3"/>
        <v/>
      </c>
    </row>
    <row r="41" spans="1:7" s="1" customFormat="1" ht="19.5" customHeight="1" x14ac:dyDescent="0.45">
      <c r="A41" s="38" t="str">
        <f ca="1">IFERROR(INDEX('ISS Placements'!B$4:B$203,MATCH(37,'ISS Placements'!W$4:W$203,0)),"")</f>
        <v/>
      </c>
      <c r="B41" s="38" t="str">
        <f ca="1">IF(A41="","",VLOOKUP(A41,'Student Roster'!A:C,2,FALSE))</f>
        <v/>
      </c>
      <c r="C41" s="38" t="str">
        <f ca="1">IF(A41="","",VLOOKUP(A41,'Student Roster'!A:C,3,FALSE))</f>
        <v/>
      </c>
      <c r="D41" s="39" t="str">
        <f ca="1">IF(A41="","",INDEX('ISS Placements'!N$4:N$203,MATCH(A41,'ISS Placements'!B$4:B$203,0)))</f>
        <v/>
      </c>
      <c r="E41" s="40" t="str">
        <f t="shared" ca="1" si="2"/>
        <v/>
      </c>
      <c r="F41" s="38" t="str">
        <f ca="1">IF(A41="","",IFERROR(INDEX('Re-Entry Checklist'!W$4:W$153,MATCH(A41,'Re-Entry Checklist'!C$4:C$153,0)),0))</f>
        <v/>
      </c>
      <c r="G41" s="38" t="str">
        <f t="shared" ca="1" si="3"/>
        <v/>
      </c>
    </row>
    <row r="42" spans="1:7" s="1" customFormat="1" ht="19.5" customHeight="1" x14ac:dyDescent="0.45">
      <c r="A42" s="41" t="str">
        <f ca="1">IFERROR(INDEX('ISS Placements'!B$4:B$203,MATCH(38,'ISS Placements'!W$4:W$203,0)),"")</f>
        <v/>
      </c>
      <c r="B42" s="41" t="str">
        <f ca="1">IF(A42="","",VLOOKUP(A42,'Student Roster'!A:C,2,FALSE))</f>
        <v/>
      </c>
      <c r="C42" s="41" t="str">
        <f ca="1">IF(A42="","",VLOOKUP(A42,'Student Roster'!A:C,3,FALSE))</f>
        <v/>
      </c>
      <c r="D42" s="42" t="str">
        <f ca="1">IF(A42="","",INDEX('ISS Placements'!N$4:N$203,MATCH(A42,'ISS Placements'!B$4:B$203,0)))</f>
        <v/>
      </c>
      <c r="E42" s="43" t="str">
        <f t="shared" ca="1" si="2"/>
        <v/>
      </c>
      <c r="F42" s="41" t="str">
        <f ca="1">IF(A42="","",IFERROR(INDEX('Re-Entry Checklist'!W$4:W$153,MATCH(A42,'Re-Entry Checklist'!C$4:C$153,0)),0))</f>
        <v/>
      </c>
      <c r="G42" s="41" t="str">
        <f t="shared" ca="1" si="3"/>
        <v/>
      </c>
    </row>
    <row r="43" spans="1:7" s="1" customFormat="1" ht="19.5" customHeight="1" x14ac:dyDescent="0.45">
      <c r="A43" s="38" t="str">
        <f ca="1">IFERROR(INDEX('ISS Placements'!B$4:B$203,MATCH(39,'ISS Placements'!W$4:W$203,0)),"")</f>
        <v/>
      </c>
      <c r="B43" s="38" t="str">
        <f ca="1">IF(A43="","",VLOOKUP(A43,'Student Roster'!A:C,2,FALSE))</f>
        <v/>
      </c>
      <c r="C43" s="38" t="str">
        <f ca="1">IF(A43="","",VLOOKUP(A43,'Student Roster'!A:C,3,FALSE))</f>
        <v/>
      </c>
      <c r="D43" s="39" t="str">
        <f ca="1">IF(A43="","",INDEX('ISS Placements'!N$4:N$203,MATCH(A43,'ISS Placements'!B$4:B$203,0)))</f>
        <v/>
      </c>
      <c r="E43" s="40" t="str">
        <f t="shared" ca="1" si="2"/>
        <v/>
      </c>
      <c r="F43" s="38" t="str">
        <f ca="1">IF(A43="","",IFERROR(INDEX('Re-Entry Checklist'!W$4:W$153,MATCH(A43,'Re-Entry Checklist'!C$4:C$153,0)),0))</f>
        <v/>
      </c>
      <c r="G43" s="38" t="str">
        <f t="shared" ca="1" si="3"/>
        <v/>
      </c>
    </row>
    <row r="44" spans="1:7" s="1" customFormat="1" ht="19.5" customHeight="1" x14ac:dyDescent="0.45">
      <c r="A44" s="41" t="str">
        <f ca="1">IFERROR(INDEX('ISS Placements'!B$4:B$203,MATCH(40,'ISS Placements'!W$4:W$203,0)),"")</f>
        <v/>
      </c>
      <c r="B44" s="41" t="str">
        <f ca="1">IF(A44="","",VLOOKUP(A44,'Student Roster'!A:C,2,FALSE))</f>
        <v/>
      </c>
      <c r="C44" s="41" t="str">
        <f ca="1">IF(A44="","",VLOOKUP(A44,'Student Roster'!A:C,3,FALSE))</f>
        <v/>
      </c>
      <c r="D44" s="42" t="str">
        <f ca="1">IF(A44="","",INDEX('ISS Placements'!N$4:N$203,MATCH(A44,'ISS Placements'!B$4:B$203,0)))</f>
        <v/>
      </c>
      <c r="E44" s="43" t="str">
        <f t="shared" ca="1" si="2"/>
        <v/>
      </c>
      <c r="F44" s="41" t="str">
        <f ca="1">IF(A44="","",IFERROR(INDEX('Re-Entry Checklist'!W$4:W$153,MATCH(A44,'Re-Entry Checklist'!C$4:C$153,0)),0))</f>
        <v/>
      </c>
      <c r="G44" s="41" t="str">
        <f t="shared" ca="1" si="3"/>
        <v/>
      </c>
    </row>
    <row r="45" spans="1:7" s="1" customFormat="1" ht="19.5" customHeight="1" x14ac:dyDescent="0.45">
      <c r="A45" s="38" t="str">
        <f ca="1">IFERROR(INDEX('ISS Placements'!B$4:B$203,MATCH(41,'ISS Placements'!W$4:W$203,0)),"")</f>
        <v/>
      </c>
      <c r="B45" s="38" t="str">
        <f ca="1">IF(A45="","",VLOOKUP(A45,'Student Roster'!A:C,2,FALSE))</f>
        <v/>
      </c>
      <c r="C45" s="38" t="str">
        <f ca="1">IF(A45="","",VLOOKUP(A45,'Student Roster'!A:C,3,FALSE))</f>
        <v/>
      </c>
      <c r="D45" s="39" t="str">
        <f ca="1">IF(A45="","",INDEX('ISS Placements'!N$4:N$203,MATCH(A45,'ISS Placements'!B$4:B$203,0)))</f>
        <v/>
      </c>
      <c r="E45" s="40" t="str">
        <f t="shared" ca="1" si="2"/>
        <v/>
      </c>
      <c r="F45" s="38" t="str">
        <f ca="1">IF(A45="","",IFERROR(INDEX('Re-Entry Checklist'!W$4:W$153,MATCH(A45,'Re-Entry Checklist'!C$4:C$153,0)),0))</f>
        <v/>
      </c>
      <c r="G45" s="38" t="str">
        <f t="shared" ca="1" si="3"/>
        <v/>
      </c>
    </row>
    <row r="46" spans="1:7" s="1" customFormat="1" ht="19.5" customHeight="1" x14ac:dyDescent="0.45">
      <c r="A46" s="41" t="str">
        <f ca="1">IFERROR(INDEX('ISS Placements'!B$4:B$203,MATCH(42,'ISS Placements'!W$4:W$203,0)),"")</f>
        <v/>
      </c>
      <c r="B46" s="41" t="str">
        <f ca="1">IF(A46="","",VLOOKUP(A46,'Student Roster'!A:C,2,FALSE))</f>
        <v/>
      </c>
      <c r="C46" s="41" t="str">
        <f ca="1">IF(A46="","",VLOOKUP(A46,'Student Roster'!A:C,3,FALSE))</f>
        <v/>
      </c>
      <c r="D46" s="42" t="str">
        <f ca="1">IF(A46="","",INDEX('ISS Placements'!N$4:N$203,MATCH(A46,'ISS Placements'!B$4:B$203,0)))</f>
        <v/>
      </c>
      <c r="E46" s="43" t="str">
        <f t="shared" ca="1" si="2"/>
        <v/>
      </c>
      <c r="F46" s="41" t="str">
        <f ca="1">IF(A46="","",IFERROR(INDEX('Re-Entry Checklist'!W$4:W$153,MATCH(A46,'Re-Entry Checklist'!C$4:C$153,0)),0))</f>
        <v/>
      </c>
      <c r="G46" s="41" t="str">
        <f t="shared" ca="1" si="3"/>
        <v/>
      </c>
    </row>
    <row r="47" spans="1:7" s="1" customFormat="1" ht="19.5" customHeight="1" x14ac:dyDescent="0.45">
      <c r="A47" s="38" t="str">
        <f ca="1">IFERROR(INDEX('ISS Placements'!B$4:B$203,MATCH(43,'ISS Placements'!W$4:W$203,0)),"")</f>
        <v/>
      </c>
      <c r="B47" s="38" t="str">
        <f ca="1">IF(A47="","",VLOOKUP(A47,'Student Roster'!A:C,2,FALSE))</f>
        <v/>
      </c>
      <c r="C47" s="38" t="str">
        <f ca="1">IF(A47="","",VLOOKUP(A47,'Student Roster'!A:C,3,FALSE))</f>
        <v/>
      </c>
      <c r="D47" s="39" t="str">
        <f ca="1">IF(A47="","",INDEX('ISS Placements'!N$4:N$203,MATCH(A47,'ISS Placements'!B$4:B$203,0)))</f>
        <v/>
      </c>
      <c r="E47" s="40" t="str">
        <f t="shared" ca="1" si="2"/>
        <v/>
      </c>
      <c r="F47" s="38" t="str">
        <f ca="1">IF(A47="","",IFERROR(INDEX('Re-Entry Checklist'!W$4:W$153,MATCH(A47,'Re-Entry Checklist'!C$4:C$153,0)),0))</f>
        <v/>
      </c>
      <c r="G47" s="38" t="str">
        <f t="shared" ca="1" si="3"/>
        <v/>
      </c>
    </row>
    <row r="48" spans="1:7" s="1" customFormat="1" ht="19.5" customHeight="1" x14ac:dyDescent="0.45">
      <c r="A48" s="41" t="str">
        <f ca="1">IFERROR(INDEX('ISS Placements'!B$4:B$203,MATCH(44,'ISS Placements'!W$4:W$203,0)),"")</f>
        <v/>
      </c>
      <c r="B48" s="41" t="str">
        <f ca="1">IF(A48="","",VLOOKUP(A48,'Student Roster'!A:C,2,FALSE))</f>
        <v/>
      </c>
      <c r="C48" s="41" t="str">
        <f ca="1">IF(A48="","",VLOOKUP(A48,'Student Roster'!A:C,3,FALSE))</f>
        <v/>
      </c>
      <c r="D48" s="42" t="str">
        <f ca="1">IF(A48="","",INDEX('ISS Placements'!N$4:N$203,MATCH(A48,'ISS Placements'!B$4:B$203,0)))</f>
        <v/>
      </c>
      <c r="E48" s="43" t="str">
        <f t="shared" ca="1" si="2"/>
        <v/>
      </c>
      <c r="F48" s="41" t="str">
        <f ca="1">IF(A48="","",IFERROR(INDEX('Re-Entry Checklist'!W$4:W$153,MATCH(A48,'Re-Entry Checklist'!C$4:C$153,0)),0))</f>
        <v/>
      </c>
      <c r="G48" s="41" t="str">
        <f t="shared" ca="1" si="3"/>
        <v/>
      </c>
    </row>
    <row r="49" spans="1:7" s="1" customFormat="1" ht="19.5" customHeight="1" x14ac:dyDescent="0.45">
      <c r="A49" s="38" t="str">
        <f ca="1">IFERROR(INDEX('ISS Placements'!B$4:B$203,MATCH(45,'ISS Placements'!W$4:W$203,0)),"")</f>
        <v/>
      </c>
      <c r="B49" s="38" t="str">
        <f ca="1">IF(A49="","",VLOOKUP(A49,'Student Roster'!A:C,2,FALSE))</f>
        <v/>
      </c>
      <c r="C49" s="38" t="str">
        <f ca="1">IF(A49="","",VLOOKUP(A49,'Student Roster'!A:C,3,FALSE))</f>
        <v/>
      </c>
      <c r="D49" s="39" t="str">
        <f ca="1">IF(A49="","",INDEX('ISS Placements'!N$4:N$203,MATCH(A49,'ISS Placements'!B$4:B$203,0)))</f>
        <v/>
      </c>
      <c r="E49" s="40" t="str">
        <f t="shared" ca="1" si="2"/>
        <v/>
      </c>
      <c r="F49" s="38" t="str">
        <f ca="1">IF(A49="","",IFERROR(INDEX('Re-Entry Checklist'!W$4:W$153,MATCH(A49,'Re-Entry Checklist'!C$4:C$153,0)),0))</f>
        <v/>
      </c>
      <c r="G49" s="38" t="str">
        <f t="shared" ca="1" si="3"/>
        <v/>
      </c>
    </row>
    <row r="50" spans="1:7" s="1" customFormat="1" ht="19.5" customHeight="1" x14ac:dyDescent="0.45">
      <c r="A50" s="41" t="str">
        <f ca="1">IFERROR(INDEX('ISS Placements'!B$4:B$203,MATCH(46,'ISS Placements'!W$4:W$203,0)),"")</f>
        <v/>
      </c>
      <c r="B50" s="41" t="str">
        <f ca="1">IF(A50="","",VLOOKUP(A50,'Student Roster'!A:C,2,FALSE))</f>
        <v/>
      </c>
      <c r="C50" s="41" t="str">
        <f ca="1">IF(A50="","",VLOOKUP(A50,'Student Roster'!A:C,3,FALSE))</f>
        <v/>
      </c>
      <c r="D50" s="42" t="str">
        <f ca="1">IF(A50="","",INDEX('ISS Placements'!N$4:N$203,MATCH(A50,'ISS Placements'!B$4:B$203,0)))</f>
        <v/>
      </c>
      <c r="E50" s="43" t="str">
        <f t="shared" ca="1" si="2"/>
        <v/>
      </c>
      <c r="F50" s="41" t="str">
        <f ca="1">IF(A50="","",IFERROR(INDEX('Re-Entry Checklist'!W$4:W$153,MATCH(A50,'Re-Entry Checklist'!C$4:C$153,0)),0))</f>
        <v/>
      </c>
      <c r="G50" s="41" t="str">
        <f t="shared" ca="1" si="3"/>
        <v/>
      </c>
    </row>
    <row r="51" spans="1:7" s="1" customFormat="1" ht="19.5" customHeight="1" x14ac:dyDescent="0.45">
      <c r="A51" s="38" t="str">
        <f ca="1">IFERROR(INDEX('ISS Placements'!B$4:B$203,MATCH(47,'ISS Placements'!W$4:W$203,0)),"")</f>
        <v/>
      </c>
      <c r="B51" s="38" t="str">
        <f ca="1">IF(A51="","",VLOOKUP(A51,'Student Roster'!A:C,2,FALSE))</f>
        <v/>
      </c>
      <c r="C51" s="38" t="str">
        <f ca="1">IF(A51="","",VLOOKUP(A51,'Student Roster'!A:C,3,FALSE))</f>
        <v/>
      </c>
      <c r="D51" s="39" t="str">
        <f ca="1">IF(A51="","",INDEX('ISS Placements'!N$4:N$203,MATCH(A51,'ISS Placements'!B$4:B$203,0)))</f>
        <v/>
      </c>
      <c r="E51" s="40" t="str">
        <f t="shared" ca="1" si="2"/>
        <v/>
      </c>
      <c r="F51" s="38" t="str">
        <f ca="1">IF(A51="","",IFERROR(INDEX('Re-Entry Checklist'!W$4:W$153,MATCH(A51,'Re-Entry Checklist'!C$4:C$153,0)),0))</f>
        <v/>
      </c>
      <c r="G51" s="38" t="str">
        <f t="shared" ca="1" si="3"/>
        <v/>
      </c>
    </row>
    <row r="52" spans="1:7" s="1" customFormat="1" ht="19.5" customHeight="1" x14ac:dyDescent="0.45">
      <c r="A52" s="41" t="str">
        <f ca="1">IFERROR(INDEX('ISS Placements'!B$4:B$203,MATCH(48,'ISS Placements'!W$4:W$203,0)),"")</f>
        <v/>
      </c>
      <c r="B52" s="41" t="str">
        <f ca="1">IF(A52="","",VLOOKUP(A52,'Student Roster'!A:C,2,FALSE))</f>
        <v/>
      </c>
      <c r="C52" s="41" t="str">
        <f ca="1">IF(A52="","",VLOOKUP(A52,'Student Roster'!A:C,3,FALSE))</f>
        <v/>
      </c>
      <c r="D52" s="42" t="str">
        <f ca="1">IF(A52="","",INDEX('ISS Placements'!N$4:N$203,MATCH(A52,'ISS Placements'!B$4:B$203,0)))</f>
        <v/>
      </c>
      <c r="E52" s="43" t="str">
        <f t="shared" ca="1" si="2"/>
        <v/>
      </c>
      <c r="F52" s="41" t="str">
        <f ca="1">IF(A52="","",IFERROR(INDEX('Re-Entry Checklist'!W$4:W$153,MATCH(A52,'Re-Entry Checklist'!C$4:C$153,0)),0))</f>
        <v/>
      </c>
      <c r="G52" s="41" t="str">
        <f t="shared" ca="1" si="3"/>
        <v/>
      </c>
    </row>
    <row r="53" spans="1:7" s="1" customFormat="1" ht="19.5" customHeight="1" x14ac:dyDescent="0.45">
      <c r="A53" s="38" t="str">
        <f ca="1">IFERROR(INDEX('ISS Placements'!B$4:B$203,MATCH(49,'ISS Placements'!W$4:W$203,0)),"")</f>
        <v/>
      </c>
      <c r="B53" s="38" t="str">
        <f ca="1">IF(A53="","",VLOOKUP(A53,'Student Roster'!A:C,2,FALSE))</f>
        <v/>
      </c>
      <c r="C53" s="38" t="str">
        <f ca="1">IF(A53="","",VLOOKUP(A53,'Student Roster'!A:C,3,FALSE))</f>
        <v/>
      </c>
      <c r="D53" s="39" t="str">
        <f ca="1">IF(A53="","",INDEX('ISS Placements'!N$4:N$203,MATCH(A53,'ISS Placements'!B$4:B$203,0)))</f>
        <v/>
      </c>
      <c r="E53" s="40" t="str">
        <f t="shared" ca="1" si="2"/>
        <v/>
      </c>
      <c r="F53" s="38" t="str">
        <f ca="1">IF(A53="","",IFERROR(INDEX('Re-Entry Checklist'!W$4:W$153,MATCH(A53,'Re-Entry Checklist'!C$4:C$153,0)),0))</f>
        <v/>
      </c>
      <c r="G53" s="38" t="str">
        <f t="shared" ca="1" si="3"/>
        <v/>
      </c>
    </row>
    <row r="54" spans="1:7" s="1" customFormat="1" ht="19.5" customHeight="1" x14ac:dyDescent="0.45">
      <c r="A54" s="41" t="str">
        <f ca="1">IFERROR(INDEX('ISS Placements'!B$4:B$203,MATCH(50,'ISS Placements'!W$4:W$203,0)),"")</f>
        <v/>
      </c>
      <c r="B54" s="41" t="str">
        <f ca="1">IF(A54="","",VLOOKUP(A54,'Student Roster'!A:C,2,FALSE))</f>
        <v/>
      </c>
      <c r="C54" s="41" t="str">
        <f ca="1">IF(A54="","",VLOOKUP(A54,'Student Roster'!A:C,3,FALSE))</f>
        <v/>
      </c>
      <c r="D54" s="42" t="str">
        <f ca="1">IF(A54="","",INDEX('ISS Placements'!N$4:N$203,MATCH(A54,'ISS Placements'!B$4:B$203,0)))</f>
        <v/>
      </c>
      <c r="E54" s="43" t="str">
        <f t="shared" ca="1" si="2"/>
        <v/>
      </c>
      <c r="F54" s="41" t="str">
        <f ca="1">IF(A54="","",IFERROR(INDEX('Re-Entry Checklist'!W$4:W$153,MATCH(A54,'Re-Entry Checklist'!C$4:C$153,0)),0))</f>
        <v/>
      </c>
      <c r="G54" s="41" t="str">
        <f t="shared" ca="1" si="3"/>
        <v/>
      </c>
    </row>
    <row r="55" spans="1:7" s="1" customFormat="1" ht="19.5" customHeight="1" x14ac:dyDescent="0.45">
      <c r="A55" s="73" t="s">
        <v>54</v>
      </c>
      <c r="B55" s="64"/>
      <c r="C55" s="64"/>
      <c r="D55" s="64"/>
      <c r="E55" s="64"/>
      <c r="F55" s="64"/>
      <c r="G55" s="64"/>
    </row>
  </sheetData>
  <mergeCells count="4">
    <mergeCell ref="A1:G1"/>
    <mergeCell ref="A3:G3"/>
    <mergeCell ref="A2:G2"/>
    <mergeCell ref="A55:G55"/>
  </mergeCells>
  <conditionalFormatting sqref="A5:G54">
    <cfRule type="expression" dxfId="2" priority="2">
      <formula>$G5="✅ READY TO RETURN"</formula>
    </cfRule>
    <cfRule type="expression" dxfId="1" priority="3">
      <formula>AND($G5&lt;&gt;"✅ READY TO RETURN",$E5&lt;=1,$A5&lt;&gt;"")</formula>
    </cfRule>
    <cfRule type="expression" dxfId="0" priority="4">
      <formula>AND($G5&lt;&gt;"✅ READY TO RETURN",$E5&lt;=3,$A5&lt;&gt;"")</formula>
    </cfRule>
  </conditionalFormatting>
  <pageMargins left="0.75" right="0.75" top="1" bottom="1" header="0.511811023622047" footer="0.511811023622047"/>
  <pageSetup orientation="portrait" useFirstPageNumber="1"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88888"/>
    <pageSetUpPr fitToPage="1"/>
  </sheetPr>
  <dimension ref="A1:D24"/>
  <sheetViews>
    <sheetView zoomScaleNormal="100" workbookViewId="0"/>
  </sheetViews>
  <sheetFormatPr defaultColWidth="8.6640625" defaultRowHeight="14.25" x14ac:dyDescent="0.45"/>
  <cols>
    <col min="1" max="1" width="5" style="1" customWidth="1"/>
    <col min="2" max="2" width="30" style="1" customWidth="1"/>
    <col min="3" max="3" width="50" style="1" customWidth="1"/>
    <col min="4" max="4" width="5" style="1" customWidth="1"/>
  </cols>
  <sheetData>
    <row r="1" spans="1:4" s="1" customFormat="1" ht="42" customHeight="1" x14ac:dyDescent="0.45">
      <c r="A1" s="84" t="s">
        <v>337</v>
      </c>
      <c r="B1" s="64"/>
      <c r="C1" s="64"/>
      <c r="D1" s="64"/>
    </row>
    <row r="2" spans="1:4" s="1" customFormat="1" ht="19.5" customHeight="1" x14ac:dyDescent="0.45">
      <c r="A2" s="74" t="s">
        <v>338</v>
      </c>
      <c r="B2" s="64"/>
      <c r="C2" s="64"/>
      <c r="D2" s="64"/>
    </row>
    <row r="3" spans="1:4" s="1" customFormat="1" ht="27.75" customHeight="1" x14ac:dyDescent="0.45">
      <c r="A3" s="71" t="s">
        <v>339</v>
      </c>
      <c r="B3" s="64"/>
      <c r="C3" s="64"/>
      <c r="D3" s="64"/>
    </row>
    <row r="4" spans="1:4" s="1" customFormat="1" ht="45.75" customHeight="1" x14ac:dyDescent="0.45">
      <c r="B4" s="44" t="s">
        <v>340</v>
      </c>
      <c r="C4" s="7" t="s">
        <v>341</v>
      </c>
    </row>
    <row r="5" spans="1:4" s="1" customFormat="1" ht="45.75" customHeight="1" x14ac:dyDescent="0.45">
      <c r="B5" s="45" t="s">
        <v>342</v>
      </c>
      <c r="C5" s="5" t="s">
        <v>343</v>
      </c>
    </row>
    <row r="6" spans="1:4" s="1" customFormat="1" ht="45.75" customHeight="1" x14ac:dyDescent="0.45">
      <c r="B6" s="44" t="s">
        <v>344</v>
      </c>
      <c r="C6" s="7" t="s">
        <v>345</v>
      </c>
    </row>
    <row r="7" spans="1:4" s="1" customFormat="1" ht="45.75" customHeight="1" x14ac:dyDescent="0.45">
      <c r="B7" s="45" t="s">
        <v>346</v>
      </c>
      <c r="C7" s="5" t="s">
        <v>347</v>
      </c>
    </row>
    <row r="8" spans="1:4" s="1" customFormat="1" ht="45.75" customHeight="1" x14ac:dyDescent="0.45">
      <c r="B8" s="44" t="s">
        <v>348</v>
      </c>
      <c r="C8" s="7" t="s">
        <v>349</v>
      </c>
    </row>
    <row r="9" spans="1:4" s="1" customFormat="1" ht="45.75" customHeight="1" x14ac:dyDescent="0.45">
      <c r="B9" s="45" t="s">
        <v>350</v>
      </c>
      <c r="C9" s="5" t="s">
        <v>351</v>
      </c>
    </row>
    <row r="10" spans="1:4" s="1" customFormat="1" ht="45.75" customHeight="1" x14ac:dyDescent="0.45">
      <c r="B10" s="44" t="s">
        <v>352</v>
      </c>
      <c r="C10" s="7" t="s">
        <v>353</v>
      </c>
    </row>
    <row r="12" spans="1:4" s="1" customFormat="1" ht="27.75" customHeight="1" x14ac:dyDescent="0.45">
      <c r="A12" s="71" t="s">
        <v>354</v>
      </c>
      <c r="B12" s="64"/>
      <c r="C12" s="64"/>
      <c r="D12" s="64"/>
    </row>
    <row r="13" spans="1:4" s="1" customFormat="1" ht="45.75" customHeight="1" x14ac:dyDescent="0.45">
      <c r="B13" s="45" t="s">
        <v>355</v>
      </c>
      <c r="C13" s="5" t="s">
        <v>356</v>
      </c>
    </row>
    <row r="14" spans="1:4" s="1" customFormat="1" ht="45.75" customHeight="1" x14ac:dyDescent="0.45">
      <c r="B14" s="44" t="s">
        <v>134</v>
      </c>
      <c r="C14" s="7" t="s">
        <v>357</v>
      </c>
    </row>
    <row r="15" spans="1:4" s="1" customFormat="1" ht="45.75" customHeight="1" x14ac:dyDescent="0.45">
      <c r="B15" s="45" t="s">
        <v>358</v>
      </c>
      <c r="C15" s="5" t="s">
        <v>359</v>
      </c>
    </row>
    <row r="16" spans="1:4" s="1" customFormat="1" ht="45.75" customHeight="1" x14ac:dyDescent="0.45">
      <c r="B16" s="44" t="s">
        <v>360</v>
      </c>
      <c r="C16" s="7" t="s">
        <v>361</v>
      </c>
    </row>
    <row r="17" spans="1:4" s="1" customFormat="1" ht="45.75" customHeight="1" x14ac:dyDescent="0.45">
      <c r="B17" s="45" t="s">
        <v>362</v>
      </c>
      <c r="C17" s="5" t="s">
        <v>363</v>
      </c>
    </row>
    <row r="19" spans="1:4" s="1" customFormat="1" ht="27.75" customHeight="1" x14ac:dyDescent="0.45">
      <c r="A19" s="71" t="s">
        <v>364</v>
      </c>
      <c r="B19" s="64"/>
      <c r="C19" s="64"/>
      <c r="D19" s="64"/>
    </row>
    <row r="20" spans="1:4" s="1" customFormat="1" ht="45.75" customHeight="1" x14ac:dyDescent="0.45">
      <c r="B20" s="44" t="s">
        <v>365</v>
      </c>
      <c r="C20" s="7" t="s">
        <v>366</v>
      </c>
    </row>
    <row r="21" spans="1:4" s="1" customFormat="1" ht="45.75" customHeight="1" x14ac:dyDescent="0.45">
      <c r="B21" s="45" t="s">
        <v>367</v>
      </c>
      <c r="C21" s="5" t="s">
        <v>368</v>
      </c>
    </row>
    <row r="22" spans="1:4" s="1" customFormat="1" ht="45.75" customHeight="1" x14ac:dyDescent="0.45">
      <c r="B22" s="44" t="s">
        <v>369</v>
      </c>
      <c r="C22" s="7" t="s">
        <v>370</v>
      </c>
    </row>
    <row r="23" spans="1:4" s="1" customFormat="1" ht="45.75" customHeight="1" x14ac:dyDescent="0.45">
      <c r="B23" s="45" t="s">
        <v>371</v>
      </c>
      <c r="C23" s="5" t="s">
        <v>372</v>
      </c>
    </row>
    <row r="24" spans="1:4" s="1" customFormat="1" ht="19.5" customHeight="1" x14ac:dyDescent="0.45">
      <c r="A24" s="73" t="s">
        <v>54</v>
      </c>
      <c r="B24" s="64"/>
      <c r="C24" s="64"/>
      <c r="D24" s="64"/>
    </row>
  </sheetData>
  <mergeCells count="6">
    <mergeCell ref="A1:D1"/>
    <mergeCell ref="A12:D12"/>
    <mergeCell ref="A3:D3"/>
    <mergeCell ref="A24:D24"/>
    <mergeCell ref="A19:D19"/>
    <mergeCell ref="A2:D2"/>
  </mergeCells>
  <pageMargins left="0.75" right="0.75" top="1" bottom="1" header="0.511811023622047" footer="0.511811023622047"/>
  <pageSetup orientation="portrait" useFirstPageNumber="1"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8650A"/>
  </sheetPr>
  <dimension ref="A1:C18"/>
  <sheetViews>
    <sheetView zoomScaleNormal="100" workbookViewId="0"/>
  </sheetViews>
  <sheetFormatPr defaultColWidth="8.6640625" defaultRowHeight="14.25" x14ac:dyDescent="0.45"/>
  <cols>
    <col min="1" max="1" width="40" style="1" customWidth="1"/>
    <col min="2" max="3" width="20" style="1" customWidth="1"/>
  </cols>
  <sheetData>
    <row r="1" spans="1:3" s="1" customFormat="1" ht="51.75" customHeight="1" x14ac:dyDescent="0.45">
      <c r="A1" s="85" t="s">
        <v>373</v>
      </c>
      <c r="B1" s="64"/>
      <c r="C1" s="64"/>
    </row>
    <row r="2" spans="1:3" s="1" customFormat="1" ht="25.5" customHeight="1" x14ac:dyDescent="0.45">
      <c r="A2" s="88" t="s">
        <v>374</v>
      </c>
      <c r="B2" s="64"/>
      <c r="C2" s="64"/>
    </row>
    <row r="4" spans="1:3" s="1" customFormat="1" ht="33.75" customHeight="1" x14ac:dyDescent="0.45">
      <c r="A4" s="87" t="s">
        <v>375</v>
      </c>
      <c r="B4" s="64"/>
      <c r="C4" s="64"/>
    </row>
    <row r="5" spans="1:3" s="1" customFormat="1" ht="24" customHeight="1" x14ac:dyDescent="0.45">
      <c r="A5" s="46" t="s">
        <v>376</v>
      </c>
      <c r="B5" s="47" t="s">
        <v>377</v>
      </c>
      <c r="C5" s="47" t="s">
        <v>378</v>
      </c>
    </row>
    <row r="6" spans="1:3" s="1" customFormat="1" ht="24" customHeight="1" x14ac:dyDescent="0.45">
      <c r="A6" s="48" t="s">
        <v>379</v>
      </c>
      <c r="B6" s="49" t="s">
        <v>380</v>
      </c>
      <c r="C6" s="50" t="s">
        <v>381</v>
      </c>
    </row>
    <row r="7" spans="1:3" s="1" customFormat="1" ht="24" customHeight="1" x14ac:dyDescent="0.45">
      <c r="A7" s="51" t="s">
        <v>382</v>
      </c>
      <c r="B7" s="52" t="s">
        <v>383</v>
      </c>
      <c r="C7" s="50" t="s">
        <v>384</v>
      </c>
    </row>
    <row r="8" spans="1:3" s="1" customFormat="1" ht="24" customHeight="1" x14ac:dyDescent="0.45">
      <c r="A8" s="48" t="s">
        <v>385</v>
      </c>
      <c r="B8" s="53" t="s">
        <v>386</v>
      </c>
      <c r="C8" s="50" t="s">
        <v>387</v>
      </c>
    </row>
    <row r="9" spans="1:3" s="1" customFormat="1" ht="24" customHeight="1" x14ac:dyDescent="0.45">
      <c r="A9" s="51" t="s">
        <v>388</v>
      </c>
      <c r="B9" s="54" t="s">
        <v>389</v>
      </c>
      <c r="C9" s="50" t="s">
        <v>390</v>
      </c>
    </row>
    <row r="10" spans="1:3" s="1" customFormat="1" ht="24" customHeight="1" x14ac:dyDescent="0.45">
      <c r="A10" s="48" t="s">
        <v>391</v>
      </c>
      <c r="B10" s="49" t="s">
        <v>380</v>
      </c>
      <c r="C10" s="50" t="s">
        <v>392</v>
      </c>
    </row>
    <row r="11" spans="1:3" s="1" customFormat="1" ht="24" customHeight="1" x14ac:dyDescent="0.45">
      <c r="A11" s="51" t="s">
        <v>393</v>
      </c>
      <c r="B11" s="52" t="s">
        <v>394</v>
      </c>
      <c r="C11" s="50" t="s">
        <v>395</v>
      </c>
    </row>
    <row r="12" spans="1:3" s="1" customFormat="1" ht="24" customHeight="1" x14ac:dyDescent="0.45">
      <c r="A12" s="48" t="s">
        <v>396</v>
      </c>
      <c r="B12" s="55" t="s">
        <v>397</v>
      </c>
      <c r="C12" s="50" t="s">
        <v>398</v>
      </c>
    </row>
    <row r="13" spans="1:3" s="1" customFormat="1" ht="24" customHeight="1" x14ac:dyDescent="0.45">
      <c r="A13" s="51" t="s">
        <v>399</v>
      </c>
      <c r="B13" s="52" t="s">
        <v>400</v>
      </c>
      <c r="C13" s="50" t="s">
        <v>401</v>
      </c>
    </row>
    <row r="14" spans="1:3" s="1" customFormat="1" ht="24" customHeight="1" x14ac:dyDescent="0.45">
      <c r="A14" s="48" t="s">
        <v>402</v>
      </c>
      <c r="B14" s="49" t="s">
        <v>403</v>
      </c>
      <c r="C14" s="50" t="s">
        <v>404</v>
      </c>
    </row>
    <row r="15" spans="1:3" s="1" customFormat="1" ht="24" customHeight="1" x14ac:dyDescent="0.45">
      <c r="A15" s="51" t="s">
        <v>405</v>
      </c>
      <c r="B15" s="52" t="s">
        <v>406</v>
      </c>
      <c r="C15" s="50" t="s">
        <v>407</v>
      </c>
    </row>
    <row r="17" spans="1:3" s="1" customFormat="1" ht="39.75" customHeight="1" x14ac:dyDescent="0.45">
      <c r="A17" s="86" t="s">
        <v>408</v>
      </c>
      <c r="B17" s="64"/>
      <c r="C17" s="64"/>
    </row>
    <row r="18" spans="1:3" s="1" customFormat="1" ht="19.5" customHeight="1" x14ac:dyDescent="0.45">
      <c r="A18" s="73" t="s">
        <v>54</v>
      </c>
      <c r="B18" s="64"/>
      <c r="C18" s="64"/>
    </row>
  </sheetData>
  <mergeCells count="5">
    <mergeCell ref="A1:C1"/>
    <mergeCell ref="A17:C17"/>
    <mergeCell ref="A18:C18"/>
    <mergeCell ref="A4:C4"/>
    <mergeCell ref="A2:C2"/>
  </mergeCells>
  <pageMargins left="0.75" right="0.75" top="1" bottom="1" header="0.511811023622047" footer="0.511811023622047"/>
  <pageSetup paperSize="9" orientation="portrait" useFirstPageNumber="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88888"/>
  </sheetPr>
  <dimension ref="A1:P20"/>
  <sheetViews>
    <sheetView zoomScaleNormal="100" workbookViewId="0"/>
  </sheetViews>
  <sheetFormatPr defaultColWidth="8.6640625" defaultRowHeight="14.25" x14ac:dyDescent="0.45"/>
  <cols>
    <col min="1" max="16" width="30" style="1" customWidth="1"/>
  </cols>
  <sheetData>
    <row r="1" spans="1:16" s="1" customFormat="1" ht="15" customHeight="1" x14ac:dyDescent="0.45">
      <c r="A1" s="56" t="s">
        <v>409</v>
      </c>
      <c r="B1" s="56" t="s">
        <v>410</v>
      </c>
      <c r="C1" s="56" t="s">
        <v>411</v>
      </c>
      <c r="D1" s="56" t="s">
        <v>412</v>
      </c>
      <c r="E1" s="56" t="s">
        <v>413</v>
      </c>
      <c r="F1" s="56" t="s">
        <v>414</v>
      </c>
      <c r="G1" s="56" t="s">
        <v>415</v>
      </c>
      <c r="H1" s="56" t="s">
        <v>416</v>
      </c>
      <c r="I1" s="56" t="s">
        <v>417</v>
      </c>
      <c r="J1" s="56" t="s">
        <v>418</v>
      </c>
      <c r="K1" s="56" t="s">
        <v>419</v>
      </c>
      <c r="L1" s="56" t="s">
        <v>420</v>
      </c>
      <c r="M1" s="56" t="s">
        <v>421</v>
      </c>
      <c r="N1" s="56" t="s">
        <v>422</v>
      </c>
      <c r="O1" s="56" t="s">
        <v>423</v>
      </c>
      <c r="P1" s="56" t="s">
        <v>424</v>
      </c>
    </row>
    <row r="2" spans="1:16" s="1" customFormat="1" ht="21.75" customHeight="1" x14ac:dyDescent="0.45">
      <c r="A2" s="7" t="s">
        <v>425</v>
      </c>
      <c r="B2" s="7" t="s">
        <v>340</v>
      </c>
      <c r="C2" s="7" t="s">
        <v>426</v>
      </c>
      <c r="D2" s="7" t="s">
        <v>427</v>
      </c>
      <c r="E2" s="7" t="s">
        <v>428</v>
      </c>
      <c r="F2" s="7" t="s">
        <v>429</v>
      </c>
      <c r="G2" s="7" t="s">
        <v>430</v>
      </c>
      <c r="H2" s="7" t="s">
        <v>431</v>
      </c>
      <c r="I2" s="7" t="s">
        <v>431</v>
      </c>
      <c r="J2" s="7" t="s">
        <v>432</v>
      </c>
      <c r="K2" s="7" t="s">
        <v>433</v>
      </c>
      <c r="L2" s="7" t="s">
        <v>434</v>
      </c>
      <c r="M2" s="7" t="s">
        <v>430</v>
      </c>
      <c r="N2" s="7" t="s">
        <v>435</v>
      </c>
      <c r="O2" s="7" t="s">
        <v>436</v>
      </c>
      <c r="P2" s="7" t="s">
        <v>437</v>
      </c>
    </row>
    <row r="3" spans="1:16" s="1" customFormat="1" ht="21.75" customHeight="1" x14ac:dyDescent="0.45">
      <c r="A3" s="5" t="s">
        <v>438</v>
      </c>
      <c r="B3" s="5" t="s">
        <v>342</v>
      </c>
      <c r="C3" s="5" t="s">
        <v>439</v>
      </c>
      <c r="D3" s="5" t="s">
        <v>440</v>
      </c>
      <c r="E3" s="5" t="s">
        <v>441</v>
      </c>
      <c r="F3" s="5" t="s">
        <v>442</v>
      </c>
      <c r="G3" s="5" t="s">
        <v>443</v>
      </c>
      <c r="H3" s="5" t="s">
        <v>444</v>
      </c>
      <c r="I3" s="5" t="s">
        <v>444</v>
      </c>
      <c r="J3" s="5" t="s">
        <v>445</v>
      </c>
      <c r="K3" s="5" t="s">
        <v>446</v>
      </c>
      <c r="L3" s="5" t="s">
        <v>447</v>
      </c>
      <c r="M3" s="5" t="s">
        <v>443</v>
      </c>
      <c r="N3" s="5" t="s">
        <v>448</v>
      </c>
      <c r="O3" s="5" t="s">
        <v>449</v>
      </c>
      <c r="P3" s="5" t="s">
        <v>450</v>
      </c>
    </row>
    <row r="4" spans="1:16" s="1" customFormat="1" ht="21.75" customHeight="1" x14ac:dyDescent="0.45">
      <c r="A4" s="7" t="s">
        <v>451</v>
      </c>
      <c r="B4" s="7" t="s">
        <v>344</v>
      </c>
      <c r="C4" s="7" t="s">
        <v>452</v>
      </c>
      <c r="D4" s="7" t="s">
        <v>453</v>
      </c>
      <c r="E4" s="7" t="s">
        <v>454</v>
      </c>
      <c r="F4" s="7" t="s">
        <v>455</v>
      </c>
      <c r="G4" s="7" t="s">
        <v>456</v>
      </c>
      <c r="I4" s="7" t="s">
        <v>457</v>
      </c>
      <c r="J4" s="7" t="s">
        <v>458</v>
      </c>
      <c r="K4" s="7" t="s">
        <v>459</v>
      </c>
      <c r="L4" s="7" t="s">
        <v>460</v>
      </c>
      <c r="M4" s="7" t="s">
        <v>456</v>
      </c>
      <c r="N4" s="7" t="s">
        <v>461</v>
      </c>
      <c r="O4" s="7" t="s">
        <v>462</v>
      </c>
      <c r="P4" s="7" t="s">
        <v>463</v>
      </c>
    </row>
    <row r="5" spans="1:16" s="1" customFormat="1" ht="21.75" customHeight="1" x14ac:dyDescent="0.45">
      <c r="A5" s="5" t="s">
        <v>464</v>
      </c>
      <c r="B5" s="5" t="s">
        <v>346</v>
      </c>
      <c r="C5" s="5" t="s">
        <v>465</v>
      </c>
      <c r="D5" s="5" t="s">
        <v>466</v>
      </c>
      <c r="E5" s="5" t="s">
        <v>467</v>
      </c>
      <c r="F5" s="5" t="s">
        <v>468</v>
      </c>
      <c r="G5" s="5" t="s">
        <v>469</v>
      </c>
      <c r="J5" s="5" t="s">
        <v>470</v>
      </c>
      <c r="L5" s="5" t="s">
        <v>471</v>
      </c>
      <c r="M5" s="5" t="s">
        <v>472</v>
      </c>
      <c r="N5" s="5" t="s">
        <v>473</v>
      </c>
      <c r="O5" s="5" t="s">
        <v>474</v>
      </c>
      <c r="P5" s="5" t="s">
        <v>475</v>
      </c>
    </row>
    <row r="6" spans="1:16" s="1" customFormat="1" ht="15" customHeight="1" x14ac:dyDescent="0.45">
      <c r="A6" s="7" t="s">
        <v>476</v>
      </c>
      <c r="B6" s="7" t="s">
        <v>348</v>
      </c>
      <c r="D6" s="7" t="s">
        <v>477</v>
      </c>
      <c r="E6" s="7" t="s">
        <v>478</v>
      </c>
      <c r="G6" s="7" t="s">
        <v>479</v>
      </c>
      <c r="J6" s="7" t="s">
        <v>480</v>
      </c>
      <c r="L6" s="7" t="s">
        <v>481</v>
      </c>
      <c r="M6" s="7" t="s">
        <v>457</v>
      </c>
      <c r="N6" s="7" t="s">
        <v>482</v>
      </c>
      <c r="O6" s="7" t="s">
        <v>483</v>
      </c>
      <c r="P6" s="7" t="s">
        <v>484</v>
      </c>
    </row>
    <row r="7" spans="1:16" s="1" customFormat="1" ht="15" customHeight="1" x14ac:dyDescent="0.45">
      <c r="A7" s="5" t="s">
        <v>485</v>
      </c>
      <c r="B7" s="5" t="s">
        <v>350</v>
      </c>
      <c r="D7" s="5" t="s">
        <v>486</v>
      </c>
      <c r="E7" s="5" t="s">
        <v>487</v>
      </c>
      <c r="J7" s="5" t="s">
        <v>488</v>
      </c>
      <c r="L7" s="5" t="s">
        <v>489</v>
      </c>
      <c r="O7" s="5" t="s">
        <v>490</v>
      </c>
    </row>
    <row r="8" spans="1:16" s="1" customFormat="1" ht="15" customHeight="1" x14ac:dyDescent="0.45">
      <c r="A8" s="7" t="s">
        <v>491</v>
      </c>
      <c r="B8" s="7" t="s">
        <v>492</v>
      </c>
      <c r="D8" s="7" t="s">
        <v>493</v>
      </c>
      <c r="E8" s="7" t="s">
        <v>494</v>
      </c>
      <c r="O8" s="7" t="s">
        <v>488</v>
      </c>
    </row>
    <row r="9" spans="1:16" s="1" customFormat="1" ht="15" customHeight="1" x14ac:dyDescent="0.45">
      <c r="A9" s="5" t="s">
        <v>495</v>
      </c>
      <c r="B9" s="5" t="s">
        <v>496</v>
      </c>
      <c r="D9" s="5" t="s">
        <v>497</v>
      </c>
      <c r="E9" s="5" t="s">
        <v>498</v>
      </c>
    </row>
    <row r="10" spans="1:16" s="1" customFormat="1" ht="15" customHeight="1" x14ac:dyDescent="0.45">
      <c r="A10" s="7" t="s">
        <v>499</v>
      </c>
      <c r="B10" s="7" t="s">
        <v>352</v>
      </c>
      <c r="E10" s="7" t="s">
        <v>500</v>
      </c>
    </row>
    <row r="11" spans="1:16" s="1" customFormat="1" ht="15" customHeight="1" x14ac:dyDescent="0.45">
      <c r="A11" s="5" t="s">
        <v>501</v>
      </c>
      <c r="B11" s="5" t="s">
        <v>502</v>
      </c>
      <c r="E11" s="5" t="s">
        <v>503</v>
      </c>
    </row>
    <row r="12" spans="1:16" s="1" customFormat="1" ht="15" customHeight="1" x14ac:dyDescent="0.45">
      <c r="A12" s="7" t="s">
        <v>504</v>
      </c>
      <c r="B12" s="7" t="s">
        <v>488</v>
      </c>
      <c r="E12" s="7" t="s">
        <v>505</v>
      </c>
    </row>
    <row r="13" spans="1:16" s="1" customFormat="1" ht="15" customHeight="1" x14ac:dyDescent="0.45">
      <c r="A13" s="5" t="s">
        <v>506</v>
      </c>
      <c r="E13" s="5" t="s">
        <v>507</v>
      </c>
    </row>
    <row r="14" spans="1:16" s="1" customFormat="1" ht="15" customHeight="1" x14ac:dyDescent="0.45">
      <c r="A14" s="7" t="s">
        <v>508</v>
      </c>
      <c r="E14" s="7" t="s">
        <v>509</v>
      </c>
    </row>
    <row r="15" spans="1:16" s="1" customFormat="1" ht="15" customHeight="1" x14ac:dyDescent="0.45">
      <c r="A15" s="5" t="s">
        <v>510</v>
      </c>
      <c r="E15" s="5" t="s">
        <v>511</v>
      </c>
    </row>
    <row r="16" spans="1:16" s="1" customFormat="1" ht="15" customHeight="1" x14ac:dyDescent="0.45">
      <c r="E16" s="7" t="s">
        <v>512</v>
      </c>
    </row>
    <row r="17" spans="5:5" s="1" customFormat="1" ht="15" customHeight="1" x14ac:dyDescent="0.45">
      <c r="E17" s="5" t="s">
        <v>513</v>
      </c>
    </row>
    <row r="18" spans="5:5" s="1" customFormat="1" ht="15" customHeight="1" x14ac:dyDescent="0.45">
      <c r="E18" s="7" t="s">
        <v>514</v>
      </c>
    </row>
    <row r="19" spans="5:5" s="1" customFormat="1" ht="15" customHeight="1" x14ac:dyDescent="0.45">
      <c r="E19" s="5" t="s">
        <v>515</v>
      </c>
    </row>
    <row r="20" spans="5:5" s="1" customFormat="1" ht="15" customHeight="1" x14ac:dyDescent="0.45">
      <c r="E20" s="7" t="s">
        <v>488</v>
      </c>
    </row>
  </sheetData>
  <pageMargins left="0.75" right="0.75" top="1" bottom="1" header="0.511811023622047" footer="0.511811023622047"/>
  <pageSetup paperSize="9" orientation="portrait" useFirstPageNumber="1"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8650A"/>
  </sheetPr>
  <dimension ref="A1:B13"/>
  <sheetViews>
    <sheetView zoomScaleNormal="100" workbookViewId="0"/>
  </sheetViews>
  <sheetFormatPr defaultRowHeight="14.25" x14ac:dyDescent="0.45"/>
  <cols>
    <col min="1" max="1" width="60" style="1" customWidth="1"/>
    <col min="2" max="2" width="20" style="1" customWidth="1"/>
  </cols>
  <sheetData>
    <row r="1" spans="1:2" s="1" customFormat="1" ht="44" customHeight="1" x14ac:dyDescent="0.45">
      <c r="A1" s="92" t="s">
        <v>516</v>
      </c>
      <c r="B1" s="64"/>
    </row>
    <row r="2" spans="1:2" s="1" customFormat="1" ht="28.05" customHeight="1" x14ac:dyDescent="0.45">
      <c r="A2" s="89" t="s">
        <v>517</v>
      </c>
      <c r="B2" s="64"/>
    </row>
    <row r="3" spans="1:2" s="1" customFormat="1" ht="44" customHeight="1" x14ac:dyDescent="0.45">
      <c r="A3" s="57" t="s">
        <v>518</v>
      </c>
    </row>
    <row r="4" spans="1:2" s="1" customFormat="1" ht="80" customHeight="1" x14ac:dyDescent="0.45">
      <c r="A4" s="58" t="s">
        <v>519</v>
      </c>
    </row>
    <row r="5" spans="1:2" s="1" customFormat="1" ht="30" customHeight="1" x14ac:dyDescent="0.45">
      <c r="A5" s="90" t="s">
        <v>520</v>
      </c>
      <c r="B5" s="64"/>
    </row>
    <row r="6" spans="1:2" s="1" customFormat="1" ht="28.05" customHeight="1" x14ac:dyDescent="0.45">
      <c r="A6" s="59" t="s">
        <v>521</v>
      </c>
      <c r="B6" s="60" t="s">
        <v>522</v>
      </c>
    </row>
    <row r="7" spans="1:2" s="1" customFormat="1" ht="28.05" customHeight="1" x14ac:dyDescent="0.45">
      <c r="A7" s="61" t="s">
        <v>523</v>
      </c>
      <c r="B7" s="62" t="s">
        <v>524</v>
      </c>
    </row>
    <row r="8" spans="1:2" s="1" customFormat="1" ht="28.05" customHeight="1" x14ac:dyDescent="0.45">
      <c r="A8" s="59" t="s">
        <v>525</v>
      </c>
      <c r="B8" s="60" t="s">
        <v>526</v>
      </c>
    </row>
    <row r="9" spans="1:2" s="1" customFormat="1" ht="28.05" customHeight="1" x14ac:dyDescent="0.45">
      <c r="A9" s="61" t="s">
        <v>527</v>
      </c>
      <c r="B9" s="62" t="s">
        <v>528</v>
      </c>
    </row>
    <row r="10" spans="1:2" s="1" customFormat="1" ht="28.05" customHeight="1" x14ac:dyDescent="0.45">
      <c r="A10" s="59" t="s">
        <v>529</v>
      </c>
      <c r="B10" s="60" t="s">
        <v>530</v>
      </c>
    </row>
    <row r="11" spans="1:2" s="1" customFormat="1" ht="28.05" customHeight="1" x14ac:dyDescent="0.45">
      <c r="A11" s="61" t="s">
        <v>531</v>
      </c>
      <c r="B11" s="62" t="s">
        <v>532</v>
      </c>
    </row>
    <row r="12" spans="1:2" s="1" customFormat="1" ht="44" customHeight="1" x14ac:dyDescent="0.45">
      <c r="A12" s="93" t="s">
        <v>533</v>
      </c>
      <c r="B12" s="64"/>
    </row>
    <row r="13" spans="1:2" s="1" customFormat="1" ht="32" customHeight="1" x14ac:dyDescent="0.45">
      <c r="A13" s="91" t="s">
        <v>534</v>
      </c>
      <c r="B13" s="64"/>
    </row>
  </sheetData>
  <mergeCells count="5">
    <mergeCell ref="A2:B2"/>
    <mergeCell ref="A5:B5"/>
    <mergeCell ref="A13:B13"/>
    <mergeCell ref="A1:B1"/>
    <mergeCell ref="A12:B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Cover</vt:lpstr>
      <vt:lpstr>Student Roster</vt:lpstr>
      <vt:lpstr>ISS Placements</vt:lpstr>
      <vt:lpstr>Daily Activity Log</vt:lpstr>
      <vt:lpstr>Re-Entry Checklist</vt:lpstr>
      <vt:lpstr>Intervention Library</vt:lpstr>
      <vt:lpstr>Student Activity Plans</vt:lpstr>
      <vt:lpstr>Outcome Tracker</vt:lpstr>
      <vt:lpstr>Dashboard</vt:lpstr>
      <vt:lpstr>🔄 Re-Entry Board</vt:lpstr>
      <vt:lpstr>Reference</vt:lpstr>
      <vt:lpstr>↑ Upgrade to Navigator</vt:lpstr>
      <vt:lpstr>Lists</vt:lpstr>
      <vt:lpstr>↑ Upgrade to Waypoint</vt:lpstr>
      <vt:lpstr>'Daily Activity Log'!Print_Titles</vt:lpstr>
      <vt:lpstr>'Intervention Library'!Print_Titles</vt:lpstr>
      <vt:lpstr>'ISS Placements'!Print_Titles</vt:lpstr>
      <vt:lpstr>'Outcome Tracker'!Print_Titles</vt:lpstr>
      <vt:lpstr>'Re-Entry Checklist'!Print_Titles</vt:lpstr>
      <vt:lpstr>Reference!Print_Titles</vt:lpstr>
      <vt:lpstr>'Student Roster'!Print_Titles</vt:lpstr>
      <vt:lpstr>'🔄 Re-Entry Board'!Print_Titles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Kim Culley</cp:lastModifiedBy>
  <dcterms:created xsi:type="dcterms:W3CDTF">2026-03-11T21:41:16Z</dcterms:created>
  <dcterms:modified xsi:type="dcterms:W3CDTF">2026-07-14T19:47:35Z</dcterms:modified>
  <dc:language>en-US</dc:language>
</cp:coreProperties>
</file>