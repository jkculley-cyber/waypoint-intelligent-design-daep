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kcul\waypoint-intelligent-design-daep-master\products\campus-leadership-system\"/>
    </mc:Choice>
  </mc:AlternateContent>
  <xr:revisionPtr revIDLastSave="0" documentId="13_ncr:1_{1B15B2B5-6E94-4F39-9E0B-682EDD9B9360}" xr6:coauthVersionLast="47" xr6:coauthVersionMax="47" xr10:uidLastSave="{00000000-0000-0000-0000-000000000000}"/>
  <bookViews>
    <workbookView xWindow="2940" yWindow="2940" windowWidth="16200" windowHeight="9982" xr2:uid="{00000000-000D-0000-FFFF-FFFF00000000}"/>
  </bookViews>
  <sheets>
    <sheet name="Cover" sheetId="1" r:id="rId1"/>
    <sheet name="SPED Student Roster" sheetId="2" r:id="rId2"/>
    <sheet name="IEP Tracker" sheetId="3" r:id="rId3"/>
    <sheet name="504 Plan Tracker" sheetId="4" r:id="rId4"/>
    <sheet name="Dyslexia-HB 3928" sheetId="5" r:id="rId5"/>
    <sheet name="CAP Findings" sheetId="6" r:id="rId6"/>
    <sheet name="SPPI-13 Transition" sheetId="7" r:id="rId7"/>
    <sheet name="Dashboard" sheetId="8" r:id="rId8"/>
    <sheet name="📋 Compliance Health Board" sheetId="9" r:id="rId9"/>
    <sheet name="Reference" sheetId="10" r:id="rId10"/>
    <sheet name="↑ Upgrade to Meridian" sheetId="11" r:id="rId11"/>
    <sheet name="List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9" l="1"/>
  <c r="B42" i="9"/>
  <c r="B40" i="9"/>
  <c r="B37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A32" i="9"/>
  <c r="H31" i="9"/>
  <c r="G31" i="9"/>
  <c r="F31" i="9"/>
  <c r="E31" i="9"/>
  <c r="D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B26" i="9"/>
  <c r="A26" i="9"/>
  <c r="H25" i="9"/>
  <c r="B25" i="9"/>
  <c r="A25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D18" i="9"/>
  <c r="C18" i="9"/>
  <c r="B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B15" i="9"/>
  <c r="A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A11" i="9"/>
  <c r="H10" i="9"/>
  <c r="F10" i="9"/>
  <c r="B10" i="9"/>
  <c r="A10" i="9"/>
  <c r="H9" i="9"/>
  <c r="F9" i="9"/>
  <c r="B9" i="9"/>
  <c r="A9" i="9"/>
  <c r="H8" i="9"/>
  <c r="G8" i="9"/>
  <c r="F8" i="9"/>
  <c r="E8" i="9"/>
  <c r="D8" i="9"/>
  <c r="C8" i="9"/>
  <c r="B8" i="9"/>
  <c r="A8" i="9"/>
  <c r="H7" i="9"/>
  <c r="F7" i="9"/>
  <c r="B7" i="9"/>
  <c r="A7" i="9"/>
  <c r="A2" i="9"/>
  <c r="B25" i="8"/>
  <c r="B24" i="8"/>
  <c r="B23" i="8"/>
  <c r="B22" i="8"/>
  <c r="B21" i="8"/>
  <c r="B20" i="8"/>
  <c r="B15" i="8"/>
  <c r="B14" i="8"/>
  <c r="B13" i="8"/>
  <c r="B12" i="8"/>
  <c r="B11" i="8"/>
  <c r="B9" i="8"/>
  <c r="B8" i="8"/>
  <c r="B7" i="8"/>
  <c r="B6" i="8"/>
  <c r="B5" i="8"/>
  <c r="A2" i="8"/>
  <c r="S101" i="7"/>
  <c r="E101" i="7"/>
  <c r="D101" i="7"/>
  <c r="C101" i="7"/>
  <c r="B101" i="7"/>
  <c r="S100" i="7"/>
  <c r="E100" i="7"/>
  <c r="D100" i="7"/>
  <c r="C100" i="7"/>
  <c r="B100" i="7"/>
  <c r="S99" i="7"/>
  <c r="E99" i="7"/>
  <c r="D99" i="7"/>
  <c r="C99" i="7"/>
  <c r="B99" i="7"/>
  <c r="S98" i="7"/>
  <c r="E98" i="7"/>
  <c r="D98" i="7"/>
  <c r="C98" i="7"/>
  <c r="B98" i="7"/>
  <c r="S97" i="7"/>
  <c r="E97" i="7"/>
  <c r="D97" i="7"/>
  <c r="C97" i="7"/>
  <c r="B97" i="7"/>
  <c r="S96" i="7"/>
  <c r="E96" i="7"/>
  <c r="D96" i="7"/>
  <c r="C96" i="7"/>
  <c r="B96" i="7"/>
  <c r="S95" i="7"/>
  <c r="E95" i="7"/>
  <c r="D95" i="7"/>
  <c r="C95" i="7"/>
  <c r="B95" i="7"/>
  <c r="S94" i="7"/>
  <c r="E94" i="7"/>
  <c r="D94" i="7"/>
  <c r="C94" i="7"/>
  <c r="B94" i="7"/>
  <c r="S93" i="7"/>
  <c r="E93" i="7"/>
  <c r="D93" i="7"/>
  <c r="C93" i="7"/>
  <c r="B93" i="7"/>
  <c r="S92" i="7"/>
  <c r="E92" i="7"/>
  <c r="D92" i="7"/>
  <c r="C92" i="7"/>
  <c r="B92" i="7"/>
  <c r="S91" i="7"/>
  <c r="E91" i="7"/>
  <c r="D91" i="7"/>
  <c r="C91" i="7"/>
  <c r="B91" i="7"/>
  <c r="S90" i="7"/>
  <c r="E90" i="7"/>
  <c r="D90" i="7"/>
  <c r="C90" i="7"/>
  <c r="B90" i="7"/>
  <c r="S89" i="7"/>
  <c r="E89" i="7"/>
  <c r="D89" i="7"/>
  <c r="C89" i="7"/>
  <c r="B89" i="7"/>
  <c r="S88" i="7"/>
  <c r="E88" i="7"/>
  <c r="D88" i="7"/>
  <c r="C88" i="7"/>
  <c r="B88" i="7"/>
  <c r="S87" i="7"/>
  <c r="E87" i="7"/>
  <c r="D87" i="7"/>
  <c r="C87" i="7"/>
  <c r="B87" i="7"/>
  <c r="S86" i="7"/>
  <c r="E86" i="7"/>
  <c r="D86" i="7"/>
  <c r="C86" i="7"/>
  <c r="B86" i="7"/>
  <c r="S85" i="7"/>
  <c r="E85" i="7"/>
  <c r="D85" i="7"/>
  <c r="C85" i="7"/>
  <c r="B85" i="7"/>
  <c r="S84" i="7"/>
  <c r="E84" i="7"/>
  <c r="D84" i="7"/>
  <c r="C84" i="7"/>
  <c r="B84" i="7"/>
  <c r="S83" i="7"/>
  <c r="E83" i="7"/>
  <c r="D83" i="7"/>
  <c r="C83" i="7"/>
  <c r="B83" i="7"/>
  <c r="S82" i="7"/>
  <c r="E82" i="7"/>
  <c r="D82" i="7"/>
  <c r="C82" i="7"/>
  <c r="B82" i="7"/>
  <c r="S81" i="7"/>
  <c r="E81" i="7"/>
  <c r="D81" i="7"/>
  <c r="C81" i="7"/>
  <c r="B81" i="7"/>
  <c r="S80" i="7"/>
  <c r="E80" i="7"/>
  <c r="D80" i="7"/>
  <c r="C80" i="7"/>
  <c r="B80" i="7"/>
  <c r="S79" i="7"/>
  <c r="E79" i="7"/>
  <c r="D79" i="7"/>
  <c r="C79" i="7"/>
  <c r="B79" i="7"/>
  <c r="S78" i="7"/>
  <c r="E78" i="7"/>
  <c r="D78" i="7"/>
  <c r="C78" i="7"/>
  <c r="B78" i="7"/>
  <c r="S77" i="7"/>
  <c r="E77" i="7"/>
  <c r="D77" i="7"/>
  <c r="C77" i="7"/>
  <c r="B77" i="7"/>
  <c r="S76" i="7"/>
  <c r="E76" i="7"/>
  <c r="D76" i="7"/>
  <c r="C76" i="7"/>
  <c r="B76" i="7"/>
  <c r="S75" i="7"/>
  <c r="E75" i="7"/>
  <c r="D75" i="7"/>
  <c r="C75" i="7"/>
  <c r="B75" i="7"/>
  <c r="S74" i="7"/>
  <c r="E74" i="7"/>
  <c r="D74" i="7"/>
  <c r="C74" i="7"/>
  <c r="B74" i="7"/>
  <c r="S73" i="7"/>
  <c r="E73" i="7"/>
  <c r="D73" i="7"/>
  <c r="C73" i="7"/>
  <c r="B73" i="7"/>
  <c r="S72" i="7"/>
  <c r="E72" i="7"/>
  <c r="D72" i="7"/>
  <c r="C72" i="7"/>
  <c r="B72" i="7"/>
  <c r="S71" i="7"/>
  <c r="E71" i="7"/>
  <c r="D71" i="7"/>
  <c r="C71" i="7"/>
  <c r="B71" i="7"/>
  <c r="S70" i="7"/>
  <c r="E70" i="7"/>
  <c r="D70" i="7"/>
  <c r="C70" i="7"/>
  <c r="B70" i="7"/>
  <c r="S69" i="7"/>
  <c r="E69" i="7"/>
  <c r="D69" i="7"/>
  <c r="C69" i="7"/>
  <c r="B69" i="7"/>
  <c r="S68" i="7"/>
  <c r="E68" i="7"/>
  <c r="D68" i="7"/>
  <c r="C68" i="7"/>
  <c r="B68" i="7"/>
  <c r="S67" i="7"/>
  <c r="E67" i="7"/>
  <c r="D67" i="7"/>
  <c r="C67" i="7"/>
  <c r="B67" i="7"/>
  <c r="S66" i="7"/>
  <c r="E66" i="7"/>
  <c r="D66" i="7"/>
  <c r="C66" i="7"/>
  <c r="B66" i="7"/>
  <c r="S65" i="7"/>
  <c r="E65" i="7"/>
  <c r="D65" i="7"/>
  <c r="C65" i="7"/>
  <c r="B65" i="7"/>
  <c r="S64" i="7"/>
  <c r="E64" i="7"/>
  <c r="D64" i="7"/>
  <c r="C64" i="7"/>
  <c r="B64" i="7"/>
  <c r="S63" i="7"/>
  <c r="E63" i="7"/>
  <c r="D63" i="7"/>
  <c r="C63" i="7"/>
  <c r="B63" i="7"/>
  <c r="S62" i="7"/>
  <c r="E62" i="7"/>
  <c r="D62" i="7"/>
  <c r="C62" i="7"/>
  <c r="B62" i="7"/>
  <c r="S61" i="7"/>
  <c r="E61" i="7"/>
  <c r="D61" i="7"/>
  <c r="C61" i="7"/>
  <c r="B61" i="7"/>
  <c r="S60" i="7"/>
  <c r="E60" i="7"/>
  <c r="D60" i="7"/>
  <c r="C60" i="7"/>
  <c r="B60" i="7"/>
  <c r="S59" i="7"/>
  <c r="E59" i="7"/>
  <c r="D59" i="7"/>
  <c r="C59" i="7"/>
  <c r="B59" i="7"/>
  <c r="S58" i="7"/>
  <c r="E58" i="7"/>
  <c r="D58" i="7"/>
  <c r="C58" i="7"/>
  <c r="B58" i="7"/>
  <c r="S57" i="7"/>
  <c r="E57" i="7"/>
  <c r="D57" i="7"/>
  <c r="C57" i="7"/>
  <c r="B57" i="7"/>
  <c r="S56" i="7"/>
  <c r="E56" i="7"/>
  <c r="D56" i="7"/>
  <c r="C56" i="7"/>
  <c r="B56" i="7"/>
  <c r="S55" i="7"/>
  <c r="E55" i="7"/>
  <c r="D55" i="7"/>
  <c r="C55" i="7"/>
  <c r="B55" i="7"/>
  <c r="S54" i="7"/>
  <c r="E54" i="7"/>
  <c r="D54" i="7"/>
  <c r="C54" i="7"/>
  <c r="B54" i="7"/>
  <c r="S53" i="7"/>
  <c r="E53" i="7"/>
  <c r="D53" i="7"/>
  <c r="C53" i="7"/>
  <c r="B53" i="7"/>
  <c r="S52" i="7"/>
  <c r="E52" i="7"/>
  <c r="D52" i="7"/>
  <c r="C52" i="7"/>
  <c r="B52" i="7"/>
  <c r="S51" i="7"/>
  <c r="E51" i="7"/>
  <c r="D51" i="7"/>
  <c r="C51" i="7"/>
  <c r="B51" i="7"/>
  <c r="S50" i="7"/>
  <c r="E50" i="7"/>
  <c r="D50" i="7"/>
  <c r="C50" i="7"/>
  <c r="B50" i="7"/>
  <c r="S49" i="7"/>
  <c r="E49" i="7"/>
  <c r="D49" i="7"/>
  <c r="C49" i="7"/>
  <c r="B49" i="7"/>
  <c r="S48" i="7"/>
  <c r="E48" i="7"/>
  <c r="D48" i="7"/>
  <c r="C48" i="7"/>
  <c r="B48" i="7"/>
  <c r="S47" i="7"/>
  <c r="E47" i="7"/>
  <c r="D47" i="7"/>
  <c r="C47" i="7"/>
  <c r="B47" i="7"/>
  <c r="S46" i="7"/>
  <c r="E46" i="7"/>
  <c r="D46" i="7"/>
  <c r="C46" i="7"/>
  <c r="B46" i="7"/>
  <c r="S45" i="7"/>
  <c r="E45" i="7"/>
  <c r="D45" i="7"/>
  <c r="C45" i="7"/>
  <c r="B45" i="7"/>
  <c r="S44" i="7"/>
  <c r="E44" i="7"/>
  <c r="D44" i="7"/>
  <c r="C44" i="7"/>
  <c r="B44" i="7"/>
  <c r="S43" i="7"/>
  <c r="E43" i="7"/>
  <c r="D43" i="7"/>
  <c r="C43" i="7"/>
  <c r="B43" i="7"/>
  <c r="S42" i="7"/>
  <c r="E42" i="7"/>
  <c r="D42" i="7"/>
  <c r="C42" i="7"/>
  <c r="B42" i="7"/>
  <c r="S41" i="7"/>
  <c r="E41" i="7"/>
  <c r="D41" i="7"/>
  <c r="C41" i="7"/>
  <c r="B41" i="7"/>
  <c r="S40" i="7"/>
  <c r="E40" i="7"/>
  <c r="D40" i="7"/>
  <c r="C40" i="7"/>
  <c r="B40" i="7"/>
  <c r="S39" i="7"/>
  <c r="E39" i="7"/>
  <c r="D39" i="7"/>
  <c r="C39" i="7"/>
  <c r="B39" i="7"/>
  <c r="S38" i="7"/>
  <c r="E38" i="7"/>
  <c r="D38" i="7"/>
  <c r="C38" i="7"/>
  <c r="B38" i="7"/>
  <c r="S37" i="7"/>
  <c r="E37" i="7"/>
  <c r="D37" i="7"/>
  <c r="C37" i="7"/>
  <c r="B37" i="7"/>
  <c r="S36" i="7"/>
  <c r="E36" i="7"/>
  <c r="D36" i="7"/>
  <c r="C36" i="7"/>
  <c r="B36" i="7"/>
  <c r="S35" i="7"/>
  <c r="E35" i="7"/>
  <c r="D35" i="7"/>
  <c r="C35" i="7"/>
  <c r="B35" i="7"/>
  <c r="S34" i="7"/>
  <c r="E34" i="7"/>
  <c r="D34" i="7"/>
  <c r="C34" i="7"/>
  <c r="B34" i="7"/>
  <c r="S33" i="7"/>
  <c r="E33" i="7"/>
  <c r="D33" i="7"/>
  <c r="C33" i="7"/>
  <c r="B33" i="7"/>
  <c r="S32" i="7"/>
  <c r="E32" i="7"/>
  <c r="D32" i="7"/>
  <c r="C32" i="7"/>
  <c r="B32" i="7"/>
  <c r="S31" i="7"/>
  <c r="E31" i="7"/>
  <c r="D31" i="7"/>
  <c r="C31" i="7"/>
  <c r="B31" i="7"/>
  <c r="S30" i="7"/>
  <c r="E30" i="7"/>
  <c r="D30" i="7"/>
  <c r="C30" i="7"/>
  <c r="B30" i="7"/>
  <c r="S29" i="7"/>
  <c r="E29" i="7"/>
  <c r="D29" i="7"/>
  <c r="C29" i="7"/>
  <c r="B29" i="7"/>
  <c r="S28" i="7"/>
  <c r="E28" i="7"/>
  <c r="D28" i="7"/>
  <c r="C28" i="7"/>
  <c r="B28" i="7"/>
  <c r="S27" i="7"/>
  <c r="E27" i="7"/>
  <c r="D27" i="7"/>
  <c r="C27" i="7"/>
  <c r="B27" i="7"/>
  <c r="S26" i="7"/>
  <c r="E26" i="7"/>
  <c r="D26" i="7"/>
  <c r="C26" i="7"/>
  <c r="B26" i="7"/>
  <c r="S25" i="7"/>
  <c r="E25" i="7"/>
  <c r="D25" i="7"/>
  <c r="C25" i="7"/>
  <c r="B25" i="7"/>
  <c r="S24" i="7"/>
  <c r="E24" i="7"/>
  <c r="D24" i="7"/>
  <c r="C24" i="7"/>
  <c r="B24" i="7"/>
  <c r="S23" i="7"/>
  <c r="E23" i="7"/>
  <c r="D23" i="7"/>
  <c r="C23" i="7"/>
  <c r="B23" i="7"/>
  <c r="S22" i="7"/>
  <c r="E22" i="7"/>
  <c r="D22" i="7"/>
  <c r="C22" i="7"/>
  <c r="B22" i="7"/>
  <c r="S21" i="7"/>
  <c r="E21" i="7"/>
  <c r="D21" i="7"/>
  <c r="C21" i="7"/>
  <c r="B21" i="7"/>
  <c r="S20" i="7"/>
  <c r="E20" i="7"/>
  <c r="D20" i="7"/>
  <c r="C20" i="7"/>
  <c r="B20" i="7"/>
  <c r="S19" i="7"/>
  <c r="E19" i="7"/>
  <c r="D19" i="7"/>
  <c r="C19" i="7"/>
  <c r="B19" i="7"/>
  <c r="S18" i="7"/>
  <c r="E18" i="7"/>
  <c r="D18" i="7"/>
  <c r="C18" i="7"/>
  <c r="B18" i="7"/>
  <c r="S17" i="7"/>
  <c r="E17" i="7"/>
  <c r="D17" i="7"/>
  <c r="C17" i="7"/>
  <c r="B17" i="7"/>
  <c r="S16" i="7"/>
  <c r="E16" i="7"/>
  <c r="D16" i="7"/>
  <c r="C16" i="7"/>
  <c r="B16" i="7"/>
  <c r="S15" i="7"/>
  <c r="E15" i="7"/>
  <c r="D15" i="7"/>
  <c r="C15" i="7"/>
  <c r="B15" i="7"/>
  <c r="S14" i="7"/>
  <c r="E14" i="7"/>
  <c r="D14" i="7"/>
  <c r="C14" i="7"/>
  <c r="B14" i="7"/>
  <c r="S13" i="7"/>
  <c r="E13" i="7"/>
  <c r="D13" i="7"/>
  <c r="C13" i="7"/>
  <c r="B13" i="7"/>
  <c r="S12" i="7"/>
  <c r="E12" i="7"/>
  <c r="D12" i="7"/>
  <c r="C12" i="7"/>
  <c r="B12" i="7"/>
  <c r="S11" i="7"/>
  <c r="E11" i="7"/>
  <c r="D11" i="7"/>
  <c r="C11" i="7"/>
  <c r="B11" i="7"/>
  <c r="S10" i="7"/>
  <c r="E10" i="7"/>
  <c r="D10" i="7"/>
  <c r="C10" i="7"/>
  <c r="B10" i="7"/>
  <c r="S9" i="7"/>
  <c r="E9" i="7"/>
  <c r="D9" i="7"/>
  <c r="C9" i="7"/>
  <c r="B9" i="7"/>
  <c r="S8" i="7"/>
  <c r="E8" i="7"/>
  <c r="D8" i="7"/>
  <c r="C8" i="7"/>
  <c r="B8" i="7"/>
  <c r="S7" i="7"/>
  <c r="E7" i="7"/>
  <c r="D7" i="7"/>
  <c r="C7" i="7"/>
  <c r="B7" i="7"/>
  <c r="S6" i="7"/>
  <c r="E6" i="7"/>
  <c r="D6" i="7"/>
  <c r="C6" i="7"/>
  <c r="B6" i="7"/>
  <c r="S5" i="7"/>
  <c r="E5" i="7"/>
  <c r="D5" i="7"/>
  <c r="C5" i="7"/>
  <c r="B5" i="7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E151" i="5"/>
  <c r="D151" i="5"/>
  <c r="C151" i="5"/>
  <c r="B151" i="5"/>
  <c r="E150" i="5"/>
  <c r="D150" i="5"/>
  <c r="C150" i="5"/>
  <c r="B150" i="5"/>
  <c r="E149" i="5"/>
  <c r="D149" i="5"/>
  <c r="C149" i="5"/>
  <c r="B149" i="5"/>
  <c r="E148" i="5"/>
  <c r="D148" i="5"/>
  <c r="C148" i="5"/>
  <c r="B148" i="5"/>
  <c r="E147" i="5"/>
  <c r="D147" i="5"/>
  <c r="C147" i="5"/>
  <c r="B147" i="5"/>
  <c r="E146" i="5"/>
  <c r="D146" i="5"/>
  <c r="C146" i="5"/>
  <c r="B146" i="5"/>
  <c r="E145" i="5"/>
  <c r="D145" i="5"/>
  <c r="C145" i="5"/>
  <c r="B145" i="5"/>
  <c r="E144" i="5"/>
  <c r="D144" i="5"/>
  <c r="C144" i="5"/>
  <c r="B144" i="5"/>
  <c r="E143" i="5"/>
  <c r="D143" i="5"/>
  <c r="C143" i="5"/>
  <c r="B143" i="5"/>
  <c r="E142" i="5"/>
  <c r="D142" i="5"/>
  <c r="C142" i="5"/>
  <c r="B142" i="5"/>
  <c r="E141" i="5"/>
  <c r="D141" i="5"/>
  <c r="C141" i="5"/>
  <c r="B141" i="5"/>
  <c r="E140" i="5"/>
  <c r="D140" i="5"/>
  <c r="C140" i="5"/>
  <c r="B140" i="5"/>
  <c r="E139" i="5"/>
  <c r="D139" i="5"/>
  <c r="C139" i="5"/>
  <c r="B139" i="5"/>
  <c r="E138" i="5"/>
  <c r="D138" i="5"/>
  <c r="C138" i="5"/>
  <c r="B138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32" i="5"/>
  <c r="D132" i="5"/>
  <c r="C132" i="5"/>
  <c r="B132" i="5"/>
  <c r="E131" i="5"/>
  <c r="D131" i="5"/>
  <c r="C131" i="5"/>
  <c r="B131" i="5"/>
  <c r="E130" i="5"/>
  <c r="D130" i="5"/>
  <c r="C130" i="5"/>
  <c r="B130" i="5"/>
  <c r="E129" i="5"/>
  <c r="D129" i="5"/>
  <c r="C129" i="5"/>
  <c r="B129" i="5"/>
  <c r="E128" i="5"/>
  <c r="D128" i="5"/>
  <c r="C128" i="5"/>
  <c r="B128" i="5"/>
  <c r="E127" i="5"/>
  <c r="D127" i="5"/>
  <c r="C127" i="5"/>
  <c r="B127" i="5"/>
  <c r="E126" i="5"/>
  <c r="D126" i="5"/>
  <c r="C126" i="5"/>
  <c r="B126" i="5"/>
  <c r="E125" i="5"/>
  <c r="D125" i="5"/>
  <c r="C125" i="5"/>
  <c r="B125" i="5"/>
  <c r="E124" i="5"/>
  <c r="D124" i="5"/>
  <c r="C124" i="5"/>
  <c r="B124" i="5"/>
  <c r="E123" i="5"/>
  <c r="D123" i="5"/>
  <c r="C123" i="5"/>
  <c r="B12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7" i="5"/>
  <c r="D117" i="5"/>
  <c r="C117" i="5"/>
  <c r="B117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111" i="5"/>
  <c r="D111" i="5"/>
  <c r="C111" i="5"/>
  <c r="B111" i="5"/>
  <c r="E110" i="5"/>
  <c r="D110" i="5"/>
  <c r="C110" i="5"/>
  <c r="B110" i="5"/>
  <c r="E109" i="5"/>
  <c r="D109" i="5"/>
  <c r="C109" i="5"/>
  <c r="B109" i="5"/>
  <c r="E108" i="5"/>
  <c r="D108" i="5"/>
  <c r="C108" i="5"/>
  <c r="B108" i="5"/>
  <c r="E107" i="5"/>
  <c r="D107" i="5"/>
  <c r="C107" i="5"/>
  <c r="B107" i="5"/>
  <c r="E106" i="5"/>
  <c r="D106" i="5"/>
  <c r="C106" i="5"/>
  <c r="B106" i="5"/>
  <c r="E105" i="5"/>
  <c r="D105" i="5"/>
  <c r="C105" i="5"/>
  <c r="B105" i="5"/>
  <c r="E104" i="5"/>
  <c r="D104" i="5"/>
  <c r="C104" i="5"/>
  <c r="B104" i="5"/>
  <c r="E103" i="5"/>
  <c r="D103" i="5"/>
  <c r="C103" i="5"/>
  <c r="B103" i="5"/>
  <c r="E102" i="5"/>
  <c r="D102" i="5"/>
  <c r="C102" i="5"/>
  <c r="B102" i="5"/>
  <c r="E101" i="5"/>
  <c r="D101" i="5"/>
  <c r="C101" i="5"/>
  <c r="B101" i="5"/>
  <c r="E100" i="5"/>
  <c r="D100" i="5"/>
  <c r="C100" i="5"/>
  <c r="B100" i="5"/>
  <c r="E99" i="5"/>
  <c r="D99" i="5"/>
  <c r="C99" i="5"/>
  <c r="B99" i="5"/>
  <c r="E98" i="5"/>
  <c r="D98" i="5"/>
  <c r="C98" i="5"/>
  <c r="B98" i="5"/>
  <c r="E97" i="5"/>
  <c r="D97" i="5"/>
  <c r="C97" i="5"/>
  <c r="B97" i="5"/>
  <c r="E96" i="5"/>
  <c r="D96" i="5"/>
  <c r="C96" i="5"/>
  <c r="B96" i="5"/>
  <c r="E95" i="5"/>
  <c r="D95" i="5"/>
  <c r="C95" i="5"/>
  <c r="B95" i="5"/>
  <c r="E94" i="5"/>
  <c r="D94" i="5"/>
  <c r="C94" i="5"/>
  <c r="B94" i="5"/>
  <c r="E93" i="5"/>
  <c r="D93" i="5"/>
  <c r="C93" i="5"/>
  <c r="B93" i="5"/>
  <c r="E92" i="5"/>
  <c r="D92" i="5"/>
  <c r="C92" i="5"/>
  <c r="B92" i="5"/>
  <c r="E91" i="5"/>
  <c r="D91" i="5"/>
  <c r="C91" i="5"/>
  <c r="B91" i="5"/>
  <c r="E90" i="5"/>
  <c r="D90" i="5"/>
  <c r="C90" i="5"/>
  <c r="B90" i="5"/>
  <c r="E89" i="5"/>
  <c r="D89" i="5"/>
  <c r="C89" i="5"/>
  <c r="B89" i="5"/>
  <c r="E88" i="5"/>
  <c r="D88" i="5"/>
  <c r="C88" i="5"/>
  <c r="B88" i="5"/>
  <c r="E87" i="5"/>
  <c r="D87" i="5"/>
  <c r="C87" i="5"/>
  <c r="B87" i="5"/>
  <c r="E86" i="5"/>
  <c r="D86" i="5"/>
  <c r="C86" i="5"/>
  <c r="B86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80" i="5"/>
  <c r="D80" i="5"/>
  <c r="C80" i="5"/>
  <c r="B80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E70" i="5"/>
  <c r="D70" i="5"/>
  <c r="C70" i="5"/>
  <c r="B70" i="5"/>
  <c r="E69" i="5"/>
  <c r="D69" i="5"/>
  <c r="C69" i="5"/>
  <c r="B69" i="5"/>
  <c r="E68" i="5"/>
  <c r="D68" i="5"/>
  <c r="C68" i="5"/>
  <c r="B68" i="5"/>
  <c r="E67" i="5"/>
  <c r="D67" i="5"/>
  <c r="C67" i="5"/>
  <c r="B67" i="5"/>
  <c r="E66" i="5"/>
  <c r="D66" i="5"/>
  <c r="C66" i="5"/>
  <c r="B66" i="5"/>
  <c r="E65" i="5"/>
  <c r="D65" i="5"/>
  <c r="C65" i="5"/>
  <c r="B65" i="5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K201" i="4"/>
  <c r="F201" i="4"/>
  <c r="E201" i="4"/>
  <c r="D201" i="4"/>
  <c r="C201" i="4"/>
  <c r="K200" i="4"/>
  <c r="F200" i="4"/>
  <c r="E200" i="4"/>
  <c r="D200" i="4"/>
  <c r="C200" i="4"/>
  <c r="K199" i="4"/>
  <c r="F199" i="4"/>
  <c r="E199" i="4"/>
  <c r="D199" i="4"/>
  <c r="C199" i="4"/>
  <c r="K198" i="4"/>
  <c r="F198" i="4"/>
  <c r="E198" i="4"/>
  <c r="D198" i="4"/>
  <c r="C198" i="4"/>
  <c r="K197" i="4"/>
  <c r="F197" i="4"/>
  <c r="E197" i="4"/>
  <c r="D197" i="4"/>
  <c r="C197" i="4"/>
  <c r="K196" i="4"/>
  <c r="F196" i="4"/>
  <c r="E196" i="4"/>
  <c r="D196" i="4"/>
  <c r="C196" i="4"/>
  <c r="K195" i="4"/>
  <c r="F195" i="4"/>
  <c r="E195" i="4"/>
  <c r="D195" i="4"/>
  <c r="C195" i="4"/>
  <c r="K194" i="4"/>
  <c r="F194" i="4"/>
  <c r="E194" i="4"/>
  <c r="D194" i="4"/>
  <c r="C194" i="4"/>
  <c r="K193" i="4"/>
  <c r="F193" i="4"/>
  <c r="E193" i="4"/>
  <c r="D193" i="4"/>
  <c r="C193" i="4"/>
  <c r="K192" i="4"/>
  <c r="F192" i="4"/>
  <c r="E192" i="4"/>
  <c r="D192" i="4"/>
  <c r="C192" i="4"/>
  <c r="K191" i="4"/>
  <c r="F191" i="4"/>
  <c r="E191" i="4"/>
  <c r="D191" i="4"/>
  <c r="C191" i="4"/>
  <c r="K190" i="4"/>
  <c r="F190" i="4"/>
  <c r="E190" i="4"/>
  <c r="D190" i="4"/>
  <c r="C190" i="4"/>
  <c r="K189" i="4"/>
  <c r="F189" i="4"/>
  <c r="E189" i="4"/>
  <c r="D189" i="4"/>
  <c r="C189" i="4"/>
  <c r="K188" i="4"/>
  <c r="F188" i="4"/>
  <c r="E188" i="4"/>
  <c r="D188" i="4"/>
  <c r="C188" i="4"/>
  <c r="K187" i="4"/>
  <c r="F187" i="4"/>
  <c r="E187" i="4"/>
  <c r="D187" i="4"/>
  <c r="C187" i="4"/>
  <c r="K186" i="4"/>
  <c r="F186" i="4"/>
  <c r="E186" i="4"/>
  <c r="D186" i="4"/>
  <c r="C186" i="4"/>
  <c r="K185" i="4"/>
  <c r="F185" i="4"/>
  <c r="E185" i="4"/>
  <c r="D185" i="4"/>
  <c r="C185" i="4"/>
  <c r="K184" i="4"/>
  <c r="F184" i="4"/>
  <c r="E184" i="4"/>
  <c r="D184" i="4"/>
  <c r="C184" i="4"/>
  <c r="K183" i="4"/>
  <c r="F183" i="4"/>
  <c r="E183" i="4"/>
  <c r="D183" i="4"/>
  <c r="C183" i="4"/>
  <c r="K182" i="4"/>
  <c r="F182" i="4"/>
  <c r="E182" i="4"/>
  <c r="D182" i="4"/>
  <c r="C182" i="4"/>
  <c r="K181" i="4"/>
  <c r="F181" i="4"/>
  <c r="E181" i="4"/>
  <c r="D181" i="4"/>
  <c r="C181" i="4"/>
  <c r="K180" i="4"/>
  <c r="F180" i="4"/>
  <c r="E180" i="4"/>
  <c r="D180" i="4"/>
  <c r="C180" i="4"/>
  <c r="K179" i="4"/>
  <c r="F179" i="4"/>
  <c r="E179" i="4"/>
  <c r="D179" i="4"/>
  <c r="C179" i="4"/>
  <c r="K178" i="4"/>
  <c r="F178" i="4"/>
  <c r="E178" i="4"/>
  <c r="D178" i="4"/>
  <c r="C178" i="4"/>
  <c r="K177" i="4"/>
  <c r="F177" i="4"/>
  <c r="E177" i="4"/>
  <c r="D177" i="4"/>
  <c r="C177" i="4"/>
  <c r="K176" i="4"/>
  <c r="F176" i="4"/>
  <c r="E176" i="4"/>
  <c r="D176" i="4"/>
  <c r="C176" i="4"/>
  <c r="K175" i="4"/>
  <c r="F175" i="4"/>
  <c r="E175" i="4"/>
  <c r="D175" i="4"/>
  <c r="C175" i="4"/>
  <c r="K174" i="4"/>
  <c r="F174" i="4"/>
  <c r="E174" i="4"/>
  <c r="D174" i="4"/>
  <c r="C174" i="4"/>
  <c r="K173" i="4"/>
  <c r="F173" i="4"/>
  <c r="E173" i="4"/>
  <c r="D173" i="4"/>
  <c r="C173" i="4"/>
  <c r="K172" i="4"/>
  <c r="F172" i="4"/>
  <c r="E172" i="4"/>
  <c r="D172" i="4"/>
  <c r="C172" i="4"/>
  <c r="K171" i="4"/>
  <c r="F171" i="4"/>
  <c r="E171" i="4"/>
  <c r="D171" i="4"/>
  <c r="C171" i="4"/>
  <c r="K170" i="4"/>
  <c r="F170" i="4"/>
  <c r="E170" i="4"/>
  <c r="D170" i="4"/>
  <c r="C170" i="4"/>
  <c r="K169" i="4"/>
  <c r="F169" i="4"/>
  <c r="E169" i="4"/>
  <c r="D169" i="4"/>
  <c r="C169" i="4"/>
  <c r="K168" i="4"/>
  <c r="F168" i="4"/>
  <c r="E168" i="4"/>
  <c r="D168" i="4"/>
  <c r="C168" i="4"/>
  <c r="K167" i="4"/>
  <c r="F167" i="4"/>
  <c r="E167" i="4"/>
  <c r="D167" i="4"/>
  <c r="C167" i="4"/>
  <c r="K166" i="4"/>
  <c r="F166" i="4"/>
  <c r="E166" i="4"/>
  <c r="D166" i="4"/>
  <c r="C166" i="4"/>
  <c r="K165" i="4"/>
  <c r="F165" i="4"/>
  <c r="E165" i="4"/>
  <c r="D165" i="4"/>
  <c r="C165" i="4"/>
  <c r="K164" i="4"/>
  <c r="F164" i="4"/>
  <c r="E164" i="4"/>
  <c r="D164" i="4"/>
  <c r="C164" i="4"/>
  <c r="K163" i="4"/>
  <c r="F163" i="4"/>
  <c r="E163" i="4"/>
  <c r="D163" i="4"/>
  <c r="C163" i="4"/>
  <c r="K162" i="4"/>
  <c r="F162" i="4"/>
  <c r="E162" i="4"/>
  <c r="D162" i="4"/>
  <c r="C162" i="4"/>
  <c r="K161" i="4"/>
  <c r="F161" i="4"/>
  <c r="E161" i="4"/>
  <c r="D161" i="4"/>
  <c r="C161" i="4"/>
  <c r="K160" i="4"/>
  <c r="F160" i="4"/>
  <c r="E160" i="4"/>
  <c r="D160" i="4"/>
  <c r="C160" i="4"/>
  <c r="K159" i="4"/>
  <c r="F159" i="4"/>
  <c r="E159" i="4"/>
  <c r="D159" i="4"/>
  <c r="C159" i="4"/>
  <c r="K158" i="4"/>
  <c r="F158" i="4"/>
  <c r="E158" i="4"/>
  <c r="D158" i="4"/>
  <c r="C158" i="4"/>
  <c r="K157" i="4"/>
  <c r="F157" i="4"/>
  <c r="E157" i="4"/>
  <c r="D157" i="4"/>
  <c r="C157" i="4"/>
  <c r="K156" i="4"/>
  <c r="F156" i="4"/>
  <c r="E156" i="4"/>
  <c r="D156" i="4"/>
  <c r="C156" i="4"/>
  <c r="K155" i="4"/>
  <c r="F155" i="4"/>
  <c r="E155" i="4"/>
  <c r="D155" i="4"/>
  <c r="C155" i="4"/>
  <c r="K154" i="4"/>
  <c r="F154" i="4"/>
  <c r="E154" i="4"/>
  <c r="D154" i="4"/>
  <c r="C154" i="4"/>
  <c r="K153" i="4"/>
  <c r="F153" i="4"/>
  <c r="E153" i="4"/>
  <c r="D153" i="4"/>
  <c r="C153" i="4"/>
  <c r="K152" i="4"/>
  <c r="F152" i="4"/>
  <c r="E152" i="4"/>
  <c r="D152" i="4"/>
  <c r="C152" i="4"/>
  <c r="K151" i="4"/>
  <c r="F151" i="4"/>
  <c r="E151" i="4"/>
  <c r="D151" i="4"/>
  <c r="C151" i="4"/>
  <c r="K150" i="4"/>
  <c r="F150" i="4"/>
  <c r="E150" i="4"/>
  <c r="D150" i="4"/>
  <c r="C150" i="4"/>
  <c r="K149" i="4"/>
  <c r="F149" i="4"/>
  <c r="E149" i="4"/>
  <c r="D149" i="4"/>
  <c r="C149" i="4"/>
  <c r="K148" i="4"/>
  <c r="F148" i="4"/>
  <c r="E148" i="4"/>
  <c r="D148" i="4"/>
  <c r="C148" i="4"/>
  <c r="K147" i="4"/>
  <c r="F147" i="4"/>
  <c r="E147" i="4"/>
  <c r="D147" i="4"/>
  <c r="C147" i="4"/>
  <c r="K146" i="4"/>
  <c r="F146" i="4"/>
  <c r="E146" i="4"/>
  <c r="D146" i="4"/>
  <c r="C146" i="4"/>
  <c r="K145" i="4"/>
  <c r="F145" i="4"/>
  <c r="E145" i="4"/>
  <c r="D145" i="4"/>
  <c r="C145" i="4"/>
  <c r="K144" i="4"/>
  <c r="F144" i="4"/>
  <c r="E144" i="4"/>
  <c r="D144" i="4"/>
  <c r="C144" i="4"/>
  <c r="K143" i="4"/>
  <c r="F143" i="4"/>
  <c r="E143" i="4"/>
  <c r="D143" i="4"/>
  <c r="C143" i="4"/>
  <c r="K142" i="4"/>
  <c r="F142" i="4"/>
  <c r="E142" i="4"/>
  <c r="D142" i="4"/>
  <c r="C142" i="4"/>
  <c r="K141" i="4"/>
  <c r="F141" i="4"/>
  <c r="E141" i="4"/>
  <c r="D141" i="4"/>
  <c r="C141" i="4"/>
  <c r="K140" i="4"/>
  <c r="F140" i="4"/>
  <c r="E140" i="4"/>
  <c r="D140" i="4"/>
  <c r="C140" i="4"/>
  <c r="K139" i="4"/>
  <c r="F139" i="4"/>
  <c r="E139" i="4"/>
  <c r="D139" i="4"/>
  <c r="C139" i="4"/>
  <c r="K138" i="4"/>
  <c r="F138" i="4"/>
  <c r="E138" i="4"/>
  <c r="D138" i="4"/>
  <c r="C138" i="4"/>
  <c r="K137" i="4"/>
  <c r="F137" i="4"/>
  <c r="E137" i="4"/>
  <c r="D137" i="4"/>
  <c r="C137" i="4"/>
  <c r="K136" i="4"/>
  <c r="F136" i="4"/>
  <c r="E136" i="4"/>
  <c r="D136" i="4"/>
  <c r="C136" i="4"/>
  <c r="K135" i="4"/>
  <c r="F135" i="4"/>
  <c r="E135" i="4"/>
  <c r="D135" i="4"/>
  <c r="C135" i="4"/>
  <c r="K134" i="4"/>
  <c r="F134" i="4"/>
  <c r="E134" i="4"/>
  <c r="D134" i="4"/>
  <c r="C134" i="4"/>
  <c r="K133" i="4"/>
  <c r="F133" i="4"/>
  <c r="E133" i="4"/>
  <c r="D133" i="4"/>
  <c r="C133" i="4"/>
  <c r="K132" i="4"/>
  <c r="F132" i="4"/>
  <c r="E132" i="4"/>
  <c r="D132" i="4"/>
  <c r="C132" i="4"/>
  <c r="K131" i="4"/>
  <c r="F131" i="4"/>
  <c r="E131" i="4"/>
  <c r="D131" i="4"/>
  <c r="C131" i="4"/>
  <c r="K130" i="4"/>
  <c r="F130" i="4"/>
  <c r="E130" i="4"/>
  <c r="D130" i="4"/>
  <c r="C130" i="4"/>
  <c r="K129" i="4"/>
  <c r="F129" i="4"/>
  <c r="E129" i="4"/>
  <c r="D129" i="4"/>
  <c r="C129" i="4"/>
  <c r="K128" i="4"/>
  <c r="F128" i="4"/>
  <c r="E128" i="4"/>
  <c r="D128" i="4"/>
  <c r="C128" i="4"/>
  <c r="K127" i="4"/>
  <c r="F127" i="4"/>
  <c r="E127" i="4"/>
  <c r="D127" i="4"/>
  <c r="C127" i="4"/>
  <c r="K126" i="4"/>
  <c r="F126" i="4"/>
  <c r="E126" i="4"/>
  <c r="D126" i="4"/>
  <c r="C126" i="4"/>
  <c r="K125" i="4"/>
  <c r="F125" i="4"/>
  <c r="E125" i="4"/>
  <c r="D125" i="4"/>
  <c r="C125" i="4"/>
  <c r="K124" i="4"/>
  <c r="F124" i="4"/>
  <c r="E124" i="4"/>
  <c r="D124" i="4"/>
  <c r="C124" i="4"/>
  <c r="K123" i="4"/>
  <c r="F123" i="4"/>
  <c r="E123" i="4"/>
  <c r="D123" i="4"/>
  <c r="C123" i="4"/>
  <c r="K122" i="4"/>
  <c r="F122" i="4"/>
  <c r="E122" i="4"/>
  <c r="D122" i="4"/>
  <c r="C122" i="4"/>
  <c r="K121" i="4"/>
  <c r="F121" i="4"/>
  <c r="E121" i="4"/>
  <c r="D121" i="4"/>
  <c r="C121" i="4"/>
  <c r="K120" i="4"/>
  <c r="F120" i="4"/>
  <c r="E120" i="4"/>
  <c r="D120" i="4"/>
  <c r="C120" i="4"/>
  <c r="K119" i="4"/>
  <c r="F119" i="4"/>
  <c r="E119" i="4"/>
  <c r="D119" i="4"/>
  <c r="C119" i="4"/>
  <c r="K118" i="4"/>
  <c r="F118" i="4"/>
  <c r="E118" i="4"/>
  <c r="D118" i="4"/>
  <c r="C118" i="4"/>
  <c r="K117" i="4"/>
  <c r="F117" i="4"/>
  <c r="E117" i="4"/>
  <c r="D117" i="4"/>
  <c r="C117" i="4"/>
  <c r="K116" i="4"/>
  <c r="F116" i="4"/>
  <c r="E116" i="4"/>
  <c r="D116" i="4"/>
  <c r="C116" i="4"/>
  <c r="K115" i="4"/>
  <c r="F115" i="4"/>
  <c r="E115" i="4"/>
  <c r="D115" i="4"/>
  <c r="C115" i="4"/>
  <c r="K114" i="4"/>
  <c r="F114" i="4"/>
  <c r="E114" i="4"/>
  <c r="D114" i="4"/>
  <c r="C114" i="4"/>
  <c r="K113" i="4"/>
  <c r="F113" i="4"/>
  <c r="E113" i="4"/>
  <c r="D113" i="4"/>
  <c r="C113" i="4"/>
  <c r="K112" i="4"/>
  <c r="F112" i="4"/>
  <c r="E112" i="4"/>
  <c r="D112" i="4"/>
  <c r="C112" i="4"/>
  <c r="K111" i="4"/>
  <c r="F111" i="4"/>
  <c r="E111" i="4"/>
  <c r="D111" i="4"/>
  <c r="C111" i="4"/>
  <c r="K110" i="4"/>
  <c r="F110" i="4"/>
  <c r="E110" i="4"/>
  <c r="D110" i="4"/>
  <c r="C110" i="4"/>
  <c r="K109" i="4"/>
  <c r="F109" i="4"/>
  <c r="E109" i="4"/>
  <c r="D109" i="4"/>
  <c r="C109" i="4"/>
  <c r="K108" i="4"/>
  <c r="F108" i="4"/>
  <c r="E108" i="4"/>
  <c r="D108" i="4"/>
  <c r="C108" i="4"/>
  <c r="K107" i="4"/>
  <c r="F107" i="4"/>
  <c r="E107" i="4"/>
  <c r="D107" i="4"/>
  <c r="C107" i="4"/>
  <c r="K106" i="4"/>
  <c r="F106" i="4"/>
  <c r="E106" i="4"/>
  <c r="D106" i="4"/>
  <c r="C106" i="4"/>
  <c r="K105" i="4"/>
  <c r="F105" i="4"/>
  <c r="E105" i="4"/>
  <c r="D105" i="4"/>
  <c r="C105" i="4"/>
  <c r="K104" i="4"/>
  <c r="F104" i="4"/>
  <c r="E104" i="4"/>
  <c r="D104" i="4"/>
  <c r="C104" i="4"/>
  <c r="K103" i="4"/>
  <c r="F103" i="4"/>
  <c r="E103" i="4"/>
  <c r="D103" i="4"/>
  <c r="C103" i="4"/>
  <c r="K102" i="4"/>
  <c r="F102" i="4"/>
  <c r="E102" i="4"/>
  <c r="D102" i="4"/>
  <c r="C102" i="4"/>
  <c r="K101" i="4"/>
  <c r="F101" i="4"/>
  <c r="E101" i="4"/>
  <c r="D101" i="4"/>
  <c r="C101" i="4"/>
  <c r="K100" i="4"/>
  <c r="F100" i="4"/>
  <c r="E100" i="4"/>
  <c r="D100" i="4"/>
  <c r="C100" i="4"/>
  <c r="K99" i="4"/>
  <c r="F99" i="4"/>
  <c r="E99" i="4"/>
  <c r="D99" i="4"/>
  <c r="C99" i="4"/>
  <c r="K98" i="4"/>
  <c r="F98" i="4"/>
  <c r="E98" i="4"/>
  <c r="D98" i="4"/>
  <c r="C98" i="4"/>
  <c r="K97" i="4"/>
  <c r="F97" i="4"/>
  <c r="E97" i="4"/>
  <c r="D97" i="4"/>
  <c r="C97" i="4"/>
  <c r="K96" i="4"/>
  <c r="F96" i="4"/>
  <c r="E96" i="4"/>
  <c r="D96" i="4"/>
  <c r="C96" i="4"/>
  <c r="K95" i="4"/>
  <c r="F95" i="4"/>
  <c r="E95" i="4"/>
  <c r="D95" i="4"/>
  <c r="C95" i="4"/>
  <c r="K94" i="4"/>
  <c r="F94" i="4"/>
  <c r="E94" i="4"/>
  <c r="D94" i="4"/>
  <c r="C94" i="4"/>
  <c r="K93" i="4"/>
  <c r="F93" i="4"/>
  <c r="E93" i="4"/>
  <c r="D93" i="4"/>
  <c r="C93" i="4"/>
  <c r="K92" i="4"/>
  <c r="F92" i="4"/>
  <c r="E92" i="4"/>
  <c r="D92" i="4"/>
  <c r="C92" i="4"/>
  <c r="K91" i="4"/>
  <c r="F91" i="4"/>
  <c r="E91" i="4"/>
  <c r="D91" i="4"/>
  <c r="C91" i="4"/>
  <c r="K90" i="4"/>
  <c r="F90" i="4"/>
  <c r="E90" i="4"/>
  <c r="D90" i="4"/>
  <c r="C90" i="4"/>
  <c r="K89" i="4"/>
  <c r="F89" i="4"/>
  <c r="E89" i="4"/>
  <c r="D89" i="4"/>
  <c r="C89" i="4"/>
  <c r="K88" i="4"/>
  <c r="F88" i="4"/>
  <c r="E88" i="4"/>
  <c r="D88" i="4"/>
  <c r="C88" i="4"/>
  <c r="K87" i="4"/>
  <c r="F87" i="4"/>
  <c r="E87" i="4"/>
  <c r="D87" i="4"/>
  <c r="C87" i="4"/>
  <c r="K86" i="4"/>
  <c r="F86" i="4"/>
  <c r="E86" i="4"/>
  <c r="D86" i="4"/>
  <c r="C86" i="4"/>
  <c r="K85" i="4"/>
  <c r="F85" i="4"/>
  <c r="E85" i="4"/>
  <c r="D85" i="4"/>
  <c r="C85" i="4"/>
  <c r="K84" i="4"/>
  <c r="F84" i="4"/>
  <c r="E84" i="4"/>
  <c r="D84" i="4"/>
  <c r="C84" i="4"/>
  <c r="K83" i="4"/>
  <c r="F83" i="4"/>
  <c r="E83" i="4"/>
  <c r="D83" i="4"/>
  <c r="C83" i="4"/>
  <c r="K82" i="4"/>
  <c r="F82" i="4"/>
  <c r="E82" i="4"/>
  <c r="D82" i="4"/>
  <c r="C82" i="4"/>
  <c r="K81" i="4"/>
  <c r="F81" i="4"/>
  <c r="E81" i="4"/>
  <c r="D81" i="4"/>
  <c r="C81" i="4"/>
  <c r="K80" i="4"/>
  <c r="F80" i="4"/>
  <c r="E80" i="4"/>
  <c r="D80" i="4"/>
  <c r="C80" i="4"/>
  <c r="K79" i="4"/>
  <c r="F79" i="4"/>
  <c r="E79" i="4"/>
  <c r="D79" i="4"/>
  <c r="C79" i="4"/>
  <c r="K78" i="4"/>
  <c r="F78" i="4"/>
  <c r="E78" i="4"/>
  <c r="D78" i="4"/>
  <c r="C78" i="4"/>
  <c r="K77" i="4"/>
  <c r="F77" i="4"/>
  <c r="E77" i="4"/>
  <c r="D77" i="4"/>
  <c r="C77" i="4"/>
  <c r="K76" i="4"/>
  <c r="F76" i="4"/>
  <c r="E76" i="4"/>
  <c r="D76" i="4"/>
  <c r="C76" i="4"/>
  <c r="K75" i="4"/>
  <c r="F75" i="4"/>
  <c r="E75" i="4"/>
  <c r="D75" i="4"/>
  <c r="C75" i="4"/>
  <c r="K74" i="4"/>
  <c r="F74" i="4"/>
  <c r="E74" i="4"/>
  <c r="D74" i="4"/>
  <c r="C74" i="4"/>
  <c r="K73" i="4"/>
  <c r="F73" i="4"/>
  <c r="E73" i="4"/>
  <c r="D73" i="4"/>
  <c r="C73" i="4"/>
  <c r="K72" i="4"/>
  <c r="F72" i="4"/>
  <c r="E72" i="4"/>
  <c r="D72" i="4"/>
  <c r="C72" i="4"/>
  <c r="K71" i="4"/>
  <c r="F71" i="4"/>
  <c r="E71" i="4"/>
  <c r="D71" i="4"/>
  <c r="C71" i="4"/>
  <c r="K70" i="4"/>
  <c r="F70" i="4"/>
  <c r="E70" i="4"/>
  <c r="D70" i="4"/>
  <c r="C70" i="4"/>
  <c r="K69" i="4"/>
  <c r="F69" i="4"/>
  <c r="E69" i="4"/>
  <c r="D69" i="4"/>
  <c r="C69" i="4"/>
  <c r="K68" i="4"/>
  <c r="F68" i="4"/>
  <c r="E68" i="4"/>
  <c r="D68" i="4"/>
  <c r="C68" i="4"/>
  <c r="K67" i="4"/>
  <c r="F67" i="4"/>
  <c r="E67" i="4"/>
  <c r="D67" i="4"/>
  <c r="C67" i="4"/>
  <c r="K66" i="4"/>
  <c r="F66" i="4"/>
  <c r="E66" i="4"/>
  <c r="D66" i="4"/>
  <c r="C66" i="4"/>
  <c r="K65" i="4"/>
  <c r="F65" i="4"/>
  <c r="E65" i="4"/>
  <c r="D65" i="4"/>
  <c r="C65" i="4"/>
  <c r="K64" i="4"/>
  <c r="F64" i="4"/>
  <c r="E64" i="4"/>
  <c r="D64" i="4"/>
  <c r="C64" i="4"/>
  <c r="K63" i="4"/>
  <c r="F63" i="4"/>
  <c r="E63" i="4"/>
  <c r="D63" i="4"/>
  <c r="C63" i="4"/>
  <c r="K62" i="4"/>
  <c r="F62" i="4"/>
  <c r="E62" i="4"/>
  <c r="D62" i="4"/>
  <c r="C62" i="4"/>
  <c r="K61" i="4"/>
  <c r="F61" i="4"/>
  <c r="E61" i="4"/>
  <c r="D61" i="4"/>
  <c r="C61" i="4"/>
  <c r="K60" i="4"/>
  <c r="F60" i="4"/>
  <c r="E60" i="4"/>
  <c r="D60" i="4"/>
  <c r="C60" i="4"/>
  <c r="K59" i="4"/>
  <c r="F59" i="4"/>
  <c r="E59" i="4"/>
  <c r="D59" i="4"/>
  <c r="C59" i="4"/>
  <c r="K58" i="4"/>
  <c r="F58" i="4"/>
  <c r="E58" i="4"/>
  <c r="D58" i="4"/>
  <c r="C58" i="4"/>
  <c r="K57" i="4"/>
  <c r="F57" i="4"/>
  <c r="E57" i="4"/>
  <c r="D57" i="4"/>
  <c r="C57" i="4"/>
  <c r="K56" i="4"/>
  <c r="F56" i="4"/>
  <c r="E56" i="4"/>
  <c r="D56" i="4"/>
  <c r="C56" i="4"/>
  <c r="K55" i="4"/>
  <c r="F55" i="4"/>
  <c r="E55" i="4"/>
  <c r="D55" i="4"/>
  <c r="C55" i="4"/>
  <c r="K54" i="4"/>
  <c r="F54" i="4"/>
  <c r="E54" i="4"/>
  <c r="D54" i="4"/>
  <c r="C54" i="4"/>
  <c r="K53" i="4"/>
  <c r="F53" i="4"/>
  <c r="E53" i="4"/>
  <c r="D53" i="4"/>
  <c r="C53" i="4"/>
  <c r="K52" i="4"/>
  <c r="F52" i="4"/>
  <c r="E52" i="4"/>
  <c r="D52" i="4"/>
  <c r="C52" i="4"/>
  <c r="K51" i="4"/>
  <c r="F51" i="4"/>
  <c r="E51" i="4"/>
  <c r="D51" i="4"/>
  <c r="C51" i="4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G26" i="9" s="1"/>
  <c r="F5" i="4"/>
  <c r="F26" i="9" s="1"/>
  <c r="E5" i="4"/>
  <c r="E26" i="9" s="1"/>
  <c r="D5" i="4"/>
  <c r="D26" i="9" s="1"/>
  <c r="C5" i="4"/>
  <c r="C26" i="9" s="1"/>
  <c r="K4" i="4"/>
  <c r="F4" i="4"/>
  <c r="F25" i="9" s="1"/>
  <c r="E4" i="4"/>
  <c r="E25" i="9" s="1"/>
  <c r="D4" i="4"/>
  <c r="D25" i="9" s="1"/>
  <c r="C4" i="4"/>
  <c r="C25" i="9" s="1"/>
  <c r="Q201" i="3"/>
  <c r="K201" i="3"/>
  <c r="F201" i="3"/>
  <c r="E201" i="3"/>
  <c r="D201" i="3"/>
  <c r="C201" i="3"/>
  <c r="Q200" i="3"/>
  <c r="K200" i="3"/>
  <c r="F200" i="3"/>
  <c r="E200" i="3"/>
  <c r="D200" i="3"/>
  <c r="C200" i="3"/>
  <c r="Q199" i="3"/>
  <c r="K199" i="3"/>
  <c r="F199" i="3"/>
  <c r="E199" i="3"/>
  <c r="D199" i="3"/>
  <c r="C199" i="3"/>
  <c r="Q198" i="3"/>
  <c r="K198" i="3"/>
  <c r="F198" i="3"/>
  <c r="E198" i="3"/>
  <c r="D198" i="3"/>
  <c r="C198" i="3"/>
  <c r="Q197" i="3"/>
  <c r="K197" i="3"/>
  <c r="F197" i="3"/>
  <c r="E197" i="3"/>
  <c r="D197" i="3"/>
  <c r="C197" i="3"/>
  <c r="Q196" i="3"/>
  <c r="K196" i="3"/>
  <c r="F196" i="3"/>
  <c r="E196" i="3"/>
  <c r="D196" i="3"/>
  <c r="C196" i="3"/>
  <c r="Q195" i="3"/>
  <c r="K195" i="3"/>
  <c r="F195" i="3"/>
  <c r="E195" i="3"/>
  <c r="D195" i="3"/>
  <c r="C195" i="3"/>
  <c r="Q194" i="3"/>
  <c r="K194" i="3"/>
  <c r="F194" i="3"/>
  <c r="E194" i="3"/>
  <c r="D194" i="3"/>
  <c r="C194" i="3"/>
  <c r="Q193" i="3"/>
  <c r="K193" i="3"/>
  <c r="F193" i="3"/>
  <c r="E193" i="3"/>
  <c r="D193" i="3"/>
  <c r="C193" i="3"/>
  <c r="Q192" i="3"/>
  <c r="K192" i="3"/>
  <c r="F192" i="3"/>
  <c r="E192" i="3"/>
  <c r="D192" i="3"/>
  <c r="C192" i="3"/>
  <c r="Q191" i="3"/>
  <c r="K191" i="3"/>
  <c r="F191" i="3"/>
  <c r="E191" i="3"/>
  <c r="D191" i="3"/>
  <c r="C191" i="3"/>
  <c r="Q190" i="3"/>
  <c r="K190" i="3"/>
  <c r="F190" i="3"/>
  <c r="E190" i="3"/>
  <c r="D190" i="3"/>
  <c r="C190" i="3"/>
  <c r="Q189" i="3"/>
  <c r="K189" i="3"/>
  <c r="F189" i="3"/>
  <c r="E189" i="3"/>
  <c r="D189" i="3"/>
  <c r="C189" i="3"/>
  <c r="Q188" i="3"/>
  <c r="K188" i="3"/>
  <c r="F188" i="3"/>
  <c r="E188" i="3"/>
  <c r="D188" i="3"/>
  <c r="C188" i="3"/>
  <c r="Q187" i="3"/>
  <c r="K187" i="3"/>
  <c r="F187" i="3"/>
  <c r="E187" i="3"/>
  <c r="D187" i="3"/>
  <c r="C187" i="3"/>
  <c r="Q186" i="3"/>
  <c r="K186" i="3"/>
  <c r="F186" i="3"/>
  <c r="E186" i="3"/>
  <c r="D186" i="3"/>
  <c r="C186" i="3"/>
  <c r="Q185" i="3"/>
  <c r="K185" i="3"/>
  <c r="F185" i="3"/>
  <c r="E185" i="3"/>
  <c r="D185" i="3"/>
  <c r="C185" i="3"/>
  <c r="Q184" i="3"/>
  <c r="K184" i="3"/>
  <c r="F184" i="3"/>
  <c r="E184" i="3"/>
  <c r="D184" i="3"/>
  <c r="C184" i="3"/>
  <c r="Q183" i="3"/>
  <c r="K183" i="3"/>
  <c r="F183" i="3"/>
  <c r="E183" i="3"/>
  <c r="D183" i="3"/>
  <c r="C183" i="3"/>
  <c r="Q182" i="3"/>
  <c r="K182" i="3"/>
  <c r="F182" i="3"/>
  <c r="E182" i="3"/>
  <c r="D182" i="3"/>
  <c r="C182" i="3"/>
  <c r="Q181" i="3"/>
  <c r="K181" i="3"/>
  <c r="F181" i="3"/>
  <c r="E181" i="3"/>
  <c r="D181" i="3"/>
  <c r="C181" i="3"/>
  <c r="Q180" i="3"/>
  <c r="K180" i="3"/>
  <c r="F180" i="3"/>
  <c r="E180" i="3"/>
  <c r="D180" i="3"/>
  <c r="C180" i="3"/>
  <c r="Q179" i="3"/>
  <c r="K179" i="3"/>
  <c r="F179" i="3"/>
  <c r="E179" i="3"/>
  <c r="D179" i="3"/>
  <c r="C179" i="3"/>
  <c r="Q178" i="3"/>
  <c r="K178" i="3"/>
  <c r="F178" i="3"/>
  <c r="E178" i="3"/>
  <c r="D178" i="3"/>
  <c r="C178" i="3"/>
  <c r="Q177" i="3"/>
  <c r="K177" i="3"/>
  <c r="F177" i="3"/>
  <c r="E177" i="3"/>
  <c r="D177" i="3"/>
  <c r="C177" i="3"/>
  <c r="Q176" i="3"/>
  <c r="K176" i="3"/>
  <c r="F176" i="3"/>
  <c r="E176" i="3"/>
  <c r="D176" i="3"/>
  <c r="C176" i="3"/>
  <c r="Q175" i="3"/>
  <c r="K175" i="3"/>
  <c r="F175" i="3"/>
  <c r="E175" i="3"/>
  <c r="D175" i="3"/>
  <c r="C175" i="3"/>
  <c r="Q174" i="3"/>
  <c r="K174" i="3"/>
  <c r="F174" i="3"/>
  <c r="E174" i="3"/>
  <c r="D174" i="3"/>
  <c r="C174" i="3"/>
  <c r="Q173" i="3"/>
  <c r="K173" i="3"/>
  <c r="F173" i="3"/>
  <c r="E173" i="3"/>
  <c r="D173" i="3"/>
  <c r="C173" i="3"/>
  <c r="Q172" i="3"/>
  <c r="K172" i="3"/>
  <c r="F172" i="3"/>
  <c r="E172" i="3"/>
  <c r="D172" i="3"/>
  <c r="C172" i="3"/>
  <c r="Q171" i="3"/>
  <c r="K171" i="3"/>
  <c r="F171" i="3"/>
  <c r="E171" i="3"/>
  <c r="D171" i="3"/>
  <c r="C171" i="3"/>
  <c r="Q170" i="3"/>
  <c r="K170" i="3"/>
  <c r="F170" i="3"/>
  <c r="E170" i="3"/>
  <c r="D170" i="3"/>
  <c r="C170" i="3"/>
  <c r="Q169" i="3"/>
  <c r="K169" i="3"/>
  <c r="F169" i="3"/>
  <c r="E169" i="3"/>
  <c r="D169" i="3"/>
  <c r="C169" i="3"/>
  <c r="Q168" i="3"/>
  <c r="K168" i="3"/>
  <c r="F168" i="3"/>
  <c r="E168" i="3"/>
  <c r="D168" i="3"/>
  <c r="C168" i="3"/>
  <c r="Q167" i="3"/>
  <c r="K167" i="3"/>
  <c r="F167" i="3"/>
  <c r="E167" i="3"/>
  <c r="D167" i="3"/>
  <c r="C167" i="3"/>
  <c r="Q166" i="3"/>
  <c r="K166" i="3"/>
  <c r="F166" i="3"/>
  <c r="E166" i="3"/>
  <c r="D166" i="3"/>
  <c r="C166" i="3"/>
  <c r="Q165" i="3"/>
  <c r="K165" i="3"/>
  <c r="F165" i="3"/>
  <c r="E165" i="3"/>
  <c r="D165" i="3"/>
  <c r="C165" i="3"/>
  <c r="Q164" i="3"/>
  <c r="K164" i="3"/>
  <c r="F164" i="3"/>
  <c r="E164" i="3"/>
  <c r="D164" i="3"/>
  <c r="C164" i="3"/>
  <c r="Q163" i="3"/>
  <c r="K163" i="3"/>
  <c r="F163" i="3"/>
  <c r="E163" i="3"/>
  <c r="D163" i="3"/>
  <c r="C163" i="3"/>
  <c r="Q162" i="3"/>
  <c r="K162" i="3"/>
  <c r="F162" i="3"/>
  <c r="E162" i="3"/>
  <c r="D162" i="3"/>
  <c r="C162" i="3"/>
  <c r="Q161" i="3"/>
  <c r="K161" i="3"/>
  <c r="F161" i="3"/>
  <c r="E161" i="3"/>
  <c r="D161" i="3"/>
  <c r="C161" i="3"/>
  <c r="Q160" i="3"/>
  <c r="K160" i="3"/>
  <c r="F160" i="3"/>
  <c r="E160" i="3"/>
  <c r="D160" i="3"/>
  <c r="C160" i="3"/>
  <c r="Q159" i="3"/>
  <c r="K159" i="3"/>
  <c r="F159" i="3"/>
  <c r="E159" i="3"/>
  <c r="D159" i="3"/>
  <c r="C159" i="3"/>
  <c r="Q158" i="3"/>
  <c r="K158" i="3"/>
  <c r="F158" i="3"/>
  <c r="E158" i="3"/>
  <c r="D158" i="3"/>
  <c r="C158" i="3"/>
  <c r="Q157" i="3"/>
  <c r="K157" i="3"/>
  <c r="F157" i="3"/>
  <c r="E157" i="3"/>
  <c r="D157" i="3"/>
  <c r="C157" i="3"/>
  <c r="Q156" i="3"/>
  <c r="K156" i="3"/>
  <c r="F156" i="3"/>
  <c r="E156" i="3"/>
  <c r="D156" i="3"/>
  <c r="C156" i="3"/>
  <c r="Q155" i="3"/>
  <c r="K155" i="3"/>
  <c r="F155" i="3"/>
  <c r="E155" i="3"/>
  <c r="D155" i="3"/>
  <c r="C155" i="3"/>
  <c r="Q154" i="3"/>
  <c r="K154" i="3"/>
  <c r="F154" i="3"/>
  <c r="E154" i="3"/>
  <c r="D154" i="3"/>
  <c r="C154" i="3"/>
  <c r="Q153" i="3"/>
  <c r="K153" i="3"/>
  <c r="F153" i="3"/>
  <c r="E153" i="3"/>
  <c r="D153" i="3"/>
  <c r="C153" i="3"/>
  <c r="Q152" i="3"/>
  <c r="K152" i="3"/>
  <c r="F152" i="3"/>
  <c r="E152" i="3"/>
  <c r="D152" i="3"/>
  <c r="C152" i="3"/>
  <c r="Q151" i="3"/>
  <c r="K151" i="3"/>
  <c r="F151" i="3"/>
  <c r="E151" i="3"/>
  <c r="D151" i="3"/>
  <c r="C151" i="3"/>
  <c r="Q150" i="3"/>
  <c r="K150" i="3"/>
  <c r="F150" i="3"/>
  <c r="E150" i="3"/>
  <c r="D150" i="3"/>
  <c r="C150" i="3"/>
  <c r="Q149" i="3"/>
  <c r="K149" i="3"/>
  <c r="F149" i="3"/>
  <c r="E149" i="3"/>
  <c r="D149" i="3"/>
  <c r="C149" i="3"/>
  <c r="Q148" i="3"/>
  <c r="K148" i="3"/>
  <c r="F148" i="3"/>
  <c r="E148" i="3"/>
  <c r="D148" i="3"/>
  <c r="C148" i="3"/>
  <c r="Q147" i="3"/>
  <c r="K147" i="3"/>
  <c r="F147" i="3"/>
  <c r="E147" i="3"/>
  <c r="D147" i="3"/>
  <c r="C147" i="3"/>
  <c r="Q146" i="3"/>
  <c r="K146" i="3"/>
  <c r="F146" i="3"/>
  <c r="E146" i="3"/>
  <c r="D146" i="3"/>
  <c r="C146" i="3"/>
  <c r="Q145" i="3"/>
  <c r="K145" i="3"/>
  <c r="F145" i="3"/>
  <c r="E145" i="3"/>
  <c r="D145" i="3"/>
  <c r="C145" i="3"/>
  <c r="Q144" i="3"/>
  <c r="K144" i="3"/>
  <c r="F144" i="3"/>
  <c r="E144" i="3"/>
  <c r="D144" i="3"/>
  <c r="C144" i="3"/>
  <c r="Q143" i="3"/>
  <c r="K143" i="3"/>
  <c r="F143" i="3"/>
  <c r="E143" i="3"/>
  <c r="D143" i="3"/>
  <c r="C143" i="3"/>
  <c r="Q142" i="3"/>
  <c r="K142" i="3"/>
  <c r="F142" i="3"/>
  <c r="E142" i="3"/>
  <c r="D142" i="3"/>
  <c r="C142" i="3"/>
  <c r="Q141" i="3"/>
  <c r="K141" i="3"/>
  <c r="F141" i="3"/>
  <c r="E141" i="3"/>
  <c r="D141" i="3"/>
  <c r="C141" i="3"/>
  <c r="Q140" i="3"/>
  <c r="K140" i="3"/>
  <c r="F140" i="3"/>
  <c r="E140" i="3"/>
  <c r="D140" i="3"/>
  <c r="C140" i="3"/>
  <c r="Q139" i="3"/>
  <c r="K139" i="3"/>
  <c r="F139" i="3"/>
  <c r="E139" i="3"/>
  <c r="D139" i="3"/>
  <c r="C139" i="3"/>
  <c r="Q138" i="3"/>
  <c r="K138" i="3"/>
  <c r="F138" i="3"/>
  <c r="E138" i="3"/>
  <c r="D138" i="3"/>
  <c r="C138" i="3"/>
  <c r="Q137" i="3"/>
  <c r="K137" i="3"/>
  <c r="F137" i="3"/>
  <c r="E137" i="3"/>
  <c r="D137" i="3"/>
  <c r="C137" i="3"/>
  <c r="Q136" i="3"/>
  <c r="K136" i="3"/>
  <c r="F136" i="3"/>
  <c r="E136" i="3"/>
  <c r="D136" i="3"/>
  <c r="C136" i="3"/>
  <c r="Q135" i="3"/>
  <c r="K135" i="3"/>
  <c r="F135" i="3"/>
  <c r="E135" i="3"/>
  <c r="D135" i="3"/>
  <c r="C135" i="3"/>
  <c r="Q134" i="3"/>
  <c r="K134" i="3"/>
  <c r="F134" i="3"/>
  <c r="E134" i="3"/>
  <c r="D134" i="3"/>
  <c r="C134" i="3"/>
  <c r="Q133" i="3"/>
  <c r="K133" i="3"/>
  <c r="F133" i="3"/>
  <c r="E133" i="3"/>
  <c r="D133" i="3"/>
  <c r="C133" i="3"/>
  <c r="Q132" i="3"/>
  <c r="K132" i="3"/>
  <c r="F132" i="3"/>
  <c r="E132" i="3"/>
  <c r="D132" i="3"/>
  <c r="C132" i="3"/>
  <c r="Q131" i="3"/>
  <c r="K131" i="3"/>
  <c r="F131" i="3"/>
  <c r="E131" i="3"/>
  <c r="D131" i="3"/>
  <c r="C131" i="3"/>
  <c r="Q130" i="3"/>
  <c r="K130" i="3"/>
  <c r="F130" i="3"/>
  <c r="E130" i="3"/>
  <c r="D130" i="3"/>
  <c r="C130" i="3"/>
  <c r="Q129" i="3"/>
  <c r="K129" i="3"/>
  <c r="F129" i="3"/>
  <c r="E129" i="3"/>
  <c r="D129" i="3"/>
  <c r="C129" i="3"/>
  <c r="Q128" i="3"/>
  <c r="K128" i="3"/>
  <c r="F128" i="3"/>
  <c r="E128" i="3"/>
  <c r="D128" i="3"/>
  <c r="C128" i="3"/>
  <c r="Q127" i="3"/>
  <c r="K127" i="3"/>
  <c r="F127" i="3"/>
  <c r="E127" i="3"/>
  <c r="D127" i="3"/>
  <c r="C127" i="3"/>
  <c r="Q126" i="3"/>
  <c r="K126" i="3"/>
  <c r="F126" i="3"/>
  <c r="E126" i="3"/>
  <c r="D126" i="3"/>
  <c r="C126" i="3"/>
  <c r="Q125" i="3"/>
  <c r="K125" i="3"/>
  <c r="F125" i="3"/>
  <c r="E125" i="3"/>
  <c r="D125" i="3"/>
  <c r="C125" i="3"/>
  <c r="Q124" i="3"/>
  <c r="K124" i="3"/>
  <c r="F124" i="3"/>
  <c r="E124" i="3"/>
  <c r="D124" i="3"/>
  <c r="C124" i="3"/>
  <c r="Q123" i="3"/>
  <c r="K123" i="3"/>
  <c r="F123" i="3"/>
  <c r="E123" i="3"/>
  <c r="D123" i="3"/>
  <c r="C123" i="3"/>
  <c r="Q122" i="3"/>
  <c r="K122" i="3"/>
  <c r="F122" i="3"/>
  <c r="E122" i="3"/>
  <c r="D122" i="3"/>
  <c r="C122" i="3"/>
  <c r="Q121" i="3"/>
  <c r="K121" i="3"/>
  <c r="F121" i="3"/>
  <c r="E121" i="3"/>
  <c r="D121" i="3"/>
  <c r="C121" i="3"/>
  <c r="Q120" i="3"/>
  <c r="K120" i="3"/>
  <c r="F120" i="3"/>
  <c r="E120" i="3"/>
  <c r="D120" i="3"/>
  <c r="C120" i="3"/>
  <c r="Q119" i="3"/>
  <c r="K119" i="3"/>
  <c r="F119" i="3"/>
  <c r="E119" i="3"/>
  <c r="D119" i="3"/>
  <c r="C119" i="3"/>
  <c r="Q118" i="3"/>
  <c r="K118" i="3"/>
  <c r="F118" i="3"/>
  <c r="E118" i="3"/>
  <c r="D118" i="3"/>
  <c r="C118" i="3"/>
  <c r="Q117" i="3"/>
  <c r="K117" i="3"/>
  <c r="F117" i="3"/>
  <c r="E117" i="3"/>
  <c r="D117" i="3"/>
  <c r="C117" i="3"/>
  <c r="Q116" i="3"/>
  <c r="K116" i="3"/>
  <c r="F116" i="3"/>
  <c r="E116" i="3"/>
  <c r="D116" i="3"/>
  <c r="C116" i="3"/>
  <c r="Q115" i="3"/>
  <c r="K115" i="3"/>
  <c r="F115" i="3"/>
  <c r="E115" i="3"/>
  <c r="D115" i="3"/>
  <c r="C115" i="3"/>
  <c r="Q114" i="3"/>
  <c r="K114" i="3"/>
  <c r="F114" i="3"/>
  <c r="E114" i="3"/>
  <c r="D114" i="3"/>
  <c r="C114" i="3"/>
  <c r="Q113" i="3"/>
  <c r="K113" i="3"/>
  <c r="F113" i="3"/>
  <c r="E113" i="3"/>
  <c r="D113" i="3"/>
  <c r="C113" i="3"/>
  <c r="Q112" i="3"/>
  <c r="K112" i="3"/>
  <c r="F112" i="3"/>
  <c r="E112" i="3"/>
  <c r="D112" i="3"/>
  <c r="C112" i="3"/>
  <c r="Q111" i="3"/>
  <c r="K111" i="3"/>
  <c r="F111" i="3"/>
  <c r="E111" i="3"/>
  <c r="D111" i="3"/>
  <c r="C111" i="3"/>
  <c r="Q110" i="3"/>
  <c r="K110" i="3"/>
  <c r="F110" i="3"/>
  <c r="E110" i="3"/>
  <c r="D110" i="3"/>
  <c r="C110" i="3"/>
  <c r="Q109" i="3"/>
  <c r="K109" i="3"/>
  <c r="F109" i="3"/>
  <c r="E109" i="3"/>
  <c r="D109" i="3"/>
  <c r="C109" i="3"/>
  <c r="Q108" i="3"/>
  <c r="K108" i="3"/>
  <c r="F108" i="3"/>
  <c r="E108" i="3"/>
  <c r="D108" i="3"/>
  <c r="C108" i="3"/>
  <c r="Q107" i="3"/>
  <c r="K107" i="3"/>
  <c r="F107" i="3"/>
  <c r="E107" i="3"/>
  <c r="D107" i="3"/>
  <c r="C107" i="3"/>
  <c r="Q106" i="3"/>
  <c r="K106" i="3"/>
  <c r="F106" i="3"/>
  <c r="E106" i="3"/>
  <c r="D106" i="3"/>
  <c r="C106" i="3"/>
  <c r="Q105" i="3"/>
  <c r="K105" i="3"/>
  <c r="F105" i="3"/>
  <c r="E105" i="3"/>
  <c r="D105" i="3"/>
  <c r="C105" i="3"/>
  <c r="Q104" i="3"/>
  <c r="K104" i="3"/>
  <c r="F104" i="3"/>
  <c r="E104" i="3"/>
  <c r="D104" i="3"/>
  <c r="C104" i="3"/>
  <c r="Q103" i="3"/>
  <c r="K103" i="3"/>
  <c r="F103" i="3"/>
  <c r="E103" i="3"/>
  <c r="D103" i="3"/>
  <c r="C103" i="3"/>
  <c r="Q102" i="3"/>
  <c r="K102" i="3"/>
  <c r="F102" i="3"/>
  <c r="E102" i="3"/>
  <c r="D102" i="3"/>
  <c r="C102" i="3"/>
  <c r="Q101" i="3"/>
  <c r="K101" i="3"/>
  <c r="F101" i="3"/>
  <c r="E101" i="3"/>
  <c r="D101" i="3"/>
  <c r="C101" i="3"/>
  <c r="Q100" i="3"/>
  <c r="K100" i="3"/>
  <c r="F100" i="3"/>
  <c r="E100" i="3"/>
  <c r="D100" i="3"/>
  <c r="C100" i="3"/>
  <c r="Q99" i="3"/>
  <c r="K99" i="3"/>
  <c r="F99" i="3"/>
  <c r="E99" i="3"/>
  <c r="D99" i="3"/>
  <c r="C99" i="3"/>
  <c r="Q98" i="3"/>
  <c r="K98" i="3"/>
  <c r="F98" i="3"/>
  <c r="E98" i="3"/>
  <c r="D98" i="3"/>
  <c r="C98" i="3"/>
  <c r="Q97" i="3"/>
  <c r="K97" i="3"/>
  <c r="F97" i="3"/>
  <c r="E97" i="3"/>
  <c r="D97" i="3"/>
  <c r="C97" i="3"/>
  <c r="Q96" i="3"/>
  <c r="K96" i="3"/>
  <c r="F96" i="3"/>
  <c r="E96" i="3"/>
  <c r="D96" i="3"/>
  <c r="C96" i="3"/>
  <c r="Q95" i="3"/>
  <c r="K95" i="3"/>
  <c r="F95" i="3"/>
  <c r="E95" i="3"/>
  <c r="D95" i="3"/>
  <c r="C95" i="3"/>
  <c r="Q94" i="3"/>
  <c r="K94" i="3"/>
  <c r="F94" i="3"/>
  <c r="E94" i="3"/>
  <c r="D94" i="3"/>
  <c r="C94" i="3"/>
  <c r="Q93" i="3"/>
  <c r="K93" i="3"/>
  <c r="F93" i="3"/>
  <c r="E93" i="3"/>
  <c r="D93" i="3"/>
  <c r="C93" i="3"/>
  <c r="Q92" i="3"/>
  <c r="K92" i="3"/>
  <c r="F92" i="3"/>
  <c r="E92" i="3"/>
  <c r="D92" i="3"/>
  <c r="C92" i="3"/>
  <c r="Q91" i="3"/>
  <c r="K91" i="3"/>
  <c r="F91" i="3"/>
  <c r="E91" i="3"/>
  <c r="D91" i="3"/>
  <c r="C91" i="3"/>
  <c r="Q90" i="3"/>
  <c r="K90" i="3"/>
  <c r="F90" i="3"/>
  <c r="E90" i="3"/>
  <c r="D90" i="3"/>
  <c r="C90" i="3"/>
  <c r="Q89" i="3"/>
  <c r="K89" i="3"/>
  <c r="F89" i="3"/>
  <c r="E89" i="3"/>
  <c r="D89" i="3"/>
  <c r="C89" i="3"/>
  <c r="Q88" i="3"/>
  <c r="K88" i="3"/>
  <c r="F88" i="3"/>
  <c r="E88" i="3"/>
  <c r="D88" i="3"/>
  <c r="C88" i="3"/>
  <c r="Q87" i="3"/>
  <c r="K87" i="3"/>
  <c r="F87" i="3"/>
  <c r="E87" i="3"/>
  <c r="D87" i="3"/>
  <c r="C87" i="3"/>
  <c r="Q86" i="3"/>
  <c r="K86" i="3"/>
  <c r="F86" i="3"/>
  <c r="E86" i="3"/>
  <c r="D86" i="3"/>
  <c r="C86" i="3"/>
  <c r="Q85" i="3"/>
  <c r="K85" i="3"/>
  <c r="F85" i="3"/>
  <c r="E85" i="3"/>
  <c r="D85" i="3"/>
  <c r="C85" i="3"/>
  <c r="Q84" i="3"/>
  <c r="K84" i="3"/>
  <c r="F84" i="3"/>
  <c r="E84" i="3"/>
  <c r="D84" i="3"/>
  <c r="C84" i="3"/>
  <c r="Q83" i="3"/>
  <c r="K83" i="3"/>
  <c r="F83" i="3"/>
  <c r="E83" i="3"/>
  <c r="D83" i="3"/>
  <c r="C83" i="3"/>
  <c r="Q82" i="3"/>
  <c r="K82" i="3"/>
  <c r="F82" i="3"/>
  <c r="E82" i="3"/>
  <c r="D82" i="3"/>
  <c r="C82" i="3"/>
  <c r="Q81" i="3"/>
  <c r="K81" i="3"/>
  <c r="F81" i="3"/>
  <c r="E81" i="3"/>
  <c r="D81" i="3"/>
  <c r="C81" i="3"/>
  <c r="Q80" i="3"/>
  <c r="K80" i="3"/>
  <c r="F80" i="3"/>
  <c r="E80" i="3"/>
  <c r="D80" i="3"/>
  <c r="C80" i="3"/>
  <c r="Q79" i="3"/>
  <c r="K79" i="3"/>
  <c r="F79" i="3"/>
  <c r="E79" i="3"/>
  <c r="D79" i="3"/>
  <c r="C79" i="3"/>
  <c r="Q78" i="3"/>
  <c r="K78" i="3"/>
  <c r="F78" i="3"/>
  <c r="E78" i="3"/>
  <c r="D78" i="3"/>
  <c r="C78" i="3"/>
  <c r="Q77" i="3"/>
  <c r="K77" i="3"/>
  <c r="F77" i="3"/>
  <c r="E77" i="3"/>
  <c r="D77" i="3"/>
  <c r="C77" i="3"/>
  <c r="Q76" i="3"/>
  <c r="K76" i="3"/>
  <c r="F76" i="3"/>
  <c r="E76" i="3"/>
  <c r="D76" i="3"/>
  <c r="C76" i="3"/>
  <c r="Q75" i="3"/>
  <c r="K75" i="3"/>
  <c r="F75" i="3"/>
  <c r="E75" i="3"/>
  <c r="D75" i="3"/>
  <c r="C75" i="3"/>
  <c r="Q74" i="3"/>
  <c r="K74" i="3"/>
  <c r="F74" i="3"/>
  <c r="E74" i="3"/>
  <c r="D74" i="3"/>
  <c r="C74" i="3"/>
  <c r="Q73" i="3"/>
  <c r="K73" i="3"/>
  <c r="F73" i="3"/>
  <c r="E73" i="3"/>
  <c r="D73" i="3"/>
  <c r="C73" i="3"/>
  <c r="Q72" i="3"/>
  <c r="K72" i="3"/>
  <c r="F72" i="3"/>
  <c r="E72" i="3"/>
  <c r="D72" i="3"/>
  <c r="C72" i="3"/>
  <c r="Q71" i="3"/>
  <c r="K71" i="3"/>
  <c r="F71" i="3"/>
  <c r="E71" i="3"/>
  <c r="D71" i="3"/>
  <c r="C71" i="3"/>
  <c r="Q70" i="3"/>
  <c r="K70" i="3"/>
  <c r="F70" i="3"/>
  <c r="E70" i="3"/>
  <c r="D70" i="3"/>
  <c r="C70" i="3"/>
  <c r="Q69" i="3"/>
  <c r="K69" i="3"/>
  <c r="F69" i="3"/>
  <c r="E69" i="3"/>
  <c r="D69" i="3"/>
  <c r="C69" i="3"/>
  <c r="Q68" i="3"/>
  <c r="K68" i="3"/>
  <c r="F68" i="3"/>
  <c r="E68" i="3"/>
  <c r="D68" i="3"/>
  <c r="C68" i="3"/>
  <c r="Q67" i="3"/>
  <c r="K67" i="3"/>
  <c r="F67" i="3"/>
  <c r="E67" i="3"/>
  <c r="D67" i="3"/>
  <c r="C67" i="3"/>
  <c r="Q66" i="3"/>
  <c r="K66" i="3"/>
  <c r="F66" i="3"/>
  <c r="E66" i="3"/>
  <c r="D66" i="3"/>
  <c r="C66" i="3"/>
  <c r="Q65" i="3"/>
  <c r="K65" i="3"/>
  <c r="F65" i="3"/>
  <c r="E65" i="3"/>
  <c r="D65" i="3"/>
  <c r="C65" i="3"/>
  <c r="Q64" i="3"/>
  <c r="K64" i="3"/>
  <c r="F64" i="3"/>
  <c r="E64" i="3"/>
  <c r="D64" i="3"/>
  <c r="C64" i="3"/>
  <c r="Q63" i="3"/>
  <c r="K63" i="3"/>
  <c r="F63" i="3"/>
  <c r="E63" i="3"/>
  <c r="D63" i="3"/>
  <c r="C63" i="3"/>
  <c r="Q62" i="3"/>
  <c r="K62" i="3"/>
  <c r="F62" i="3"/>
  <c r="E62" i="3"/>
  <c r="D62" i="3"/>
  <c r="C62" i="3"/>
  <c r="Q61" i="3"/>
  <c r="K61" i="3"/>
  <c r="F61" i="3"/>
  <c r="E61" i="3"/>
  <c r="D61" i="3"/>
  <c r="C61" i="3"/>
  <c r="Q60" i="3"/>
  <c r="K60" i="3"/>
  <c r="F60" i="3"/>
  <c r="E60" i="3"/>
  <c r="D60" i="3"/>
  <c r="C60" i="3"/>
  <c r="Q59" i="3"/>
  <c r="K59" i="3"/>
  <c r="F59" i="3"/>
  <c r="E59" i="3"/>
  <c r="D59" i="3"/>
  <c r="C59" i="3"/>
  <c r="Q58" i="3"/>
  <c r="K58" i="3"/>
  <c r="F58" i="3"/>
  <c r="E58" i="3"/>
  <c r="D58" i="3"/>
  <c r="C58" i="3"/>
  <c r="Q57" i="3"/>
  <c r="K57" i="3"/>
  <c r="F57" i="3"/>
  <c r="E57" i="3"/>
  <c r="D57" i="3"/>
  <c r="C57" i="3"/>
  <c r="Q56" i="3"/>
  <c r="K56" i="3"/>
  <c r="F56" i="3"/>
  <c r="E56" i="3"/>
  <c r="D56" i="3"/>
  <c r="C56" i="3"/>
  <c r="Q55" i="3"/>
  <c r="K55" i="3"/>
  <c r="F55" i="3"/>
  <c r="E55" i="3"/>
  <c r="D55" i="3"/>
  <c r="C55" i="3"/>
  <c r="Q54" i="3"/>
  <c r="K54" i="3"/>
  <c r="F54" i="3"/>
  <c r="E54" i="3"/>
  <c r="D54" i="3"/>
  <c r="C54" i="3"/>
  <c r="Q53" i="3"/>
  <c r="K53" i="3"/>
  <c r="F53" i="3"/>
  <c r="E53" i="3"/>
  <c r="D53" i="3"/>
  <c r="C53" i="3"/>
  <c r="Q52" i="3"/>
  <c r="K52" i="3"/>
  <c r="F52" i="3"/>
  <c r="E52" i="3"/>
  <c r="D52" i="3"/>
  <c r="C52" i="3"/>
  <c r="Q51" i="3"/>
  <c r="K51" i="3"/>
  <c r="F51" i="3"/>
  <c r="E51" i="3"/>
  <c r="D51" i="3"/>
  <c r="C51" i="3"/>
  <c r="Q50" i="3"/>
  <c r="K50" i="3"/>
  <c r="F50" i="3"/>
  <c r="E50" i="3"/>
  <c r="D50" i="3"/>
  <c r="C50" i="3"/>
  <c r="Q49" i="3"/>
  <c r="K49" i="3"/>
  <c r="F49" i="3"/>
  <c r="E49" i="3"/>
  <c r="D49" i="3"/>
  <c r="C49" i="3"/>
  <c r="Q48" i="3"/>
  <c r="K48" i="3"/>
  <c r="F48" i="3"/>
  <c r="E48" i="3"/>
  <c r="D48" i="3"/>
  <c r="C48" i="3"/>
  <c r="Q47" i="3"/>
  <c r="K47" i="3"/>
  <c r="F47" i="3"/>
  <c r="E47" i="3"/>
  <c r="D47" i="3"/>
  <c r="C47" i="3"/>
  <c r="Q46" i="3"/>
  <c r="K46" i="3"/>
  <c r="F46" i="3"/>
  <c r="E46" i="3"/>
  <c r="D46" i="3"/>
  <c r="C46" i="3"/>
  <c r="Q45" i="3"/>
  <c r="K45" i="3"/>
  <c r="F45" i="3"/>
  <c r="E45" i="3"/>
  <c r="D45" i="3"/>
  <c r="C45" i="3"/>
  <c r="Q44" i="3"/>
  <c r="K44" i="3"/>
  <c r="F44" i="3"/>
  <c r="E44" i="3"/>
  <c r="D44" i="3"/>
  <c r="C44" i="3"/>
  <c r="Q43" i="3"/>
  <c r="K43" i="3"/>
  <c r="F43" i="3"/>
  <c r="E43" i="3"/>
  <c r="D43" i="3"/>
  <c r="C43" i="3"/>
  <c r="Q42" i="3"/>
  <c r="K42" i="3"/>
  <c r="F42" i="3"/>
  <c r="E42" i="3"/>
  <c r="D42" i="3"/>
  <c r="C42" i="3"/>
  <c r="Q41" i="3"/>
  <c r="K41" i="3"/>
  <c r="F41" i="3"/>
  <c r="E41" i="3"/>
  <c r="D41" i="3"/>
  <c r="C41" i="3"/>
  <c r="Q40" i="3"/>
  <c r="K40" i="3"/>
  <c r="F40" i="3"/>
  <c r="E40" i="3"/>
  <c r="D40" i="3"/>
  <c r="C40" i="3"/>
  <c r="Q39" i="3"/>
  <c r="K39" i="3"/>
  <c r="F39" i="3"/>
  <c r="E39" i="3"/>
  <c r="D39" i="3"/>
  <c r="C39" i="3"/>
  <c r="Q38" i="3"/>
  <c r="K38" i="3"/>
  <c r="F38" i="3"/>
  <c r="E38" i="3"/>
  <c r="D38" i="3"/>
  <c r="C38" i="3"/>
  <c r="Q37" i="3"/>
  <c r="K37" i="3"/>
  <c r="F37" i="3"/>
  <c r="E37" i="3"/>
  <c r="D37" i="3"/>
  <c r="C37" i="3"/>
  <c r="Q36" i="3"/>
  <c r="K36" i="3"/>
  <c r="F36" i="3"/>
  <c r="E36" i="3"/>
  <c r="D36" i="3"/>
  <c r="C36" i="3"/>
  <c r="Q35" i="3"/>
  <c r="K35" i="3"/>
  <c r="F35" i="3"/>
  <c r="E35" i="3"/>
  <c r="D35" i="3"/>
  <c r="C35" i="3"/>
  <c r="Q34" i="3"/>
  <c r="K34" i="3"/>
  <c r="F34" i="3"/>
  <c r="E34" i="3"/>
  <c r="D34" i="3"/>
  <c r="C34" i="3"/>
  <c r="Q33" i="3"/>
  <c r="K33" i="3"/>
  <c r="F33" i="3"/>
  <c r="E33" i="3"/>
  <c r="D33" i="3"/>
  <c r="C33" i="3"/>
  <c r="Q32" i="3"/>
  <c r="K32" i="3"/>
  <c r="F32" i="3"/>
  <c r="E32" i="3"/>
  <c r="D32" i="3"/>
  <c r="C32" i="3"/>
  <c r="Q31" i="3"/>
  <c r="K31" i="3"/>
  <c r="F31" i="3"/>
  <c r="E31" i="3"/>
  <c r="D31" i="3"/>
  <c r="C31" i="3"/>
  <c r="Q30" i="3"/>
  <c r="K30" i="3"/>
  <c r="F30" i="3"/>
  <c r="E30" i="3"/>
  <c r="D30" i="3"/>
  <c r="C30" i="3"/>
  <c r="Q29" i="3"/>
  <c r="K29" i="3"/>
  <c r="F29" i="3"/>
  <c r="E29" i="3"/>
  <c r="D29" i="3"/>
  <c r="C29" i="3"/>
  <c r="Q28" i="3"/>
  <c r="K28" i="3"/>
  <c r="F28" i="3"/>
  <c r="E28" i="3"/>
  <c r="D28" i="3"/>
  <c r="C28" i="3"/>
  <c r="Q27" i="3"/>
  <c r="K27" i="3"/>
  <c r="F27" i="3"/>
  <c r="E27" i="3"/>
  <c r="D27" i="3"/>
  <c r="C27" i="3"/>
  <c r="Q26" i="3"/>
  <c r="K26" i="3"/>
  <c r="F26" i="3"/>
  <c r="E26" i="3"/>
  <c r="D26" i="3"/>
  <c r="C26" i="3"/>
  <c r="Q25" i="3"/>
  <c r="K25" i="3"/>
  <c r="F25" i="3"/>
  <c r="E25" i="3"/>
  <c r="D25" i="3"/>
  <c r="C25" i="3"/>
  <c r="Q24" i="3"/>
  <c r="K24" i="3"/>
  <c r="F24" i="3"/>
  <c r="E24" i="3"/>
  <c r="D24" i="3"/>
  <c r="C24" i="3"/>
  <c r="Q23" i="3"/>
  <c r="K23" i="3"/>
  <c r="F23" i="3"/>
  <c r="E23" i="3"/>
  <c r="D23" i="3"/>
  <c r="C23" i="3"/>
  <c r="Q22" i="3"/>
  <c r="K22" i="3"/>
  <c r="F22" i="3"/>
  <c r="E22" i="3"/>
  <c r="D22" i="3"/>
  <c r="C22" i="3"/>
  <c r="Q21" i="3"/>
  <c r="K21" i="3"/>
  <c r="F21" i="3"/>
  <c r="E21" i="3"/>
  <c r="D21" i="3"/>
  <c r="C21" i="3"/>
  <c r="Q20" i="3"/>
  <c r="K20" i="3"/>
  <c r="F20" i="3"/>
  <c r="E20" i="3"/>
  <c r="D20" i="3"/>
  <c r="C20" i="3"/>
  <c r="Q19" i="3"/>
  <c r="K19" i="3"/>
  <c r="F19" i="3"/>
  <c r="E19" i="3"/>
  <c r="D19" i="3"/>
  <c r="C19" i="3"/>
  <c r="Q18" i="3"/>
  <c r="K18" i="3"/>
  <c r="F18" i="3"/>
  <c r="E18" i="3"/>
  <c r="D18" i="3"/>
  <c r="C18" i="3"/>
  <c r="Q17" i="3"/>
  <c r="K17" i="3"/>
  <c r="F17" i="3"/>
  <c r="E17" i="3"/>
  <c r="D17" i="3"/>
  <c r="C17" i="3"/>
  <c r="Q16" i="3"/>
  <c r="K16" i="3"/>
  <c r="F16" i="3"/>
  <c r="E16" i="3"/>
  <c r="D16" i="3"/>
  <c r="C16" i="3"/>
  <c r="Q15" i="3"/>
  <c r="K15" i="3"/>
  <c r="F15" i="3"/>
  <c r="E15" i="3"/>
  <c r="D15" i="3"/>
  <c r="C15" i="3"/>
  <c r="Q14" i="3"/>
  <c r="K14" i="3"/>
  <c r="F14" i="3"/>
  <c r="E14" i="3"/>
  <c r="D14" i="3"/>
  <c r="C14" i="3"/>
  <c r="Q13" i="3"/>
  <c r="K13" i="3"/>
  <c r="F13" i="3"/>
  <c r="E13" i="3"/>
  <c r="D13" i="3"/>
  <c r="C13" i="3"/>
  <c r="Q12" i="3"/>
  <c r="K12" i="3"/>
  <c r="F12" i="3"/>
  <c r="E12" i="3"/>
  <c r="D12" i="3"/>
  <c r="C12" i="3"/>
  <c r="Q11" i="3"/>
  <c r="K11" i="3"/>
  <c r="F11" i="3"/>
  <c r="E11" i="3"/>
  <c r="D11" i="3"/>
  <c r="C11" i="3"/>
  <c r="Q10" i="3"/>
  <c r="K10" i="3"/>
  <c r="F10" i="3"/>
  <c r="E10" i="3"/>
  <c r="D10" i="3"/>
  <c r="C10" i="3"/>
  <c r="Q9" i="3"/>
  <c r="K9" i="3"/>
  <c r="F9" i="3"/>
  <c r="E9" i="3"/>
  <c r="D9" i="3"/>
  <c r="C9" i="3"/>
  <c r="Q8" i="3"/>
  <c r="K8" i="3"/>
  <c r="F8" i="3"/>
  <c r="E8" i="3"/>
  <c r="D8" i="3"/>
  <c r="C8" i="3"/>
  <c r="Q7" i="3"/>
  <c r="K7" i="3"/>
  <c r="G10" i="9" s="1"/>
  <c r="F7" i="3"/>
  <c r="E7" i="3"/>
  <c r="E10" i="9" s="1"/>
  <c r="D7" i="3"/>
  <c r="D10" i="9" s="1"/>
  <c r="C7" i="3"/>
  <c r="C10" i="9" s="1"/>
  <c r="Q6" i="3"/>
  <c r="K6" i="3"/>
  <c r="G9" i="9" s="1"/>
  <c r="F6" i="3"/>
  <c r="E6" i="3"/>
  <c r="E9" i="9" s="1"/>
  <c r="D6" i="3"/>
  <c r="D9" i="9" s="1"/>
  <c r="C6" i="3"/>
  <c r="C9" i="9" s="1"/>
  <c r="Q5" i="3"/>
  <c r="K5" i="3"/>
  <c r="F5" i="3"/>
  <c r="E5" i="3"/>
  <c r="D5" i="3"/>
  <c r="C5" i="3"/>
  <c r="Q4" i="3"/>
  <c r="K4" i="3"/>
  <c r="G7" i="9" s="1"/>
  <c r="F4" i="3"/>
  <c r="E4" i="3"/>
  <c r="E7" i="9" s="1"/>
  <c r="D4" i="3"/>
  <c r="D7" i="9" s="1"/>
  <c r="C4" i="3"/>
  <c r="C7" i="9" s="1"/>
  <c r="N201" i="2"/>
  <c r="M201" i="2"/>
  <c r="L201" i="2"/>
  <c r="N200" i="2"/>
  <c r="M200" i="2"/>
  <c r="L200" i="2"/>
  <c r="N199" i="2"/>
  <c r="M199" i="2"/>
  <c r="L199" i="2"/>
  <c r="N198" i="2"/>
  <c r="M198" i="2"/>
  <c r="L198" i="2"/>
  <c r="N197" i="2"/>
  <c r="M197" i="2"/>
  <c r="L197" i="2"/>
  <c r="N196" i="2"/>
  <c r="M196" i="2"/>
  <c r="L196" i="2"/>
  <c r="N195" i="2"/>
  <c r="M195" i="2"/>
  <c r="L195" i="2"/>
  <c r="N194" i="2"/>
  <c r="M194" i="2"/>
  <c r="L194" i="2"/>
  <c r="N193" i="2"/>
  <c r="M193" i="2"/>
  <c r="L193" i="2"/>
  <c r="N192" i="2"/>
  <c r="M192" i="2"/>
  <c r="L192" i="2"/>
  <c r="N191" i="2"/>
  <c r="M191" i="2"/>
  <c r="L191" i="2"/>
  <c r="N190" i="2"/>
  <c r="M190" i="2"/>
  <c r="L190" i="2"/>
  <c r="N189" i="2"/>
  <c r="M189" i="2"/>
  <c r="L189" i="2"/>
  <c r="N188" i="2"/>
  <c r="M188" i="2"/>
  <c r="L188" i="2"/>
  <c r="N187" i="2"/>
  <c r="M187" i="2"/>
  <c r="L187" i="2"/>
  <c r="N186" i="2"/>
  <c r="M186" i="2"/>
  <c r="L186" i="2"/>
  <c r="N185" i="2"/>
  <c r="M185" i="2"/>
  <c r="L185" i="2"/>
  <c r="N184" i="2"/>
  <c r="M184" i="2"/>
  <c r="L184" i="2"/>
  <c r="N183" i="2"/>
  <c r="M183" i="2"/>
  <c r="L183" i="2"/>
  <c r="N182" i="2"/>
  <c r="M182" i="2"/>
  <c r="L182" i="2"/>
  <c r="N181" i="2"/>
  <c r="M181" i="2"/>
  <c r="L181" i="2"/>
  <c r="N180" i="2"/>
  <c r="M180" i="2"/>
  <c r="L180" i="2"/>
  <c r="N179" i="2"/>
  <c r="M179" i="2"/>
  <c r="L179" i="2"/>
  <c r="N178" i="2"/>
  <c r="M178" i="2"/>
  <c r="L178" i="2"/>
  <c r="N177" i="2"/>
  <c r="M177" i="2"/>
  <c r="L177" i="2"/>
  <c r="N176" i="2"/>
  <c r="M176" i="2"/>
  <c r="L176" i="2"/>
  <c r="N175" i="2"/>
  <c r="M175" i="2"/>
  <c r="L175" i="2"/>
  <c r="N174" i="2"/>
  <c r="M174" i="2"/>
  <c r="L174" i="2"/>
  <c r="N173" i="2"/>
  <c r="M173" i="2"/>
  <c r="L173" i="2"/>
  <c r="N172" i="2"/>
  <c r="M172" i="2"/>
  <c r="L172" i="2"/>
  <c r="N171" i="2"/>
  <c r="M171" i="2"/>
  <c r="L171" i="2"/>
  <c r="N170" i="2"/>
  <c r="M170" i="2"/>
  <c r="L170" i="2"/>
  <c r="N169" i="2"/>
  <c r="M169" i="2"/>
  <c r="L169" i="2"/>
  <c r="N168" i="2"/>
  <c r="M168" i="2"/>
  <c r="L168" i="2"/>
  <c r="N167" i="2"/>
  <c r="M167" i="2"/>
  <c r="L167" i="2"/>
  <c r="N166" i="2"/>
  <c r="M166" i="2"/>
  <c r="L166" i="2"/>
  <c r="N165" i="2"/>
  <c r="M165" i="2"/>
  <c r="L165" i="2"/>
  <c r="N164" i="2"/>
  <c r="M164" i="2"/>
  <c r="L164" i="2"/>
  <c r="N163" i="2"/>
  <c r="M163" i="2"/>
  <c r="L163" i="2"/>
  <c r="N162" i="2"/>
  <c r="M162" i="2"/>
  <c r="L162" i="2"/>
  <c r="N161" i="2"/>
  <c r="M161" i="2"/>
  <c r="L161" i="2"/>
  <c r="N160" i="2"/>
  <c r="M160" i="2"/>
  <c r="L160" i="2"/>
  <c r="N159" i="2"/>
  <c r="M159" i="2"/>
  <c r="L159" i="2"/>
  <c r="N158" i="2"/>
  <c r="M158" i="2"/>
  <c r="L158" i="2"/>
  <c r="N157" i="2"/>
  <c r="M157" i="2"/>
  <c r="L157" i="2"/>
  <c r="N156" i="2"/>
  <c r="M156" i="2"/>
  <c r="L156" i="2"/>
  <c r="N155" i="2"/>
  <c r="M155" i="2"/>
  <c r="L155" i="2"/>
  <c r="N154" i="2"/>
  <c r="M154" i="2"/>
  <c r="L154" i="2"/>
  <c r="N153" i="2"/>
  <c r="M153" i="2"/>
  <c r="L153" i="2"/>
  <c r="N152" i="2"/>
  <c r="M152" i="2"/>
  <c r="L152" i="2"/>
  <c r="N151" i="2"/>
  <c r="M151" i="2"/>
  <c r="L151" i="2"/>
  <c r="N150" i="2"/>
  <c r="M150" i="2"/>
  <c r="L150" i="2"/>
  <c r="N149" i="2"/>
  <c r="M149" i="2"/>
  <c r="L149" i="2"/>
  <c r="N148" i="2"/>
  <c r="M148" i="2"/>
  <c r="L148" i="2"/>
  <c r="N147" i="2"/>
  <c r="M147" i="2"/>
  <c r="L147" i="2"/>
  <c r="N146" i="2"/>
  <c r="M146" i="2"/>
  <c r="L146" i="2"/>
  <c r="N145" i="2"/>
  <c r="M145" i="2"/>
  <c r="L145" i="2"/>
  <c r="N144" i="2"/>
  <c r="M144" i="2"/>
  <c r="L144" i="2"/>
  <c r="N143" i="2"/>
  <c r="M143" i="2"/>
  <c r="L143" i="2"/>
  <c r="N142" i="2"/>
  <c r="M142" i="2"/>
  <c r="L142" i="2"/>
  <c r="N141" i="2"/>
  <c r="M141" i="2"/>
  <c r="L141" i="2"/>
  <c r="N140" i="2"/>
  <c r="M140" i="2"/>
  <c r="L140" i="2"/>
  <c r="N139" i="2"/>
  <c r="M139" i="2"/>
  <c r="L139" i="2"/>
  <c r="N138" i="2"/>
  <c r="M138" i="2"/>
  <c r="L138" i="2"/>
  <c r="N137" i="2"/>
  <c r="M137" i="2"/>
  <c r="L137" i="2"/>
  <c r="N136" i="2"/>
  <c r="M136" i="2"/>
  <c r="L136" i="2"/>
  <c r="N135" i="2"/>
  <c r="M135" i="2"/>
  <c r="L135" i="2"/>
  <c r="N134" i="2"/>
  <c r="M134" i="2"/>
  <c r="L134" i="2"/>
  <c r="N133" i="2"/>
  <c r="M133" i="2"/>
  <c r="L133" i="2"/>
  <c r="N132" i="2"/>
  <c r="M132" i="2"/>
  <c r="L132" i="2"/>
  <c r="N131" i="2"/>
  <c r="M131" i="2"/>
  <c r="L131" i="2"/>
  <c r="N130" i="2"/>
  <c r="M130" i="2"/>
  <c r="L130" i="2"/>
  <c r="N129" i="2"/>
  <c r="M129" i="2"/>
  <c r="L129" i="2"/>
  <c r="N128" i="2"/>
  <c r="M128" i="2"/>
  <c r="L128" i="2"/>
  <c r="N127" i="2"/>
  <c r="M127" i="2"/>
  <c r="L127" i="2"/>
  <c r="N126" i="2"/>
  <c r="M126" i="2"/>
  <c r="L126" i="2"/>
  <c r="N125" i="2"/>
  <c r="M125" i="2"/>
  <c r="L125" i="2"/>
  <c r="N124" i="2"/>
  <c r="M124" i="2"/>
  <c r="L124" i="2"/>
  <c r="N123" i="2"/>
  <c r="M123" i="2"/>
  <c r="L123" i="2"/>
  <c r="N122" i="2"/>
  <c r="M122" i="2"/>
  <c r="L122" i="2"/>
  <c r="N121" i="2"/>
  <c r="M121" i="2"/>
  <c r="L121" i="2"/>
  <c r="N120" i="2"/>
  <c r="M120" i="2"/>
  <c r="L120" i="2"/>
  <c r="N119" i="2"/>
  <c r="M119" i="2"/>
  <c r="L119" i="2"/>
  <c r="N118" i="2"/>
  <c r="M118" i="2"/>
  <c r="L118" i="2"/>
  <c r="N117" i="2"/>
  <c r="M117" i="2"/>
  <c r="L117" i="2"/>
  <c r="N116" i="2"/>
  <c r="M116" i="2"/>
  <c r="L116" i="2"/>
  <c r="N115" i="2"/>
  <c r="M115" i="2"/>
  <c r="L115" i="2"/>
  <c r="N114" i="2"/>
  <c r="M114" i="2"/>
  <c r="L114" i="2"/>
  <c r="N113" i="2"/>
  <c r="M113" i="2"/>
  <c r="L113" i="2"/>
  <c r="N112" i="2"/>
  <c r="M112" i="2"/>
  <c r="L112" i="2"/>
  <c r="N111" i="2"/>
  <c r="M111" i="2"/>
  <c r="L111" i="2"/>
  <c r="N110" i="2"/>
  <c r="M110" i="2"/>
  <c r="L110" i="2"/>
  <c r="N109" i="2"/>
  <c r="M109" i="2"/>
  <c r="L109" i="2"/>
  <c r="N108" i="2"/>
  <c r="M108" i="2"/>
  <c r="L108" i="2"/>
  <c r="N107" i="2"/>
  <c r="M107" i="2"/>
  <c r="L107" i="2"/>
  <c r="N106" i="2"/>
  <c r="M106" i="2"/>
  <c r="L106" i="2"/>
  <c r="N105" i="2"/>
  <c r="M105" i="2"/>
  <c r="L105" i="2"/>
  <c r="N104" i="2"/>
  <c r="M104" i="2"/>
  <c r="L104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N59" i="2"/>
  <c r="M59" i="2"/>
  <c r="L59" i="2"/>
  <c r="N58" i="2"/>
  <c r="M58" i="2"/>
  <c r="L58" i="2"/>
  <c r="N57" i="2"/>
  <c r="M57" i="2"/>
  <c r="L57" i="2"/>
  <c r="N56" i="2"/>
  <c r="M56" i="2"/>
  <c r="L56" i="2"/>
  <c r="N55" i="2"/>
  <c r="M55" i="2"/>
  <c r="L55" i="2"/>
  <c r="N54" i="2"/>
  <c r="M54" i="2"/>
  <c r="L54" i="2"/>
  <c r="N53" i="2"/>
  <c r="M53" i="2"/>
  <c r="L53" i="2"/>
  <c r="N52" i="2"/>
  <c r="M52" i="2"/>
  <c r="L52" i="2"/>
  <c r="N51" i="2"/>
  <c r="M51" i="2"/>
  <c r="L51" i="2"/>
  <c r="N50" i="2"/>
  <c r="M50" i="2"/>
  <c r="L50" i="2"/>
  <c r="N49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N42" i="2"/>
  <c r="M42" i="2"/>
  <c r="L42" i="2"/>
  <c r="N41" i="2"/>
  <c r="M41" i="2"/>
  <c r="L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M33" i="2"/>
  <c r="L33" i="2"/>
  <c r="N32" i="2"/>
  <c r="M32" i="2"/>
  <c r="L32" i="2"/>
  <c r="N31" i="2"/>
  <c r="M31" i="2"/>
  <c r="L31" i="2"/>
  <c r="N30" i="2"/>
  <c r="M30" i="2"/>
  <c r="L30" i="2"/>
  <c r="N29" i="2"/>
  <c r="M29" i="2"/>
  <c r="L29" i="2"/>
  <c r="N28" i="2"/>
  <c r="M28" i="2"/>
  <c r="L28" i="2"/>
  <c r="N27" i="2"/>
  <c r="M27" i="2"/>
  <c r="L27" i="2"/>
  <c r="N26" i="2"/>
  <c r="M26" i="2"/>
  <c r="L26" i="2"/>
  <c r="N25" i="2"/>
  <c r="M25" i="2"/>
  <c r="L25" i="2"/>
  <c r="N24" i="2"/>
  <c r="M24" i="2"/>
  <c r="L24" i="2"/>
  <c r="N23" i="2"/>
  <c r="M23" i="2"/>
  <c r="L23" i="2"/>
  <c r="N22" i="2"/>
  <c r="M22" i="2"/>
  <c r="L22" i="2"/>
  <c r="N21" i="2"/>
  <c r="M21" i="2"/>
  <c r="L21" i="2"/>
  <c r="N20" i="2"/>
  <c r="M20" i="2"/>
  <c r="L20" i="2"/>
  <c r="N19" i="2"/>
  <c r="M19" i="2"/>
  <c r="L19" i="2"/>
  <c r="N18" i="2"/>
  <c r="M18" i="2"/>
  <c r="L18" i="2"/>
  <c r="N17" i="2"/>
  <c r="M17" i="2"/>
  <c r="L17" i="2"/>
  <c r="N16" i="2"/>
  <c r="M16" i="2"/>
  <c r="L16" i="2"/>
  <c r="N15" i="2"/>
  <c r="M15" i="2"/>
  <c r="L15" i="2"/>
  <c r="N14" i="2"/>
  <c r="M14" i="2"/>
  <c r="L14" i="2"/>
  <c r="N13" i="2"/>
  <c r="M13" i="2"/>
  <c r="L13" i="2"/>
  <c r="N12" i="2"/>
  <c r="M12" i="2"/>
  <c r="L12" i="2"/>
  <c r="N11" i="2"/>
  <c r="M11" i="2"/>
  <c r="L11" i="2"/>
  <c r="N10" i="2"/>
  <c r="M10" i="2"/>
  <c r="L10" i="2"/>
  <c r="N9" i="2"/>
  <c r="M9" i="2"/>
  <c r="L9" i="2"/>
  <c r="N8" i="2"/>
  <c r="M8" i="2"/>
  <c r="L8" i="2"/>
  <c r="M7" i="2"/>
  <c r="L7" i="2"/>
  <c r="M6" i="2"/>
  <c r="L6" i="2"/>
  <c r="M5" i="2"/>
  <c r="L5" i="2"/>
  <c r="M4" i="2"/>
  <c r="L4" i="2"/>
  <c r="M3" i="2"/>
  <c r="L3" i="2"/>
  <c r="B10" i="8" l="1"/>
  <c r="B41" i="9"/>
  <c r="G25" i="9"/>
  <c r="B17" i="8"/>
  <c r="B16" i="8"/>
  <c r="B39" i="9"/>
  <c r="B38" i="9"/>
</calcChain>
</file>

<file path=xl/sharedStrings.xml><?xml version="1.0" encoding="utf-8"?>
<sst xmlns="http://schemas.openxmlformats.org/spreadsheetml/2006/main" count="655" uniqueCount="487">
  <si>
    <t>Meridian — Special Education Compliance Tracker</t>
  </si>
  <si>
    <t>IEP · 504 · Dyslexia/HB 3928 · CAP Findings · SPPI-13 Secondary Transition</t>
  </si>
  <si>
    <t>Clear Path Education Group, LLC  |  Built for Texas SPED coordinators and special education directors.</t>
  </si>
  <si>
    <t>Track compliance deadlines, IEP annual reviews, HB 3928 obligations, and TEA corrective action — all in one file.</t>
  </si>
  <si>
    <t>─── FILL IN YOUR DISTRICT INFORMATION ─────────────────────────────</t>
  </si>
  <si>
    <t>District Name:</t>
  </si>
  <si>
    <t>School Year:</t>
  </si>
  <si>
    <t>2025-26</t>
  </si>
  <si>
    <t>SPED Director:</t>
  </si>
  <si>
    <t>504 Coordinator:</t>
  </si>
  <si>
    <t>Date Updated:</t>
  </si>
  <si>
    <t>─── HOW TO USE THIS TRACKER ──────────────────────────────────────────</t>
  </si>
  <si>
    <t>1.  SPED STUDENT ROSTER — Add every SPED and 504-eligible student. This tab feeds all other tabs.</t>
  </si>
  <si>
    <t>2.  IEP TRACKER — One row per student with an active IEP. Tracks annual review dates and ARD status.</t>
  </si>
  <si>
    <t>3.  504 PLAN TRACKER — One row per student with a 504 plan. Tracks review dates, dyslexia flags, and HB 3928.</t>
  </si>
  <si>
    <t>4.  DYSLEXIA / HB 3928 — Tracks students with dyslexia identification and required review status.</t>
  </si>
  <si>
    <t>5.  CAP FINDINGS TRACKER — Log TEA Corrective Action Plan findings, tasks, and deadlines.</t>
  </si>
  <si>
    <t>6.  SPPI-13 SECONDARY TRANSITION — Tracks grades 10–12 SPED students against SPPI-13 compliance requirements.</t>
  </si>
  <si>
    <t>7.  DASHBOARD — Auto-summary. No data entry needed here.</t>
  </si>
  <si>
    <t>8.  REFERENCE — IDEA compliance timelines, SPPI indicators, HB 3928 requirements, glossary.</t>
  </si>
  <si>
    <t>9.  Gray cells = auto-calculated formulas — do NOT type in them.</t>
  </si>
  <si>
    <t>10. Works in Google Sheets AND Microsoft Excel.</t>
  </si>
  <si>
    <t>11. For automated deadline tracking, multi-campus visibility, and TEA reporting: see UPGRADE TO MERIDIAN tab.</t>
  </si>
  <si>
    <t>─── KEY TEXAS SPED COMPLIANCE DATES ─────────────────────────────────</t>
  </si>
  <si>
    <t>IEP Annual Review: Must be held within 12 months of the previous annual review (IDEA 34 CFR §300.324).</t>
  </si>
  <si>
    <t>Initial Evaluation: Must be completed within 60 calendar days of receiving parental consent (19 TAC §89.1011).</t>
  </si>
  <si>
    <t>ARD Meeting Notice: Written notice required at least 5 calendar days before any ARD meeting (19 TAC §89.1050).</t>
  </si>
  <si>
    <t>HB 3928 Review: Annual review of all students with dyslexia plans required under Texas HB 3928 (2021).</t>
  </si>
  <si>
    <t>SPPI-13 Compliance: Transition planning required in IEP for all eligible students at age 16 (or earlier).</t>
  </si>
  <si>
    <t>CAP Deadlines: Vary by TEA finding — track systemic and child-specific correction deadlines separately.</t>
  </si>
  <si>
    <t>© 2025 Clear Path Education Group, LLC  |  clearpathedgroup.com  |  For organizational use only — not legal advice.</t>
  </si>
  <si>
    <t>SPED STUDENT ROSTER — Students with IEPs, 504 Plans, or Dyslexia Identification</t>
  </si>
  <si>
    <t>Student ID</t>
  </si>
  <si>
    <t>Last Name</t>
  </si>
  <si>
    <t>First Name</t>
  </si>
  <si>
    <t>Grade</t>
  </si>
  <si>
    <t>Campus</t>
  </si>
  <si>
    <t>SPED Status</t>
  </si>
  <si>
    <t>Primary Disability</t>
  </si>
  <si>
    <t>504 Plan?</t>
  </si>
  <si>
    <t>Dyslexia Identified?</t>
  </si>
  <si>
    <t>HB 3928 Review Status</t>
  </si>
  <si>
    <t>Waypoint Student ID (if linked)</t>
  </si>
  <si>
    <t>IEP Count ⚙</t>
  </si>
  <si>
    <t>504 Count ⚙</t>
  </si>
  <si>
    <t>Notes</t>
  </si>
  <si>
    <t>MER-001</t>
  </si>
  <si>
    <t>Alvarez</t>
  </si>
  <si>
    <t>Elena</t>
  </si>
  <si>
    <t>11th Grade</t>
  </si>
  <si>
    <t>Lincoln High</t>
  </si>
  <si>
    <t>Eligible — Active IEP</t>
  </si>
  <si>
    <t>Learning Disability (LD)</t>
  </si>
  <si>
    <t>No</t>
  </si>
  <si>
    <t>Yes</t>
  </si>
  <si>
    <t>Review Complete</t>
  </si>
  <si>
    <t>Dyslexia — Barton program. Annual IEP review upcoming.</t>
  </si>
  <si>
    <t>MER-002</t>
  </si>
  <si>
    <t>Brown</t>
  </si>
  <si>
    <t>Jaylen</t>
  </si>
  <si>
    <t>8th Grade</t>
  </si>
  <si>
    <t>Roosevelt Middle</t>
  </si>
  <si>
    <t>Emotional Disturbance (ED)</t>
  </si>
  <si>
    <t>Not Applicable</t>
  </si>
  <si>
    <t>Behavior plan active.</t>
  </si>
  <si>
    <t>MER-003</t>
  </si>
  <si>
    <t>Kim</t>
  </si>
  <si>
    <t>Sarah</t>
  </si>
  <si>
    <t>6th Grade</t>
  </si>
  <si>
    <t>Jefferson Middle</t>
  </si>
  <si>
    <t>504 Only</t>
  </si>
  <si>
    <t>None</t>
  </si>
  <si>
    <t>Pending Review</t>
  </si>
  <si>
    <t>504 Only — dyslexia identified 9/21.</t>
  </si>
  <si>
    <t>MER-004</t>
  </si>
  <si>
    <t>Washington</t>
  </si>
  <si>
    <t>Darius</t>
  </si>
  <si>
    <t>12th Grade</t>
  </si>
  <si>
    <t>Intellectual Disability (ID)</t>
  </si>
  <si>
    <t>SPPI-13 secondary transition planning.</t>
  </si>
  <si>
    <t>MER-005</t>
  </si>
  <si>
    <t>Nguyen</t>
  </si>
  <si>
    <t>Mai</t>
  </si>
  <si>
    <t>9th Grade</t>
  </si>
  <si>
    <t>Other Health Impairment (OHI)</t>
  </si>
  <si>
    <t>ADHD — both IEP and 504 supports.</t>
  </si>
  <si>
    <t>IEP TRACKER — One Row Per Active IEP</t>
  </si>
  <si>
    <t>⚠ Annual review must be held within 12 months of the previous review date. ARD meeting notice required 5 calendar days in advance (19 TAC §89.1050).</t>
  </si>
  <si>
    <t>IEP ID</t>
  </si>
  <si>
    <t>Last Name ⚙</t>
  </si>
  <si>
    <t>First Name ⚙</t>
  </si>
  <si>
    <t>Grade ⚙</t>
  </si>
  <si>
    <t>Campus ⚙</t>
  </si>
  <si>
    <t>IEP Status</t>
  </si>
  <si>
    <t>Case Manager</t>
  </si>
  <si>
    <t>Last Annual Review Date</t>
  </si>
  <si>
    <t>Annual Review Due Date</t>
  </si>
  <si>
    <t>Days Until Review ⚙</t>
  </si>
  <si>
    <t>Annual Review Held?</t>
  </si>
  <si>
    <t>Date Review Held</t>
  </si>
  <si>
    <t>ARD Meeting Scheduled?</t>
  </si>
  <si>
    <t>ARD Meeting Date</t>
  </si>
  <si>
    <t>Next Re-Evaluation Due</t>
  </si>
  <si>
    <t>SPED Status ⚙</t>
  </si>
  <si>
    <t>IEP-001</t>
  </si>
  <si>
    <t>Annual Review Due</t>
  </si>
  <si>
    <t>Ms. Garcia</t>
  </si>
  <si>
    <t>Annual review due 3/15 — ARD scheduled.</t>
  </si>
  <si>
    <t>IEP-002</t>
  </si>
  <si>
    <t>Active</t>
  </si>
  <si>
    <t>Mr. Thompson</t>
  </si>
  <si>
    <t>BIP review concurrent with ARD. Next annual Sept 2026.</t>
  </si>
  <si>
    <t>IEP-003</t>
  </si>
  <si>
    <t>Ms. Rivera</t>
  </si>
  <si>
    <t>Transition plan: post-secondary vocational training. Graduation May 2026.</t>
  </si>
  <si>
    <t>IEP-004</t>
  </si>
  <si>
    <t>Annual review overdue. ARD rescheduled for 2/28.</t>
  </si>
  <si>
    <t>504 PLAN TRACKER — One Row Per Active 504 Plan</t>
  </si>
  <si>
    <t>⚠ Section 504 plans require annual review (34 CFR §104.36). Dyslexia plans must comply with HB 3928 and include MDT composition verification.</t>
  </si>
  <si>
    <t>504 ID</t>
  </si>
  <si>
    <t>504 Status</t>
  </si>
  <si>
    <t>Review Held?</t>
  </si>
  <si>
    <t>Is Dyslexia Plan?</t>
  </si>
  <si>
    <t>HB 3928 Reviewed?</t>
  </si>
  <si>
    <t>MDT Composition Verified?</t>
  </si>
  <si>
    <t>Progress Report Required?</t>
  </si>
  <si>
    <t>504-001</t>
  </si>
  <si>
    <t>Mr. Kim</t>
  </si>
  <si>
    <t>Dyslexia 504 — HB 3928 compliant. Annual review overdue.</t>
  </si>
  <si>
    <t>504-002</t>
  </si>
  <si>
    <t>Standard 504 for ADHD/OHI. Annual review April 2026.</t>
  </si>
  <si>
    <t>DYSLEXIA &amp; HB 3928 TRACKER — Students with Dyslexia Identification</t>
  </si>
  <si>
    <t>Texas HB 3928 (2021) requires annual review of all students identified with dyslexia, MDT composition verification, and structured literacy instruction. This tracker monitors required annual actions.</t>
  </si>
  <si>
    <t>Dyslexia Identification Date</t>
  </si>
  <si>
    <t>Dyslexia Program / Intervention</t>
  </si>
  <si>
    <t>HB 3928 Annual Review Status</t>
  </si>
  <si>
    <t>504 Plan Linked?</t>
  </si>
  <si>
    <t>504 Plan ID</t>
  </si>
  <si>
    <t>Progress Report Due Date</t>
  </si>
  <si>
    <t>Progress Report Status</t>
  </si>
  <si>
    <t>Structured Literacy Instruction Confirmed?</t>
  </si>
  <si>
    <t>Barton Reading and Spelling</t>
  </si>
  <si>
    <t>In Progress</t>
  </si>
  <si>
    <t>Annual HB 3928 review completed. Progress report due 3/31.</t>
  </si>
  <si>
    <t>Wilson Reading System</t>
  </si>
  <si>
    <t>Not Started</t>
  </si>
  <si>
    <t>Annual HB 3928 review not yet completed — URGENT.</t>
  </si>
  <si>
    <t>CAP FINDINGS TRACKER — TEA Corrective Action Plan Findings and Tasks</t>
  </si>
  <si>
    <t>Log each finding from a TEA monitoring visit or complaint investigation. Track systemic and child-specific correction deadlines separately. Each finding may have multiple tasks — use the CAP TASKS section below.</t>
  </si>
  <si>
    <t>SECTION A: FINDINGS</t>
  </si>
  <si>
    <t>Finding ID</t>
  </si>
  <si>
    <t>Campus (if specific)</t>
  </si>
  <si>
    <t>Finding Number (TEA)</t>
  </si>
  <si>
    <t>Description</t>
  </si>
  <si>
    <t>Legal Citation</t>
  </si>
  <si>
    <t>Issued Date</t>
  </si>
  <si>
    <t>Systemic Correction Due</t>
  </si>
  <si>
    <t>Child-Specific Correction Due</t>
  </si>
  <si>
    <t>Days Until Systemic Due ⚙</t>
  </si>
  <si>
    <t>Days Until Child Due ⚙</t>
  </si>
  <si>
    <t>Status</t>
  </si>
  <si>
    <t>Date Closed</t>
  </si>
  <si>
    <t>TEA Response Required?</t>
  </si>
  <si>
    <t>CAP-001</t>
  </si>
  <si>
    <t>Districtwide</t>
  </si>
  <si>
    <t>TEA-2025-114</t>
  </si>
  <si>
    <t>Annual IEP reviews not held within 12 months for 3 students</t>
  </si>
  <si>
    <t>34 CFR §300.324(b)</t>
  </si>
  <si>
    <t>Evidence collection underway.</t>
  </si>
  <si>
    <t>SECTION B: TASKS (one row per task; link to Finding ID in column A above)</t>
  </si>
  <si>
    <t>Task ID</t>
  </si>
  <si>
    <t>Finding ID (cross-ref)</t>
  </si>
  <si>
    <t>Task Description</t>
  </si>
  <si>
    <t>Assigned To</t>
  </si>
  <si>
    <t>Due Date</t>
  </si>
  <si>
    <t>Days Until Due ⚙</t>
  </si>
  <si>
    <t>Completion Date</t>
  </si>
  <si>
    <t>Evidence / Documentation</t>
  </si>
  <si>
    <t>TASK-001</t>
  </si>
  <si>
    <t>Convene ARD meeting for each identified student</t>
  </si>
  <si>
    <t>SPED Director</t>
  </si>
  <si>
    <t>ARD schedules + signed minutes</t>
  </si>
  <si>
    <t>SPPI-13 — SECONDARY TRANSITION COMPLIANCE TRACKER</t>
  </si>
  <si>
    <t>SPPI-13 requires that 100% of SPED students age 16+ (or younger if appropriate) have appropriate measurable postsecondary goals, transition services, and coordinated activities in their IEP. (IDEA 20 U.S.C. §1414(d)(1)(A)(VIII))</t>
  </si>
  <si>
    <t>This tracker covers all 5 core SPPI-13 compliance elements. Each column is a required component. ALL five must be "Yes" for a student to be counted as compliant.</t>
  </si>
  <si>
    <t>School Year</t>
  </si>
  <si>
    <t>1. Postsecondary Goals in IEP?</t>
  </si>
  <si>
    <t>Goals Date</t>
  </si>
  <si>
    <t>2. Transition Assessments Completed?</t>
  </si>
  <si>
    <t>Assessment Date</t>
  </si>
  <si>
    <t>Assessment Types Used</t>
  </si>
  <si>
    <t>3. Transition Services in IEP?</t>
  </si>
  <si>
    <t>Services Date</t>
  </si>
  <si>
    <t>4. Student Participated in Planning?</t>
  </si>
  <si>
    <t>Participation Date</t>
  </si>
  <si>
    <t>5. Outside Agency Invited?</t>
  </si>
  <si>
    <t>Agency Name</t>
  </si>
  <si>
    <t>Agency Invitation Date</t>
  </si>
  <si>
    <t>SPPI-13 Compliant? ⚙</t>
  </si>
  <si>
    <t>2025–2026</t>
  </si>
  <si>
    <t>Interest inventory; situational assessment</t>
  </si>
  <si>
    <t>Texas Workforce Solutions — VR</t>
  </si>
  <si>
    <t>Compliant — all 5 elements documented.</t>
  </si>
  <si>
    <t>Transition interview</t>
  </si>
  <si>
    <t>Services not yet documented — follow up at spring ARD.</t>
  </si>
  <si>
    <t>DASHBOARD — SPED Compliance Summary (No Data Entry Needed)</t>
  </si>
  <si>
    <t>KEY METRICS</t>
  </si>
  <si>
    <t>Total SPED Students</t>
  </si>
  <si>
    <t>Students with Active IEPs</t>
  </si>
  <si>
    <t>IEP Annual Reviews Due (30d)</t>
  </si>
  <si>
    <t>IEP Annual Reviews Overdue</t>
  </si>
  <si>
    <t>Active 504 Plans</t>
  </si>
  <si>
    <t>504 Reviews Due (30d)</t>
  </si>
  <si>
    <t>504 Reviews Overdue</t>
  </si>
  <si>
    <t>Students with Dyslexia</t>
  </si>
  <si>
    <t>HB 3928 Reviews Pending</t>
  </si>
  <si>
    <t>Open CAP Findings</t>
  </si>
  <si>
    <t>CAP Tasks Overdue</t>
  </si>
  <si>
    <t>SPPI-13 Compliant Students</t>
  </si>
  <si>
    <t>SPPI-13 Non-Compliant Students</t>
  </si>
  <si>
    <t>SPED STUDENTS BY STATUS</t>
  </si>
  <si>
    <t>Referred — Evaluation Pending</t>
  </si>
  <si>
    <t>Exited SPED</t>
  </si>
  <si>
    <t>Not Eligible</t>
  </si>
  <si>
    <t>Dyslexia Only</t>
  </si>
  <si>
    <t>IEP ANNUAL REVIEW COUNTDOWN</t>
  </si>
  <si>
    <t>[GOOGLE SHEETS] Dynamic filter — paste in A below:</t>
  </si>
  <si>
    <t>=IFERROR(FILTER('IEP Tracker'!C4:R500,ISNUMBER(VALUE('IEP Tracker'!K4:K500)),'IEP Tracker'!L4:L500&lt;&gt;"Yes"),"No pending reviews")</t>
  </si>
  <si>
    <t>For Excel: Go to IEP Tracker tab → Sort by column K (Days Until Review) ascending.</t>
  </si>
  <si>
    <t>© 2025 Clear Path Education Group, LLC  |  clearpathedgroup.com  |  Upgrade to Meridian for automated compliance tracking.</t>
  </si>
  <si>
    <t>📋 WEEKLY SPED COMPLIANCE HEALTH BOARD</t>
  </si>
  <si>
    <t>Print this tab for your weekly SPED compliance review. All data auto-updates from your other tabs.</t>
  </si>
  <si>
    <t>🔴 IEP ANNUAL REVIEWS DUE WITHIN 30 DAYS</t>
  </si>
  <si>
    <t>Review Due Date</t>
  </si>
  <si>
    <t>Days Remaining</t>
  </si>
  <si>
    <t>⚠ 504 PLAN REVIEWS DUE WITHIN 30 DAYS</t>
  </si>
  <si>
    <t>📊 COMPLIANCE SNAPSHOT</t>
  </si>
  <si>
    <t>Active IEPs</t>
  </si>
  <si>
    <t>IEP Reviews Overdue</t>
  </si>
  <si>
    <t>IEP Reviews Due ≤7 Days</t>
  </si>
  <si>
    <t>Dyslexia Reviews Pending</t>
  </si>
  <si>
    <t>─── Generated by Meridian — SPED Compliance Tracker | Clear Path Education Group, LLC | clearpathedgroup.com ───</t>
  </si>
  <si>
    <t>REFERENCE — IDEA Compliance, Texas SPED Law, HB 3928, CAP Process</t>
  </si>
  <si>
    <t>Clear Path Education Group, LLC  |  For organizational use only — not legal advice</t>
  </si>
  <si>
    <t>IDEA KEY COMPLIANCE TIMELINES</t>
  </si>
  <si>
    <t>Requirement</t>
  </si>
  <si>
    <t>Timeline</t>
  </si>
  <si>
    <t>Legal Authority</t>
  </si>
  <si>
    <t>Initial Evaluation — Consent to Completion</t>
  </si>
  <si>
    <t>60 calendar days from consent (Texas: 45 school days)</t>
  </si>
  <si>
    <t>19 TAC §89.1011</t>
  </si>
  <si>
    <t>Parent must provide written consent before evaluation begins</t>
  </si>
  <si>
    <t>ARD Meeting After Evaluation</t>
  </si>
  <si>
    <t>Within 30 calendar days of evaluation completion</t>
  </si>
  <si>
    <t>34 CFR §300.323</t>
  </si>
  <si>
    <t>ARD committee reviews evaluation results and determines eligibility</t>
  </si>
  <si>
    <t>IEP Annual Review</t>
  </si>
  <si>
    <t>Within 12 months of previous annual review date</t>
  </si>
  <si>
    <t>Must be completed on or before anniversary of last annual review</t>
  </si>
  <si>
    <t>Three-Year Reevaluation (Triennial)</t>
  </si>
  <si>
    <t>Every 3 years from initial eligibility date</t>
  </si>
  <si>
    <t>34 CFR §300.303</t>
  </si>
  <si>
    <t>May be waived if parent and district agree in writing</t>
  </si>
  <si>
    <t>ARD Meeting Notice</t>
  </si>
  <si>
    <t>At least 5 calendar days before meeting</t>
  </si>
  <si>
    <t>19 TAC §89.1050</t>
  </si>
  <si>
    <t>Written notice required; shorter notice allowed with parent consent</t>
  </si>
  <si>
    <t>Section 504 Annual Review</t>
  </si>
  <si>
    <t>Annually (no federal deadline — local policy applies)</t>
  </si>
  <si>
    <t>34 CFR §104.36</t>
  </si>
  <si>
    <t>Best practice: review before school year end or at anniversary</t>
  </si>
  <si>
    <t>Prior Written Notice (PWN)</t>
  </si>
  <si>
    <t>Before any change in placement, identification, or services</t>
  </si>
  <si>
    <t>34 CFR §300.503</t>
  </si>
  <si>
    <t>Required regardless of whether district proposes or refuses a change</t>
  </si>
  <si>
    <t>DAEP Placement — MDR Timeline</t>
  </si>
  <si>
    <t>10 school days from placement decision</t>
  </si>
  <si>
    <t>TEC §37.004; 34 CFR §300.530</t>
  </si>
  <si>
    <t>MDR required for any DAEP placement of a SPED student</t>
  </si>
  <si>
    <t>SPPI INDICATORS — IDEA STATE PERFORMANCE PLAN</t>
  </si>
  <si>
    <t>Indicator</t>
  </si>
  <si>
    <t>SPPI-1</t>
  </si>
  <si>
    <t>Graduation Rate</t>
  </si>
  <si>
    <t>SPPI-2</t>
  </si>
  <si>
    <t>Drop-Out Rate</t>
  </si>
  <si>
    <t>SPPI-3</t>
  </si>
  <si>
    <t>Assessment Participation &amp; Performance</t>
  </si>
  <si>
    <t>SPPI-4</t>
  </si>
  <si>
    <t>Suspension/Expulsion Rates</t>
  </si>
  <si>
    <t>SPPI-5</t>
  </si>
  <si>
    <t>LRE — School-Age</t>
  </si>
  <si>
    <t>SPPI-6</t>
  </si>
  <si>
    <t>LRE — Preschool</t>
  </si>
  <si>
    <t>SPPI-7</t>
  </si>
  <si>
    <t>Preschool Outcomes</t>
  </si>
  <si>
    <t>SPPI-8</t>
  </si>
  <si>
    <t>Parent Involvement</t>
  </si>
  <si>
    <t>SPPI-9</t>
  </si>
  <si>
    <t>Disproportionate Representation</t>
  </si>
  <si>
    <t>SPPI-10</t>
  </si>
  <si>
    <t>Disproportionate Representation by Disability</t>
  </si>
  <si>
    <t>SPPI-11</t>
  </si>
  <si>
    <t>Child Find / Timely Evaluation</t>
  </si>
  <si>
    <t>SPPI-12</t>
  </si>
  <si>
    <t>Early Childhood Transition</t>
  </si>
  <si>
    <t>SPPI-13</t>
  </si>
  <si>
    <t>Secondary Transition (age 16+)</t>
  </si>
  <si>
    <t>SPPI-14</t>
  </si>
  <si>
    <t>Post-Secondary Outcomes</t>
  </si>
  <si>
    <t>SPPI-13 COMPLIANCE — FIVE REQUIRED COMPONENTS</t>
  </si>
  <si>
    <t>Component</t>
  </si>
  <si>
    <t>Documentation Needed</t>
  </si>
  <si>
    <t>1. Postsecondary Goals</t>
  </si>
  <si>
    <t>IEP must include appropriate measurable postsecondary goals for education/training, employment, and (where appropriate) independent living</t>
  </si>
  <si>
    <t>IDEA 20 U.S.C. §1414(d)(1)(A)(VIII)</t>
  </si>
  <si>
    <t>Goals documented in IEP; goals based on transition assessment</t>
  </si>
  <si>
    <t>2. Transition Assessments</t>
  </si>
  <si>
    <t>Goals must be based on age-appropriate transition assessments</t>
  </si>
  <si>
    <t>IDEA 20 U.S.C. §1414(d)(1)(A)(VIII)(aa)</t>
  </si>
  <si>
    <t>Assessment types documented; results referenced in IEP</t>
  </si>
  <si>
    <t>3. Transition Services</t>
  </si>
  <si>
    <t>IEP must include transition services aligned with postsecondary goals</t>
  </si>
  <si>
    <t>IDEA 20 U.S.C. §1414(d)(1)(A)(VIII)(bb)</t>
  </si>
  <si>
    <t>Services listed in IEP; responsible parties identified</t>
  </si>
  <si>
    <t>4. Student Participated</t>
  </si>
  <si>
    <t>Student must be invited to and have opportunity to participate in IEP meeting</t>
  </si>
  <si>
    <t>IDEA 20 U.S.C. §1414(d)(1)(B)(vii)</t>
  </si>
  <si>
    <t>Invitation documented; notes reflect participation</t>
  </si>
  <si>
    <t>5. Outside Agency Invited</t>
  </si>
  <si>
    <t>Agencies responsible for transition services must be invited if consent obtained</t>
  </si>
  <si>
    <t>IDEA 20 U.S.C. §1414(d)(1)(B)(viii)</t>
  </si>
  <si>
    <t>Agency invitation documented; participation noted</t>
  </si>
  <si>
    <t>HB 3928 (2021) — TEXAS DYSLEXIA REQUIREMENTS</t>
  </si>
  <si>
    <t>Annual Review</t>
  </si>
  <si>
    <t>All students identified with dyslexia must have their plan reviewed annually (not just assessed — the plan itself must be reviewed and updated)</t>
  </si>
  <si>
    <t>MDT Composition</t>
  </si>
  <si>
    <t>The team reviewing the dyslexia plan must include specific members: a certified reading specialist or dyslexia specialist, a classroom teacher, and a parent/guardian</t>
  </si>
  <si>
    <t>Structured Literacy Instruction</t>
  </si>
  <si>
    <t>Students with dyslexia must receive structured literacy instruction (Orton-Gillingham approach or evidence-based equivalent) delivered by trained personnel</t>
  </si>
  <si>
    <t>Progress Reports</t>
  </si>
  <si>
    <t>Dyslexia program students must receive progress reports at each reporting period (aligned to report card schedule)</t>
  </si>
  <si>
    <t>Districts must document the annual review, MDT composition verification, and structured literacy instruction for each student</t>
  </si>
  <si>
    <t>CAP (CORRECTIVE ACTION PLAN) PROCESS</t>
  </si>
  <si>
    <t>Stage</t>
  </si>
  <si>
    <t>TEA Finding Issued</t>
  </si>
  <si>
    <t>Following a monitoring visit or complaint investigation, TEA issues written findings specifying the noncompliance</t>
  </si>
  <si>
    <t>Systemic Correction</t>
  </si>
  <si>
    <t>District must correct the system-level issue (policy, procedure, training) by the deadline specified in the finding</t>
  </si>
  <si>
    <t>Child-Specific Correction</t>
  </si>
  <si>
    <t>For findings affecting individual students, district must provide compensatory services or retroactive correction by a separate deadline</t>
  </si>
  <si>
    <t>Evidence Submission</t>
  </si>
  <si>
    <t>District submits documentation to TEA demonstrating correction; TEA reviews and either accepts or extends the finding</t>
  </si>
  <si>
    <t>Finding Closed</t>
  </si>
  <si>
    <t>TEA issues written closure when both systemic and child-specific corrections are verified</t>
  </si>
  <si>
    <t>RDA Determination</t>
  </si>
  <si>
    <t>Based on the nature and number of findings, TEA assigns a Results-Driven Accountability level (DL1–DL4) that determines check-in frequency</t>
  </si>
  <si>
    <t>RDA DETERMINATION LEVELS</t>
  </si>
  <si>
    <t>DL1 — Needs Assistance</t>
  </si>
  <si>
    <t>DL2 — Needs Intervention (90-day check-in)</t>
  </si>
  <si>
    <t>DL3 — Needs Substantial Intervention (60-day check-in)</t>
  </si>
  <si>
    <t>DL4 — Needs Intensive Intervention (30-day check-in)</t>
  </si>
  <si>
    <t>GLOSSARY</t>
  </si>
  <si>
    <t>Term</t>
  </si>
  <si>
    <t>Definition</t>
  </si>
  <si>
    <t>ARD</t>
  </si>
  <si>
    <t>Admission, Review, and Dismissal Committee — the IEP team under Texas law</t>
  </si>
  <si>
    <t>BIP</t>
  </si>
  <si>
    <t>Behavior Intervention Plan — written plan based on FBA results</t>
  </si>
  <si>
    <t>CAP</t>
  </si>
  <si>
    <t>Corrective Action Plan — TEA-issued plan requiring districts to correct identified noncompliance</t>
  </si>
  <si>
    <t>FBA</t>
  </si>
  <si>
    <t>Functional Behavioral Assessment — evaluation to determine cause/function of a student's behavior</t>
  </si>
  <si>
    <t>HB 3928</t>
  </si>
  <si>
    <t>Texas House Bill 3928 (2021) — dyslexia instruction and program review requirements</t>
  </si>
  <si>
    <t>IDEA</t>
  </si>
  <si>
    <t>Individuals with Disabilities Education Act — federal law governing special education (34 CFR Part 300)</t>
  </si>
  <si>
    <t>IEP</t>
  </si>
  <si>
    <t>Individualized Education Program — legal document governing SPED services for an eligible student</t>
  </si>
  <si>
    <t>LEA</t>
  </si>
  <si>
    <t>Local Education Agency — the school district</t>
  </si>
  <si>
    <t>LRE</t>
  </si>
  <si>
    <t>Least Restrictive Environment — IDEA requirement to educate students in settings as close to general education as appropriate</t>
  </si>
  <si>
    <t>MDR</t>
  </si>
  <si>
    <t>Manifestation Determination Review — meeting to determine if misbehavior is caused by disability</t>
  </si>
  <si>
    <t>MDT</t>
  </si>
  <si>
    <t>Multidisciplinary Team — team that reviews dyslexia plans under HB 3928</t>
  </si>
  <si>
    <t>PWN</t>
  </si>
  <si>
    <t>Prior Written Notice — required before any change in placement, evaluation, or services</t>
  </si>
  <si>
    <t>RDA</t>
  </si>
  <si>
    <t>Results-Driven Accountability — TEA framework for monitoring district SPED compliance over time</t>
  </si>
  <si>
    <t>SPED</t>
  </si>
  <si>
    <t>Special Education — services under IDEA for students with eligible disabilities</t>
  </si>
  <si>
    <t>SPPI</t>
  </si>
  <si>
    <t>State Performance Plan Indicator — TEA measures of district SPED performance (1–14)</t>
  </si>
  <si>
    <t>504</t>
  </si>
  <si>
    <t>Section 504 of the Rehabilitation Act — civil rights law prohibiting disability discrimination in programs receiving federal funds</t>
  </si>
  <si>
    <t>© 2025 Clear Path Education Group, LLC  |  clearpathedgroup.com  |  For organizational use only</t>
  </si>
  <si>
    <t>↑ UPGRADE TO MERIDIAN — Full SPED Compliance Management Platform</t>
  </si>
  <si>
    <t>Clear Path Education Group, LLC  |  clearpathedgroup.com/meridian</t>
  </si>
  <si>
    <t>Managing SPED compliance in a spreadsheet works — until it doesn't.</t>
  </si>
  <si>
    <t>Meridian automates deadline tracking, surfaces overdue items before they become findings, and integrates with your Waypoint DAEP data.</t>
  </si>
  <si>
    <t>WHAT MERIDIAN DOES THAT THIS TRACKER CANNOT</t>
  </si>
  <si>
    <t>Feature</t>
  </si>
  <si>
    <t>This Tracker</t>
  </si>
  <si>
    <t>Meridian</t>
  </si>
  <si>
    <t>IEP annual review tracking</t>
  </si>
  <si>
    <t>Manual date math</t>
  </si>
  <si>
    <t>Automated countdown; alerts sent to case manager 30/14/7 days before</t>
  </si>
  <si>
    <t>504 plan tracking</t>
  </si>
  <si>
    <t>Separate tab, manual</t>
  </si>
  <si>
    <t>Integrated with IEP data; auto-flags dyslexia plan requirements</t>
  </si>
  <si>
    <t>HB 3928 review tracking</t>
  </si>
  <si>
    <t>Manual checkboxes</t>
  </si>
  <si>
    <t>Automated review workflow with MDT composition checklist</t>
  </si>
  <si>
    <t>Compliance deadline view</t>
  </si>
  <si>
    <t>Dashboard COUNTIF</t>
  </si>
  <si>
    <t>Real-time compliance deadline view: overdue, critical (≤7d), warning (≤14d)</t>
  </si>
  <si>
    <t>CAP finding tracking</t>
  </si>
  <si>
    <t>This tab (manual)</t>
  </si>
  <si>
    <t>Structured CAP workflow with evidence upload and TEA response tracking</t>
  </si>
  <si>
    <t>SPPI-13 compliance</t>
  </si>
  <si>
    <t>Manual Yes/No columns</t>
  </si>
  <si>
    <t>Auto-calculated SPPI-13 compliance rate by campus</t>
  </si>
  <si>
    <t>RDA determination tracking</t>
  </si>
  <si>
    <t>Not available</t>
  </si>
  <si>
    <t>Built-in RDA level tracking with check-in cadence calendar</t>
  </si>
  <si>
    <t>Folder readiness score</t>
  </si>
  <si>
    <t>Auto-calculated % readiness per student and campus</t>
  </si>
  <si>
    <t>Multi-campus visibility</t>
  </si>
  <si>
    <t>One file</t>
  </si>
  <si>
    <t>District-wide compliance dashboard by campus</t>
  </si>
  <si>
    <t>Role-based access</t>
  </si>
  <si>
    <t>File sharing</t>
  </si>
  <si>
    <t>Case manager, coordinator, and director roles with scoped access</t>
  </si>
  <si>
    <t>Waypoint integration</t>
  </si>
  <si>
    <t>Manual cross-reference</t>
  </si>
  <si>
    <t>Direct sync — SPED students flagged during DAEP incidents automatically</t>
  </si>
  <si>
    <t>Audit trail</t>
  </si>
  <si>
    <t>Every change logged with timestamp and user</t>
  </si>
  <si>
    <t>TEA reporting export</t>
  </si>
  <si>
    <t>Manual</t>
  </si>
  <si>
    <t>One-click export for PEIMS and TEA monitoring data</t>
  </si>
  <si>
    <t>MERIDIAN PRICING</t>
  </si>
  <si>
    <t>Starting at $4,000/year for a district (not per campus)</t>
  </si>
  <si>
    <t>Bundle with Waypoint (DAEP) + Navigator (RTI/MTSS) for full Clear Path platform pricing.</t>
  </si>
  <si>
    <t>→ Book a free demo:  calendly.com/clearpatheg/meridian-demo</t>
  </si>
  <si>
    <t>→ Learn more:        clearpathedgroup.com/meridian</t>
  </si>
  <si>
    <t>→ Email:             support@clearpathedgroup.com</t>
  </si>
  <si>
    <t>© 2025 Clear Path Education Group, LLC  |  FERPA-compliant  |  Texas-built, Texas-focused</t>
  </si>
  <si>
    <t>Grade Levels</t>
  </si>
  <si>
    <t>SPED Disability Codes</t>
  </si>
  <si>
    <t>504 Plan Status</t>
  </si>
  <si>
    <t>HB 3928 Status</t>
  </si>
  <si>
    <t>CAP Status</t>
  </si>
  <si>
    <t>Transition Yes/No</t>
  </si>
  <si>
    <t>Yes / No</t>
  </si>
  <si>
    <t>RDA Levels</t>
  </si>
  <si>
    <t>Pre-K</t>
  </si>
  <si>
    <t>Autism (AU)</t>
  </si>
  <si>
    <t>Open</t>
  </si>
  <si>
    <t>Kindergarten</t>
  </si>
  <si>
    <t>Deaf-Blindness (DB)</t>
  </si>
  <si>
    <t>Draft — Not Yet Signed</t>
  </si>
  <si>
    <t>Draft</t>
  </si>
  <si>
    <t>1st Grade</t>
  </si>
  <si>
    <t>Systemic Corrected — Child Pending</t>
  </si>
  <si>
    <t>N/A</t>
  </si>
  <si>
    <t>2nd Grade</t>
  </si>
  <si>
    <t>Hearing Impairment (HI)</t>
  </si>
  <si>
    <t>Expired — Needs Renewal</t>
  </si>
  <si>
    <t>Expired</t>
  </si>
  <si>
    <t>Closed</t>
  </si>
  <si>
    <t>3rd Grade</t>
  </si>
  <si>
    <t>Exited</t>
  </si>
  <si>
    <t>Discontinued</t>
  </si>
  <si>
    <t>4th Grade</t>
  </si>
  <si>
    <t>5th Grade</t>
  </si>
  <si>
    <t>Multiple Disabilities (MD)</t>
  </si>
  <si>
    <t>Noncategorical Early Childhood (NCI)</t>
  </si>
  <si>
    <t>7th Grade</t>
  </si>
  <si>
    <t>Orthopedic Impairment (OI)</t>
  </si>
  <si>
    <t>Speech Impairment (SI)</t>
  </si>
  <si>
    <t>10th Grade</t>
  </si>
  <si>
    <t>Traumatic Brain Injury (TBI)</t>
  </si>
  <si>
    <t>Visual Impairment (VI)</t>
  </si>
  <si>
    <t>HOW TO APPLY DROPDOWNS — Google Sheets: Data → Data Validation → Dropdown from range</t>
  </si>
  <si>
    <t>HOW TO APPLY DROPDOWNS — Excel: Data → Data Validation → Allow: List → Source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</si>
</sst>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Normal="100" workbookViewId="0">
      <selection sqref="A1:L1"/>
    </sheetView>
  </sheetViews>
  <sheetFormatPr defaultRowHeight="15" customHeight="1" x14ac:dyDescent="0.45"/>
  <cols>
    <col min="1" max="1" width="41.6640625" customWidth="1"/>
    <col min="2" max="2" width="3.33203125" customWidth="1"/>
    <col min="3" max="3" width="33.33203125" customWidth="1"/>
    <col min="4" max="5" width="25" customWidth="1"/>
    <col min="6" max="12" width="16.6640625" customWidth="1"/>
  </cols>
  <sheetData>
    <row r="1" spans="1:12" x14ac:dyDescent="0.4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4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6" spans="1:12" x14ac:dyDescent="0.4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45">
      <c r="A7" t="s">
        <v>5</v>
      </c>
    </row>
    <row r="8" spans="1:12" x14ac:dyDescent="0.45">
      <c r="A8" t="s">
        <v>6</v>
      </c>
      <c r="C8" t="s">
        <v>7</v>
      </c>
    </row>
    <row r="9" spans="1:12" x14ac:dyDescent="0.45">
      <c r="A9" t="s">
        <v>8</v>
      </c>
    </row>
    <row r="10" spans="1:12" x14ac:dyDescent="0.45">
      <c r="A10" t="s">
        <v>9</v>
      </c>
    </row>
    <row r="11" spans="1:12" x14ac:dyDescent="0.45">
      <c r="A11" t="s">
        <v>10</v>
      </c>
    </row>
    <row r="13" spans="1:12" x14ac:dyDescent="0.45">
      <c r="A13" s="4" t="s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45">
      <c r="A14" s="4" t="s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45">
      <c r="A15" s="4" t="s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45">
      <c r="A16" s="4" t="s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45">
      <c r="A17" s="4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45">
      <c r="A18" s="4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45">
      <c r="A19" s="4" t="s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45">
      <c r="A20" s="4" t="s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45">
      <c r="A21" s="4" t="s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45">
      <c r="A22" s="4" t="s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45">
      <c r="A23" s="4" t="s">
        <v>21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45">
      <c r="A24" s="4" t="s">
        <v>22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6" spans="1:12" x14ac:dyDescent="0.45">
      <c r="A26" s="4" t="s">
        <v>23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45">
      <c r="A27" s="4" t="s">
        <v>24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45">
      <c r="A28" s="4" t="s">
        <v>25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45">
      <c r="A29" s="4" t="s">
        <v>26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45">
      <c r="A30" s="4" t="s">
        <v>27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45">
      <c r="A31" s="4" t="s">
        <v>28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45">
      <c r="A32" s="4" t="s">
        <v>29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4" spans="1:12" x14ac:dyDescent="0.45">
      <c r="A34" s="4" t="s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</sheetData>
  <mergeCells count="25">
    <mergeCell ref="A1:L1"/>
    <mergeCell ref="A6:L6"/>
    <mergeCell ref="A2:L2"/>
    <mergeCell ref="A23:L23"/>
    <mergeCell ref="A32:L32"/>
    <mergeCell ref="A14:L14"/>
    <mergeCell ref="A22:L22"/>
    <mergeCell ref="A17:L17"/>
    <mergeCell ref="A4:L4"/>
    <mergeCell ref="A20:L20"/>
    <mergeCell ref="A29:L29"/>
    <mergeCell ref="A19:L19"/>
    <mergeCell ref="A31:L31"/>
    <mergeCell ref="A16:L16"/>
    <mergeCell ref="A18:L18"/>
    <mergeCell ref="A27:L27"/>
    <mergeCell ref="A34:L34"/>
    <mergeCell ref="A24:L24"/>
    <mergeCell ref="A30:L30"/>
    <mergeCell ref="A3:L3"/>
    <mergeCell ref="A21:L21"/>
    <mergeCell ref="A26:L26"/>
    <mergeCell ref="A28:L28"/>
    <mergeCell ref="A13:L13"/>
    <mergeCell ref="A15:L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1"/>
  <sheetViews>
    <sheetView zoomScaleNormal="100" workbookViewId="0"/>
  </sheetViews>
  <sheetFormatPr defaultRowHeight="15" customHeight="1" x14ac:dyDescent="0.45"/>
  <cols>
    <col min="1" max="1" width="15" customWidth="1"/>
    <col min="2" max="3" width="18.33203125" customWidth="1"/>
    <col min="4" max="4" width="15" customWidth="1"/>
    <col min="5" max="5" width="21.6640625" customWidth="1"/>
    <col min="6" max="7" width="26.6640625" customWidth="1"/>
    <col min="8" max="8" width="13.33203125" customWidth="1"/>
    <col min="9" max="9" width="15" customWidth="1"/>
    <col min="10" max="10" width="23.33203125" customWidth="1"/>
    <col min="11" max="11" width="21.6640625" customWidth="1"/>
    <col min="12" max="13" width="13.33203125" customWidth="1"/>
    <col min="14" max="14" width="33.33203125" customWidth="1"/>
  </cols>
  <sheetData>
    <row r="1" spans="1:14" ht="14.25" x14ac:dyDescent="0.45">
      <c r="A1" s="4" t="s">
        <v>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4.25" x14ac:dyDescent="0.4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</row>
    <row r="3" spans="1:14" ht="15" customHeight="1" x14ac:dyDescent="0.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s="1"/>
      <c r="L3">
        <f>IF(A3="","",COUNTIF('IEP Tracker'!B:B,A3))</f>
        <v>1</v>
      </c>
      <c r="M3">
        <f>IF(A3="","",COUNTIF('504 Plan Tracker'!B:B,A3))</f>
        <v>0</v>
      </c>
      <c r="N3" t="s">
        <v>56</v>
      </c>
    </row>
    <row r="4" spans="1:14" ht="15" customHeight="1" x14ac:dyDescent="0.5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51</v>
      </c>
      <c r="G4" t="s">
        <v>62</v>
      </c>
      <c r="H4" t="s">
        <v>53</v>
      </c>
      <c r="I4" t="s">
        <v>53</v>
      </c>
      <c r="J4" t="s">
        <v>63</v>
      </c>
      <c r="K4" s="1"/>
      <c r="L4">
        <f>IF(A4="","",COUNTIF('IEP Tracker'!B:B,A4))</f>
        <v>1</v>
      </c>
      <c r="M4">
        <f>IF(A4="","",COUNTIF('504 Plan Tracker'!B:B,A4))</f>
        <v>0</v>
      </c>
      <c r="N4" t="s">
        <v>64</v>
      </c>
    </row>
    <row r="5" spans="1:14" ht="15" customHeight="1" x14ac:dyDescent="0.5">
      <c r="A5" t="s">
        <v>65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54</v>
      </c>
      <c r="I5" t="s">
        <v>54</v>
      </c>
      <c r="J5" t="s">
        <v>72</v>
      </c>
      <c r="K5" s="1"/>
      <c r="L5">
        <f>IF(A5="","",COUNTIF('IEP Tracker'!B:B,A5))</f>
        <v>0</v>
      </c>
      <c r="M5">
        <f>IF(A5="","",COUNTIF('504 Plan Tracker'!B:B,A5))</f>
        <v>1</v>
      </c>
      <c r="N5" t="s">
        <v>73</v>
      </c>
    </row>
    <row r="6" spans="1:14" ht="15" customHeight="1" x14ac:dyDescent="0.5">
      <c r="A6" t="s">
        <v>74</v>
      </c>
      <c r="B6" t="s">
        <v>75</v>
      </c>
      <c r="C6" t="s">
        <v>76</v>
      </c>
      <c r="D6" t="s">
        <v>77</v>
      </c>
      <c r="E6" t="s">
        <v>50</v>
      </c>
      <c r="F6" t="s">
        <v>51</v>
      </c>
      <c r="G6" t="s">
        <v>78</v>
      </c>
      <c r="H6" t="s">
        <v>53</v>
      </c>
      <c r="I6" t="s">
        <v>53</v>
      </c>
      <c r="J6" t="s">
        <v>63</v>
      </c>
      <c r="K6" s="1"/>
      <c r="L6">
        <f>IF(A6="","",COUNTIF('IEP Tracker'!B:B,A6))</f>
        <v>1</v>
      </c>
      <c r="M6">
        <f>IF(A6="","",COUNTIF('504 Plan Tracker'!B:B,A6))</f>
        <v>0</v>
      </c>
      <c r="N6" t="s">
        <v>79</v>
      </c>
    </row>
    <row r="7" spans="1:14" ht="15" customHeight="1" x14ac:dyDescent="0.5">
      <c r="A7" t="s">
        <v>80</v>
      </c>
      <c r="B7" t="s">
        <v>81</v>
      </c>
      <c r="C7" t="s">
        <v>82</v>
      </c>
      <c r="D7" t="s">
        <v>83</v>
      </c>
      <c r="E7" t="s">
        <v>50</v>
      </c>
      <c r="F7" t="s">
        <v>51</v>
      </c>
      <c r="G7" t="s">
        <v>84</v>
      </c>
      <c r="H7" t="s">
        <v>54</v>
      </c>
      <c r="I7" t="s">
        <v>54</v>
      </c>
      <c r="J7" t="s">
        <v>72</v>
      </c>
      <c r="K7" s="1"/>
      <c r="L7">
        <f>IF(A7="","",COUNTIF('IEP Tracker'!B:B,A7))</f>
        <v>1</v>
      </c>
      <c r="M7">
        <f>IF(A7="","",COUNTIF('504 Plan Tracker'!B:B,A7))</f>
        <v>1</v>
      </c>
      <c r="N7" t="s">
        <v>85</v>
      </c>
    </row>
    <row r="8" spans="1:14" x14ac:dyDescent="0.45">
      <c r="L8" t="str">
        <f>IF(A8="","",COUNTIF('IEP Tracker'!B:B,A8))</f>
        <v/>
      </c>
      <c r="M8" t="str">
        <f>IF(A8="","",COUNTIF('504 Plan Tracker'!B:B,A8))</f>
        <v/>
      </c>
      <c r="N8">
        <f>COUNTIF('IEP Tracker'!B:B,A8)</f>
        <v>0</v>
      </c>
    </row>
    <row r="9" spans="1:14" x14ac:dyDescent="0.45">
      <c r="L9" t="str">
        <f>IF(A9="","",COUNTIF('IEP Tracker'!B:B,A9))</f>
        <v/>
      </c>
      <c r="M9" t="str">
        <f>IF(A9="","",COUNTIF('504 Plan Tracker'!B:B,A9))</f>
        <v/>
      </c>
      <c r="N9">
        <f>COUNTIF('IEP Tracker'!B:B,A9)</f>
        <v>0</v>
      </c>
    </row>
    <row r="10" spans="1:14" x14ac:dyDescent="0.45">
      <c r="L10" t="str">
        <f>IF(A10="","",COUNTIF('IEP Tracker'!B:B,A10))</f>
        <v/>
      </c>
      <c r="M10" t="str">
        <f>IF(A10="","",COUNTIF('504 Plan Tracker'!B:B,A10))</f>
        <v/>
      </c>
      <c r="N10">
        <f>COUNTIF('IEP Tracker'!B:B,A10)</f>
        <v>0</v>
      </c>
    </row>
    <row r="11" spans="1:14" x14ac:dyDescent="0.45">
      <c r="L11" t="str">
        <f>IF(A11="","",COUNTIF('IEP Tracker'!B:B,A11))</f>
        <v/>
      </c>
      <c r="M11" t="str">
        <f>IF(A11="","",COUNTIF('504 Plan Tracker'!B:B,A11))</f>
        <v/>
      </c>
      <c r="N11">
        <f>COUNTIF('IEP Tracker'!B:B,A11)</f>
        <v>0</v>
      </c>
    </row>
    <row r="12" spans="1:14" x14ac:dyDescent="0.45">
      <c r="L12" t="str">
        <f>IF(A12="","",COUNTIF('IEP Tracker'!B:B,A12))</f>
        <v/>
      </c>
      <c r="M12" t="str">
        <f>IF(A12="","",COUNTIF('504 Plan Tracker'!B:B,A12))</f>
        <v/>
      </c>
      <c r="N12">
        <f>COUNTIF('IEP Tracker'!B:B,A12)</f>
        <v>0</v>
      </c>
    </row>
    <row r="13" spans="1:14" x14ac:dyDescent="0.45">
      <c r="L13" t="str">
        <f>IF(A13="","",COUNTIF('IEP Tracker'!B:B,A13))</f>
        <v/>
      </c>
      <c r="M13" t="str">
        <f>IF(A13="","",COUNTIF('504 Plan Tracker'!B:B,A13))</f>
        <v/>
      </c>
      <c r="N13">
        <f>COUNTIF('IEP Tracker'!B:B,A13)</f>
        <v>0</v>
      </c>
    </row>
    <row r="14" spans="1:14" x14ac:dyDescent="0.45">
      <c r="L14" t="str">
        <f>IF(A14="","",COUNTIF('IEP Tracker'!B:B,A14))</f>
        <v/>
      </c>
      <c r="M14" t="str">
        <f>IF(A14="","",COUNTIF('504 Plan Tracker'!B:B,A14))</f>
        <v/>
      </c>
      <c r="N14">
        <f>COUNTIF('IEP Tracker'!B:B,A14)</f>
        <v>0</v>
      </c>
    </row>
    <row r="15" spans="1:14" x14ac:dyDescent="0.45">
      <c r="L15" t="str">
        <f>IF(A15="","",COUNTIF('IEP Tracker'!B:B,A15))</f>
        <v/>
      </c>
      <c r="M15" t="str">
        <f>IF(A15="","",COUNTIF('504 Plan Tracker'!B:B,A15))</f>
        <v/>
      </c>
      <c r="N15">
        <f>COUNTIF('IEP Tracker'!B:B,A15)</f>
        <v>0</v>
      </c>
    </row>
    <row r="16" spans="1:14" x14ac:dyDescent="0.45">
      <c r="L16" t="str">
        <f>IF(A16="","",COUNTIF('IEP Tracker'!B:B,A16))</f>
        <v/>
      </c>
      <c r="M16" t="str">
        <f>IF(A16="","",COUNTIF('504 Plan Tracker'!B:B,A16))</f>
        <v/>
      </c>
      <c r="N16">
        <f>COUNTIF('IEP Tracker'!B:B,A16)</f>
        <v>0</v>
      </c>
    </row>
    <row r="17" spans="12:14" x14ac:dyDescent="0.45">
      <c r="L17" t="str">
        <f>IF(A17="","",COUNTIF('IEP Tracker'!B:B,A17))</f>
        <v/>
      </c>
      <c r="M17" t="str">
        <f>IF(A17="","",COUNTIF('504 Plan Tracker'!B:B,A17))</f>
        <v/>
      </c>
      <c r="N17">
        <f>COUNTIF('IEP Tracker'!B:B,A17)</f>
        <v>0</v>
      </c>
    </row>
    <row r="18" spans="12:14" x14ac:dyDescent="0.45">
      <c r="L18" t="str">
        <f>IF(A18="","",COUNTIF('IEP Tracker'!B:B,A18))</f>
        <v/>
      </c>
      <c r="M18" t="str">
        <f>IF(A18="","",COUNTIF('504 Plan Tracker'!B:B,A18))</f>
        <v/>
      </c>
      <c r="N18">
        <f>COUNTIF('IEP Tracker'!B:B,A18)</f>
        <v>0</v>
      </c>
    </row>
    <row r="19" spans="12:14" x14ac:dyDescent="0.45">
      <c r="L19" t="str">
        <f>IF(A19="","",COUNTIF('IEP Tracker'!B:B,A19))</f>
        <v/>
      </c>
      <c r="M19" t="str">
        <f>IF(A19="","",COUNTIF('504 Plan Tracker'!B:B,A19))</f>
        <v/>
      </c>
      <c r="N19">
        <f>COUNTIF('IEP Tracker'!B:B,A19)</f>
        <v>0</v>
      </c>
    </row>
    <row r="20" spans="12:14" x14ac:dyDescent="0.45">
      <c r="L20" t="str">
        <f>IF(A20="","",COUNTIF('IEP Tracker'!B:B,A20))</f>
        <v/>
      </c>
      <c r="M20" t="str">
        <f>IF(A20="","",COUNTIF('504 Plan Tracker'!B:B,A20))</f>
        <v/>
      </c>
      <c r="N20">
        <f>COUNTIF('IEP Tracker'!B:B,A20)</f>
        <v>0</v>
      </c>
    </row>
    <row r="21" spans="12:14" x14ac:dyDescent="0.45">
      <c r="L21" t="str">
        <f>IF(A21="","",COUNTIF('IEP Tracker'!B:B,A21))</f>
        <v/>
      </c>
      <c r="M21" t="str">
        <f>IF(A21="","",COUNTIF('504 Plan Tracker'!B:B,A21))</f>
        <v/>
      </c>
      <c r="N21">
        <f>COUNTIF('IEP Tracker'!B:B,A21)</f>
        <v>0</v>
      </c>
    </row>
    <row r="22" spans="12:14" x14ac:dyDescent="0.45">
      <c r="L22" t="str">
        <f>IF(A22="","",COUNTIF('IEP Tracker'!B:B,A22))</f>
        <v/>
      </c>
      <c r="M22" t="str">
        <f>IF(A22="","",COUNTIF('504 Plan Tracker'!B:B,A22))</f>
        <v/>
      </c>
      <c r="N22">
        <f>COUNTIF('IEP Tracker'!B:B,A22)</f>
        <v>0</v>
      </c>
    </row>
    <row r="23" spans="12:14" x14ac:dyDescent="0.45">
      <c r="L23" t="str">
        <f>IF(A23="","",COUNTIF('IEP Tracker'!B:B,A23))</f>
        <v/>
      </c>
      <c r="M23" t="str">
        <f>IF(A23="","",COUNTIF('504 Plan Tracker'!B:B,A23))</f>
        <v/>
      </c>
      <c r="N23">
        <f>COUNTIF('IEP Tracker'!B:B,A23)</f>
        <v>0</v>
      </c>
    </row>
    <row r="24" spans="12:14" x14ac:dyDescent="0.45">
      <c r="L24" t="str">
        <f>IF(A24="","",COUNTIF('IEP Tracker'!B:B,A24))</f>
        <v/>
      </c>
      <c r="M24" t="str">
        <f>IF(A24="","",COUNTIF('504 Plan Tracker'!B:B,A24))</f>
        <v/>
      </c>
      <c r="N24">
        <f>COUNTIF('IEP Tracker'!B:B,A24)</f>
        <v>0</v>
      </c>
    </row>
    <row r="25" spans="12:14" x14ac:dyDescent="0.45">
      <c r="L25" t="str">
        <f>IF(A25="","",COUNTIF('IEP Tracker'!B:B,A25))</f>
        <v/>
      </c>
      <c r="M25" t="str">
        <f>IF(A25="","",COUNTIF('504 Plan Tracker'!B:B,A25))</f>
        <v/>
      </c>
      <c r="N25">
        <f>COUNTIF('IEP Tracker'!B:B,A25)</f>
        <v>0</v>
      </c>
    </row>
    <row r="26" spans="12:14" x14ac:dyDescent="0.45">
      <c r="L26" t="str">
        <f>IF(A26="","",COUNTIF('IEP Tracker'!B:B,A26))</f>
        <v/>
      </c>
      <c r="M26" t="str">
        <f>IF(A26="","",COUNTIF('504 Plan Tracker'!B:B,A26))</f>
        <v/>
      </c>
      <c r="N26">
        <f>COUNTIF('IEP Tracker'!B:B,A26)</f>
        <v>0</v>
      </c>
    </row>
    <row r="27" spans="12:14" x14ac:dyDescent="0.45">
      <c r="L27" t="str">
        <f>IF(A27="","",COUNTIF('IEP Tracker'!B:B,A27))</f>
        <v/>
      </c>
      <c r="M27" t="str">
        <f>IF(A27="","",COUNTIF('504 Plan Tracker'!B:B,A27))</f>
        <v/>
      </c>
      <c r="N27">
        <f>COUNTIF('IEP Tracker'!B:B,A27)</f>
        <v>0</v>
      </c>
    </row>
    <row r="28" spans="12:14" x14ac:dyDescent="0.45">
      <c r="L28" t="str">
        <f>IF(A28="","",COUNTIF('IEP Tracker'!B:B,A28))</f>
        <v/>
      </c>
      <c r="M28" t="str">
        <f>IF(A28="","",COUNTIF('504 Plan Tracker'!B:B,A28))</f>
        <v/>
      </c>
      <c r="N28">
        <f>COUNTIF('IEP Tracker'!B:B,A28)</f>
        <v>0</v>
      </c>
    </row>
    <row r="29" spans="12:14" ht="14.25" x14ac:dyDescent="0.45">
      <c r="L29" t="str">
        <f>IF(A29="","",COUNTIF('IEP Tracker'!B:B,A29))</f>
        <v/>
      </c>
      <c r="M29" t="str">
        <f>IF(A29="","",COUNTIF('504 Plan Tracker'!B:B,A29))</f>
        <v/>
      </c>
      <c r="N29">
        <f>COUNTIF('IEP Tracker'!B:B,A29)</f>
        <v>0</v>
      </c>
    </row>
    <row r="30" spans="12:14" ht="14.25" x14ac:dyDescent="0.45">
      <c r="L30" t="str">
        <f>IF(A30="","",COUNTIF('IEP Tracker'!B:B,A30))</f>
        <v/>
      </c>
      <c r="M30" t="str">
        <f>IF(A30="","",COUNTIF('504 Plan Tracker'!B:B,A30))</f>
        <v/>
      </c>
      <c r="N30">
        <f>COUNTIF('IEP Tracker'!B:B,A30)</f>
        <v>0</v>
      </c>
    </row>
    <row r="31" spans="12:14" ht="14.25" x14ac:dyDescent="0.45">
      <c r="L31" t="str">
        <f>IF(A31="","",COUNTIF('IEP Tracker'!B:B,A31))</f>
        <v/>
      </c>
      <c r="M31" t="str">
        <f>IF(A31="","",COUNTIF('504 Plan Tracker'!B:B,A31))</f>
        <v/>
      </c>
      <c r="N31">
        <f>COUNTIF('IEP Tracker'!B:B,A31)</f>
        <v>0</v>
      </c>
    </row>
    <row r="32" spans="12:14" ht="14.25" x14ac:dyDescent="0.45">
      <c r="L32" t="str">
        <f>IF(A32="","",COUNTIF('IEP Tracker'!B:B,A32))</f>
        <v/>
      </c>
      <c r="M32" t="str">
        <f>IF(A32="","",COUNTIF('504 Plan Tracker'!B:B,A32))</f>
        <v/>
      </c>
      <c r="N32">
        <f>COUNTIF('IEP Tracker'!B:B,A32)</f>
        <v>0</v>
      </c>
    </row>
    <row r="33" spans="12:14" ht="14.25" x14ac:dyDescent="0.45">
      <c r="L33" t="str">
        <f>IF(A33="","",COUNTIF('IEP Tracker'!B:B,A33))</f>
        <v/>
      </c>
      <c r="M33" t="str">
        <f>IF(A33="","",COUNTIF('504 Plan Tracker'!B:B,A33))</f>
        <v/>
      </c>
      <c r="N33">
        <f>COUNTIF('IEP Tracker'!B:B,A33)</f>
        <v>0</v>
      </c>
    </row>
    <row r="34" spans="12:14" ht="14.25" x14ac:dyDescent="0.45">
      <c r="L34" t="str">
        <f>IF(A34="","",COUNTIF('IEP Tracker'!B:B,A34))</f>
        <v/>
      </c>
      <c r="M34" t="str">
        <f>IF(A34="","",COUNTIF('504 Plan Tracker'!B:B,A34))</f>
        <v/>
      </c>
      <c r="N34">
        <f>COUNTIF('IEP Tracker'!B:B,A34)</f>
        <v>0</v>
      </c>
    </row>
    <row r="35" spans="12:14" ht="14.25" x14ac:dyDescent="0.45">
      <c r="L35" t="str">
        <f>IF(A35="","",COUNTIF('IEP Tracker'!B:B,A35))</f>
        <v/>
      </c>
      <c r="M35" t="str">
        <f>IF(A35="","",COUNTIF('504 Plan Tracker'!B:B,A35))</f>
        <v/>
      </c>
      <c r="N35">
        <f>COUNTIF('IEP Tracker'!B:B,A35)</f>
        <v>0</v>
      </c>
    </row>
    <row r="36" spans="12:14" ht="14.25" x14ac:dyDescent="0.45">
      <c r="L36" t="str">
        <f>IF(A36="","",COUNTIF('IEP Tracker'!B:B,A36))</f>
        <v/>
      </c>
      <c r="M36" t="str">
        <f>IF(A36="","",COUNTIF('504 Plan Tracker'!B:B,A36))</f>
        <v/>
      </c>
      <c r="N36">
        <f>COUNTIF('IEP Tracker'!B:B,A36)</f>
        <v>0</v>
      </c>
    </row>
    <row r="37" spans="12:14" ht="14.25" x14ac:dyDescent="0.45">
      <c r="L37" t="str">
        <f>IF(A37="","",COUNTIF('IEP Tracker'!B:B,A37))</f>
        <v/>
      </c>
      <c r="M37" t="str">
        <f>IF(A37="","",COUNTIF('504 Plan Tracker'!B:B,A37))</f>
        <v/>
      </c>
      <c r="N37">
        <f>COUNTIF('IEP Tracker'!B:B,A37)</f>
        <v>0</v>
      </c>
    </row>
    <row r="38" spans="12:14" ht="14.25" x14ac:dyDescent="0.45">
      <c r="L38" t="str">
        <f>IF(A38="","",COUNTIF('IEP Tracker'!B:B,A38))</f>
        <v/>
      </c>
      <c r="M38" t="str">
        <f>IF(A38="","",COUNTIF('504 Plan Tracker'!B:B,A38))</f>
        <v/>
      </c>
      <c r="N38">
        <f>COUNTIF('IEP Tracker'!B:B,A38)</f>
        <v>0</v>
      </c>
    </row>
    <row r="39" spans="12:14" ht="14.25" x14ac:dyDescent="0.45">
      <c r="L39" t="str">
        <f>IF(A39="","",COUNTIF('IEP Tracker'!B:B,A39))</f>
        <v/>
      </c>
      <c r="M39" t="str">
        <f>IF(A39="","",COUNTIF('504 Plan Tracker'!B:B,A39))</f>
        <v/>
      </c>
      <c r="N39">
        <f>COUNTIF('IEP Tracker'!B:B,A39)</f>
        <v>0</v>
      </c>
    </row>
    <row r="40" spans="12:14" ht="14.25" x14ac:dyDescent="0.45">
      <c r="L40" t="str">
        <f>IF(A40="","",COUNTIF('IEP Tracker'!B:B,A40))</f>
        <v/>
      </c>
      <c r="M40" t="str">
        <f>IF(A40="","",COUNTIF('504 Plan Tracker'!B:B,A40))</f>
        <v/>
      </c>
      <c r="N40">
        <f>COUNTIF('IEP Tracker'!B:B,A40)</f>
        <v>0</v>
      </c>
    </row>
    <row r="41" spans="12:14" ht="14.25" x14ac:dyDescent="0.45">
      <c r="L41" t="str">
        <f>IF(A41="","",COUNTIF('IEP Tracker'!B:B,A41))</f>
        <v/>
      </c>
      <c r="M41" t="str">
        <f>IF(A41="","",COUNTIF('504 Plan Tracker'!B:B,A41))</f>
        <v/>
      </c>
      <c r="N41">
        <f>COUNTIF('IEP Tracker'!B:B,A41)</f>
        <v>0</v>
      </c>
    </row>
    <row r="42" spans="12:14" ht="14.25" x14ac:dyDescent="0.45">
      <c r="L42" t="str">
        <f>IF(A42="","",COUNTIF('IEP Tracker'!B:B,A42))</f>
        <v/>
      </c>
      <c r="M42" t="str">
        <f>IF(A42="","",COUNTIF('504 Plan Tracker'!B:B,A42))</f>
        <v/>
      </c>
      <c r="N42">
        <f>COUNTIF('IEP Tracker'!B:B,A42)</f>
        <v>0</v>
      </c>
    </row>
    <row r="43" spans="12:14" ht="14.25" x14ac:dyDescent="0.45">
      <c r="L43" t="str">
        <f>IF(A43="","",COUNTIF('IEP Tracker'!B:B,A43))</f>
        <v/>
      </c>
      <c r="M43" t="str">
        <f>IF(A43="","",COUNTIF('504 Plan Tracker'!B:B,A43))</f>
        <v/>
      </c>
      <c r="N43">
        <f>COUNTIF('IEP Tracker'!B:B,A43)</f>
        <v>0</v>
      </c>
    </row>
    <row r="44" spans="12:14" ht="14.25" x14ac:dyDescent="0.45">
      <c r="L44" t="str">
        <f>IF(A44="","",COUNTIF('IEP Tracker'!B:B,A44))</f>
        <v/>
      </c>
      <c r="M44" t="str">
        <f>IF(A44="","",COUNTIF('504 Plan Tracker'!B:B,A44))</f>
        <v/>
      </c>
      <c r="N44">
        <f>COUNTIF('IEP Tracker'!B:B,A44)</f>
        <v>0</v>
      </c>
    </row>
    <row r="45" spans="12:14" ht="14.25" x14ac:dyDescent="0.45">
      <c r="L45" t="str">
        <f>IF(A45="","",COUNTIF('IEP Tracker'!B:B,A45))</f>
        <v/>
      </c>
      <c r="M45" t="str">
        <f>IF(A45="","",COUNTIF('504 Plan Tracker'!B:B,A45))</f>
        <v/>
      </c>
      <c r="N45">
        <f>COUNTIF('IEP Tracker'!B:B,A45)</f>
        <v>0</v>
      </c>
    </row>
    <row r="46" spans="12:14" ht="14.25" x14ac:dyDescent="0.45">
      <c r="L46" t="str">
        <f>IF(A46="","",COUNTIF('IEP Tracker'!B:B,A46))</f>
        <v/>
      </c>
      <c r="M46" t="str">
        <f>IF(A46="","",COUNTIF('504 Plan Tracker'!B:B,A46))</f>
        <v/>
      </c>
      <c r="N46">
        <f>COUNTIF('IEP Tracker'!B:B,A46)</f>
        <v>0</v>
      </c>
    </row>
    <row r="47" spans="12:14" ht="14.25" x14ac:dyDescent="0.45">
      <c r="L47" t="str">
        <f>IF(A47="","",COUNTIF('IEP Tracker'!B:B,A47))</f>
        <v/>
      </c>
      <c r="M47" t="str">
        <f>IF(A47="","",COUNTIF('504 Plan Tracker'!B:B,A47))</f>
        <v/>
      </c>
      <c r="N47">
        <f>COUNTIF('IEP Tracker'!B:B,A47)</f>
        <v>0</v>
      </c>
    </row>
    <row r="48" spans="12:14" ht="14.25" x14ac:dyDescent="0.45">
      <c r="L48" t="str">
        <f>IF(A48="","",COUNTIF('IEP Tracker'!B:B,A48))</f>
        <v/>
      </c>
      <c r="M48" t="str">
        <f>IF(A48="","",COUNTIF('504 Plan Tracker'!B:B,A48))</f>
        <v/>
      </c>
      <c r="N48">
        <f>COUNTIF('IEP Tracker'!B:B,A48)</f>
        <v>0</v>
      </c>
    </row>
    <row r="49" spans="12:14" ht="14.25" x14ac:dyDescent="0.45">
      <c r="L49" t="str">
        <f>IF(A49="","",COUNTIF('IEP Tracker'!B:B,A49))</f>
        <v/>
      </c>
      <c r="M49" t="str">
        <f>IF(A49="","",COUNTIF('504 Plan Tracker'!B:B,A49))</f>
        <v/>
      </c>
      <c r="N49">
        <f>COUNTIF('IEP Tracker'!B:B,A49)</f>
        <v>0</v>
      </c>
    </row>
    <row r="50" spans="12:14" ht="14.25" x14ac:dyDescent="0.45">
      <c r="L50" t="str">
        <f>IF(A50="","",COUNTIF('IEP Tracker'!B:B,A50))</f>
        <v/>
      </c>
      <c r="M50" t="str">
        <f>IF(A50="","",COUNTIF('504 Plan Tracker'!B:B,A50))</f>
        <v/>
      </c>
      <c r="N50">
        <f>COUNTIF('IEP Tracker'!B:B,A50)</f>
        <v>0</v>
      </c>
    </row>
    <row r="51" spans="12:14" ht="14.25" x14ac:dyDescent="0.45">
      <c r="L51" t="str">
        <f>IF(A51="","",COUNTIF('IEP Tracker'!B:B,A51))</f>
        <v/>
      </c>
      <c r="M51" t="str">
        <f>IF(A51="","",COUNTIF('504 Plan Tracker'!B:B,A51))</f>
        <v/>
      </c>
      <c r="N51">
        <f>COUNTIF('IEP Tracker'!B:B,A51)</f>
        <v>0</v>
      </c>
    </row>
    <row r="52" spans="12:14" ht="14.25" x14ac:dyDescent="0.45">
      <c r="L52" t="str">
        <f>IF(A52="","",COUNTIF('IEP Tracker'!B:B,A52))</f>
        <v/>
      </c>
      <c r="M52" t="str">
        <f>IF(A52="","",COUNTIF('504 Plan Tracker'!B:B,A52))</f>
        <v/>
      </c>
      <c r="N52">
        <f>COUNTIF('IEP Tracker'!B:B,A52)</f>
        <v>0</v>
      </c>
    </row>
    <row r="53" spans="12:14" ht="14.25" x14ac:dyDescent="0.45">
      <c r="L53" t="str">
        <f>IF(A53="","",COUNTIF('IEP Tracker'!B:B,A53))</f>
        <v/>
      </c>
      <c r="M53" t="str">
        <f>IF(A53="","",COUNTIF('504 Plan Tracker'!B:B,A53))</f>
        <v/>
      </c>
      <c r="N53">
        <f>COUNTIF('IEP Tracker'!B:B,A53)</f>
        <v>0</v>
      </c>
    </row>
    <row r="54" spans="12:14" ht="14.25" x14ac:dyDescent="0.45">
      <c r="L54" t="str">
        <f>IF(A54="","",COUNTIF('IEP Tracker'!B:B,A54))</f>
        <v/>
      </c>
      <c r="M54" t="str">
        <f>IF(A54="","",COUNTIF('504 Plan Tracker'!B:B,A54))</f>
        <v/>
      </c>
      <c r="N54">
        <f>COUNTIF('IEP Tracker'!B:B,A54)</f>
        <v>0</v>
      </c>
    </row>
    <row r="55" spans="12:14" ht="14.25" x14ac:dyDescent="0.45">
      <c r="L55" t="str">
        <f>IF(A55="","",COUNTIF('IEP Tracker'!B:B,A55))</f>
        <v/>
      </c>
      <c r="M55" t="str">
        <f>IF(A55="","",COUNTIF('504 Plan Tracker'!B:B,A55))</f>
        <v/>
      </c>
      <c r="N55">
        <f>COUNTIF('IEP Tracker'!B:B,A55)</f>
        <v>0</v>
      </c>
    </row>
    <row r="56" spans="12:14" ht="14.25" x14ac:dyDescent="0.45">
      <c r="L56" t="str">
        <f>IF(A56="","",COUNTIF('IEP Tracker'!B:B,A56))</f>
        <v/>
      </c>
      <c r="M56" t="str">
        <f>IF(A56="","",COUNTIF('504 Plan Tracker'!B:B,A56))</f>
        <v/>
      </c>
      <c r="N56">
        <f>COUNTIF('IEP Tracker'!B:B,A56)</f>
        <v>0</v>
      </c>
    </row>
    <row r="57" spans="12:14" ht="14.25" x14ac:dyDescent="0.45">
      <c r="L57" t="str">
        <f>IF(A57="","",COUNTIF('IEP Tracker'!B:B,A57))</f>
        <v/>
      </c>
      <c r="M57" t="str">
        <f>IF(A57="","",COUNTIF('504 Plan Tracker'!B:B,A57))</f>
        <v/>
      </c>
      <c r="N57">
        <f>COUNTIF('IEP Tracker'!B:B,A57)</f>
        <v>0</v>
      </c>
    </row>
    <row r="58" spans="12:14" ht="14.25" x14ac:dyDescent="0.45">
      <c r="L58" t="str">
        <f>IF(A58="","",COUNTIF('IEP Tracker'!B:B,A58))</f>
        <v/>
      </c>
      <c r="M58" t="str">
        <f>IF(A58="","",COUNTIF('504 Plan Tracker'!B:B,A58))</f>
        <v/>
      </c>
      <c r="N58">
        <f>COUNTIF('IEP Tracker'!B:B,A58)</f>
        <v>0</v>
      </c>
    </row>
    <row r="59" spans="12:14" ht="14.25" x14ac:dyDescent="0.45">
      <c r="L59" t="str">
        <f>IF(A59="","",COUNTIF('IEP Tracker'!B:B,A59))</f>
        <v/>
      </c>
      <c r="M59" t="str">
        <f>IF(A59="","",COUNTIF('504 Plan Tracker'!B:B,A59))</f>
        <v/>
      </c>
      <c r="N59">
        <f>COUNTIF('IEP Tracker'!B:B,A59)</f>
        <v>0</v>
      </c>
    </row>
    <row r="60" spans="12:14" ht="14.25" x14ac:dyDescent="0.45">
      <c r="L60" t="str">
        <f>IF(A60="","",COUNTIF('IEP Tracker'!B:B,A60))</f>
        <v/>
      </c>
      <c r="M60" t="str">
        <f>IF(A60="","",COUNTIF('504 Plan Tracker'!B:B,A60))</f>
        <v/>
      </c>
      <c r="N60">
        <f>COUNTIF('IEP Tracker'!B:B,A60)</f>
        <v>0</v>
      </c>
    </row>
    <row r="61" spans="12:14" ht="14.25" x14ac:dyDescent="0.45">
      <c r="L61" t="str">
        <f>IF(A61="","",COUNTIF('IEP Tracker'!B:B,A61))</f>
        <v/>
      </c>
      <c r="M61" t="str">
        <f>IF(A61="","",COUNTIF('504 Plan Tracker'!B:B,A61))</f>
        <v/>
      </c>
      <c r="N61">
        <f>COUNTIF('IEP Tracker'!B:B,A61)</f>
        <v>0</v>
      </c>
    </row>
    <row r="62" spans="12:14" ht="14.25" x14ac:dyDescent="0.45">
      <c r="L62" t="str">
        <f>IF(A62="","",COUNTIF('IEP Tracker'!B:B,A62))</f>
        <v/>
      </c>
      <c r="M62" t="str">
        <f>IF(A62="","",COUNTIF('504 Plan Tracker'!B:B,A62))</f>
        <v/>
      </c>
      <c r="N62">
        <f>COUNTIF('IEP Tracker'!B:B,A62)</f>
        <v>0</v>
      </c>
    </row>
    <row r="63" spans="12:14" ht="14.25" x14ac:dyDescent="0.45">
      <c r="L63" t="str">
        <f>IF(A63="","",COUNTIF('IEP Tracker'!B:B,A63))</f>
        <v/>
      </c>
      <c r="M63" t="str">
        <f>IF(A63="","",COUNTIF('504 Plan Tracker'!B:B,A63))</f>
        <v/>
      </c>
      <c r="N63">
        <f>COUNTIF('IEP Tracker'!B:B,A63)</f>
        <v>0</v>
      </c>
    </row>
    <row r="64" spans="12:14" ht="14.25" x14ac:dyDescent="0.45">
      <c r="L64" t="str">
        <f>IF(A64="","",COUNTIF('IEP Tracker'!B:B,A64))</f>
        <v/>
      </c>
      <c r="M64" t="str">
        <f>IF(A64="","",COUNTIF('504 Plan Tracker'!B:B,A64))</f>
        <v/>
      </c>
      <c r="N64">
        <f>COUNTIF('IEP Tracker'!B:B,A64)</f>
        <v>0</v>
      </c>
    </row>
    <row r="65" spans="12:14" ht="14.25" x14ac:dyDescent="0.45">
      <c r="L65" t="str">
        <f>IF(A65="","",COUNTIF('IEP Tracker'!B:B,A65))</f>
        <v/>
      </c>
      <c r="M65" t="str">
        <f>IF(A65="","",COUNTIF('504 Plan Tracker'!B:B,A65))</f>
        <v/>
      </c>
      <c r="N65">
        <f>COUNTIF('IEP Tracker'!B:B,A65)</f>
        <v>0</v>
      </c>
    </row>
    <row r="66" spans="12:14" ht="14.25" x14ac:dyDescent="0.45">
      <c r="L66" t="str">
        <f>IF(A66="","",COUNTIF('IEP Tracker'!B:B,A66))</f>
        <v/>
      </c>
      <c r="M66" t="str">
        <f>IF(A66="","",COUNTIF('504 Plan Tracker'!B:B,A66))</f>
        <v/>
      </c>
      <c r="N66">
        <f>COUNTIF('IEP Tracker'!B:B,A66)</f>
        <v>0</v>
      </c>
    </row>
    <row r="67" spans="12:14" ht="14.25" x14ac:dyDescent="0.45">
      <c r="L67" t="str">
        <f>IF(A67="","",COUNTIF('IEP Tracker'!B:B,A67))</f>
        <v/>
      </c>
      <c r="M67" t="str">
        <f>IF(A67="","",COUNTIF('504 Plan Tracker'!B:B,A67))</f>
        <v/>
      </c>
      <c r="N67">
        <f>COUNTIF('IEP Tracker'!B:B,A67)</f>
        <v>0</v>
      </c>
    </row>
    <row r="68" spans="12:14" ht="14.25" x14ac:dyDescent="0.45">
      <c r="L68" t="str">
        <f>IF(A68="","",COUNTIF('IEP Tracker'!B:B,A68))</f>
        <v/>
      </c>
      <c r="M68" t="str">
        <f>IF(A68="","",COUNTIF('504 Plan Tracker'!B:B,A68))</f>
        <v/>
      </c>
      <c r="N68">
        <f>COUNTIF('IEP Tracker'!B:B,A68)</f>
        <v>0</v>
      </c>
    </row>
    <row r="69" spans="12:14" ht="14.25" x14ac:dyDescent="0.45">
      <c r="L69" t="str">
        <f>IF(A69="","",COUNTIF('IEP Tracker'!B:B,A69))</f>
        <v/>
      </c>
      <c r="M69" t="str">
        <f>IF(A69="","",COUNTIF('504 Plan Tracker'!B:B,A69))</f>
        <v/>
      </c>
      <c r="N69">
        <f>COUNTIF('IEP Tracker'!B:B,A69)</f>
        <v>0</v>
      </c>
    </row>
    <row r="70" spans="12:14" ht="14.25" x14ac:dyDescent="0.45">
      <c r="L70" t="str">
        <f>IF(A70="","",COUNTIF('IEP Tracker'!B:B,A70))</f>
        <v/>
      </c>
      <c r="M70" t="str">
        <f>IF(A70="","",COUNTIF('504 Plan Tracker'!B:B,A70))</f>
        <v/>
      </c>
      <c r="N70">
        <f>COUNTIF('IEP Tracker'!B:B,A70)</f>
        <v>0</v>
      </c>
    </row>
    <row r="71" spans="12:14" ht="14.25" x14ac:dyDescent="0.45">
      <c r="L71" t="str">
        <f>IF(A71="","",COUNTIF('IEP Tracker'!B:B,A71))</f>
        <v/>
      </c>
      <c r="M71" t="str">
        <f>IF(A71="","",COUNTIF('504 Plan Tracker'!B:B,A71))</f>
        <v/>
      </c>
      <c r="N71">
        <f>COUNTIF('IEP Tracker'!B:B,A71)</f>
        <v>0</v>
      </c>
    </row>
    <row r="72" spans="12:14" ht="14.25" x14ac:dyDescent="0.45">
      <c r="L72" t="str">
        <f>IF(A72="","",COUNTIF('IEP Tracker'!B:B,A72))</f>
        <v/>
      </c>
      <c r="M72" t="str">
        <f>IF(A72="","",COUNTIF('504 Plan Tracker'!B:B,A72))</f>
        <v/>
      </c>
      <c r="N72">
        <f>COUNTIF('IEP Tracker'!B:B,A72)</f>
        <v>0</v>
      </c>
    </row>
    <row r="73" spans="12:14" ht="14.25" x14ac:dyDescent="0.45">
      <c r="L73" t="str">
        <f>IF(A73="","",COUNTIF('IEP Tracker'!B:B,A73))</f>
        <v/>
      </c>
      <c r="M73" t="str">
        <f>IF(A73="","",COUNTIF('504 Plan Tracker'!B:B,A73))</f>
        <v/>
      </c>
      <c r="N73">
        <f>COUNTIF('IEP Tracker'!B:B,A73)</f>
        <v>0</v>
      </c>
    </row>
    <row r="74" spans="12:14" ht="14.25" x14ac:dyDescent="0.45">
      <c r="L74" t="str">
        <f>IF(A74="","",COUNTIF('IEP Tracker'!B:B,A74))</f>
        <v/>
      </c>
      <c r="M74" t="str">
        <f>IF(A74="","",COUNTIF('504 Plan Tracker'!B:B,A74))</f>
        <v/>
      </c>
      <c r="N74">
        <f>COUNTIF('IEP Tracker'!B:B,A74)</f>
        <v>0</v>
      </c>
    </row>
    <row r="75" spans="12:14" ht="14.25" x14ac:dyDescent="0.45">
      <c r="L75" t="str">
        <f>IF(A75="","",COUNTIF('IEP Tracker'!B:B,A75))</f>
        <v/>
      </c>
      <c r="M75" t="str">
        <f>IF(A75="","",COUNTIF('504 Plan Tracker'!B:B,A75))</f>
        <v/>
      </c>
      <c r="N75">
        <f>COUNTIF('IEP Tracker'!B:B,A75)</f>
        <v>0</v>
      </c>
    </row>
    <row r="76" spans="12:14" ht="14.25" x14ac:dyDescent="0.45">
      <c r="L76" t="str">
        <f>IF(A76="","",COUNTIF('IEP Tracker'!B:B,A76))</f>
        <v/>
      </c>
      <c r="M76" t="str">
        <f>IF(A76="","",COUNTIF('504 Plan Tracker'!B:B,A76))</f>
        <v/>
      </c>
      <c r="N76">
        <f>COUNTIF('IEP Tracker'!B:B,A76)</f>
        <v>0</v>
      </c>
    </row>
    <row r="77" spans="12:14" ht="14.25" x14ac:dyDescent="0.45">
      <c r="L77" t="str">
        <f>IF(A77="","",COUNTIF('IEP Tracker'!B:B,A77))</f>
        <v/>
      </c>
      <c r="M77" t="str">
        <f>IF(A77="","",COUNTIF('504 Plan Tracker'!B:B,A77))</f>
        <v/>
      </c>
      <c r="N77">
        <f>COUNTIF('IEP Tracker'!B:B,A77)</f>
        <v>0</v>
      </c>
    </row>
    <row r="78" spans="12:14" ht="14.25" x14ac:dyDescent="0.45">
      <c r="L78" t="str">
        <f>IF(A78="","",COUNTIF('IEP Tracker'!B:B,A78))</f>
        <v/>
      </c>
      <c r="M78" t="str">
        <f>IF(A78="","",COUNTIF('504 Plan Tracker'!B:B,A78))</f>
        <v/>
      </c>
      <c r="N78">
        <f>COUNTIF('IEP Tracker'!B:B,A78)</f>
        <v>0</v>
      </c>
    </row>
    <row r="79" spans="12:14" ht="14.25" x14ac:dyDescent="0.45">
      <c r="L79" t="str">
        <f>IF(A79="","",COUNTIF('IEP Tracker'!B:B,A79))</f>
        <v/>
      </c>
      <c r="M79" t="str">
        <f>IF(A79="","",COUNTIF('504 Plan Tracker'!B:B,A79))</f>
        <v/>
      </c>
      <c r="N79">
        <f>COUNTIF('IEP Tracker'!B:B,A79)</f>
        <v>0</v>
      </c>
    </row>
    <row r="80" spans="12:14" ht="14.25" x14ac:dyDescent="0.45">
      <c r="L80" t="str">
        <f>IF(A80="","",COUNTIF('IEP Tracker'!B:B,A80))</f>
        <v/>
      </c>
      <c r="M80" t="str">
        <f>IF(A80="","",COUNTIF('504 Plan Tracker'!B:B,A80))</f>
        <v/>
      </c>
      <c r="N80">
        <f>COUNTIF('IEP Tracker'!B:B,A80)</f>
        <v>0</v>
      </c>
    </row>
    <row r="81" spans="12:14" ht="14.25" x14ac:dyDescent="0.45">
      <c r="L81" t="str">
        <f>IF(A81="","",COUNTIF('IEP Tracker'!B:B,A81))</f>
        <v/>
      </c>
      <c r="M81" t="str">
        <f>IF(A81="","",COUNTIF('504 Plan Tracker'!B:B,A81))</f>
        <v/>
      </c>
      <c r="N81">
        <f>COUNTIF('IEP Tracker'!B:B,A81)</f>
        <v>0</v>
      </c>
    </row>
    <row r="82" spans="12:14" ht="14.25" x14ac:dyDescent="0.45">
      <c r="L82" t="str">
        <f>IF(A82="","",COUNTIF('IEP Tracker'!B:B,A82))</f>
        <v/>
      </c>
      <c r="M82" t="str">
        <f>IF(A82="","",COUNTIF('504 Plan Tracker'!B:B,A82))</f>
        <v/>
      </c>
      <c r="N82">
        <f>COUNTIF('IEP Tracker'!B:B,A82)</f>
        <v>0</v>
      </c>
    </row>
    <row r="83" spans="12:14" ht="14.25" x14ac:dyDescent="0.45">
      <c r="L83" t="str">
        <f>IF(A83="","",COUNTIF('IEP Tracker'!B:B,A83))</f>
        <v/>
      </c>
      <c r="M83" t="str">
        <f>IF(A83="","",COUNTIF('504 Plan Tracker'!B:B,A83))</f>
        <v/>
      </c>
      <c r="N83">
        <f>COUNTIF('IEP Tracker'!B:B,A83)</f>
        <v>0</v>
      </c>
    </row>
    <row r="84" spans="12:14" ht="14.25" x14ac:dyDescent="0.45">
      <c r="L84" t="str">
        <f>IF(A84="","",COUNTIF('IEP Tracker'!B:B,A84))</f>
        <v/>
      </c>
      <c r="M84" t="str">
        <f>IF(A84="","",COUNTIF('504 Plan Tracker'!B:B,A84))</f>
        <v/>
      </c>
      <c r="N84">
        <f>COUNTIF('IEP Tracker'!B:B,A84)</f>
        <v>0</v>
      </c>
    </row>
    <row r="85" spans="12:14" ht="14.25" x14ac:dyDescent="0.45">
      <c r="L85" t="str">
        <f>IF(A85="","",COUNTIF('IEP Tracker'!B:B,A85))</f>
        <v/>
      </c>
      <c r="M85" t="str">
        <f>IF(A85="","",COUNTIF('504 Plan Tracker'!B:B,A85))</f>
        <v/>
      </c>
      <c r="N85">
        <f>COUNTIF('IEP Tracker'!B:B,A85)</f>
        <v>0</v>
      </c>
    </row>
    <row r="86" spans="12:14" ht="14.25" x14ac:dyDescent="0.45">
      <c r="L86" t="str">
        <f>IF(A86="","",COUNTIF('IEP Tracker'!B:B,A86))</f>
        <v/>
      </c>
      <c r="M86" t="str">
        <f>IF(A86="","",COUNTIF('504 Plan Tracker'!B:B,A86))</f>
        <v/>
      </c>
      <c r="N86">
        <f>COUNTIF('IEP Tracker'!B:B,A86)</f>
        <v>0</v>
      </c>
    </row>
    <row r="87" spans="12:14" ht="14.25" x14ac:dyDescent="0.45">
      <c r="L87" t="str">
        <f>IF(A87="","",COUNTIF('IEP Tracker'!B:B,A87))</f>
        <v/>
      </c>
      <c r="M87" t="str">
        <f>IF(A87="","",COUNTIF('504 Plan Tracker'!B:B,A87))</f>
        <v/>
      </c>
      <c r="N87">
        <f>COUNTIF('IEP Tracker'!B:B,A87)</f>
        <v>0</v>
      </c>
    </row>
    <row r="88" spans="12:14" ht="14.25" x14ac:dyDescent="0.45">
      <c r="L88" t="str">
        <f>IF(A88="","",COUNTIF('IEP Tracker'!B:B,A88))</f>
        <v/>
      </c>
      <c r="M88" t="str">
        <f>IF(A88="","",COUNTIF('504 Plan Tracker'!B:B,A88))</f>
        <v/>
      </c>
      <c r="N88">
        <f>COUNTIF('IEP Tracker'!B:B,A88)</f>
        <v>0</v>
      </c>
    </row>
    <row r="89" spans="12:14" ht="14.25" x14ac:dyDescent="0.45">
      <c r="L89" t="str">
        <f>IF(A89="","",COUNTIF('IEP Tracker'!B:B,A89))</f>
        <v/>
      </c>
      <c r="M89" t="str">
        <f>IF(A89="","",COUNTIF('504 Plan Tracker'!B:B,A89))</f>
        <v/>
      </c>
      <c r="N89">
        <f>COUNTIF('IEP Tracker'!B:B,A89)</f>
        <v>0</v>
      </c>
    </row>
    <row r="90" spans="12:14" ht="14.25" x14ac:dyDescent="0.45">
      <c r="L90" t="str">
        <f>IF(A90="","",COUNTIF('IEP Tracker'!B:B,A90))</f>
        <v/>
      </c>
      <c r="M90" t="str">
        <f>IF(A90="","",COUNTIF('504 Plan Tracker'!B:B,A90))</f>
        <v/>
      </c>
      <c r="N90">
        <f>COUNTIF('IEP Tracker'!B:B,A90)</f>
        <v>0</v>
      </c>
    </row>
    <row r="91" spans="12:14" ht="14.25" x14ac:dyDescent="0.45">
      <c r="L91" t="str">
        <f>IF(A91="","",COUNTIF('IEP Tracker'!B:B,A91))</f>
        <v/>
      </c>
      <c r="M91" t="str">
        <f>IF(A91="","",COUNTIF('504 Plan Tracker'!B:B,A91))</f>
        <v/>
      </c>
      <c r="N91">
        <f>COUNTIF('IEP Tracker'!B:B,A91)</f>
        <v>0</v>
      </c>
    </row>
    <row r="92" spans="12:14" ht="14.25" x14ac:dyDescent="0.45">
      <c r="L92" t="str">
        <f>IF(A92="","",COUNTIF('IEP Tracker'!B:B,A92))</f>
        <v/>
      </c>
      <c r="M92" t="str">
        <f>IF(A92="","",COUNTIF('504 Plan Tracker'!B:B,A92))</f>
        <v/>
      </c>
      <c r="N92">
        <f>COUNTIF('IEP Tracker'!B:B,A92)</f>
        <v>0</v>
      </c>
    </row>
    <row r="93" spans="12:14" ht="14.25" x14ac:dyDescent="0.45">
      <c r="L93" t="str">
        <f>IF(A93="","",COUNTIF('IEP Tracker'!B:B,A93))</f>
        <v/>
      </c>
      <c r="M93" t="str">
        <f>IF(A93="","",COUNTIF('504 Plan Tracker'!B:B,A93))</f>
        <v/>
      </c>
      <c r="N93">
        <f>COUNTIF('IEP Tracker'!B:B,A93)</f>
        <v>0</v>
      </c>
    </row>
    <row r="94" spans="12:14" ht="14.25" x14ac:dyDescent="0.45">
      <c r="L94" t="str">
        <f>IF(A94="","",COUNTIF('IEP Tracker'!B:B,A94))</f>
        <v/>
      </c>
      <c r="M94" t="str">
        <f>IF(A94="","",COUNTIF('504 Plan Tracker'!B:B,A94))</f>
        <v/>
      </c>
      <c r="N94">
        <f>COUNTIF('IEP Tracker'!B:B,A94)</f>
        <v>0</v>
      </c>
    </row>
    <row r="95" spans="12:14" ht="14.25" x14ac:dyDescent="0.45">
      <c r="L95" t="str">
        <f>IF(A95="","",COUNTIF('IEP Tracker'!B:B,A95))</f>
        <v/>
      </c>
      <c r="M95" t="str">
        <f>IF(A95="","",COUNTIF('504 Plan Tracker'!B:B,A95))</f>
        <v/>
      </c>
      <c r="N95">
        <f>COUNTIF('IEP Tracker'!B:B,A95)</f>
        <v>0</v>
      </c>
    </row>
    <row r="96" spans="12:14" ht="14.25" x14ac:dyDescent="0.45">
      <c r="L96" t="str">
        <f>IF(A96="","",COUNTIF('IEP Tracker'!B:B,A96))</f>
        <v/>
      </c>
      <c r="M96" t="str">
        <f>IF(A96="","",COUNTIF('504 Plan Tracker'!B:B,A96))</f>
        <v/>
      </c>
      <c r="N96">
        <f>COUNTIF('IEP Tracker'!B:B,A96)</f>
        <v>0</v>
      </c>
    </row>
    <row r="97" spans="12:14" ht="14.25" x14ac:dyDescent="0.45">
      <c r="L97" t="str">
        <f>IF(A97="","",COUNTIF('IEP Tracker'!B:B,A97))</f>
        <v/>
      </c>
      <c r="M97" t="str">
        <f>IF(A97="","",COUNTIF('504 Plan Tracker'!B:B,A97))</f>
        <v/>
      </c>
      <c r="N97">
        <f>COUNTIF('IEP Tracker'!B:B,A97)</f>
        <v>0</v>
      </c>
    </row>
    <row r="98" spans="12:14" ht="14.25" x14ac:dyDescent="0.45">
      <c r="L98" t="str">
        <f>IF(A98="","",COUNTIF('IEP Tracker'!B:B,A98))</f>
        <v/>
      </c>
      <c r="M98" t="str">
        <f>IF(A98="","",COUNTIF('504 Plan Tracker'!B:B,A98))</f>
        <v/>
      </c>
      <c r="N98">
        <f>COUNTIF('IEP Tracker'!B:B,A98)</f>
        <v>0</v>
      </c>
    </row>
    <row r="99" spans="12:14" ht="14.25" x14ac:dyDescent="0.45">
      <c r="L99" t="str">
        <f>IF(A99="","",COUNTIF('IEP Tracker'!B:B,A99))</f>
        <v/>
      </c>
      <c r="M99" t="str">
        <f>IF(A99="","",COUNTIF('504 Plan Tracker'!B:B,A99))</f>
        <v/>
      </c>
      <c r="N99">
        <f>COUNTIF('IEP Tracker'!B:B,A99)</f>
        <v>0</v>
      </c>
    </row>
    <row r="100" spans="12:14" ht="14.25" x14ac:dyDescent="0.45">
      <c r="L100" t="str">
        <f>IF(A100="","",COUNTIF('IEP Tracker'!B:B,A100))</f>
        <v/>
      </c>
      <c r="M100" t="str">
        <f>IF(A100="","",COUNTIF('504 Plan Tracker'!B:B,A100))</f>
        <v/>
      </c>
      <c r="N100">
        <f>COUNTIF('IEP Tracker'!B:B,A100)</f>
        <v>0</v>
      </c>
    </row>
    <row r="101" spans="12:14" ht="14.25" x14ac:dyDescent="0.45">
      <c r="L101" t="str">
        <f>IF(A101="","",COUNTIF('IEP Tracker'!B:B,A101))</f>
        <v/>
      </c>
      <c r="M101" t="str">
        <f>IF(A101="","",COUNTIF('504 Plan Tracker'!B:B,A101))</f>
        <v/>
      </c>
      <c r="N101">
        <f>COUNTIF('IEP Tracker'!B:B,A101)</f>
        <v>0</v>
      </c>
    </row>
    <row r="102" spans="12:14" ht="14.25" x14ac:dyDescent="0.45">
      <c r="L102" t="str">
        <f>IF(A102="","",COUNTIF('IEP Tracker'!B:B,A102))</f>
        <v/>
      </c>
      <c r="M102" t="str">
        <f>IF(A102="","",COUNTIF('504 Plan Tracker'!B:B,A102))</f>
        <v/>
      </c>
      <c r="N102">
        <f>COUNTIF('IEP Tracker'!B:B,A102)</f>
        <v>0</v>
      </c>
    </row>
    <row r="103" spans="12:14" ht="14.25" x14ac:dyDescent="0.45">
      <c r="L103" t="str">
        <f>IF(A103="","",COUNTIF('IEP Tracker'!B:B,A103))</f>
        <v/>
      </c>
      <c r="M103" t="str">
        <f>IF(A103="","",COUNTIF('504 Plan Tracker'!B:B,A103))</f>
        <v/>
      </c>
      <c r="N103">
        <f>COUNTIF('IEP Tracker'!B:B,A103)</f>
        <v>0</v>
      </c>
    </row>
    <row r="104" spans="12:14" ht="14.25" x14ac:dyDescent="0.45">
      <c r="L104" t="str">
        <f>IF(A104="","",COUNTIF('IEP Tracker'!B:B,A104))</f>
        <v/>
      </c>
      <c r="M104" t="str">
        <f>IF(A104="","",COUNTIF('504 Plan Tracker'!B:B,A104))</f>
        <v/>
      </c>
      <c r="N104">
        <f>COUNTIF('IEP Tracker'!B:B,A104)</f>
        <v>0</v>
      </c>
    </row>
    <row r="105" spans="12:14" ht="14.25" x14ac:dyDescent="0.45">
      <c r="L105" t="str">
        <f>IF(A105="","",COUNTIF('IEP Tracker'!B:B,A105))</f>
        <v/>
      </c>
      <c r="M105" t="str">
        <f>IF(A105="","",COUNTIF('504 Plan Tracker'!B:B,A105))</f>
        <v/>
      </c>
      <c r="N105">
        <f>COUNTIF('IEP Tracker'!B:B,A105)</f>
        <v>0</v>
      </c>
    </row>
    <row r="106" spans="12:14" ht="14.25" x14ac:dyDescent="0.45">
      <c r="L106" t="str">
        <f>IF(A106="","",COUNTIF('IEP Tracker'!B:B,A106))</f>
        <v/>
      </c>
      <c r="M106" t="str">
        <f>IF(A106="","",COUNTIF('504 Plan Tracker'!B:B,A106))</f>
        <v/>
      </c>
      <c r="N106">
        <f>COUNTIF('IEP Tracker'!B:B,A106)</f>
        <v>0</v>
      </c>
    </row>
    <row r="107" spans="12:14" ht="14.25" x14ac:dyDescent="0.45">
      <c r="L107" t="str">
        <f>IF(A107="","",COUNTIF('IEP Tracker'!B:B,A107))</f>
        <v/>
      </c>
      <c r="M107" t="str">
        <f>IF(A107="","",COUNTIF('504 Plan Tracker'!B:B,A107))</f>
        <v/>
      </c>
      <c r="N107">
        <f>COUNTIF('IEP Tracker'!B:B,A107)</f>
        <v>0</v>
      </c>
    </row>
    <row r="108" spans="12:14" ht="14.25" x14ac:dyDescent="0.45">
      <c r="L108" t="str">
        <f>IF(A108="","",COUNTIF('IEP Tracker'!B:B,A108))</f>
        <v/>
      </c>
      <c r="M108" t="str">
        <f>IF(A108="","",COUNTIF('504 Plan Tracker'!B:B,A108))</f>
        <v/>
      </c>
      <c r="N108">
        <f>COUNTIF('IEP Tracker'!B:B,A108)</f>
        <v>0</v>
      </c>
    </row>
    <row r="109" spans="12:14" ht="14.25" x14ac:dyDescent="0.45">
      <c r="L109" t="str">
        <f>IF(A109="","",COUNTIF('IEP Tracker'!B:B,A109))</f>
        <v/>
      </c>
      <c r="M109" t="str">
        <f>IF(A109="","",COUNTIF('504 Plan Tracker'!B:B,A109))</f>
        <v/>
      </c>
      <c r="N109">
        <f>COUNTIF('IEP Tracker'!B:B,A109)</f>
        <v>0</v>
      </c>
    </row>
    <row r="110" spans="12:14" ht="14.25" x14ac:dyDescent="0.45">
      <c r="L110" t="str">
        <f>IF(A110="","",COUNTIF('IEP Tracker'!B:B,A110))</f>
        <v/>
      </c>
      <c r="M110" t="str">
        <f>IF(A110="","",COUNTIF('504 Plan Tracker'!B:B,A110))</f>
        <v/>
      </c>
      <c r="N110">
        <f>COUNTIF('IEP Tracker'!B:B,A110)</f>
        <v>0</v>
      </c>
    </row>
    <row r="111" spans="12:14" ht="14.25" x14ac:dyDescent="0.45">
      <c r="L111" t="str">
        <f>IF(A111="","",COUNTIF('IEP Tracker'!B:B,A111))</f>
        <v/>
      </c>
      <c r="M111" t="str">
        <f>IF(A111="","",COUNTIF('504 Plan Tracker'!B:B,A111))</f>
        <v/>
      </c>
      <c r="N111">
        <f>COUNTIF('IEP Tracker'!B:B,A111)</f>
        <v>0</v>
      </c>
    </row>
    <row r="112" spans="12:14" ht="14.25" x14ac:dyDescent="0.45">
      <c r="L112" t="str">
        <f>IF(A112="","",COUNTIF('IEP Tracker'!B:B,A112))</f>
        <v/>
      </c>
      <c r="M112" t="str">
        <f>IF(A112="","",COUNTIF('504 Plan Tracker'!B:B,A112))</f>
        <v/>
      </c>
      <c r="N112">
        <f>COUNTIF('IEP Tracker'!B:B,A112)</f>
        <v>0</v>
      </c>
    </row>
    <row r="113" spans="12:14" ht="14.25" x14ac:dyDescent="0.45">
      <c r="L113" t="str">
        <f>IF(A113="","",COUNTIF('IEP Tracker'!B:B,A113))</f>
        <v/>
      </c>
      <c r="M113" t="str">
        <f>IF(A113="","",COUNTIF('504 Plan Tracker'!B:B,A113))</f>
        <v/>
      </c>
      <c r="N113">
        <f>COUNTIF('IEP Tracker'!B:B,A113)</f>
        <v>0</v>
      </c>
    </row>
    <row r="114" spans="12:14" ht="14.25" x14ac:dyDescent="0.45">
      <c r="L114" t="str">
        <f>IF(A114="","",COUNTIF('IEP Tracker'!B:B,A114))</f>
        <v/>
      </c>
      <c r="M114" t="str">
        <f>IF(A114="","",COUNTIF('504 Plan Tracker'!B:B,A114))</f>
        <v/>
      </c>
      <c r="N114">
        <f>COUNTIF('IEP Tracker'!B:B,A114)</f>
        <v>0</v>
      </c>
    </row>
    <row r="115" spans="12:14" ht="14.25" x14ac:dyDescent="0.45">
      <c r="L115" t="str">
        <f>IF(A115="","",COUNTIF('IEP Tracker'!B:B,A115))</f>
        <v/>
      </c>
      <c r="M115" t="str">
        <f>IF(A115="","",COUNTIF('504 Plan Tracker'!B:B,A115))</f>
        <v/>
      </c>
      <c r="N115">
        <f>COUNTIF('IEP Tracker'!B:B,A115)</f>
        <v>0</v>
      </c>
    </row>
    <row r="116" spans="12:14" ht="14.25" x14ac:dyDescent="0.45">
      <c r="L116" t="str">
        <f>IF(A116="","",COUNTIF('IEP Tracker'!B:B,A116))</f>
        <v/>
      </c>
      <c r="M116" t="str">
        <f>IF(A116="","",COUNTIF('504 Plan Tracker'!B:B,A116))</f>
        <v/>
      </c>
      <c r="N116">
        <f>COUNTIF('IEP Tracker'!B:B,A116)</f>
        <v>0</v>
      </c>
    </row>
    <row r="117" spans="12:14" ht="14.25" x14ac:dyDescent="0.45">
      <c r="L117" t="str">
        <f>IF(A117="","",COUNTIF('IEP Tracker'!B:B,A117))</f>
        <v/>
      </c>
      <c r="M117" t="str">
        <f>IF(A117="","",COUNTIF('504 Plan Tracker'!B:B,A117))</f>
        <v/>
      </c>
      <c r="N117">
        <f>COUNTIF('IEP Tracker'!B:B,A117)</f>
        <v>0</v>
      </c>
    </row>
    <row r="118" spans="12:14" ht="14.25" x14ac:dyDescent="0.45">
      <c r="L118" t="str">
        <f>IF(A118="","",COUNTIF('IEP Tracker'!B:B,A118))</f>
        <v/>
      </c>
      <c r="M118" t="str">
        <f>IF(A118="","",COUNTIF('504 Plan Tracker'!B:B,A118))</f>
        <v/>
      </c>
      <c r="N118">
        <f>COUNTIF('IEP Tracker'!B:B,A118)</f>
        <v>0</v>
      </c>
    </row>
    <row r="119" spans="12:14" ht="14.25" x14ac:dyDescent="0.45">
      <c r="L119" t="str">
        <f>IF(A119="","",COUNTIF('IEP Tracker'!B:B,A119))</f>
        <v/>
      </c>
      <c r="M119" t="str">
        <f>IF(A119="","",COUNTIF('504 Plan Tracker'!B:B,A119))</f>
        <v/>
      </c>
      <c r="N119">
        <f>COUNTIF('IEP Tracker'!B:B,A119)</f>
        <v>0</v>
      </c>
    </row>
    <row r="120" spans="12:14" ht="14.25" x14ac:dyDescent="0.45">
      <c r="L120" t="str">
        <f>IF(A120="","",COUNTIF('IEP Tracker'!B:B,A120))</f>
        <v/>
      </c>
      <c r="M120" t="str">
        <f>IF(A120="","",COUNTIF('504 Plan Tracker'!B:B,A120))</f>
        <v/>
      </c>
      <c r="N120">
        <f>COUNTIF('IEP Tracker'!B:B,A120)</f>
        <v>0</v>
      </c>
    </row>
    <row r="121" spans="12:14" ht="14.25" x14ac:dyDescent="0.45">
      <c r="L121" t="str">
        <f>IF(A121="","",COUNTIF('IEP Tracker'!B:B,A121))</f>
        <v/>
      </c>
      <c r="M121" t="str">
        <f>IF(A121="","",COUNTIF('504 Plan Tracker'!B:B,A121))</f>
        <v/>
      </c>
      <c r="N121">
        <f>COUNTIF('IEP Tracker'!B:B,A121)</f>
        <v>0</v>
      </c>
    </row>
    <row r="122" spans="12:14" ht="14.25" x14ac:dyDescent="0.45">
      <c r="L122" t="str">
        <f>IF(A122="","",COUNTIF('IEP Tracker'!B:B,A122))</f>
        <v/>
      </c>
      <c r="M122" t="str">
        <f>IF(A122="","",COUNTIF('504 Plan Tracker'!B:B,A122))</f>
        <v/>
      </c>
      <c r="N122">
        <f>COUNTIF('IEP Tracker'!B:B,A122)</f>
        <v>0</v>
      </c>
    </row>
    <row r="123" spans="12:14" ht="14.25" x14ac:dyDescent="0.45">
      <c r="L123" t="str">
        <f>IF(A123="","",COUNTIF('IEP Tracker'!B:B,A123))</f>
        <v/>
      </c>
      <c r="M123" t="str">
        <f>IF(A123="","",COUNTIF('504 Plan Tracker'!B:B,A123))</f>
        <v/>
      </c>
      <c r="N123">
        <f>COUNTIF('IEP Tracker'!B:B,A123)</f>
        <v>0</v>
      </c>
    </row>
    <row r="124" spans="12:14" ht="14.25" x14ac:dyDescent="0.45">
      <c r="L124" t="str">
        <f>IF(A124="","",COUNTIF('IEP Tracker'!B:B,A124))</f>
        <v/>
      </c>
      <c r="M124" t="str">
        <f>IF(A124="","",COUNTIF('504 Plan Tracker'!B:B,A124))</f>
        <v/>
      </c>
      <c r="N124">
        <f>COUNTIF('IEP Tracker'!B:B,A124)</f>
        <v>0</v>
      </c>
    </row>
    <row r="125" spans="12:14" ht="14.25" x14ac:dyDescent="0.45">
      <c r="L125" t="str">
        <f>IF(A125="","",COUNTIF('IEP Tracker'!B:B,A125))</f>
        <v/>
      </c>
      <c r="M125" t="str">
        <f>IF(A125="","",COUNTIF('504 Plan Tracker'!B:B,A125))</f>
        <v/>
      </c>
      <c r="N125">
        <f>COUNTIF('IEP Tracker'!B:B,A125)</f>
        <v>0</v>
      </c>
    </row>
    <row r="126" spans="12:14" ht="14.25" x14ac:dyDescent="0.45">
      <c r="L126" t="str">
        <f>IF(A126="","",COUNTIF('IEP Tracker'!B:B,A126))</f>
        <v/>
      </c>
      <c r="M126" t="str">
        <f>IF(A126="","",COUNTIF('504 Plan Tracker'!B:B,A126))</f>
        <v/>
      </c>
      <c r="N126">
        <f>COUNTIF('IEP Tracker'!B:B,A126)</f>
        <v>0</v>
      </c>
    </row>
    <row r="127" spans="12:14" ht="14.25" x14ac:dyDescent="0.45">
      <c r="L127" t="str">
        <f>IF(A127="","",COUNTIF('IEP Tracker'!B:B,A127))</f>
        <v/>
      </c>
      <c r="M127" t="str">
        <f>IF(A127="","",COUNTIF('504 Plan Tracker'!B:B,A127))</f>
        <v/>
      </c>
      <c r="N127">
        <f>COUNTIF('IEP Tracker'!B:B,A127)</f>
        <v>0</v>
      </c>
    </row>
    <row r="128" spans="12:14" ht="14.25" x14ac:dyDescent="0.45">
      <c r="L128" t="str">
        <f>IF(A128="","",COUNTIF('IEP Tracker'!B:B,A128))</f>
        <v/>
      </c>
      <c r="M128" t="str">
        <f>IF(A128="","",COUNTIF('504 Plan Tracker'!B:B,A128))</f>
        <v/>
      </c>
      <c r="N128">
        <f>COUNTIF('IEP Tracker'!B:B,A128)</f>
        <v>0</v>
      </c>
    </row>
    <row r="129" spans="12:14" ht="14.25" x14ac:dyDescent="0.45">
      <c r="L129" t="str">
        <f>IF(A129="","",COUNTIF('IEP Tracker'!B:B,A129))</f>
        <v/>
      </c>
      <c r="M129" t="str">
        <f>IF(A129="","",COUNTIF('504 Plan Tracker'!B:B,A129))</f>
        <v/>
      </c>
      <c r="N129">
        <f>COUNTIF('IEP Tracker'!B:B,A129)</f>
        <v>0</v>
      </c>
    </row>
    <row r="130" spans="12:14" ht="14.25" x14ac:dyDescent="0.45">
      <c r="L130" t="str">
        <f>IF(A130="","",COUNTIF('IEP Tracker'!B:B,A130))</f>
        <v/>
      </c>
      <c r="M130" t="str">
        <f>IF(A130="","",COUNTIF('504 Plan Tracker'!B:B,A130))</f>
        <v/>
      </c>
      <c r="N130">
        <f>COUNTIF('IEP Tracker'!B:B,A130)</f>
        <v>0</v>
      </c>
    </row>
    <row r="131" spans="12:14" ht="14.25" x14ac:dyDescent="0.45">
      <c r="L131" t="str">
        <f>IF(A131="","",COUNTIF('IEP Tracker'!B:B,A131))</f>
        <v/>
      </c>
      <c r="M131" t="str">
        <f>IF(A131="","",COUNTIF('504 Plan Tracker'!B:B,A131))</f>
        <v/>
      </c>
      <c r="N131">
        <f>COUNTIF('IEP Tracker'!B:B,A131)</f>
        <v>0</v>
      </c>
    </row>
    <row r="132" spans="12:14" ht="14.25" x14ac:dyDescent="0.45">
      <c r="L132" t="str">
        <f>IF(A132="","",COUNTIF('IEP Tracker'!B:B,A132))</f>
        <v/>
      </c>
      <c r="M132" t="str">
        <f>IF(A132="","",COUNTIF('504 Plan Tracker'!B:B,A132))</f>
        <v/>
      </c>
      <c r="N132">
        <f>COUNTIF('IEP Tracker'!B:B,A132)</f>
        <v>0</v>
      </c>
    </row>
    <row r="133" spans="12:14" ht="14.25" x14ac:dyDescent="0.45">
      <c r="L133" t="str">
        <f>IF(A133="","",COUNTIF('IEP Tracker'!B:B,A133))</f>
        <v/>
      </c>
      <c r="M133" t="str">
        <f>IF(A133="","",COUNTIF('504 Plan Tracker'!B:B,A133))</f>
        <v/>
      </c>
      <c r="N133">
        <f>COUNTIF('IEP Tracker'!B:B,A133)</f>
        <v>0</v>
      </c>
    </row>
    <row r="134" spans="12:14" ht="14.25" x14ac:dyDescent="0.45">
      <c r="L134" t="str">
        <f>IF(A134="","",COUNTIF('IEP Tracker'!B:B,A134))</f>
        <v/>
      </c>
      <c r="M134" t="str">
        <f>IF(A134="","",COUNTIF('504 Plan Tracker'!B:B,A134))</f>
        <v/>
      </c>
      <c r="N134">
        <f>COUNTIF('IEP Tracker'!B:B,A134)</f>
        <v>0</v>
      </c>
    </row>
    <row r="135" spans="12:14" ht="14.25" x14ac:dyDescent="0.45">
      <c r="L135" t="str">
        <f>IF(A135="","",COUNTIF('IEP Tracker'!B:B,A135))</f>
        <v/>
      </c>
      <c r="M135" t="str">
        <f>IF(A135="","",COUNTIF('504 Plan Tracker'!B:B,A135))</f>
        <v/>
      </c>
      <c r="N135">
        <f>COUNTIF('IEP Tracker'!B:B,A135)</f>
        <v>0</v>
      </c>
    </row>
    <row r="136" spans="12:14" ht="14.25" x14ac:dyDescent="0.45">
      <c r="L136" t="str">
        <f>IF(A136="","",COUNTIF('IEP Tracker'!B:B,A136))</f>
        <v/>
      </c>
      <c r="M136" t="str">
        <f>IF(A136="","",COUNTIF('504 Plan Tracker'!B:B,A136))</f>
        <v/>
      </c>
      <c r="N136">
        <f>COUNTIF('IEP Tracker'!B:B,A136)</f>
        <v>0</v>
      </c>
    </row>
    <row r="137" spans="12:14" ht="14.25" x14ac:dyDescent="0.45">
      <c r="L137" t="str">
        <f>IF(A137="","",COUNTIF('IEP Tracker'!B:B,A137))</f>
        <v/>
      </c>
      <c r="M137" t="str">
        <f>IF(A137="","",COUNTIF('504 Plan Tracker'!B:B,A137))</f>
        <v/>
      </c>
      <c r="N137">
        <f>COUNTIF('IEP Tracker'!B:B,A137)</f>
        <v>0</v>
      </c>
    </row>
    <row r="138" spans="12:14" ht="14.25" x14ac:dyDescent="0.45">
      <c r="L138" t="str">
        <f>IF(A138="","",COUNTIF('IEP Tracker'!B:B,A138))</f>
        <v/>
      </c>
      <c r="M138" t="str">
        <f>IF(A138="","",COUNTIF('504 Plan Tracker'!B:B,A138))</f>
        <v/>
      </c>
      <c r="N138">
        <f>COUNTIF('IEP Tracker'!B:B,A138)</f>
        <v>0</v>
      </c>
    </row>
    <row r="139" spans="12:14" ht="14.25" x14ac:dyDescent="0.45">
      <c r="L139" t="str">
        <f>IF(A139="","",COUNTIF('IEP Tracker'!B:B,A139))</f>
        <v/>
      </c>
      <c r="M139" t="str">
        <f>IF(A139="","",COUNTIF('504 Plan Tracker'!B:B,A139))</f>
        <v/>
      </c>
      <c r="N139">
        <f>COUNTIF('IEP Tracker'!B:B,A139)</f>
        <v>0</v>
      </c>
    </row>
    <row r="140" spans="12:14" ht="14.25" x14ac:dyDescent="0.45">
      <c r="L140" t="str">
        <f>IF(A140="","",COUNTIF('IEP Tracker'!B:B,A140))</f>
        <v/>
      </c>
      <c r="M140" t="str">
        <f>IF(A140="","",COUNTIF('504 Plan Tracker'!B:B,A140))</f>
        <v/>
      </c>
      <c r="N140">
        <f>COUNTIF('IEP Tracker'!B:B,A140)</f>
        <v>0</v>
      </c>
    </row>
    <row r="141" spans="12:14" ht="14.25" x14ac:dyDescent="0.45">
      <c r="L141" t="str">
        <f>IF(A141="","",COUNTIF('IEP Tracker'!B:B,A141))</f>
        <v/>
      </c>
      <c r="M141" t="str">
        <f>IF(A141="","",COUNTIF('504 Plan Tracker'!B:B,A141))</f>
        <v/>
      </c>
      <c r="N141">
        <f>COUNTIF('IEP Tracker'!B:B,A141)</f>
        <v>0</v>
      </c>
    </row>
    <row r="142" spans="12:14" ht="14.25" x14ac:dyDescent="0.45">
      <c r="L142" t="str">
        <f>IF(A142="","",COUNTIF('IEP Tracker'!B:B,A142))</f>
        <v/>
      </c>
      <c r="M142" t="str">
        <f>IF(A142="","",COUNTIF('504 Plan Tracker'!B:B,A142))</f>
        <v/>
      </c>
      <c r="N142">
        <f>COUNTIF('IEP Tracker'!B:B,A142)</f>
        <v>0</v>
      </c>
    </row>
    <row r="143" spans="12:14" ht="14.25" x14ac:dyDescent="0.45">
      <c r="L143" t="str">
        <f>IF(A143="","",COUNTIF('IEP Tracker'!B:B,A143))</f>
        <v/>
      </c>
      <c r="M143" t="str">
        <f>IF(A143="","",COUNTIF('504 Plan Tracker'!B:B,A143))</f>
        <v/>
      </c>
      <c r="N143">
        <f>COUNTIF('IEP Tracker'!B:B,A143)</f>
        <v>0</v>
      </c>
    </row>
    <row r="144" spans="12:14" ht="14.25" x14ac:dyDescent="0.45">
      <c r="L144" t="str">
        <f>IF(A144="","",COUNTIF('IEP Tracker'!B:B,A144))</f>
        <v/>
      </c>
      <c r="M144" t="str">
        <f>IF(A144="","",COUNTIF('504 Plan Tracker'!B:B,A144))</f>
        <v/>
      </c>
      <c r="N144">
        <f>COUNTIF('IEP Tracker'!B:B,A144)</f>
        <v>0</v>
      </c>
    </row>
    <row r="145" spans="12:14" ht="14.25" x14ac:dyDescent="0.45">
      <c r="L145" t="str">
        <f>IF(A145="","",COUNTIF('IEP Tracker'!B:B,A145))</f>
        <v/>
      </c>
      <c r="M145" t="str">
        <f>IF(A145="","",COUNTIF('504 Plan Tracker'!B:B,A145))</f>
        <v/>
      </c>
      <c r="N145">
        <f>COUNTIF('IEP Tracker'!B:B,A145)</f>
        <v>0</v>
      </c>
    </row>
    <row r="146" spans="12:14" ht="14.25" x14ac:dyDescent="0.45">
      <c r="L146" t="str">
        <f>IF(A146="","",COUNTIF('IEP Tracker'!B:B,A146))</f>
        <v/>
      </c>
      <c r="M146" t="str">
        <f>IF(A146="","",COUNTIF('504 Plan Tracker'!B:B,A146))</f>
        <v/>
      </c>
      <c r="N146">
        <f>COUNTIF('IEP Tracker'!B:B,A146)</f>
        <v>0</v>
      </c>
    </row>
    <row r="147" spans="12:14" ht="14.25" x14ac:dyDescent="0.45">
      <c r="L147" t="str">
        <f>IF(A147="","",COUNTIF('IEP Tracker'!B:B,A147))</f>
        <v/>
      </c>
      <c r="M147" t="str">
        <f>IF(A147="","",COUNTIF('504 Plan Tracker'!B:B,A147))</f>
        <v/>
      </c>
      <c r="N147">
        <f>COUNTIF('IEP Tracker'!B:B,A147)</f>
        <v>0</v>
      </c>
    </row>
    <row r="148" spans="12:14" ht="14.25" x14ac:dyDescent="0.45">
      <c r="L148" t="str">
        <f>IF(A148="","",COUNTIF('IEP Tracker'!B:B,A148))</f>
        <v/>
      </c>
      <c r="M148" t="str">
        <f>IF(A148="","",COUNTIF('504 Plan Tracker'!B:B,A148))</f>
        <v/>
      </c>
      <c r="N148">
        <f>COUNTIF('IEP Tracker'!B:B,A148)</f>
        <v>0</v>
      </c>
    </row>
    <row r="149" spans="12:14" ht="14.25" x14ac:dyDescent="0.45">
      <c r="L149" t="str">
        <f>IF(A149="","",COUNTIF('IEP Tracker'!B:B,A149))</f>
        <v/>
      </c>
      <c r="M149" t="str">
        <f>IF(A149="","",COUNTIF('504 Plan Tracker'!B:B,A149))</f>
        <v/>
      </c>
      <c r="N149">
        <f>COUNTIF('IEP Tracker'!B:B,A149)</f>
        <v>0</v>
      </c>
    </row>
    <row r="150" spans="12:14" ht="14.25" x14ac:dyDescent="0.45">
      <c r="L150" t="str">
        <f>IF(A150="","",COUNTIF('IEP Tracker'!B:B,A150))</f>
        <v/>
      </c>
      <c r="M150" t="str">
        <f>IF(A150="","",COUNTIF('504 Plan Tracker'!B:B,A150))</f>
        <v/>
      </c>
      <c r="N150">
        <f>COUNTIF('IEP Tracker'!B:B,A150)</f>
        <v>0</v>
      </c>
    </row>
    <row r="151" spans="12:14" ht="14.25" x14ac:dyDescent="0.45">
      <c r="L151" t="str">
        <f>IF(A151="","",COUNTIF('IEP Tracker'!B:B,A151))</f>
        <v/>
      </c>
      <c r="M151" t="str">
        <f>IF(A151="","",COUNTIF('504 Plan Tracker'!B:B,A151))</f>
        <v/>
      </c>
      <c r="N151">
        <f>COUNTIF('IEP Tracker'!B:B,A151)</f>
        <v>0</v>
      </c>
    </row>
    <row r="152" spans="12:14" ht="14.25" x14ac:dyDescent="0.45">
      <c r="L152" t="str">
        <f>IF(A152="","",COUNTIF('IEP Tracker'!B:B,A152))</f>
        <v/>
      </c>
      <c r="M152" t="str">
        <f>IF(A152="","",COUNTIF('504 Plan Tracker'!B:B,A152))</f>
        <v/>
      </c>
      <c r="N152">
        <f>COUNTIF('IEP Tracker'!B:B,A152)</f>
        <v>0</v>
      </c>
    </row>
    <row r="153" spans="12:14" ht="14.25" x14ac:dyDescent="0.45">
      <c r="L153" t="str">
        <f>IF(A153="","",COUNTIF('IEP Tracker'!B:B,A153))</f>
        <v/>
      </c>
      <c r="M153" t="str">
        <f>IF(A153="","",COUNTIF('504 Plan Tracker'!B:B,A153))</f>
        <v/>
      </c>
      <c r="N153">
        <f>COUNTIF('IEP Tracker'!B:B,A153)</f>
        <v>0</v>
      </c>
    </row>
    <row r="154" spans="12:14" ht="14.25" x14ac:dyDescent="0.45">
      <c r="L154" t="str">
        <f>IF(A154="","",COUNTIF('IEP Tracker'!B:B,A154))</f>
        <v/>
      </c>
      <c r="M154" t="str">
        <f>IF(A154="","",COUNTIF('504 Plan Tracker'!B:B,A154))</f>
        <v/>
      </c>
      <c r="N154">
        <f>COUNTIF('IEP Tracker'!B:B,A154)</f>
        <v>0</v>
      </c>
    </row>
    <row r="155" spans="12:14" ht="14.25" x14ac:dyDescent="0.45">
      <c r="L155" t="str">
        <f>IF(A155="","",COUNTIF('IEP Tracker'!B:B,A155))</f>
        <v/>
      </c>
      <c r="M155" t="str">
        <f>IF(A155="","",COUNTIF('504 Plan Tracker'!B:B,A155))</f>
        <v/>
      </c>
      <c r="N155">
        <f>COUNTIF('IEP Tracker'!B:B,A155)</f>
        <v>0</v>
      </c>
    </row>
    <row r="156" spans="12:14" ht="14.25" x14ac:dyDescent="0.45">
      <c r="L156" t="str">
        <f>IF(A156="","",COUNTIF('IEP Tracker'!B:B,A156))</f>
        <v/>
      </c>
      <c r="M156" t="str">
        <f>IF(A156="","",COUNTIF('504 Plan Tracker'!B:B,A156))</f>
        <v/>
      </c>
      <c r="N156">
        <f>COUNTIF('IEP Tracker'!B:B,A156)</f>
        <v>0</v>
      </c>
    </row>
    <row r="157" spans="12:14" ht="14.25" x14ac:dyDescent="0.45">
      <c r="L157" t="str">
        <f>IF(A157="","",COUNTIF('IEP Tracker'!B:B,A157))</f>
        <v/>
      </c>
      <c r="M157" t="str">
        <f>IF(A157="","",COUNTIF('504 Plan Tracker'!B:B,A157))</f>
        <v/>
      </c>
      <c r="N157">
        <f>COUNTIF('IEP Tracker'!B:B,A157)</f>
        <v>0</v>
      </c>
    </row>
    <row r="158" spans="12:14" ht="14.25" x14ac:dyDescent="0.45">
      <c r="L158" t="str">
        <f>IF(A158="","",COUNTIF('IEP Tracker'!B:B,A158))</f>
        <v/>
      </c>
      <c r="M158" t="str">
        <f>IF(A158="","",COUNTIF('504 Plan Tracker'!B:B,A158))</f>
        <v/>
      </c>
      <c r="N158">
        <f>COUNTIF('IEP Tracker'!B:B,A158)</f>
        <v>0</v>
      </c>
    </row>
    <row r="159" spans="12:14" ht="14.25" x14ac:dyDescent="0.45">
      <c r="L159" t="str">
        <f>IF(A159="","",COUNTIF('IEP Tracker'!B:B,A159))</f>
        <v/>
      </c>
      <c r="M159" t="str">
        <f>IF(A159="","",COUNTIF('504 Plan Tracker'!B:B,A159))</f>
        <v/>
      </c>
      <c r="N159">
        <f>COUNTIF('IEP Tracker'!B:B,A159)</f>
        <v>0</v>
      </c>
    </row>
    <row r="160" spans="12:14" ht="14.25" x14ac:dyDescent="0.45">
      <c r="L160" t="str">
        <f>IF(A160="","",COUNTIF('IEP Tracker'!B:B,A160))</f>
        <v/>
      </c>
      <c r="M160" t="str">
        <f>IF(A160="","",COUNTIF('504 Plan Tracker'!B:B,A160))</f>
        <v/>
      </c>
      <c r="N160">
        <f>COUNTIF('IEP Tracker'!B:B,A160)</f>
        <v>0</v>
      </c>
    </row>
    <row r="161" spans="12:14" ht="14.25" x14ac:dyDescent="0.45">
      <c r="L161" t="str">
        <f>IF(A161="","",COUNTIF('IEP Tracker'!B:B,A161))</f>
        <v/>
      </c>
      <c r="M161" t="str">
        <f>IF(A161="","",COUNTIF('504 Plan Tracker'!B:B,A161))</f>
        <v/>
      </c>
      <c r="N161">
        <f>COUNTIF('IEP Tracker'!B:B,A161)</f>
        <v>0</v>
      </c>
    </row>
    <row r="162" spans="12:14" ht="14.25" x14ac:dyDescent="0.45">
      <c r="L162" t="str">
        <f>IF(A162="","",COUNTIF('IEP Tracker'!B:B,A162))</f>
        <v/>
      </c>
      <c r="M162" t="str">
        <f>IF(A162="","",COUNTIF('504 Plan Tracker'!B:B,A162))</f>
        <v/>
      </c>
      <c r="N162">
        <f>COUNTIF('IEP Tracker'!B:B,A162)</f>
        <v>0</v>
      </c>
    </row>
    <row r="163" spans="12:14" ht="14.25" x14ac:dyDescent="0.45">
      <c r="L163" t="str">
        <f>IF(A163="","",COUNTIF('IEP Tracker'!B:B,A163))</f>
        <v/>
      </c>
      <c r="M163" t="str">
        <f>IF(A163="","",COUNTIF('504 Plan Tracker'!B:B,A163))</f>
        <v/>
      </c>
      <c r="N163">
        <f>COUNTIF('IEP Tracker'!B:B,A163)</f>
        <v>0</v>
      </c>
    </row>
    <row r="164" spans="12:14" ht="14.25" x14ac:dyDescent="0.45">
      <c r="L164" t="str">
        <f>IF(A164="","",COUNTIF('IEP Tracker'!B:B,A164))</f>
        <v/>
      </c>
      <c r="M164" t="str">
        <f>IF(A164="","",COUNTIF('504 Plan Tracker'!B:B,A164))</f>
        <v/>
      </c>
      <c r="N164">
        <f>COUNTIF('IEP Tracker'!B:B,A164)</f>
        <v>0</v>
      </c>
    </row>
    <row r="165" spans="12:14" ht="14.25" x14ac:dyDescent="0.45">
      <c r="L165" t="str">
        <f>IF(A165="","",COUNTIF('IEP Tracker'!B:B,A165))</f>
        <v/>
      </c>
      <c r="M165" t="str">
        <f>IF(A165="","",COUNTIF('504 Plan Tracker'!B:B,A165))</f>
        <v/>
      </c>
      <c r="N165">
        <f>COUNTIF('IEP Tracker'!B:B,A165)</f>
        <v>0</v>
      </c>
    </row>
    <row r="166" spans="12:14" ht="14.25" x14ac:dyDescent="0.45">
      <c r="L166" t="str">
        <f>IF(A166="","",COUNTIF('IEP Tracker'!B:B,A166))</f>
        <v/>
      </c>
      <c r="M166" t="str">
        <f>IF(A166="","",COUNTIF('504 Plan Tracker'!B:B,A166))</f>
        <v/>
      </c>
      <c r="N166">
        <f>COUNTIF('IEP Tracker'!B:B,A166)</f>
        <v>0</v>
      </c>
    </row>
    <row r="167" spans="12:14" ht="14.25" x14ac:dyDescent="0.45">
      <c r="L167" t="str">
        <f>IF(A167="","",COUNTIF('IEP Tracker'!B:B,A167))</f>
        <v/>
      </c>
      <c r="M167" t="str">
        <f>IF(A167="","",COUNTIF('504 Plan Tracker'!B:B,A167))</f>
        <v/>
      </c>
      <c r="N167">
        <f>COUNTIF('IEP Tracker'!B:B,A167)</f>
        <v>0</v>
      </c>
    </row>
    <row r="168" spans="12:14" ht="14.25" x14ac:dyDescent="0.45">
      <c r="L168" t="str">
        <f>IF(A168="","",COUNTIF('IEP Tracker'!B:B,A168))</f>
        <v/>
      </c>
      <c r="M168" t="str">
        <f>IF(A168="","",COUNTIF('504 Plan Tracker'!B:B,A168))</f>
        <v/>
      </c>
      <c r="N168">
        <f>COUNTIF('IEP Tracker'!B:B,A168)</f>
        <v>0</v>
      </c>
    </row>
    <row r="169" spans="12:14" ht="14.25" x14ac:dyDescent="0.45">
      <c r="L169" t="str">
        <f>IF(A169="","",COUNTIF('IEP Tracker'!B:B,A169))</f>
        <v/>
      </c>
      <c r="M169" t="str">
        <f>IF(A169="","",COUNTIF('504 Plan Tracker'!B:B,A169))</f>
        <v/>
      </c>
      <c r="N169">
        <f>COUNTIF('IEP Tracker'!B:B,A169)</f>
        <v>0</v>
      </c>
    </row>
    <row r="170" spans="12:14" ht="14.25" x14ac:dyDescent="0.45">
      <c r="L170" t="str">
        <f>IF(A170="","",COUNTIF('IEP Tracker'!B:B,A170))</f>
        <v/>
      </c>
      <c r="M170" t="str">
        <f>IF(A170="","",COUNTIF('504 Plan Tracker'!B:B,A170))</f>
        <v/>
      </c>
      <c r="N170">
        <f>COUNTIF('IEP Tracker'!B:B,A170)</f>
        <v>0</v>
      </c>
    </row>
    <row r="171" spans="12:14" ht="14.25" x14ac:dyDescent="0.45">
      <c r="L171" t="str">
        <f>IF(A171="","",COUNTIF('IEP Tracker'!B:B,A171))</f>
        <v/>
      </c>
      <c r="M171" t="str">
        <f>IF(A171="","",COUNTIF('504 Plan Tracker'!B:B,A171))</f>
        <v/>
      </c>
      <c r="N171">
        <f>COUNTIF('IEP Tracker'!B:B,A171)</f>
        <v>0</v>
      </c>
    </row>
    <row r="172" spans="12:14" ht="14.25" x14ac:dyDescent="0.45">
      <c r="L172" t="str">
        <f>IF(A172="","",COUNTIF('IEP Tracker'!B:B,A172))</f>
        <v/>
      </c>
      <c r="M172" t="str">
        <f>IF(A172="","",COUNTIF('504 Plan Tracker'!B:B,A172))</f>
        <v/>
      </c>
      <c r="N172">
        <f>COUNTIF('IEP Tracker'!B:B,A172)</f>
        <v>0</v>
      </c>
    </row>
    <row r="173" spans="12:14" ht="14.25" x14ac:dyDescent="0.45">
      <c r="L173" t="str">
        <f>IF(A173="","",COUNTIF('IEP Tracker'!B:B,A173))</f>
        <v/>
      </c>
      <c r="M173" t="str">
        <f>IF(A173="","",COUNTIF('504 Plan Tracker'!B:B,A173))</f>
        <v/>
      </c>
      <c r="N173">
        <f>COUNTIF('IEP Tracker'!B:B,A173)</f>
        <v>0</v>
      </c>
    </row>
    <row r="174" spans="12:14" ht="14.25" x14ac:dyDescent="0.45">
      <c r="L174" t="str">
        <f>IF(A174="","",COUNTIF('IEP Tracker'!B:B,A174))</f>
        <v/>
      </c>
      <c r="M174" t="str">
        <f>IF(A174="","",COUNTIF('504 Plan Tracker'!B:B,A174))</f>
        <v/>
      </c>
      <c r="N174">
        <f>COUNTIF('IEP Tracker'!B:B,A174)</f>
        <v>0</v>
      </c>
    </row>
    <row r="175" spans="12:14" ht="14.25" x14ac:dyDescent="0.45">
      <c r="L175" t="str">
        <f>IF(A175="","",COUNTIF('IEP Tracker'!B:B,A175))</f>
        <v/>
      </c>
      <c r="M175" t="str">
        <f>IF(A175="","",COUNTIF('504 Plan Tracker'!B:B,A175))</f>
        <v/>
      </c>
      <c r="N175">
        <f>COUNTIF('IEP Tracker'!B:B,A175)</f>
        <v>0</v>
      </c>
    </row>
    <row r="176" spans="12:14" ht="14.25" x14ac:dyDescent="0.45">
      <c r="L176" t="str">
        <f>IF(A176="","",COUNTIF('IEP Tracker'!B:B,A176))</f>
        <v/>
      </c>
      <c r="M176" t="str">
        <f>IF(A176="","",COUNTIF('504 Plan Tracker'!B:B,A176))</f>
        <v/>
      </c>
      <c r="N176">
        <f>COUNTIF('IEP Tracker'!B:B,A176)</f>
        <v>0</v>
      </c>
    </row>
    <row r="177" spans="12:14" ht="14.25" x14ac:dyDescent="0.45">
      <c r="L177" t="str">
        <f>IF(A177="","",COUNTIF('IEP Tracker'!B:B,A177))</f>
        <v/>
      </c>
      <c r="M177" t="str">
        <f>IF(A177="","",COUNTIF('504 Plan Tracker'!B:B,A177))</f>
        <v/>
      </c>
      <c r="N177">
        <f>COUNTIF('IEP Tracker'!B:B,A177)</f>
        <v>0</v>
      </c>
    </row>
    <row r="178" spans="12:14" ht="14.25" x14ac:dyDescent="0.45">
      <c r="L178" t="str">
        <f>IF(A178="","",COUNTIF('IEP Tracker'!B:B,A178))</f>
        <v/>
      </c>
      <c r="M178" t="str">
        <f>IF(A178="","",COUNTIF('504 Plan Tracker'!B:B,A178))</f>
        <v/>
      </c>
      <c r="N178">
        <f>COUNTIF('IEP Tracker'!B:B,A178)</f>
        <v>0</v>
      </c>
    </row>
    <row r="179" spans="12:14" ht="14.25" x14ac:dyDescent="0.45">
      <c r="L179" t="str">
        <f>IF(A179="","",COUNTIF('IEP Tracker'!B:B,A179))</f>
        <v/>
      </c>
      <c r="M179" t="str">
        <f>IF(A179="","",COUNTIF('504 Plan Tracker'!B:B,A179))</f>
        <v/>
      </c>
      <c r="N179">
        <f>COUNTIF('IEP Tracker'!B:B,A179)</f>
        <v>0</v>
      </c>
    </row>
    <row r="180" spans="12:14" ht="14.25" x14ac:dyDescent="0.45">
      <c r="L180" t="str">
        <f>IF(A180="","",COUNTIF('IEP Tracker'!B:B,A180))</f>
        <v/>
      </c>
      <c r="M180" t="str">
        <f>IF(A180="","",COUNTIF('504 Plan Tracker'!B:B,A180))</f>
        <v/>
      </c>
      <c r="N180">
        <f>COUNTIF('IEP Tracker'!B:B,A180)</f>
        <v>0</v>
      </c>
    </row>
    <row r="181" spans="12:14" ht="14.25" x14ac:dyDescent="0.45">
      <c r="L181" t="str">
        <f>IF(A181="","",COUNTIF('IEP Tracker'!B:B,A181))</f>
        <v/>
      </c>
      <c r="M181" t="str">
        <f>IF(A181="","",COUNTIF('504 Plan Tracker'!B:B,A181))</f>
        <v/>
      </c>
      <c r="N181">
        <f>COUNTIF('IEP Tracker'!B:B,A181)</f>
        <v>0</v>
      </c>
    </row>
    <row r="182" spans="12:14" ht="14.25" x14ac:dyDescent="0.45">
      <c r="L182" t="str">
        <f>IF(A182="","",COUNTIF('IEP Tracker'!B:B,A182))</f>
        <v/>
      </c>
      <c r="M182" t="str">
        <f>IF(A182="","",COUNTIF('504 Plan Tracker'!B:B,A182))</f>
        <v/>
      </c>
      <c r="N182">
        <f>COUNTIF('IEP Tracker'!B:B,A182)</f>
        <v>0</v>
      </c>
    </row>
    <row r="183" spans="12:14" ht="14.25" x14ac:dyDescent="0.45">
      <c r="L183" t="str">
        <f>IF(A183="","",COUNTIF('IEP Tracker'!B:B,A183))</f>
        <v/>
      </c>
      <c r="M183" t="str">
        <f>IF(A183="","",COUNTIF('504 Plan Tracker'!B:B,A183))</f>
        <v/>
      </c>
      <c r="N183">
        <f>COUNTIF('IEP Tracker'!B:B,A183)</f>
        <v>0</v>
      </c>
    </row>
    <row r="184" spans="12:14" ht="14.25" x14ac:dyDescent="0.45">
      <c r="L184" t="str">
        <f>IF(A184="","",COUNTIF('IEP Tracker'!B:B,A184))</f>
        <v/>
      </c>
      <c r="M184" t="str">
        <f>IF(A184="","",COUNTIF('504 Plan Tracker'!B:B,A184))</f>
        <v/>
      </c>
      <c r="N184">
        <f>COUNTIF('IEP Tracker'!B:B,A184)</f>
        <v>0</v>
      </c>
    </row>
    <row r="185" spans="12:14" ht="14.25" x14ac:dyDescent="0.45">
      <c r="L185" t="str">
        <f>IF(A185="","",COUNTIF('IEP Tracker'!B:B,A185))</f>
        <v/>
      </c>
      <c r="M185" t="str">
        <f>IF(A185="","",COUNTIF('504 Plan Tracker'!B:B,A185))</f>
        <v/>
      </c>
      <c r="N185">
        <f>COUNTIF('IEP Tracker'!B:B,A185)</f>
        <v>0</v>
      </c>
    </row>
    <row r="186" spans="12:14" ht="14.25" x14ac:dyDescent="0.45">
      <c r="L186" t="str">
        <f>IF(A186="","",COUNTIF('IEP Tracker'!B:B,A186))</f>
        <v/>
      </c>
      <c r="M186" t="str">
        <f>IF(A186="","",COUNTIF('504 Plan Tracker'!B:B,A186))</f>
        <v/>
      </c>
      <c r="N186">
        <f>COUNTIF('IEP Tracker'!B:B,A186)</f>
        <v>0</v>
      </c>
    </row>
    <row r="187" spans="12:14" ht="14.25" x14ac:dyDescent="0.45">
      <c r="L187" t="str">
        <f>IF(A187="","",COUNTIF('IEP Tracker'!B:B,A187))</f>
        <v/>
      </c>
      <c r="M187" t="str">
        <f>IF(A187="","",COUNTIF('504 Plan Tracker'!B:B,A187))</f>
        <v/>
      </c>
      <c r="N187">
        <f>COUNTIF('IEP Tracker'!B:B,A187)</f>
        <v>0</v>
      </c>
    </row>
    <row r="188" spans="12:14" ht="14.25" x14ac:dyDescent="0.45">
      <c r="L188" t="str">
        <f>IF(A188="","",COUNTIF('IEP Tracker'!B:B,A188))</f>
        <v/>
      </c>
      <c r="M188" t="str">
        <f>IF(A188="","",COUNTIF('504 Plan Tracker'!B:B,A188))</f>
        <v/>
      </c>
      <c r="N188">
        <f>COUNTIF('IEP Tracker'!B:B,A188)</f>
        <v>0</v>
      </c>
    </row>
    <row r="189" spans="12:14" ht="14.25" x14ac:dyDescent="0.45">
      <c r="L189" t="str">
        <f>IF(A189="","",COUNTIF('IEP Tracker'!B:B,A189))</f>
        <v/>
      </c>
      <c r="M189" t="str">
        <f>IF(A189="","",COUNTIF('504 Plan Tracker'!B:B,A189))</f>
        <v/>
      </c>
      <c r="N189">
        <f>COUNTIF('IEP Tracker'!B:B,A189)</f>
        <v>0</v>
      </c>
    </row>
    <row r="190" spans="12:14" ht="14.25" x14ac:dyDescent="0.45">
      <c r="L190" t="str">
        <f>IF(A190="","",COUNTIF('IEP Tracker'!B:B,A190))</f>
        <v/>
      </c>
      <c r="M190" t="str">
        <f>IF(A190="","",COUNTIF('504 Plan Tracker'!B:B,A190))</f>
        <v/>
      </c>
      <c r="N190">
        <f>COUNTIF('IEP Tracker'!B:B,A190)</f>
        <v>0</v>
      </c>
    </row>
    <row r="191" spans="12:14" ht="14.25" x14ac:dyDescent="0.45">
      <c r="L191" t="str">
        <f>IF(A191="","",COUNTIF('IEP Tracker'!B:B,A191))</f>
        <v/>
      </c>
      <c r="M191" t="str">
        <f>IF(A191="","",COUNTIF('504 Plan Tracker'!B:B,A191))</f>
        <v/>
      </c>
      <c r="N191">
        <f>COUNTIF('IEP Tracker'!B:B,A191)</f>
        <v>0</v>
      </c>
    </row>
    <row r="192" spans="12:14" ht="14.25" x14ac:dyDescent="0.45">
      <c r="L192" t="str">
        <f>IF(A192="","",COUNTIF('IEP Tracker'!B:B,A192))</f>
        <v/>
      </c>
      <c r="M192" t="str">
        <f>IF(A192="","",COUNTIF('504 Plan Tracker'!B:B,A192))</f>
        <v/>
      </c>
      <c r="N192">
        <f>COUNTIF('IEP Tracker'!B:B,A192)</f>
        <v>0</v>
      </c>
    </row>
    <row r="193" spans="12:14" ht="14.25" x14ac:dyDescent="0.45">
      <c r="L193" t="str">
        <f>IF(A193="","",COUNTIF('IEP Tracker'!B:B,A193))</f>
        <v/>
      </c>
      <c r="M193" t="str">
        <f>IF(A193="","",COUNTIF('504 Plan Tracker'!B:B,A193))</f>
        <v/>
      </c>
      <c r="N193">
        <f>COUNTIF('IEP Tracker'!B:B,A193)</f>
        <v>0</v>
      </c>
    </row>
    <row r="194" spans="12:14" ht="14.25" x14ac:dyDescent="0.45">
      <c r="L194" t="str">
        <f>IF(A194="","",COUNTIF('IEP Tracker'!B:B,A194))</f>
        <v/>
      </c>
      <c r="M194" t="str">
        <f>IF(A194="","",COUNTIF('504 Plan Tracker'!B:B,A194))</f>
        <v/>
      </c>
      <c r="N194">
        <f>COUNTIF('IEP Tracker'!B:B,A194)</f>
        <v>0</v>
      </c>
    </row>
    <row r="195" spans="12:14" ht="14.25" x14ac:dyDescent="0.45">
      <c r="L195" t="str">
        <f>IF(A195="","",COUNTIF('IEP Tracker'!B:B,A195))</f>
        <v/>
      </c>
      <c r="M195" t="str">
        <f>IF(A195="","",COUNTIF('504 Plan Tracker'!B:B,A195))</f>
        <v/>
      </c>
      <c r="N195">
        <f>COUNTIF('IEP Tracker'!B:B,A195)</f>
        <v>0</v>
      </c>
    </row>
    <row r="196" spans="12:14" ht="14.25" x14ac:dyDescent="0.45">
      <c r="L196" t="str">
        <f>IF(A196="","",COUNTIF('IEP Tracker'!B:B,A196))</f>
        <v/>
      </c>
      <c r="M196" t="str">
        <f>IF(A196="","",COUNTIF('504 Plan Tracker'!B:B,A196))</f>
        <v/>
      </c>
      <c r="N196">
        <f>COUNTIF('IEP Tracker'!B:B,A196)</f>
        <v>0</v>
      </c>
    </row>
    <row r="197" spans="12:14" ht="14.25" x14ac:dyDescent="0.45">
      <c r="L197" t="str">
        <f>IF(A197="","",COUNTIF('IEP Tracker'!B:B,A197))</f>
        <v/>
      </c>
      <c r="M197" t="str">
        <f>IF(A197="","",COUNTIF('504 Plan Tracker'!B:B,A197))</f>
        <v/>
      </c>
      <c r="N197">
        <f>COUNTIF('IEP Tracker'!B:B,A197)</f>
        <v>0</v>
      </c>
    </row>
    <row r="198" spans="12:14" ht="14.25" x14ac:dyDescent="0.45">
      <c r="L198" t="str">
        <f>IF(A198="","",COUNTIF('IEP Tracker'!B:B,A198))</f>
        <v/>
      </c>
      <c r="M198" t="str">
        <f>IF(A198="","",COUNTIF('504 Plan Tracker'!B:B,A198))</f>
        <v/>
      </c>
      <c r="N198">
        <f>COUNTIF('IEP Tracker'!B:B,A198)</f>
        <v>0</v>
      </c>
    </row>
    <row r="199" spans="12:14" ht="14.25" x14ac:dyDescent="0.45">
      <c r="L199" t="str">
        <f>IF(A199="","",COUNTIF('IEP Tracker'!B:B,A199))</f>
        <v/>
      </c>
      <c r="M199" t="str">
        <f>IF(A199="","",COUNTIF('504 Plan Tracker'!B:B,A199))</f>
        <v/>
      </c>
      <c r="N199">
        <f>COUNTIF('IEP Tracker'!B:B,A199)</f>
        <v>0</v>
      </c>
    </row>
    <row r="200" spans="12:14" ht="14.25" x14ac:dyDescent="0.45">
      <c r="L200" t="str">
        <f>IF(A200="","",COUNTIF('IEP Tracker'!B:B,A200))</f>
        <v/>
      </c>
      <c r="M200" t="str">
        <f>IF(A200="","",COUNTIF('504 Plan Tracker'!B:B,A200))</f>
        <v/>
      </c>
      <c r="N200">
        <f>COUNTIF('IEP Tracker'!B:B,A200)</f>
        <v>0</v>
      </c>
    </row>
    <row r="201" spans="12:14" ht="14.25" x14ac:dyDescent="0.45">
      <c r="L201" t="str">
        <f>IF(A201="","",COUNTIF('IEP Tracker'!B:B,A201))</f>
        <v/>
      </c>
      <c r="M201" t="str">
        <f>IF(A201="","",COUNTIF('504 Plan Tracker'!B:B,A201))</f>
        <v/>
      </c>
      <c r="N201">
        <f>COUNTIF('IEP Tracker'!B:B,A201)</f>
        <v>0</v>
      </c>
    </row>
  </sheetData>
  <mergeCells count="1">
    <mergeCell ref="A1:N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Invalid entry" error="Please select from the dropdown list." xr:uid="{00000000-0002-0000-0100-000000000000}">
          <x14:formula1>
            <xm:f>Lists!$A$2:$A$15</xm:f>
          </x14:formula1>
          <xm:sqref>D3:D201</xm:sqref>
        </x14:dataValidation>
        <x14:dataValidation type="list" allowBlank="1" showErrorMessage="1" errorTitle="Invalid entry" error="Please select from the dropdown list." xr:uid="{00000000-0002-0000-0100-000002000000}">
          <x14:formula1>
            <xm:f>Lists!$B$2:$B$7</xm:f>
          </x14:formula1>
          <xm:sqref>F3:F201</xm:sqref>
        </x14:dataValidation>
        <x14:dataValidation type="list" allowBlank="1" showErrorMessage="1" errorTitle="Invalid entry" error="Please select from the dropdown list." xr:uid="{00000000-0002-0000-0100-000004000000}">
          <x14:formula1>
            <xm:f>Lists!$C$2:$C$14</xm:f>
          </x14:formula1>
          <xm:sqref>G3:G201</xm:sqref>
        </x14:dataValidation>
        <x14:dataValidation type="list" allowBlank="1" showErrorMessage="1" errorTitle="Invalid entry" error="Please select from the dropdown list." xr:uid="{00000000-0002-0000-0100-000006000000}">
          <x14:formula1>
            <xm:f>Lists!$I$2:$I$3</xm:f>
          </x14:formula1>
          <xm:sqref>H3:I201</xm:sqref>
        </x14:dataValidation>
        <x14:dataValidation type="list" allowBlank="1" showErrorMessage="1" errorTitle="Invalid entry" error="Please select from the dropdown list." xr:uid="{00000000-0002-0000-0100-000008000000}">
          <x14:formula1>
            <xm:f>Lists!$F$2:$F$4</xm:f>
          </x14:formula1>
          <xm:sqref>J3:J201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1"/>
  <sheetViews>
    <sheetView zoomScaleNormal="100" workbookViewId="0"/>
  </sheetViews>
  <sheetFormatPr defaultRowHeight="15" customHeight="1" x14ac:dyDescent="0.45"/>
  <cols>
    <col min="1" max="1" width="13.33203125" customWidth="1"/>
    <col min="2" max="2" width="15" customWidth="1"/>
    <col min="3" max="4" width="18.33203125" customWidth="1"/>
    <col min="5" max="5" width="13.33203125" customWidth="1"/>
    <col min="6" max="6" width="21.6640625" customWidth="1"/>
    <col min="7" max="7" width="20" customWidth="1"/>
    <col min="8" max="8" width="25" customWidth="1"/>
    <col min="9" max="10" width="20" customWidth="1"/>
    <col min="11" max="12" width="16.6640625" customWidth="1"/>
    <col min="13" max="15" width="18.33203125" customWidth="1"/>
    <col min="16" max="17" width="21.6640625" customWidth="1"/>
    <col min="18" max="18" width="33.33203125" customWidth="1"/>
  </cols>
  <sheetData>
    <row r="1" spans="1:18" ht="14.25" x14ac:dyDescent="0.45">
      <c r="A1" s="4" t="s">
        <v>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4.25" x14ac:dyDescent="0.45">
      <c r="A2" s="4" t="s">
        <v>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4.25" x14ac:dyDescent="0.45">
      <c r="A3" t="s">
        <v>88</v>
      </c>
      <c r="B3" t="s">
        <v>32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45</v>
      </c>
    </row>
    <row r="4" spans="1:18" ht="15" customHeight="1" x14ac:dyDescent="0.5">
      <c r="A4" t="s">
        <v>104</v>
      </c>
      <c r="B4" t="s">
        <v>46</v>
      </c>
      <c r="C4" t="str">
        <f>IF(B4="","",IFERROR(VLOOKUP(B4,'SPED Student Roster'!$A:$B,2,FALSE),""))</f>
        <v>Alvarez</v>
      </c>
      <c r="D4" t="str">
        <f>IF(B4="","",IFERROR(VLOOKUP(B4,'SPED Student Roster'!$A:$C,3,FALSE),""))</f>
        <v>Elena</v>
      </c>
      <c r="E4" s="1" t="str">
        <f>IF(B4="","",IFERROR(VLOOKUP(B4,'SPED Student Roster'!$A:$D,4,FALSE),""))</f>
        <v>11th Grade</v>
      </c>
      <c r="F4" s="1" t="str">
        <f>IF(B4="","",IFERROR(VLOOKUP(B4,'SPED Student Roster'!$A:$E,5,FALSE),""))</f>
        <v>Lincoln High</v>
      </c>
      <c r="G4" t="s">
        <v>105</v>
      </c>
      <c r="H4" t="s">
        <v>106</v>
      </c>
      <c r="I4" s="2">
        <v>45732</v>
      </c>
      <c r="J4" s="1">
        <v>46097</v>
      </c>
      <c r="K4" s="1">
        <f t="shared" ref="K4:K35" ca="1" si="0">IF(OR(B4="",J4=""),"",J4-TODAY())</f>
        <v>-120</v>
      </c>
      <c r="L4" t="s">
        <v>53</v>
      </c>
      <c r="N4" t="s">
        <v>54</v>
      </c>
      <c r="O4" s="2">
        <v>46092</v>
      </c>
      <c r="P4" s="2">
        <v>46828</v>
      </c>
      <c r="Q4" t="str">
        <f>IF(B4="","",IFERROR(VLOOKUP(B4,'SPED Student Roster'!$A:$F,6,FALSE),""))</f>
        <v>Eligible — Active IEP</v>
      </c>
      <c r="R4" t="s">
        <v>107</v>
      </c>
    </row>
    <row r="5" spans="1:18" ht="15" customHeight="1" x14ac:dyDescent="0.5">
      <c r="A5" t="s">
        <v>108</v>
      </c>
      <c r="B5" t="s">
        <v>57</v>
      </c>
      <c r="C5" t="str">
        <f>IF(B5="","",IFERROR(VLOOKUP(B5,'SPED Student Roster'!$A:$B,2,FALSE),""))</f>
        <v>Brown</v>
      </c>
      <c r="D5" t="str">
        <f>IF(B5="","",IFERROR(VLOOKUP(B5,'SPED Student Roster'!$A:$C,3,FALSE),""))</f>
        <v>Jaylen</v>
      </c>
      <c r="E5" s="1" t="str">
        <f>IF(B5="","",IFERROR(VLOOKUP(B5,'SPED Student Roster'!$A:$D,4,FALSE),""))</f>
        <v>8th Grade</v>
      </c>
      <c r="F5" s="1" t="str">
        <f>IF(B5="","",IFERROR(VLOOKUP(B5,'SPED Student Roster'!$A:$E,5,FALSE),""))</f>
        <v>Roosevelt Middle</v>
      </c>
      <c r="G5" t="s">
        <v>109</v>
      </c>
      <c r="H5" t="s">
        <v>110</v>
      </c>
      <c r="I5" s="2">
        <v>45921</v>
      </c>
      <c r="J5" s="2">
        <v>46286</v>
      </c>
      <c r="K5" s="1">
        <f t="shared" ca="1" si="0"/>
        <v>69</v>
      </c>
      <c r="L5" t="s">
        <v>53</v>
      </c>
      <c r="N5" t="s">
        <v>53</v>
      </c>
      <c r="P5" s="2">
        <v>47017</v>
      </c>
      <c r="Q5" t="str">
        <f>IF(B5="","",IFERROR(VLOOKUP(B5,'SPED Student Roster'!$A:$F,6,FALSE),""))</f>
        <v>Eligible — Active IEP</v>
      </c>
      <c r="R5" t="s">
        <v>111</v>
      </c>
    </row>
    <row r="6" spans="1:18" ht="15" customHeight="1" x14ac:dyDescent="0.5">
      <c r="A6" t="s">
        <v>112</v>
      </c>
      <c r="B6" t="s">
        <v>74</v>
      </c>
      <c r="C6" t="str">
        <f>IF(B6="","",IFERROR(VLOOKUP(B6,'SPED Student Roster'!$A:$B,2,FALSE),""))</f>
        <v>Washington</v>
      </c>
      <c r="D6" t="str">
        <f>IF(B6="","",IFERROR(VLOOKUP(B6,'SPED Student Roster'!$A:$C,3,FALSE),""))</f>
        <v>Darius</v>
      </c>
      <c r="E6" s="1" t="str">
        <f>IF(B6="","",IFERROR(VLOOKUP(B6,'SPED Student Roster'!$A:$D,4,FALSE),""))</f>
        <v>12th Grade</v>
      </c>
      <c r="F6" s="1" t="str">
        <f>IF(B6="","",IFERROR(VLOOKUP(B6,'SPED Student Roster'!$A:$E,5,FALSE),""))</f>
        <v>Lincoln High</v>
      </c>
      <c r="G6" t="s">
        <v>109</v>
      </c>
      <c r="H6" t="s">
        <v>113</v>
      </c>
      <c r="I6" s="2">
        <v>45779</v>
      </c>
      <c r="J6" s="2">
        <v>46144</v>
      </c>
      <c r="K6" s="1">
        <f t="shared" ca="1" si="0"/>
        <v>-73</v>
      </c>
      <c r="L6" t="s">
        <v>53</v>
      </c>
      <c r="N6" t="s">
        <v>53</v>
      </c>
      <c r="P6" s="2">
        <v>46875</v>
      </c>
      <c r="Q6" t="str">
        <f>IF(B6="","",IFERROR(VLOOKUP(B6,'SPED Student Roster'!$A:$F,6,FALSE),""))</f>
        <v>Eligible — Active IEP</v>
      </c>
      <c r="R6" t="s">
        <v>114</v>
      </c>
    </row>
    <row r="7" spans="1:18" ht="15" customHeight="1" x14ac:dyDescent="0.5">
      <c r="A7" t="s">
        <v>115</v>
      </c>
      <c r="B7" t="s">
        <v>80</v>
      </c>
      <c r="C7" t="str">
        <f>IF(B7="","",IFERROR(VLOOKUP(B7,'SPED Student Roster'!$A:$B,2,FALSE),""))</f>
        <v>Nguyen</v>
      </c>
      <c r="D7" t="str">
        <f>IF(B7="","",IFERROR(VLOOKUP(B7,'SPED Student Roster'!$A:$C,3,FALSE),""))</f>
        <v>Mai</v>
      </c>
      <c r="E7" s="1" t="str">
        <f>IF(B7="","",IFERROR(VLOOKUP(B7,'SPED Student Roster'!$A:$D,4,FALSE),""))</f>
        <v>9th Grade</v>
      </c>
      <c r="F7" s="1" t="str">
        <f>IF(B7="","",IFERROR(VLOOKUP(B7,'SPED Student Roster'!$A:$E,5,FALSE),""))</f>
        <v>Lincoln High</v>
      </c>
      <c r="G7" t="s">
        <v>105</v>
      </c>
      <c r="H7" t="s">
        <v>106</v>
      </c>
      <c r="I7" s="2">
        <v>45718</v>
      </c>
      <c r="J7" s="1">
        <v>46083</v>
      </c>
      <c r="K7" s="1">
        <f t="shared" ca="1" si="0"/>
        <v>-134</v>
      </c>
      <c r="L7" t="s">
        <v>53</v>
      </c>
      <c r="N7" t="s">
        <v>54</v>
      </c>
      <c r="O7" s="2">
        <v>46082</v>
      </c>
      <c r="P7" s="2">
        <v>46814</v>
      </c>
      <c r="Q7" t="str">
        <f>IF(B7="","",IFERROR(VLOOKUP(B7,'SPED Student Roster'!$A:$F,6,FALSE),""))</f>
        <v>Eligible — Active IEP</v>
      </c>
      <c r="R7" t="s">
        <v>116</v>
      </c>
    </row>
    <row r="8" spans="1:18" x14ac:dyDescent="0.45">
      <c r="C8" t="str">
        <f>IF(B8="","",IFERROR(VLOOKUP(B8,'SPED Student Roster'!$A:$B,2,FALSE),""))</f>
        <v/>
      </c>
      <c r="D8" t="str">
        <f>IF(B8="","",IFERROR(VLOOKUP(B8,'SPED Student Roster'!$A:$C,3,FALSE),""))</f>
        <v/>
      </c>
      <c r="E8" t="str">
        <f>IF(B8="","",IFERROR(VLOOKUP(B8,'SPED Student Roster'!$A:$D,4,FALSE),""))</f>
        <v/>
      </c>
      <c r="F8" t="str">
        <f>IF(B8="","",IFERROR(VLOOKUP(B8,'SPED Student Roster'!$A:$E,5,FALSE),""))</f>
        <v/>
      </c>
      <c r="K8" t="str">
        <f t="shared" ca="1" si="0"/>
        <v/>
      </c>
      <c r="Q8" t="str">
        <f>IF(B8="","",IFERROR(VLOOKUP(B8,'SPED Student Roster'!$A:$F,6,FALSE),""))</f>
        <v/>
      </c>
    </row>
    <row r="9" spans="1:18" x14ac:dyDescent="0.45">
      <c r="C9" t="str">
        <f>IF(B9="","",IFERROR(VLOOKUP(B9,'SPED Student Roster'!$A:$B,2,FALSE),""))</f>
        <v/>
      </c>
      <c r="D9" t="str">
        <f>IF(B9="","",IFERROR(VLOOKUP(B9,'SPED Student Roster'!$A:$C,3,FALSE),""))</f>
        <v/>
      </c>
      <c r="E9" t="str">
        <f>IF(B9="","",IFERROR(VLOOKUP(B9,'SPED Student Roster'!$A:$D,4,FALSE),""))</f>
        <v/>
      </c>
      <c r="F9" t="str">
        <f>IF(B9="","",IFERROR(VLOOKUP(B9,'SPED Student Roster'!$A:$E,5,FALSE),""))</f>
        <v/>
      </c>
      <c r="K9" t="str">
        <f t="shared" ca="1" si="0"/>
        <v/>
      </c>
      <c r="Q9" t="str">
        <f>IF(B9="","",IFERROR(VLOOKUP(B9,'SPED Student Roster'!$A:$F,6,FALSE),""))</f>
        <v/>
      </c>
    </row>
    <row r="10" spans="1:18" x14ac:dyDescent="0.45">
      <c r="C10" t="str">
        <f>IF(B10="","",IFERROR(VLOOKUP(B10,'SPED Student Roster'!$A:$B,2,FALSE),""))</f>
        <v/>
      </c>
      <c r="D10" t="str">
        <f>IF(B10="","",IFERROR(VLOOKUP(B10,'SPED Student Roster'!$A:$C,3,FALSE),""))</f>
        <v/>
      </c>
      <c r="E10" t="str">
        <f>IF(B10="","",IFERROR(VLOOKUP(B10,'SPED Student Roster'!$A:$D,4,FALSE),""))</f>
        <v/>
      </c>
      <c r="F10" t="str">
        <f>IF(B10="","",IFERROR(VLOOKUP(B10,'SPED Student Roster'!$A:$E,5,FALSE),""))</f>
        <v/>
      </c>
      <c r="K10" t="str">
        <f t="shared" ca="1" si="0"/>
        <v/>
      </c>
      <c r="Q10" t="str">
        <f>IF(B10="","",IFERROR(VLOOKUP(B10,'SPED Student Roster'!$A:$F,6,FALSE),""))</f>
        <v/>
      </c>
    </row>
    <row r="11" spans="1:18" x14ac:dyDescent="0.45">
      <c r="C11" t="str">
        <f>IF(B11="","",IFERROR(VLOOKUP(B11,'SPED Student Roster'!$A:$B,2,FALSE),""))</f>
        <v/>
      </c>
      <c r="D11" t="str">
        <f>IF(B11="","",IFERROR(VLOOKUP(B11,'SPED Student Roster'!$A:$C,3,FALSE),""))</f>
        <v/>
      </c>
      <c r="E11" t="str">
        <f>IF(B11="","",IFERROR(VLOOKUP(B11,'SPED Student Roster'!$A:$D,4,FALSE),""))</f>
        <v/>
      </c>
      <c r="F11" t="str">
        <f>IF(B11="","",IFERROR(VLOOKUP(B11,'SPED Student Roster'!$A:$E,5,FALSE),""))</f>
        <v/>
      </c>
      <c r="K11" t="str">
        <f t="shared" ca="1" si="0"/>
        <v/>
      </c>
      <c r="Q11" t="str">
        <f>IF(B11="","",IFERROR(VLOOKUP(B11,'SPED Student Roster'!$A:$F,6,FALSE),""))</f>
        <v/>
      </c>
    </row>
    <row r="12" spans="1:18" x14ac:dyDescent="0.45">
      <c r="C12" t="str">
        <f>IF(B12="","",IFERROR(VLOOKUP(B12,'SPED Student Roster'!$A:$B,2,FALSE),""))</f>
        <v/>
      </c>
      <c r="D12" t="str">
        <f>IF(B12="","",IFERROR(VLOOKUP(B12,'SPED Student Roster'!$A:$C,3,FALSE),""))</f>
        <v/>
      </c>
      <c r="E12" t="str">
        <f>IF(B12="","",IFERROR(VLOOKUP(B12,'SPED Student Roster'!$A:$D,4,FALSE),""))</f>
        <v/>
      </c>
      <c r="F12" t="str">
        <f>IF(B12="","",IFERROR(VLOOKUP(B12,'SPED Student Roster'!$A:$E,5,FALSE),""))</f>
        <v/>
      </c>
      <c r="K12" t="str">
        <f t="shared" ca="1" si="0"/>
        <v/>
      </c>
      <c r="Q12" t="str">
        <f>IF(B12="","",IFERROR(VLOOKUP(B12,'SPED Student Roster'!$A:$F,6,FALSE),""))</f>
        <v/>
      </c>
    </row>
    <row r="13" spans="1:18" x14ac:dyDescent="0.45">
      <c r="C13" t="str">
        <f>IF(B13="","",IFERROR(VLOOKUP(B13,'SPED Student Roster'!$A:$B,2,FALSE),""))</f>
        <v/>
      </c>
      <c r="D13" t="str">
        <f>IF(B13="","",IFERROR(VLOOKUP(B13,'SPED Student Roster'!$A:$C,3,FALSE),""))</f>
        <v/>
      </c>
      <c r="E13" t="str">
        <f>IF(B13="","",IFERROR(VLOOKUP(B13,'SPED Student Roster'!$A:$D,4,FALSE),""))</f>
        <v/>
      </c>
      <c r="F13" t="str">
        <f>IF(B13="","",IFERROR(VLOOKUP(B13,'SPED Student Roster'!$A:$E,5,FALSE),""))</f>
        <v/>
      </c>
      <c r="K13" t="str">
        <f t="shared" ca="1" si="0"/>
        <v/>
      </c>
      <c r="Q13" t="str">
        <f>IF(B13="","",IFERROR(VLOOKUP(B13,'SPED Student Roster'!$A:$F,6,FALSE),""))</f>
        <v/>
      </c>
    </row>
    <row r="14" spans="1:18" x14ac:dyDescent="0.45">
      <c r="C14" t="str">
        <f>IF(B14="","",IFERROR(VLOOKUP(B14,'SPED Student Roster'!$A:$B,2,FALSE),""))</f>
        <v/>
      </c>
      <c r="D14" t="str">
        <f>IF(B14="","",IFERROR(VLOOKUP(B14,'SPED Student Roster'!$A:$C,3,FALSE),""))</f>
        <v/>
      </c>
      <c r="E14" t="str">
        <f>IF(B14="","",IFERROR(VLOOKUP(B14,'SPED Student Roster'!$A:$D,4,FALSE),""))</f>
        <v/>
      </c>
      <c r="F14" t="str">
        <f>IF(B14="","",IFERROR(VLOOKUP(B14,'SPED Student Roster'!$A:$E,5,FALSE),""))</f>
        <v/>
      </c>
      <c r="K14" t="str">
        <f t="shared" ca="1" si="0"/>
        <v/>
      </c>
      <c r="Q14" t="str">
        <f>IF(B14="","",IFERROR(VLOOKUP(B14,'SPED Student Roster'!$A:$F,6,FALSE),""))</f>
        <v/>
      </c>
    </row>
    <row r="15" spans="1:18" x14ac:dyDescent="0.45">
      <c r="C15" t="str">
        <f>IF(B15="","",IFERROR(VLOOKUP(B15,'SPED Student Roster'!$A:$B,2,FALSE),""))</f>
        <v/>
      </c>
      <c r="D15" t="str">
        <f>IF(B15="","",IFERROR(VLOOKUP(B15,'SPED Student Roster'!$A:$C,3,FALSE),""))</f>
        <v/>
      </c>
      <c r="E15" t="str">
        <f>IF(B15="","",IFERROR(VLOOKUP(B15,'SPED Student Roster'!$A:$D,4,FALSE),""))</f>
        <v/>
      </c>
      <c r="F15" t="str">
        <f>IF(B15="","",IFERROR(VLOOKUP(B15,'SPED Student Roster'!$A:$E,5,FALSE),""))</f>
        <v/>
      </c>
      <c r="K15" t="str">
        <f t="shared" ca="1" si="0"/>
        <v/>
      </c>
      <c r="Q15" t="str">
        <f>IF(B15="","",IFERROR(VLOOKUP(B15,'SPED Student Roster'!$A:$F,6,FALSE),""))</f>
        <v/>
      </c>
    </row>
    <row r="16" spans="1:18" x14ac:dyDescent="0.45">
      <c r="C16" t="str">
        <f>IF(B16="","",IFERROR(VLOOKUP(B16,'SPED Student Roster'!$A:$B,2,FALSE),""))</f>
        <v/>
      </c>
      <c r="D16" t="str">
        <f>IF(B16="","",IFERROR(VLOOKUP(B16,'SPED Student Roster'!$A:$C,3,FALSE),""))</f>
        <v/>
      </c>
      <c r="E16" t="str">
        <f>IF(B16="","",IFERROR(VLOOKUP(B16,'SPED Student Roster'!$A:$D,4,FALSE),""))</f>
        <v/>
      </c>
      <c r="F16" t="str">
        <f>IF(B16="","",IFERROR(VLOOKUP(B16,'SPED Student Roster'!$A:$E,5,FALSE),""))</f>
        <v/>
      </c>
      <c r="K16" t="str">
        <f t="shared" ca="1" si="0"/>
        <v/>
      </c>
      <c r="Q16" t="str">
        <f>IF(B16="","",IFERROR(VLOOKUP(B16,'SPED Student Roster'!$A:$F,6,FALSE),""))</f>
        <v/>
      </c>
    </row>
    <row r="17" spans="3:17" x14ac:dyDescent="0.45">
      <c r="C17" t="str">
        <f>IF(B17="","",IFERROR(VLOOKUP(B17,'SPED Student Roster'!$A:$B,2,FALSE),""))</f>
        <v/>
      </c>
      <c r="D17" t="str">
        <f>IF(B17="","",IFERROR(VLOOKUP(B17,'SPED Student Roster'!$A:$C,3,FALSE),""))</f>
        <v/>
      </c>
      <c r="E17" t="str">
        <f>IF(B17="","",IFERROR(VLOOKUP(B17,'SPED Student Roster'!$A:$D,4,FALSE),""))</f>
        <v/>
      </c>
      <c r="F17" t="str">
        <f>IF(B17="","",IFERROR(VLOOKUP(B17,'SPED Student Roster'!$A:$E,5,FALSE),""))</f>
        <v/>
      </c>
      <c r="K17" t="str">
        <f t="shared" ca="1" si="0"/>
        <v/>
      </c>
      <c r="Q17" t="str">
        <f>IF(B17="","",IFERROR(VLOOKUP(B17,'SPED Student Roster'!$A:$F,6,FALSE),""))</f>
        <v/>
      </c>
    </row>
    <row r="18" spans="3:17" x14ac:dyDescent="0.45">
      <c r="C18" t="str">
        <f>IF(B18="","",IFERROR(VLOOKUP(B18,'SPED Student Roster'!$A:$B,2,FALSE),""))</f>
        <v/>
      </c>
      <c r="D18" t="str">
        <f>IF(B18="","",IFERROR(VLOOKUP(B18,'SPED Student Roster'!$A:$C,3,FALSE),""))</f>
        <v/>
      </c>
      <c r="E18" t="str">
        <f>IF(B18="","",IFERROR(VLOOKUP(B18,'SPED Student Roster'!$A:$D,4,FALSE),""))</f>
        <v/>
      </c>
      <c r="F18" t="str">
        <f>IF(B18="","",IFERROR(VLOOKUP(B18,'SPED Student Roster'!$A:$E,5,FALSE),""))</f>
        <v/>
      </c>
      <c r="K18" t="str">
        <f t="shared" ca="1" si="0"/>
        <v/>
      </c>
      <c r="Q18" t="str">
        <f>IF(B18="","",IFERROR(VLOOKUP(B18,'SPED Student Roster'!$A:$F,6,FALSE),""))</f>
        <v/>
      </c>
    </row>
    <row r="19" spans="3:17" x14ac:dyDescent="0.45">
      <c r="C19" t="str">
        <f>IF(B19="","",IFERROR(VLOOKUP(B19,'SPED Student Roster'!$A:$B,2,FALSE),""))</f>
        <v/>
      </c>
      <c r="D19" t="str">
        <f>IF(B19="","",IFERROR(VLOOKUP(B19,'SPED Student Roster'!$A:$C,3,FALSE),""))</f>
        <v/>
      </c>
      <c r="E19" t="str">
        <f>IF(B19="","",IFERROR(VLOOKUP(B19,'SPED Student Roster'!$A:$D,4,FALSE),""))</f>
        <v/>
      </c>
      <c r="F19" t="str">
        <f>IF(B19="","",IFERROR(VLOOKUP(B19,'SPED Student Roster'!$A:$E,5,FALSE),""))</f>
        <v/>
      </c>
      <c r="K19" t="str">
        <f t="shared" ca="1" si="0"/>
        <v/>
      </c>
      <c r="Q19" t="str">
        <f>IF(B19="","",IFERROR(VLOOKUP(B19,'SPED Student Roster'!$A:$F,6,FALSE),""))</f>
        <v/>
      </c>
    </row>
    <row r="20" spans="3:17" x14ac:dyDescent="0.45">
      <c r="C20" t="str">
        <f>IF(B20="","",IFERROR(VLOOKUP(B20,'SPED Student Roster'!$A:$B,2,FALSE),""))</f>
        <v/>
      </c>
      <c r="D20" t="str">
        <f>IF(B20="","",IFERROR(VLOOKUP(B20,'SPED Student Roster'!$A:$C,3,FALSE),""))</f>
        <v/>
      </c>
      <c r="E20" t="str">
        <f>IF(B20="","",IFERROR(VLOOKUP(B20,'SPED Student Roster'!$A:$D,4,FALSE),""))</f>
        <v/>
      </c>
      <c r="F20" t="str">
        <f>IF(B20="","",IFERROR(VLOOKUP(B20,'SPED Student Roster'!$A:$E,5,FALSE),""))</f>
        <v/>
      </c>
      <c r="K20" t="str">
        <f t="shared" ca="1" si="0"/>
        <v/>
      </c>
      <c r="Q20" t="str">
        <f>IF(B20="","",IFERROR(VLOOKUP(B20,'SPED Student Roster'!$A:$F,6,FALSE),""))</f>
        <v/>
      </c>
    </row>
    <row r="21" spans="3:17" x14ac:dyDescent="0.45">
      <c r="C21" t="str">
        <f>IF(B21="","",IFERROR(VLOOKUP(B21,'SPED Student Roster'!$A:$B,2,FALSE),""))</f>
        <v/>
      </c>
      <c r="D21" t="str">
        <f>IF(B21="","",IFERROR(VLOOKUP(B21,'SPED Student Roster'!$A:$C,3,FALSE),""))</f>
        <v/>
      </c>
      <c r="E21" t="str">
        <f>IF(B21="","",IFERROR(VLOOKUP(B21,'SPED Student Roster'!$A:$D,4,FALSE),""))</f>
        <v/>
      </c>
      <c r="F21" t="str">
        <f>IF(B21="","",IFERROR(VLOOKUP(B21,'SPED Student Roster'!$A:$E,5,FALSE),""))</f>
        <v/>
      </c>
      <c r="K21" t="str">
        <f t="shared" ca="1" si="0"/>
        <v/>
      </c>
      <c r="Q21" t="str">
        <f>IF(B21="","",IFERROR(VLOOKUP(B21,'SPED Student Roster'!$A:$F,6,FALSE),""))</f>
        <v/>
      </c>
    </row>
    <row r="22" spans="3:17" x14ac:dyDescent="0.45">
      <c r="C22" t="str">
        <f>IF(B22="","",IFERROR(VLOOKUP(B22,'SPED Student Roster'!$A:$B,2,FALSE),""))</f>
        <v/>
      </c>
      <c r="D22" t="str">
        <f>IF(B22="","",IFERROR(VLOOKUP(B22,'SPED Student Roster'!$A:$C,3,FALSE),""))</f>
        <v/>
      </c>
      <c r="E22" t="str">
        <f>IF(B22="","",IFERROR(VLOOKUP(B22,'SPED Student Roster'!$A:$D,4,FALSE),""))</f>
        <v/>
      </c>
      <c r="F22" t="str">
        <f>IF(B22="","",IFERROR(VLOOKUP(B22,'SPED Student Roster'!$A:$E,5,FALSE),""))</f>
        <v/>
      </c>
      <c r="K22" t="str">
        <f t="shared" ca="1" si="0"/>
        <v/>
      </c>
      <c r="Q22" t="str">
        <f>IF(B22="","",IFERROR(VLOOKUP(B22,'SPED Student Roster'!$A:$F,6,FALSE),""))</f>
        <v/>
      </c>
    </row>
    <row r="23" spans="3:17" x14ac:dyDescent="0.45">
      <c r="C23" t="str">
        <f>IF(B23="","",IFERROR(VLOOKUP(B23,'SPED Student Roster'!$A:$B,2,FALSE),""))</f>
        <v/>
      </c>
      <c r="D23" t="str">
        <f>IF(B23="","",IFERROR(VLOOKUP(B23,'SPED Student Roster'!$A:$C,3,FALSE),""))</f>
        <v/>
      </c>
      <c r="E23" t="str">
        <f>IF(B23="","",IFERROR(VLOOKUP(B23,'SPED Student Roster'!$A:$D,4,FALSE),""))</f>
        <v/>
      </c>
      <c r="F23" t="str">
        <f>IF(B23="","",IFERROR(VLOOKUP(B23,'SPED Student Roster'!$A:$E,5,FALSE),""))</f>
        <v/>
      </c>
      <c r="K23" t="str">
        <f t="shared" ca="1" si="0"/>
        <v/>
      </c>
      <c r="Q23" t="str">
        <f>IF(B23="","",IFERROR(VLOOKUP(B23,'SPED Student Roster'!$A:$F,6,FALSE),""))</f>
        <v/>
      </c>
    </row>
    <row r="24" spans="3:17" x14ac:dyDescent="0.45">
      <c r="C24" t="str">
        <f>IF(B24="","",IFERROR(VLOOKUP(B24,'SPED Student Roster'!$A:$B,2,FALSE),""))</f>
        <v/>
      </c>
      <c r="D24" t="str">
        <f>IF(B24="","",IFERROR(VLOOKUP(B24,'SPED Student Roster'!$A:$C,3,FALSE),""))</f>
        <v/>
      </c>
      <c r="E24" t="str">
        <f>IF(B24="","",IFERROR(VLOOKUP(B24,'SPED Student Roster'!$A:$D,4,FALSE),""))</f>
        <v/>
      </c>
      <c r="F24" t="str">
        <f>IF(B24="","",IFERROR(VLOOKUP(B24,'SPED Student Roster'!$A:$E,5,FALSE),""))</f>
        <v/>
      </c>
      <c r="K24" t="str">
        <f t="shared" ca="1" si="0"/>
        <v/>
      </c>
      <c r="Q24" t="str">
        <f>IF(B24="","",IFERROR(VLOOKUP(B24,'SPED Student Roster'!$A:$F,6,FALSE),""))</f>
        <v/>
      </c>
    </row>
    <row r="25" spans="3:17" x14ac:dyDescent="0.45">
      <c r="C25" t="str">
        <f>IF(B25="","",IFERROR(VLOOKUP(B25,'SPED Student Roster'!$A:$B,2,FALSE),""))</f>
        <v/>
      </c>
      <c r="D25" t="str">
        <f>IF(B25="","",IFERROR(VLOOKUP(B25,'SPED Student Roster'!$A:$C,3,FALSE),""))</f>
        <v/>
      </c>
      <c r="E25" t="str">
        <f>IF(B25="","",IFERROR(VLOOKUP(B25,'SPED Student Roster'!$A:$D,4,FALSE),""))</f>
        <v/>
      </c>
      <c r="F25" t="str">
        <f>IF(B25="","",IFERROR(VLOOKUP(B25,'SPED Student Roster'!$A:$E,5,FALSE),""))</f>
        <v/>
      </c>
      <c r="K25" t="str">
        <f t="shared" ca="1" si="0"/>
        <v/>
      </c>
      <c r="Q25" t="str">
        <f>IF(B25="","",IFERROR(VLOOKUP(B25,'SPED Student Roster'!$A:$F,6,FALSE),""))</f>
        <v/>
      </c>
    </row>
    <row r="26" spans="3:17" x14ac:dyDescent="0.45">
      <c r="C26" t="str">
        <f>IF(B26="","",IFERROR(VLOOKUP(B26,'SPED Student Roster'!$A:$B,2,FALSE),""))</f>
        <v/>
      </c>
      <c r="D26" t="str">
        <f>IF(B26="","",IFERROR(VLOOKUP(B26,'SPED Student Roster'!$A:$C,3,FALSE),""))</f>
        <v/>
      </c>
      <c r="E26" t="str">
        <f>IF(B26="","",IFERROR(VLOOKUP(B26,'SPED Student Roster'!$A:$D,4,FALSE),""))</f>
        <v/>
      </c>
      <c r="F26" t="str">
        <f>IF(B26="","",IFERROR(VLOOKUP(B26,'SPED Student Roster'!$A:$E,5,FALSE),""))</f>
        <v/>
      </c>
      <c r="K26" t="str">
        <f t="shared" ca="1" si="0"/>
        <v/>
      </c>
      <c r="Q26" t="str">
        <f>IF(B26="","",IFERROR(VLOOKUP(B26,'SPED Student Roster'!$A:$F,6,FALSE),""))</f>
        <v/>
      </c>
    </row>
    <row r="27" spans="3:17" x14ac:dyDescent="0.45">
      <c r="C27" t="str">
        <f>IF(B27="","",IFERROR(VLOOKUP(B27,'SPED Student Roster'!$A:$B,2,FALSE),""))</f>
        <v/>
      </c>
      <c r="D27" t="str">
        <f>IF(B27="","",IFERROR(VLOOKUP(B27,'SPED Student Roster'!$A:$C,3,FALSE),""))</f>
        <v/>
      </c>
      <c r="E27" t="str">
        <f>IF(B27="","",IFERROR(VLOOKUP(B27,'SPED Student Roster'!$A:$D,4,FALSE),""))</f>
        <v/>
      </c>
      <c r="F27" t="str">
        <f>IF(B27="","",IFERROR(VLOOKUP(B27,'SPED Student Roster'!$A:$E,5,FALSE),""))</f>
        <v/>
      </c>
      <c r="K27" t="str">
        <f t="shared" ca="1" si="0"/>
        <v/>
      </c>
      <c r="Q27" t="str">
        <f>IF(B27="","",IFERROR(VLOOKUP(B27,'SPED Student Roster'!$A:$F,6,FALSE),""))</f>
        <v/>
      </c>
    </row>
    <row r="28" spans="3:17" x14ac:dyDescent="0.45">
      <c r="C28" t="str">
        <f>IF(B28="","",IFERROR(VLOOKUP(B28,'SPED Student Roster'!$A:$B,2,FALSE),""))</f>
        <v/>
      </c>
      <c r="D28" t="str">
        <f>IF(B28="","",IFERROR(VLOOKUP(B28,'SPED Student Roster'!$A:$C,3,FALSE),""))</f>
        <v/>
      </c>
      <c r="E28" t="str">
        <f>IF(B28="","",IFERROR(VLOOKUP(B28,'SPED Student Roster'!$A:$D,4,FALSE),""))</f>
        <v/>
      </c>
      <c r="F28" t="str">
        <f>IF(B28="","",IFERROR(VLOOKUP(B28,'SPED Student Roster'!$A:$E,5,FALSE),""))</f>
        <v/>
      </c>
      <c r="K28" t="str">
        <f t="shared" ca="1" si="0"/>
        <v/>
      </c>
      <c r="Q28" t="str">
        <f>IF(B28="","",IFERROR(VLOOKUP(B28,'SPED Student Roster'!$A:$F,6,FALSE),""))</f>
        <v/>
      </c>
    </row>
    <row r="29" spans="3:17" ht="14.25" x14ac:dyDescent="0.45">
      <c r="C29" t="str">
        <f>IF(B29="","",IFERROR(VLOOKUP(B29,'SPED Student Roster'!$A:$B,2,FALSE),""))</f>
        <v/>
      </c>
      <c r="D29" t="str">
        <f>IF(B29="","",IFERROR(VLOOKUP(B29,'SPED Student Roster'!$A:$C,3,FALSE),""))</f>
        <v/>
      </c>
      <c r="E29" t="str">
        <f>IF(B29="","",IFERROR(VLOOKUP(B29,'SPED Student Roster'!$A:$D,4,FALSE),""))</f>
        <v/>
      </c>
      <c r="F29" t="str">
        <f>IF(B29="","",IFERROR(VLOOKUP(B29,'SPED Student Roster'!$A:$E,5,FALSE),""))</f>
        <v/>
      </c>
      <c r="K29" t="str">
        <f t="shared" ca="1" si="0"/>
        <v/>
      </c>
      <c r="Q29" t="str">
        <f>IF(B29="","",IFERROR(VLOOKUP(B29,'SPED Student Roster'!$A:$F,6,FALSE),""))</f>
        <v/>
      </c>
    </row>
    <row r="30" spans="3:17" ht="14.25" x14ac:dyDescent="0.45">
      <c r="C30" t="str">
        <f>IF(B30="","",IFERROR(VLOOKUP(B30,'SPED Student Roster'!$A:$B,2,FALSE),""))</f>
        <v/>
      </c>
      <c r="D30" t="str">
        <f>IF(B30="","",IFERROR(VLOOKUP(B30,'SPED Student Roster'!$A:$C,3,FALSE),""))</f>
        <v/>
      </c>
      <c r="E30" t="str">
        <f>IF(B30="","",IFERROR(VLOOKUP(B30,'SPED Student Roster'!$A:$D,4,FALSE),""))</f>
        <v/>
      </c>
      <c r="F30" t="str">
        <f>IF(B30="","",IFERROR(VLOOKUP(B30,'SPED Student Roster'!$A:$E,5,FALSE),""))</f>
        <v/>
      </c>
      <c r="K30" t="str">
        <f t="shared" ca="1" si="0"/>
        <v/>
      </c>
      <c r="Q30" t="str">
        <f>IF(B30="","",IFERROR(VLOOKUP(B30,'SPED Student Roster'!$A:$F,6,FALSE),""))</f>
        <v/>
      </c>
    </row>
    <row r="31" spans="3:17" ht="14.25" x14ac:dyDescent="0.45">
      <c r="C31" t="str">
        <f>IF(B31="","",IFERROR(VLOOKUP(B31,'SPED Student Roster'!$A:$B,2,FALSE),""))</f>
        <v/>
      </c>
      <c r="D31" t="str">
        <f>IF(B31="","",IFERROR(VLOOKUP(B31,'SPED Student Roster'!$A:$C,3,FALSE),""))</f>
        <v/>
      </c>
      <c r="E31" t="str">
        <f>IF(B31="","",IFERROR(VLOOKUP(B31,'SPED Student Roster'!$A:$D,4,FALSE),""))</f>
        <v/>
      </c>
      <c r="F31" t="str">
        <f>IF(B31="","",IFERROR(VLOOKUP(B31,'SPED Student Roster'!$A:$E,5,FALSE),""))</f>
        <v/>
      </c>
      <c r="K31" t="str">
        <f t="shared" ca="1" si="0"/>
        <v/>
      </c>
      <c r="Q31" t="str">
        <f>IF(B31="","",IFERROR(VLOOKUP(B31,'SPED Student Roster'!$A:$F,6,FALSE),""))</f>
        <v/>
      </c>
    </row>
    <row r="32" spans="3:17" ht="14.25" x14ac:dyDescent="0.45">
      <c r="C32" t="str">
        <f>IF(B32="","",IFERROR(VLOOKUP(B32,'SPED Student Roster'!$A:$B,2,FALSE),""))</f>
        <v/>
      </c>
      <c r="D32" t="str">
        <f>IF(B32="","",IFERROR(VLOOKUP(B32,'SPED Student Roster'!$A:$C,3,FALSE),""))</f>
        <v/>
      </c>
      <c r="E32" t="str">
        <f>IF(B32="","",IFERROR(VLOOKUP(B32,'SPED Student Roster'!$A:$D,4,FALSE),""))</f>
        <v/>
      </c>
      <c r="F32" t="str">
        <f>IF(B32="","",IFERROR(VLOOKUP(B32,'SPED Student Roster'!$A:$E,5,FALSE),""))</f>
        <v/>
      </c>
      <c r="K32" t="str">
        <f t="shared" ca="1" si="0"/>
        <v/>
      </c>
      <c r="Q32" t="str">
        <f>IF(B32="","",IFERROR(VLOOKUP(B32,'SPED Student Roster'!$A:$F,6,FALSE),""))</f>
        <v/>
      </c>
    </row>
    <row r="33" spans="3:17" ht="14.25" x14ac:dyDescent="0.45">
      <c r="C33" t="str">
        <f>IF(B33="","",IFERROR(VLOOKUP(B33,'SPED Student Roster'!$A:$B,2,FALSE),""))</f>
        <v/>
      </c>
      <c r="D33" t="str">
        <f>IF(B33="","",IFERROR(VLOOKUP(B33,'SPED Student Roster'!$A:$C,3,FALSE),""))</f>
        <v/>
      </c>
      <c r="E33" t="str">
        <f>IF(B33="","",IFERROR(VLOOKUP(B33,'SPED Student Roster'!$A:$D,4,FALSE),""))</f>
        <v/>
      </c>
      <c r="F33" t="str">
        <f>IF(B33="","",IFERROR(VLOOKUP(B33,'SPED Student Roster'!$A:$E,5,FALSE),""))</f>
        <v/>
      </c>
      <c r="K33" t="str">
        <f t="shared" ca="1" si="0"/>
        <v/>
      </c>
      <c r="Q33" t="str">
        <f>IF(B33="","",IFERROR(VLOOKUP(B33,'SPED Student Roster'!$A:$F,6,FALSE),""))</f>
        <v/>
      </c>
    </row>
    <row r="34" spans="3:17" ht="14.25" x14ac:dyDescent="0.45">
      <c r="C34" t="str">
        <f>IF(B34="","",IFERROR(VLOOKUP(B34,'SPED Student Roster'!$A:$B,2,FALSE),""))</f>
        <v/>
      </c>
      <c r="D34" t="str">
        <f>IF(B34="","",IFERROR(VLOOKUP(B34,'SPED Student Roster'!$A:$C,3,FALSE),""))</f>
        <v/>
      </c>
      <c r="E34" t="str">
        <f>IF(B34="","",IFERROR(VLOOKUP(B34,'SPED Student Roster'!$A:$D,4,FALSE),""))</f>
        <v/>
      </c>
      <c r="F34" t="str">
        <f>IF(B34="","",IFERROR(VLOOKUP(B34,'SPED Student Roster'!$A:$E,5,FALSE),""))</f>
        <v/>
      </c>
      <c r="K34" t="str">
        <f t="shared" ca="1" si="0"/>
        <v/>
      </c>
      <c r="Q34" t="str">
        <f>IF(B34="","",IFERROR(VLOOKUP(B34,'SPED Student Roster'!$A:$F,6,FALSE),""))</f>
        <v/>
      </c>
    </row>
    <row r="35" spans="3:17" ht="14.25" x14ac:dyDescent="0.45">
      <c r="C35" t="str">
        <f>IF(B35="","",IFERROR(VLOOKUP(B35,'SPED Student Roster'!$A:$B,2,FALSE),""))</f>
        <v/>
      </c>
      <c r="D35" t="str">
        <f>IF(B35="","",IFERROR(VLOOKUP(B35,'SPED Student Roster'!$A:$C,3,FALSE),""))</f>
        <v/>
      </c>
      <c r="E35" t="str">
        <f>IF(B35="","",IFERROR(VLOOKUP(B35,'SPED Student Roster'!$A:$D,4,FALSE),""))</f>
        <v/>
      </c>
      <c r="F35" t="str">
        <f>IF(B35="","",IFERROR(VLOOKUP(B35,'SPED Student Roster'!$A:$E,5,FALSE),""))</f>
        <v/>
      </c>
      <c r="K35" t="str">
        <f t="shared" ca="1" si="0"/>
        <v/>
      </c>
      <c r="Q35" t="str">
        <f>IF(B35="","",IFERROR(VLOOKUP(B35,'SPED Student Roster'!$A:$F,6,FALSE),""))</f>
        <v/>
      </c>
    </row>
    <row r="36" spans="3:17" ht="14.25" x14ac:dyDescent="0.45">
      <c r="C36" t="str">
        <f>IF(B36="","",IFERROR(VLOOKUP(B36,'SPED Student Roster'!$A:$B,2,FALSE),""))</f>
        <v/>
      </c>
      <c r="D36" t="str">
        <f>IF(B36="","",IFERROR(VLOOKUP(B36,'SPED Student Roster'!$A:$C,3,FALSE),""))</f>
        <v/>
      </c>
      <c r="E36" t="str">
        <f>IF(B36="","",IFERROR(VLOOKUP(B36,'SPED Student Roster'!$A:$D,4,FALSE),""))</f>
        <v/>
      </c>
      <c r="F36" t="str">
        <f>IF(B36="","",IFERROR(VLOOKUP(B36,'SPED Student Roster'!$A:$E,5,FALSE),""))</f>
        <v/>
      </c>
      <c r="K36" t="str">
        <f t="shared" ref="K36:K67" ca="1" si="1">IF(OR(B36="",J36=""),"",J36-TODAY())</f>
        <v/>
      </c>
      <c r="Q36" t="str">
        <f>IF(B36="","",IFERROR(VLOOKUP(B36,'SPED Student Roster'!$A:$F,6,FALSE),""))</f>
        <v/>
      </c>
    </row>
    <row r="37" spans="3:17" ht="14.25" x14ac:dyDescent="0.45">
      <c r="C37" t="str">
        <f>IF(B37="","",IFERROR(VLOOKUP(B37,'SPED Student Roster'!$A:$B,2,FALSE),""))</f>
        <v/>
      </c>
      <c r="D37" t="str">
        <f>IF(B37="","",IFERROR(VLOOKUP(B37,'SPED Student Roster'!$A:$C,3,FALSE),""))</f>
        <v/>
      </c>
      <c r="E37" t="str">
        <f>IF(B37="","",IFERROR(VLOOKUP(B37,'SPED Student Roster'!$A:$D,4,FALSE),""))</f>
        <v/>
      </c>
      <c r="F37" t="str">
        <f>IF(B37="","",IFERROR(VLOOKUP(B37,'SPED Student Roster'!$A:$E,5,FALSE),""))</f>
        <v/>
      </c>
      <c r="K37" t="str">
        <f t="shared" ca="1" si="1"/>
        <v/>
      </c>
      <c r="Q37" t="str">
        <f>IF(B37="","",IFERROR(VLOOKUP(B37,'SPED Student Roster'!$A:$F,6,FALSE),""))</f>
        <v/>
      </c>
    </row>
    <row r="38" spans="3:17" ht="14.25" x14ac:dyDescent="0.45">
      <c r="C38" t="str">
        <f>IF(B38="","",IFERROR(VLOOKUP(B38,'SPED Student Roster'!$A:$B,2,FALSE),""))</f>
        <v/>
      </c>
      <c r="D38" t="str">
        <f>IF(B38="","",IFERROR(VLOOKUP(B38,'SPED Student Roster'!$A:$C,3,FALSE),""))</f>
        <v/>
      </c>
      <c r="E38" t="str">
        <f>IF(B38="","",IFERROR(VLOOKUP(B38,'SPED Student Roster'!$A:$D,4,FALSE),""))</f>
        <v/>
      </c>
      <c r="F38" t="str">
        <f>IF(B38="","",IFERROR(VLOOKUP(B38,'SPED Student Roster'!$A:$E,5,FALSE),""))</f>
        <v/>
      </c>
      <c r="K38" t="str">
        <f t="shared" ca="1" si="1"/>
        <v/>
      </c>
      <c r="Q38" t="str">
        <f>IF(B38="","",IFERROR(VLOOKUP(B38,'SPED Student Roster'!$A:$F,6,FALSE),""))</f>
        <v/>
      </c>
    </row>
    <row r="39" spans="3:17" ht="14.25" x14ac:dyDescent="0.45">
      <c r="C39" t="str">
        <f>IF(B39="","",IFERROR(VLOOKUP(B39,'SPED Student Roster'!$A:$B,2,FALSE),""))</f>
        <v/>
      </c>
      <c r="D39" t="str">
        <f>IF(B39="","",IFERROR(VLOOKUP(B39,'SPED Student Roster'!$A:$C,3,FALSE),""))</f>
        <v/>
      </c>
      <c r="E39" t="str">
        <f>IF(B39="","",IFERROR(VLOOKUP(B39,'SPED Student Roster'!$A:$D,4,FALSE),""))</f>
        <v/>
      </c>
      <c r="F39" t="str">
        <f>IF(B39="","",IFERROR(VLOOKUP(B39,'SPED Student Roster'!$A:$E,5,FALSE),""))</f>
        <v/>
      </c>
      <c r="K39" t="str">
        <f t="shared" ca="1" si="1"/>
        <v/>
      </c>
      <c r="Q39" t="str">
        <f>IF(B39="","",IFERROR(VLOOKUP(B39,'SPED Student Roster'!$A:$F,6,FALSE),""))</f>
        <v/>
      </c>
    </row>
    <row r="40" spans="3:17" ht="14.25" x14ac:dyDescent="0.45">
      <c r="C40" t="str">
        <f>IF(B40="","",IFERROR(VLOOKUP(B40,'SPED Student Roster'!$A:$B,2,FALSE),""))</f>
        <v/>
      </c>
      <c r="D40" t="str">
        <f>IF(B40="","",IFERROR(VLOOKUP(B40,'SPED Student Roster'!$A:$C,3,FALSE),""))</f>
        <v/>
      </c>
      <c r="E40" t="str">
        <f>IF(B40="","",IFERROR(VLOOKUP(B40,'SPED Student Roster'!$A:$D,4,FALSE),""))</f>
        <v/>
      </c>
      <c r="F40" t="str">
        <f>IF(B40="","",IFERROR(VLOOKUP(B40,'SPED Student Roster'!$A:$E,5,FALSE),""))</f>
        <v/>
      </c>
      <c r="K40" t="str">
        <f t="shared" ca="1" si="1"/>
        <v/>
      </c>
      <c r="Q40" t="str">
        <f>IF(B40="","",IFERROR(VLOOKUP(B40,'SPED Student Roster'!$A:$F,6,FALSE),""))</f>
        <v/>
      </c>
    </row>
    <row r="41" spans="3:17" ht="14.25" x14ac:dyDescent="0.45">
      <c r="C41" t="str">
        <f>IF(B41="","",IFERROR(VLOOKUP(B41,'SPED Student Roster'!$A:$B,2,FALSE),""))</f>
        <v/>
      </c>
      <c r="D41" t="str">
        <f>IF(B41="","",IFERROR(VLOOKUP(B41,'SPED Student Roster'!$A:$C,3,FALSE),""))</f>
        <v/>
      </c>
      <c r="E41" t="str">
        <f>IF(B41="","",IFERROR(VLOOKUP(B41,'SPED Student Roster'!$A:$D,4,FALSE),""))</f>
        <v/>
      </c>
      <c r="F41" t="str">
        <f>IF(B41="","",IFERROR(VLOOKUP(B41,'SPED Student Roster'!$A:$E,5,FALSE),""))</f>
        <v/>
      </c>
      <c r="K41" t="str">
        <f t="shared" ca="1" si="1"/>
        <v/>
      </c>
      <c r="Q41" t="str">
        <f>IF(B41="","",IFERROR(VLOOKUP(B41,'SPED Student Roster'!$A:$F,6,FALSE),""))</f>
        <v/>
      </c>
    </row>
    <row r="42" spans="3:17" ht="14.25" x14ac:dyDescent="0.45">
      <c r="C42" t="str">
        <f>IF(B42="","",IFERROR(VLOOKUP(B42,'SPED Student Roster'!$A:$B,2,FALSE),""))</f>
        <v/>
      </c>
      <c r="D42" t="str">
        <f>IF(B42="","",IFERROR(VLOOKUP(B42,'SPED Student Roster'!$A:$C,3,FALSE),""))</f>
        <v/>
      </c>
      <c r="E42" t="str">
        <f>IF(B42="","",IFERROR(VLOOKUP(B42,'SPED Student Roster'!$A:$D,4,FALSE),""))</f>
        <v/>
      </c>
      <c r="F42" t="str">
        <f>IF(B42="","",IFERROR(VLOOKUP(B42,'SPED Student Roster'!$A:$E,5,FALSE),""))</f>
        <v/>
      </c>
      <c r="K42" t="str">
        <f t="shared" ca="1" si="1"/>
        <v/>
      </c>
      <c r="Q42" t="str">
        <f>IF(B42="","",IFERROR(VLOOKUP(B42,'SPED Student Roster'!$A:$F,6,FALSE),""))</f>
        <v/>
      </c>
    </row>
    <row r="43" spans="3:17" ht="14.25" x14ac:dyDescent="0.45">
      <c r="C43" t="str">
        <f>IF(B43="","",IFERROR(VLOOKUP(B43,'SPED Student Roster'!$A:$B,2,FALSE),""))</f>
        <v/>
      </c>
      <c r="D43" t="str">
        <f>IF(B43="","",IFERROR(VLOOKUP(B43,'SPED Student Roster'!$A:$C,3,FALSE),""))</f>
        <v/>
      </c>
      <c r="E43" t="str">
        <f>IF(B43="","",IFERROR(VLOOKUP(B43,'SPED Student Roster'!$A:$D,4,FALSE),""))</f>
        <v/>
      </c>
      <c r="F43" t="str">
        <f>IF(B43="","",IFERROR(VLOOKUP(B43,'SPED Student Roster'!$A:$E,5,FALSE),""))</f>
        <v/>
      </c>
      <c r="K43" t="str">
        <f t="shared" ca="1" si="1"/>
        <v/>
      </c>
      <c r="Q43" t="str">
        <f>IF(B43="","",IFERROR(VLOOKUP(B43,'SPED Student Roster'!$A:$F,6,FALSE),""))</f>
        <v/>
      </c>
    </row>
    <row r="44" spans="3:17" ht="14.25" x14ac:dyDescent="0.45">
      <c r="C44" t="str">
        <f>IF(B44="","",IFERROR(VLOOKUP(B44,'SPED Student Roster'!$A:$B,2,FALSE),""))</f>
        <v/>
      </c>
      <c r="D44" t="str">
        <f>IF(B44="","",IFERROR(VLOOKUP(B44,'SPED Student Roster'!$A:$C,3,FALSE),""))</f>
        <v/>
      </c>
      <c r="E44" t="str">
        <f>IF(B44="","",IFERROR(VLOOKUP(B44,'SPED Student Roster'!$A:$D,4,FALSE),""))</f>
        <v/>
      </c>
      <c r="F44" t="str">
        <f>IF(B44="","",IFERROR(VLOOKUP(B44,'SPED Student Roster'!$A:$E,5,FALSE),""))</f>
        <v/>
      </c>
      <c r="K44" t="str">
        <f t="shared" ca="1" si="1"/>
        <v/>
      </c>
      <c r="Q44" t="str">
        <f>IF(B44="","",IFERROR(VLOOKUP(B44,'SPED Student Roster'!$A:$F,6,FALSE),""))</f>
        <v/>
      </c>
    </row>
    <row r="45" spans="3:17" ht="14.25" x14ac:dyDescent="0.45">
      <c r="C45" t="str">
        <f>IF(B45="","",IFERROR(VLOOKUP(B45,'SPED Student Roster'!$A:$B,2,FALSE),""))</f>
        <v/>
      </c>
      <c r="D45" t="str">
        <f>IF(B45="","",IFERROR(VLOOKUP(B45,'SPED Student Roster'!$A:$C,3,FALSE),""))</f>
        <v/>
      </c>
      <c r="E45" t="str">
        <f>IF(B45="","",IFERROR(VLOOKUP(B45,'SPED Student Roster'!$A:$D,4,FALSE),""))</f>
        <v/>
      </c>
      <c r="F45" t="str">
        <f>IF(B45="","",IFERROR(VLOOKUP(B45,'SPED Student Roster'!$A:$E,5,FALSE),""))</f>
        <v/>
      </c>
      <c r="K45" t="str">
        <f t="shared" ca="1" si="1"/>
        <v/>
      </c>
      <c r="Q45" t="str">
        <f>IF(B45="","",IFERROR(VLOOKUP(B45,'SPED Student Roster'!$A:$F,6,FALSE),""))</f>
        <v/>
      </c>
    </row>
    <row r="46" spans="3:17" ht="14.25" x14ac:dyDescent="0.45">
      <c r="C46" t="str">
        <f>IF(B46="","",IFERROR(VLOOKUP(B46,'SPED Student Roster'!$A:$B,2,FALSE),""))</f>
        <v/>
      </c>
      <c r="D46" t="str">
        <f>IF(B46="","",IFERROR(VLOOKUP(B46,'SPED Student Roster'!$A:$C,3,FALSE),""))</f>
        <v/>
      </c>
      <c r="E46" t="str">
        <f>IF(B46="","",IFERROR(VLOOKUP(B46,'SPED Student Roster'!$A:$D,4,FALSE),""))</f>
        <v/>
      </c>
      <c r="F46" t="str">
        <f>IF(B46="","",IFERROR(VLOOKUP(B46,'SPED Student Roster'!$A:$E,5,FALSE),""))</f>
        <v/>
      </c>
      <c r="K46" t="str">
        <f t="shared" ca="1" si="1"/>
        <v/>
      </c>
      <c r="Q46" t="str">
        <f>IF(B46="","",IFERROR(VLOOKUP(B46,'SPED Student Roster'!$A:$F,6,FALSE),""))</f>
        <v/>
      </c>
    </row>
    <row r="47" spans="3:17" ht="14.25" x14ac:dyDescent="0.45">
      <c r="C47" t="str">
        <f>IF(B47="","",IFERROR(VLOOKUP(B47,'SPED Student Roster'!$A:$B,2,FALSE),""))</f>
        <v/>
      </c>
      <c r="D47" t="str">
        <f>IF(B47="","",IFERROR(VLOOKUP(B47,'SPED Student Roster'!$A:$C,3,FALSE),""))</f>
        <v/>
      </c>
      <c r="E47" t="str">
        <f>IF(B47="","",IFERROR(VLOOKUP(B47,'SPED Student Roster'!$A:$D,4,FALSE),""))</f>
        <v/>
      </c>
      <c r="F47" t="str">
        <f>IF(B47="","",IFERROR(VLOOKUP(B47,'SPED Student Roster'!$A:$E,5,FALSE),""))</f>
        <v/>
      </c>
      <c r="K47" t="str">
        <f t="shared" ca="1" si="1"/>
        <v/>
      </c>
      <c r="Q47" t="str">
        <f>IF(B47="","",IFERROR(VLOOKUP(B47,'SPED Student Roster'!$A:$F,6,FALSE),""))</f>
        <v/>
      </c>
    </row>
    <row r="48" spans="3:17" ht="14.25" x14ac:dyDescent="0.45">
      <c r="C48" t="str">
        <f>IF(B48="","",IFERROR(VLOOKUP(B48,'SPED Student Roster'!$A:$B,2,FALSE),""))</f>
        <v/>
      </c>
      <c r="D48" t="str">
        <f>IF(B48="","",IFERROR(VLOOKUP(B48,'SPED Student Roster'!$A:$C,3,FALSE),""))</f>
        <v/>
      </c>
      <c r="E48" t="str">
        <f>IF(B48="","",IFERROR(VLOOKUP(B48,'SPED Student Roster'!$A:$D,4,FALSE),""))</f>
        <v/>
      </c>
      <c r="F48" t="str">
        <f>IF(B48="","",IFERROR(VLOOKUP(B48,'SPED Student Roster'!$A:$E,5,FALSE),""))</f>
        <v/>
      </c>
      <c r="K48" t="str">
        <f t="shared" ca="1" si="1"/>
        <v/>
      </c>
      <c r="Q48" t="str">
        <f>IF(B48="","",IFERROR(VLOOKUP(B48,'SPED Student Roster'!$A:$F,6,FALSE),""))</f>
        <v/>
      </c>
    </row>
    <row r="49" spans="3:17" ht="14.25" x14ac:dyDescent="0.45">
      <c r="C49" t="str">
        <f>IF(B49="","",IFERROR(VLOOKUP(B49,'SPED Student Roster'!$A:$B,2,FALSE),""))</f>
        <v/>
      </c>
      <c r="D49" t="str">
        <f>IF(B49="","",IFERROR(VLOOKUP(B49,'SPED Student Roster'!$A:$C,3,FALSE),""))</f>
        <v/>
      </c>
      <c r="E49" t="str">
        <f>IF(B49="","",IFERROR(VLOOKUP(B49,'SPED Student Roster'!$A:$D,4,FALSE),""))</f>
        <v/>
      </c>
      <c r="F49" t="str">
        <f>IF(B49="","",IFERROR(VLOOKUP(B49,'SPED Student Roster'!$A:$E,5,FALSE),""))</f>
        <v/>
      </c>
      <c r="K49" t="str">
        <f t="shared" ca="1" si="1"/>
        <v/>
      </c>
      <c r="Q49" t="str">
        <f>IF(B49="","",IFERROR(VLOOKUP(B49,'SPED Student Roster'!$A:$F,6,FALSE),""))</f>
        <v/>
      </c>
    </row>
    <row r="50" spans="3:17" ht="14.25" x14ac:dyDescent="0.45">
      <c r="C50" t="str">
        <f>IF(B50="","",IFERROR(VLOOKUP(B50,'SPED Student Roster'!$A:$B,2,FALSE),""))</f>
        <v/>
      </c>
      <c r="D50" t="str">
        <f>IF(B50="","",IFERROR(VLOOKUP(B50,'SPED Student Roster'!$A:$C,3,FALSE),""))</f>
        <v/>
      </c>
      <c r="E50" t="str">
        <f>IF(B50="","",IFERROR(VLOOKUP(B50,'SPED Student Roster'!$A:$D,4,FALSE),""))</f>
        <v/>
      </c>
      <c r="F50" t="str">
        <f>IF(B50="","",IFERROR(VLOOKUP(B50,'SPED Student Roster'!$A:$E,5,FALSE),""))</f>
        <v/>
      </c>
      <c r="K50" t="str">
        <f t="shared" ca="1" si="1"/>
        <v/>
      </c>
      <c r="Q50" t="str">
        <f>IF(B50="","",IFERROR(VLOOKUP(B50,'SPED Student Roster'!$A:$F,6,FALSE),""))</f>
        <v/>
      </c>
    </row>
    <row r="51" spans="3:17" ht="14.25" x14ac:dyDescent="0.45">
      <c r="C51" t="str">
        <f>IF(B51="","",IFERROR(VLOOKUP(B51,'SPED Student Roster'!$A:$B,2,FALSE),""))</f>
        <v/>
      </c>
      <c r="D51" t="str">
        <f>IF(B51="","",IFERROR(VLOOKUP(B51,'SPED Student Roster'!$A:$C,3,FALSE),""))</f>
        <v/>
      </c>
      <c r="E51" t="str">
        <f>IF(B51="","",IFERROR(VLOOKUP(B51,'SPED Student Roster'!$A:$D,4,FALSE),""))</f>
        <v/>
      </c>
      <c r="F51" t="str">
        <f>IF(B51="","",IFERROR(VLOOKUP(B51,'SPED Student Roster'!$A:$E,5,FALSE),""))</f>
        <v/>
      </c>
      <c r="K51" t="str">
        <f t="shared" ca="1" si="1"/>
        <v/>
      </c>
      <c r="Q51" t="str">
        <f>IF(B51="","",IFERROR(VLOOKUP(B51,'SPED Student Roster'!$A:$F,6,FALSE),""))</f>
        <v/>
      </c>
    </row>
    <row r="52" spans="3:17" ht="14.25" x14ac:dyDescent="0.45">
      <c r="C52" t="str">
        <f>IF(B52="","",IFERROR(VLOOKUP(B52,'SPED Student Roster'!$A:$B,2,FALSE),""))</f>
        <v/>
      </c>
      <c r="D52" t="str">
        <f>IF(B52="","",IFERROR(VLOOKUP(B52,'SPED Student Roster'!$A:$C,3,FALSE),""))</f>
        <v/>
      </c>
      <c r="E52" t="str">
        <f>IF(B52="","",IFERROR(VLOOKUP(B52,'SPED Student Roster'!$A:$D,4,FALSE),""))</f>
        <v/>
      </c>
      <c r="F52" t="str">
        <f>IF(B52="","",IFERROR(VLOOKUP(B52,'SPED Student Roster'!$A:$E,5,FALSE),""))</f>
        <v/>
      </c>
      <c r="K52" t="str">
        <f t="shared" ca="1" si="1"/>
        <v/>
      </c>
      <c r="Q52" t="str">
        <f>IF(B52="","",IFERROR(VLOOKUP(B52,'SPED Student Roster'!$A:$F,6,FALSE),""))</f>
        <v/>
      </c>
    </row>
    <row r="53" spans="3:17" ht="14.25" x14ac:dyDescent="0.45">
      <c r="C53" t="str">
        <f>IF(B53="","",IFERROR(VLOOKUP(B53,'SPED Student Roster'!$A:$B,2,FALSE),""))</f>
        <v/>
      </c>
      <c r="D53" t="str">
        <f>IF(B53="","",IFERROR(VLOOKUP(B53,'SPED Student Roster'!$A:$C,3,FALSE),""))</f>
        <v/>
      </c>
      <c r="E53" t="str">
        <f>IF(B53="","",IFERROR(VLOOKUP(B53,'SPED Student Roster'!$A:$D,4,FALSE),""))</f>
        <v/>
      </c>
      <c r="F53" t="str">
        <f>IF(B53="","",IFERROR(VLOOKUP(B53,'SPED Student Roster'!$A:$E,5,FALSE),""))</f>
        <v/>
      </c>
      <c r="K53" t="str">
        <f t="shared" ca="1" si="1"/>
        <v/>
      </c>
      <c r="Q53" t="str">
        <f>IF(B53="","",IFERROR(VLOOKUP(B53,'SPED Student Roster'!$A:$F,6,FALSE),""))</f>
        <v/>
      </c>
    </row>
    <row r="54" spans="3:17" ht="14.25" x14ac:dyDescent="0.45">
      <c r="C54" t="str">
        <f>IF(B54="","",IFERROR(VLOOKUP(B54,'SPED Student Roster'!$A:$B,2,FALSE),""))</f>
        <v/>
      </c>
      <c r="D54" t="str">
        <f>IF(B54="","",IFERROR(VLOOKUP(B54,'SPED Student Roster'!$A:$C,3,FALSE),""))</f>
        <v/>
      </c>
      <c r="E54" t="str">
        <f>IF(B54="","",IFERROR(VLOOKUP(B54,'SPED Student Roster'!$A:$D,4,FALSE),""))</f>
        <v/>
      </c>
      <c r="F54" t="str">
        <f>IF(B54="","",IFERROR(VLOOKUP(B54,'SPED Student Roster'!$A:$E,5,FALSE),""))</f>
        <v/>
      </c>
      <c r="K54" t="str">
        <f t="shared" ca="1" si="1"/>
        <v/>
      </c>
      <c r="Q54" t="str">
        <f>IF(B54="","",IFERROR(VLOOKUP(B54,'SPED Student Roster'!$A:$F,6,FALSE),""))</f>
        <v/>
      </c>
    </row>
    <row r="55" spans="3:17" ht="14.25" x14ac:dyDescent="0.45">
      <c r="C55" t="str">
        <f>IF(B55="","",IFERROR(VLOOKUP(B55,'SPED Student Roster'!$A:$B,2,FALSE),""))</f>
        <v/>
      </c>
      <c r="D55" t="str">
        <f>IF(B55="","",IFERROR(VLOOKUP(B55,'SPED Student Roster'!$A:$C,3,FALSE),""))</f>
        <v/>
      </c>
      <c r="E55" t="str">
        <f>IF(B55="","",IFERROR(VLOOKUP(B55,'SPED Student Roster'!$A:$D,4,FALSE),""))</f>
        <v/>
      </c>
      <c r="F55" t="str">
        <f>IF(B55="","",IFERROR(VLOOKUP(B55,'SPED Student Roster'!$A:$E,5,FALSE),""))</f>
        <v/>
      </c>
      <c r="K55" t="str">
        <f t="shared" ca="1" si="1"/>
        <v/>
      </c>
      <c r="Q55" t="str">
        <f>IF(B55="","",IFERROR(VLOOKUP(B55,'SPED Student Roster'!$A:$F,6,FALSE),""))</f>
        <v/>
      </c>
    </row>
    <row r="56" spans="3:17" ht="14.25" x14ac:dyDescent="0.45">
      <c r="C56" t="str">
        <f>IF(B56="","",IFERROR(VLOOKUP(B56,'SPED Student Roster'!$A:$B,2,FALSE),""))</f>
        <v/>
      </c>
      <c r="D56" t="str">
        <f>IF(B56="","",IFERROR(VLOOKUP(B56,'SPED Student Roster'!$A:$C,3,FALSE),""))</f>
        <v/>
      </c>
      <c r="E56" t="str">
        <f>IF(B56="","",IFERROR(VLOOKUP(B56,'SPED Student Roster'!$A:$D,4,FALSE),""))</f>
        <v/>
      </c>
      <c r="F56" t="str">
        <f>IF(B56="","",IFERROR(VLOOKUP(B56,'SPED Student Roster'!$A:$E,5,FALSE),""))</f>
        <v/>
      </c>
      <c r="K56" t="str">
        <f t="shared" ca="1" si="1"/>
        <v/>
      </c>
      <c r="Q56" t="str">
        <f>IF(B56="","",IFERROR(VLOOKUP(B56,'SPED Student Roster'!$A:$F,6,FALSE),""))</f>
        <v/>
      </c>
    </row>
    <row r="57" spans="3:17" ht="14.25" x14ac:dyDescent="0.45">
      <c r="C57" t="str">
        <f>IF(B57="","",IFERROR(VLOOKUP(B57,'SPED Student Roster'!$A:$B,2,FALSE),""))</f>
        <v/>
      </c>
      <c r="D57" t="str">
        <f>IF(B57="","",IFERROR(VLOOKUP(B57,'SPED Student Roster'!$A:$C,3,FALSE),""))</f>
        <v/>
      </c>
      <c r="E57" t="str">
        <f>IF(B57="","",IFERROR(VLOOKUP(B57,'SPED Student Roster'!$A:$D,4,FALSE),""))</f>
        <v/>
      </c>
      <c r="F57" t="str">
        <f>IF(B57="","",IFERROR(VLOOKUP(B57,'SPED Student Roster'!$A:$E,5,FALSE),""))</f>
        <v/>
      </c>
      <c r="K57" t="str">
        <f t="shared" ca="1" si="1"/>
        <v/>
      </c>
      <c r="Q57" t="str">
        <f>IF(B57="","",IFERROR(VLOOKUP(B57,'SPED Student Roster'!$A:$F,6,FALSE),""))</f>
        <v/>
      </c>
    </row>
    <row r="58" spans="3:17" ht="14.25" x14ac:dyDescent="0.45">
      <c r="C58" t="str">
        <f>IF(B58="","",IFERROR(VLOOKUP(B58,'SPED Student Roster'!$A:$B,2,FALSE),""))</f>
        <v/>
      </c>
      <c r="D58" t="str">
        <f>IF(B58="","",IFERROR(VLOOKUP(B58,'SPED Student Roster'!$A:$C,3,FALSE),""))</f>
        <v/>
      </c>
      <c r="E58" t="str">
        <f>IF(B58="","",IFERROR(VLOOKUP(B58,'SPED Student Roster'!$A:$D,4,FALSE),""))</f>
        <v/>
      </c>
      <c r="F58" t="str">
        <f>IF(B58="","",IFERROR(VLOOKUP(B58,'SPED Student Roster'!$A:$E,5,FALSE),""))</f>
        <v/>
      </c>
      <c r="K58" t="str">
        <f t="shared" ca="1" si="1"/>
        <v/>
      </c>
      <c r="Q58" t="str">
        <f>IF(B58="","",IFERROR(VLOOKUP(B58,'SPED Student Roster'!$A:$F,6,FALSE),""))</f>
        <v/>
      </c>
    </row>
    <row r="59" spans="3:17" ht="14.25" x14ac:dyDescent="0.45">
      <c r="C59" t="str">
        <f>IF(B59="","",IFERROR(VLOOKUP(B59,'SPED Student Roster'!$A:$B,2,FALSE),""))</f>
        <v/>
      </c>
      <c r="D59" t="str">
        <f>IF(B59="","",IFERROR(VLOOKUP(B59,'SPED Student Roster'!$A:$C,3,FALSE),""))</f>
        <v/>
      </c>
      <c r="E59" t="str">
        <f>IF(B59="","",IFERROR(VLOOKUP(B59,'SPED Student Roster'!$A:$D,4,FALSE),""))</f>
        <v/>
      </c>
      <c r="F59" t="str">
        <f>IF(B59="","",IFERROR(VLOOKUP(B59,'SPED Student Roster'!$A:$E,5,FALSE),""))</f>
        <v/>
      </c>
      <c r="K59" t="str">
        <f t="shared" ca="1" si="1"/>
        <v/>
      </c>
      <c r="Q59" t="str">
        <f>IF(B59="","",IFERROR(VLOOKUP(B59,'SPED Student Roster'!$A:$F,6,FALSE),""))</f>
        <v/>
      </c>
    </row>
    <row r="60" spans="3:17" ht="14.25" x14ac:dyDescent="0.45">
      <c r="C60" t="str">
        <f>IF(B60="","",IFERROR(VLOOKUP(B60,'SPED Student Roster'!$A:$B,2,FALSE),""))</f>
        <v/>
      </c>
      <c r="D60" t="str">
        <f>IF(B60="","",IFERROR(VLOOKUP(B60,'SPED Student Roster'!$A:$C,3,FALSE),""))</f>
        <v/>
      </c>
      <c r="E60" t="str">
        <f>IF(B60="","",IFERROR(VLOOKUP(B60,'SPED Student Roster'!$A:$D,4,FALSE),""))</f>
        <v/>
      </c>
      <c r="F60" t="str">
        <f>IF(B60="","",IFERROR(VLOOKUP(B60,'SPED Student Roster'!$A:$E,5,FALSE),""))</f>
        <v/>
      </c>
      <c r="K60" t="str">
        <f t="shared" ca="1" si="1"/>
        <v/>
      </c>
      <c r="Q60" t="str">
        <f>IF(B60="","",IFERROR(VLOOKUP(B60,'SPED Student Roster'!$A:$F,6,FALSE),""))</f>
        <v/>
      </c>
    </row>
    <row r="61" spans="3:17" ht="14.25" x14ac:dyDescent="0.45">
      <c r="C61" t="str">
        <f>IF(B61="","",IFERROR(VLOOKUP(B61,'SPED Student Roster'!$A:$B,2,FALSE),""))</f>
        <v/>
      </c>
      <c r="D61" t="str">
        <f>IF(B61="","",IFERROR(VLOOKUP(B61,'SPED Student Roster'!$A:$C,3,FALSE),""))</f>
        <v/>
      </c>
      <c r="E61" t="str">
        <f>IF(B61="","",IFERROR(VLOOKUP(B61,'SPED Student Roster'!$A:$D,4,FALSE),""))</f>
        <v/>
      </c>
      <c r="F61" t="str">
        <f>IF(B61="","",IFERROR(VLOOKUP(B61,'SPED Student Roster'!$A:$E,5,FALSE),""))</f>
        <v/>
      </c>
      <c r="K61" t="str">
        <f t="shared" ca="1" si="1"/>
        <v/>
      </c>
      <c r="Q61" t="str">
        <f>IF(B61="","",IFERROR(VLOOKUP(B61,'SPED Student Roster'!$A:$F,6,FALSE),""))</f>
        <v/>
      </c>
    </row>
    <row r="62" spans="3:17" ht="14.25" x14ac:dyDescent="0.45">
      <c r="C62" t="str">
        <f>IF(B62="","",IFERROR(VLOOKUP(B62,'SPED Student Roster'!$A:$B,2,FALSE),""))</f>
        <v/>
      </c>
      <c r="D62" t="str">
        <f>IF(B62="","",IFERROR(VLOOKUP(B62,'SPED Student Roster'!$A:$C,3,FALSE),""))</f>
        <v/>
      </c>
      <c r="E62" t="str">
        <f>IF(B62="","",IFERROR(VLOOKUP(B62,'SPED Student Roster'!$A:$D,4,FALSE),""))</f>
        <v/>
      </c>
      <c r="F62" t="str">
        <f>IF(B62="","",IFERROR(VLOOKUP(B62,'SPED Student Roster'!$A:$E,5,FALSE),""))</f>
        <v/>
      </c>
      <c r="K62" t="str">
        <f t="shared" ca="1" si="1"/>
        <v/>
      </c>
      <c r="Q62" t="str">
        <f>IF(B62="","",IFERROR(VLOOKUP(B62,'SPED Student Roster'!$A:$F,6,FALSE),""))</f>
        <v/>
      </c>
    </row>
    <row r="63" spans="3:17" ht="14.25" x14ac:dyDescent="0.45">
      <c r="C63" t="str">
        <f>IF(B63="","",IFERROR(VLOOKUP(B63,'SPED Student Roster'!$A:$B,2,FALSE),""))</f>
        <v/>
      </c>
      <c r="D63" t="str">
        <f>IF(B63="","",IFERROR(VLOOKUP(B63,'SPED Student Roster'!$A:$C,3,FALSE),""))</f>
        <v/>
      </c>
      <c r="E63" t="str">
        <f>IF(B63="","",IFERROR(VLOOKUP(B63,'SPED Student Roster'!$A:$D,4,FALSE),""))</f>
        <v/>
      </c>
      <c r="F63" t="str">
        <f>IF(B63="","",IFERROR(VLOOKUP(B63,'SPED Student Roster'!$A:$E,5,FALSE),""))</f>
        <v/>
      </c>
      <c r="K63" t="str">
        <f t="shared" ca="1" si="1"/>
        <v/>
      </c>
      <c r="Q63" t="str">
        <f>IF(B63="","",IFERROR(VLOOKUP(B63,'SPED Student Roster'!$A:$F,6,FALSE),""))</f>
        <v/>
      </c>
    </row>
    <row r="64" spans="3:17" ht="14.25" x14ac:dyDescent="0.45">
      <c r="C64" t="str">
        <f>IF(B64="","",IFERROR(VLOOKUP(B64,'SPED Student Roster'!$A:$B,2,FALSE),""))</f>
        <v/>
      </c>
      <c r="D64" t="str">
        <f>IF(B64="","",IFERROR(VLOOKUP(B64,'SPED Student Roster'!$A:$C,3,FALSE),""))</f>
        <v/>
      </c>
      <c r="E64" t="str">
        <f>IF(B64="","",IFERROR(VLOOKUP(B64,'SPED Student Roster'!$A:$D,4,FALSE),""))</f>
        <v/>
      </c>
      <c r="F64" t="str">
        <f>IF(B64="","",IFERROR(VLOOKUP(B64,'SPED Student Roster'!$A:$E,5,FALSE),""))</f>
        <v/>
      </c>
      <c r="K64" t="str">
        <f t="shared" ca="1" si="1"/>
        <v/>
      </c>
      <c r="Q64" t="str">
        <f>IF(B64="","",IFERROR(VLOOKUP(B64,'SPED Student Roster'!$A:$F,6,FALSE),""))</f>
        <v/>
      </c>
    </row>
    <row r="65" spans="3:17" ht="14.25" x14ac:dyDescent="0.45">
      <c r="C65" t="str">
        <f>IF(B65="","",IFERROR(VLOOKUP(B65,'SPED Student Roster'!$A:$B,2,FALSE),""))</f>
        <v/>
      </c>
      <c r="D65" t="str">
        <f>IF(B65="","",IFERROR(VLOOKUP(B65,'SPED Student Roster'!$A:$C,3,FALSE),""))</f>
        <v/>
      </c>
      <c r="E65" t="str">
        <f>IF(B65="","",IFERROR(VLOOKUP(B65,'SPED Student Roster'!$A:$D,4,FALSE),""))</f>
        <v/>
      </c>
      <c r="F65" t="str">
        <f>IF(B65="","",IFERROR(VLOOKUP(B65,'SPED Student Roster'!$A:$E,5,FALSE),""))</f>
        <v/>
      </c>
      <c r="K65" t="str">
        <f t="shared" ca="1" si="1"/>
        <v/>
      </c>
      <c r="Q65" t="str">
        <f>IF(B65="","",IFERROR(VLOOKUP(B65,'SPED Student Roster'!$A:$F,6,FALSE),""))</f>
        <v/>
      </c>
    </row>
    <row r="66" spans="3:17" ht="14.25" x14ac:dyDescent="0.45">
      <c r="C66" t="str">
        <f>IF(B66="","",IFERROR(VLOOKUP(B66,'SPED Student Roster'!$A:$B,2,FALSE),""))</f>
        <v/>
      </c>
      <c r="D66" t="str">
        <f>IF(B66="","",IFERROR(VLOOKUP(B66,'SPED Student Roster'!$A:$C,3,FALSE),""))</f>
        <v/>
      </c>
      <c r="E66" t="str">
        <f>IF(B66="","",IFERROR(VLOOKUP(B66,'SPED Student Roster'!$A:$D,4,FALSE),""))</f>
        <v/>
      </c>
      <c r="F66" t="str">
        <f>IF(B66="","",IFERROR(VLOOKUP(B66,'SPED Student Roster'!$A:$E,5,FALSE),""))</f>
        <v/>
      </c>
      <c r="K66" t="str">
        <f t="shared" ca="1" si="1"/>
        <v/>
      </c>
      <c r="Q66" t="str">
        <f>IF(B66="","",IFERROR(VLOOKUP(B66,'SPED Student Roster'!$A:$F,6,FALSE),""))</f>
        <v/>
      </c>
    </row>
    <row r="67" spans="3:17" ht="14.25" x14ac:dyDescent="0.45">
      <c r="C67" t="str">
        <f>IF(B67="","",IFERROR(VLOOKUP(B67,'SPED Student Roster'!$A:$B,2,FALSE),""))</f>
        <v/>
      </c>
      <c r="D67" t="str">
        <f>IF(B67="","",IFERROR(VLOOKUP(B67,'SPED Student Roster'!$A:$C,3,FALSE),""))</f>
        <v/>
      </c>
      <c r="E67" t="str">
        <f>IF(B67="","",IFERROR(VLOOKUP(B67,'SPED Student Roster'!$A:$D,4,FALSE),""))</f>
        <v/>
      </c>
      <c r="F67" t="str">
        <f>IF(B67="","",IFERROR(VLOOKUP(B67,'SPED Student Roster'!$A:$E,5,FALSE),""))</f>
        <v/>
      </c>
      <c r="K67" t="str">
        <f t="shared" ca="1" si="1"/>
        <v/>
      </c>
      <c r="Q67" t="str">
        <f>IF(B67="","",IFERROR(VLOOKUP(B67,'SPED Student Roster'!$A:$F,6,FALSE),""))</f>
        <v/>
      </c>
    </row>
    <row r="68" spans="3:17" ht="14.25" x14ac:dyDescent="0.45">
      <c r="C68" t="str">
        <f>IF(B68="","",IFERROR(VLOOKUP(B68,'SPED Student Roster'!$A:$B,2,FALSE),""))</f>
        <v/>
      </c>
      <c r="D68" t="str">
        <f>IF(B68="","",IFERROR(VLOOKUP(B68,'SPED Student Roster'!$A:$C,3,FALSE),""))</f>
        <v/>
      </c>
      <c r="E68" t="str">
        <f>IF(B68="","",IFERROR(VLOOKUP(B68,'SPED Student Roster'!$A:$D,4,FALSE),""))</f>
        <v/>
      </c>
      <c r="F68" t="str">
        <f>IF(B68="","",IFERROR(VLOOKUP(B68,'SPED Student Roster'!$A:$E,5,FALSE),""))</f>
        <v/>
      </c>
      <c r="K68" t="str">
        <f t="shared" ref="K68:K99" ca="1" si="2">IF(OR(B68="",J68=""),"",J68-TODAY())</f>
        <v/>
      </c>
      <c r="Q68" t="str">
        <f>IF(B68="","",IFERROR(VLOOKUP(B68,'SPED Student Roster'!$A:$F,6,FALSE),""))</f>
        <v/>
      </c>
    </row>
    <row r="69" spans="3:17" ht="14.25" x14ac:dyDescent="0.45">
      <c r="C69" t="str">
        <f>IF(B69="","",IFERROR(VLOOKUP(B69,'SPED Student Roster'!$A:$B,2,FALSE),""))</f>
        <v/>
      </c>
      <c r="D69" t="str">
        <f>IF(B69="","",IFERROR(VLOOKUP(B69,'SPED Student Roster'!$A:$C,3,FALSE),""))</f>
        <v/>
      </c>
      <c r="E69" t="str">
        <f>IF(B69="","",IFERROR(VLOOKUP(B69,'SPED Student Roster'!$A:$D,4,FALSE),""))</f>
        <v/>
      </c>
      <c r="F69" t="str">
        <f>IF(B69="","",IFERROR(VLOOKUP(B69,'SPED Student Roster'!$A:$E,5,FALSE),""))</f>
        <v/>
      </c>
      <c r="K69" t="str">
        <f t="shared" ca="1" si="2"/>
        <v/>
      </c>
      <c r="Q69" t="str">
        <f>IF(B69="","",IFERROR(VLOOKUP(B69,'SPED Student Roster'!$A:$F,6,FALSE),""))</f>
        <v/>
      </c>
    </row>
    <row r="70" spans="3:17" ht="14.25" x14ac:dyDescent="0.45">
      <c r="C70" t="str">
        <f>IF(B70="","",IFERROR(VLOOKUP(B70,'SPED Student Roster'!$A:$B,2,FALSE),""))</f>
        <v/>
      </c>
      <c r="D70" t="str">
        <f>IF(B70="","",IFERROR(VLOOKUP(B70,'SPED Student Roster'!$A:$C,3,FALSE),""))</f>
        <v/>
      </c>
      <c r="E70" t="str">
        <f>IF(B70="","",IFERROR(VLOOKUP(B70,'SPED Student Roster'!$A:$D,4,FALSE),""))</f>
        <v/>
      </c>
      <c r="F70" t="str">
        <f>IF(B70="","",IFERROR(VLOOKUP(B70,'SPED Student Roster'!$A:$E,5,FALSE),""))</f>
        <v/>
      </c>
      <c r="K70" t="str">
        <f t="shared" ca="1" si="2"/>
        <v/>
      </c>
      <c r="Q70" t="str">
        <f>IF(B70="","",IFERROR(VLOOKUP(B70,'SPED Student Roster'!$A:$F,6,FALSE),""))</f>
        <v/>
      </c>
    </row>
    <row r="71" spans="3:17" ht="14.25" x14ac:dyDescent="0.45">
      <c r="C71" t="str">
        <f>IF(B71="","",IFERROR(VLOOKUP(B71,'SPED Student Roster'!$A:$B,2,FALSE),""))</f>
        <v/>
      </c>
      <c r="D71" t="str">
        <f>IF(B71="","",IFERROR(VLOOKUP(B71,'SPED Student Roster'!$A:$C,3,FALSE),""))</f>
        <v/>
      </c>
      <c r="E71" t="str">
        <f>IF(B71="","",IFERROR(VLOOKUP(B71,'SPED Student Roster'!$A:$D,4,FALSE),""))</f>
        <v/>
      </c>
      <c r="F71" t="str">
        <f>IF(B71="","",IFERROR(VLOOKUP(B71,'SPED Student Roster'!$A:$E,5,FALSE),""))</f>
        <v/>
      </c>
      <c r="K71" t="str">
        <f t="shared" ca="1" si="2"/>
        <v/>
      </c>
      <c r="Q71" t="str">
        <f>IF(B71="","",IFERROR(VLOOKUP(B71,'SPED Student Roster'!$A:$F,6,FALSE),""))</f>
        <v/>
      </c>
    </row>
    <row r="72" spans="3:17" ht="14.25" x14ac:dyDescent="0.45">
      <c r="C72" t="str">
        <f>IF(B72="","",IFERROR(VLOOKUP(B72,'SPED Student Roster'!$A:$B,2,FALSE),""))</f>
        <v/>
      </c>
      <c r="D72" t="str">
        <f>IF(B72="","",IFERROR(VLOOKUP(B72,'SPED Student Roster'!$A:$C,3,FALSE),""))</f>
        <v/>
      </c>
      <c r="E72" t="str">
        <f>IF(B72="","",IFERROR(VLOOKUP(B72,'SPED Student Roster'!$A:$D,4,FALSE),""))</f>
        <v/>
      </c>
      <c r="F72" t="str">
        <f>IF(B72="","",IFERROR(VLOOKUP(B72,'SPED Student Roster'!$A:$E,5,FALSE),""))</f>
        <v/>
      </c>
      <c r="K72" t="str">
        <f t="shared" ca="1" si="2"/>
        <v/>
      </c>
      <c r="Q72" t="str">
        <f>IF(B72="","",IFERROR(VLOOKUP(B72,'SPED Student Roster'!$A:$F,6,FALSE),""))</f>
        <v/>
      </c>
    </row>
    <row r="73" spans="3:17" ht="14.25" x14ac:dyDescent="0.45">
      <c r="C73" t="str">
        <f>IF(B73="","",IFERROR(VLOOKUP(B73,'SPED Student Roster'!$A:$B,2,FALSE),""))</f>
        <v/>
      </c>
      <c r="D73" t="str">
        <f>IF(B73="","",IFERROR(VLOOKUP(B73,'SPED Student Roster'!$A:$C,3,FALSE),""))</f>
        <v/>
      </c>
      <c r="E73" t="str">
        <f>IF(B73="","",IFERROR(VLOOKUP(B73,'SPED Student Roster'!$A:$D,4,FALSE),""))</f>
        <v/>
      </c>
      <c r="F73" t="str">
        <f>IF(B73="","",IFERROR(VLOOKUP(B73,'SPED Student Roster'!$A:$E,5,FALSE),""))</f>
        <v/>
      </c>
      <c r="K73" t="str">
        <f t="shared" ca="1" si="2"/>
        <v/>
      </c>
      <c r="Q73" t="str">
        <f>IF(B73="","",IFERROR(VLOOKUP(B73,'SPED Student Roster'!$A:$F,6,FALSE),""))</f>
        <v/>
      </c>
    </row>
    <row r="74" spans="3:17" ht="14.25" x14ac:dyDescent="0.45">
      <c r="C74" t="str">
        <f>IF(B74="","",IFERROR(VLOOKUP(B74,'SPED Student Roster'!$A:$B,2,FALSE),""))</f>
        <v/>
      </c>
      <c r="D74" t="str">
        <f>IF(B74="","",IFERROR(VLOOKUP(B74,'SPED Student Roster'!$A:$C,3,FALSE),""))</f>
        <v/>
      </c>
      <c r="E74" t="str">
        <f>IF(B74="","",IFERROR(VLOOKUP(B74,'SPED Student Roster'!$A:$D,4,FALSE),""))</f>
        <v/>
      </c>
      <c r="F74" t="str">
        <f>IF(B74="","",IFERROR(VLOOKUP(B74,'SPED Student Roster'!$A:$E,5,FALSE),""))</f>
        <v/>
      </c>
      <c r="K74" t="str">
        <f t="shared" ca="1" si="2"/>
        <v/>
      </c>
      <c r="Q74" t="str">
        <f>IF(B74="","",IFERROR(VLOOKUP(B74,'SPED Student Roster'!$A:$F,6,FALSE),""))</f>
        <v/>
      </c>
    </row>
    <row r="75" spans="3:17" ht="14.25" x14ac:dyDescent="0.45">
      <c r="C75" t="str">
        <f>IF(B75="","",IFERROR(VLOOKUP(B75,'SPED Student Roster'!$A:$B,2,FALSE),""))</f>
        <v/>
      </c>
      <c r="D75" t="str">
        <f>IF(B75="","",IFERROR(VLOOKUP(B75,'SPED Student Roster'!$A:$C,3,FALSE),""))</f>
        <v/>
      </c>
      <c r="E75" t="str">
        <f>IF(B75="","",IFERROR(VLOOKUP(B75,'SPED Student Roster'!$A:$D,4,FALSE),""))</f>
        <v/>
      </c>
      <c r="F75" t="str">
        <f>IF(B75="","",IFERROR(VLOOKUP(B75,'SPED Student Roster'!$A:$E,5,FALSE),""))</f>
        <v/>
      </c>
      <c r="K75" t="str">
        <f t="shared" ca="1" si="2"/>
        <v/>
      </c>
      <c r="Q75" t="str">
        <f>IF(B75="","",IFERROR(VLOOKUP(B75,'SPED Student Roster'!$A:$F,6,FALSE),""))</f>
        <v/>
      </c>
    </row>
    <row r="76" spans="3:17" ht="14.25" x14ac:dyDescent="0.45">
      <c r="C76" t="str">
        <f>IF(B76="","",IFERROR(VLOOKUP(B76,'SPED Student Roster'!$A:$B,2,FALSE),""))</f>
        <v/>
      </c>
      <c r="D76" t="str">
        <f>IF(B76="","",IFERROR(VLOOKUP(B76,'SPED Student Roster'!$A:$C,3,FALSE),""))</f>
        <v/>
      </c>
      <c r="E76" t="str">
        <f>IF(B76="","",IFERROR(VLOOKUP(B76,'SPED Student Roster'!$A:$D,4,FALSE),""))</f>
        <v/>
      </c>
      <c r="F76" t="str">
        <f>IF(B76="","",IFERROR(VLOOKUP(B76,'SPED Student Roster'!$A:$E,5,FALSE),""))</f>
        <v/>
      </c>
      <c r="K76" t="str">
        <f t="shared" ca="1" si="2"/>
        <v/>
      </c>
      <c r="Q76" t="str">
        <f>IF(B76="","",IFERROR(VLOOKUP(B76,'SPED Student Roster'!$A:$F,6,FALSE),""))</f>
        <v/>
      </c>
    </row>
    <row r="77" spans="3:17" ht="14.25" x14ac:dyDescent="0.45">
      <c r="C77" t="str">
        <f>IF(B77="","",IFERROR(VLOOKUP(B77,'SPED Student Roster'!$A:$B,2,FALSE),""))</f>
        <v/>
      </c>
      <c r="D77" t="str">
        <f>IF(B77="","",IFERROR(VLOOKUP(B77,'SPED Student Roster'!$A:$C,3,FALSE),""))</f>
        <v/>
      </c>
      <c r="E77" t="str">
        <f>IF(B77="","",IFERROR(VLOOKUP(B77,'SPED Student Roster'!$A:$D,4,FALSE),""))</f>
        <v/>
      </c>
      <c r="F77" t="str">
        <f>IF(B77="","",IFERROR(VLOOKUP(B77,'SPED Student Roster'!$A:$E,5,FALSE),""))</f>
        <v/>
      </c>
      <c r="K77" t="str">
        <f t="shared" ca="1" si="2"/>
        <v/>
      </c>
      <c r="Q77" t="str">
        <f>IF(B77="","",IFERROR(VLOOKUP(B77,'SPED Student Roster'!$A:$F,6,FALSE),""))</f>
        <v/>
      </c>
    </row>
    <row r="78" spans="3:17" ht="14.25" x14ac:dyDescent="0.45">
      <c r="C78" t="str">
        <f>IF(B78="","",IFERROR(VLOOKUP(B78,'SPED Student Roster'!$A:$B,2,FALSE),""))</f>
        <v/>
      </c>
      <c r="D78" t="str">
        <f>IF(B78="","",IFERROR(VLOOKUP(B78,'SPED Student Roster'!$A:$C,3,FALSE),""))</f>
        <v/>
      </c>
      <c r="E78" t="str">
        <f>IF(B78="","",IFERROR(VLOOKUP(B78,'SPED Student Roster'!$A:$D,4,FALSE),""))</f>
        <v/>
      </c>
      <c r="F78" t="str">
        <f>IF(B78="","",IFERROR(VLOOKUP(B78,'SPED Student Roster'!$A:$E,5,FALSE),""))</f>
        <v/>
      </c>
      <c r="K78" t="str">
        <f t="shared" ca="1" si="2"/>
        <v/>
      </c>
      <c r="Q78" t="str">
        <f>IF(B78="","",IFERROR(VLOOKUP(B78,'SPED Student Roster'!$A:$F,6,FALSE),""))</f>
        <v/>
      </c>
    </row>
    <row r="79" spans="3:17" ht="14.25" x14ac:dyDescent="0.45">
      <c r="C79" t="str">
        <f>IF(B79="","",IFERROR(VLOOKUP(B79,'SPED Student Roster'!$A:$B,2,FALSE),""))</f>
        <v/>
      </c>
      <c r="D79" t="str">
        <f>IF(B79="","",IFERROR(VLOOKUP(B79,'SPED Student Roster'!$A:$C,3,FALSE),""))</f>
        <v/>
      </c>
      <c r="E79" t="str">
        <f>IF(B79="","",IFERROR(VLOOKUP(B79,'SPED Student Roster'!$A:$D,4,FALSE),""))</f>
        <v/>
      </c>
      <c r="F79" t="str">
        <f>IF(B79="","",IFERROR(VLOOKUP(B79,'SPED Student Roster'!$A:$E,5,FALSE),""))</f>
        <v/>
      </c>
      <c r="K79" t="str">
        <f t="shared" ca="1" si="2"/>
        <v/>
      </c>
      <c r="Q79" t="str">
        <f>IF(B79="","",IFERROR(VLOOKUP(B79,'SPED Student Roster'!$A:$F,6,FALSE),""))</f>
        <v/>
      </c>
    </row>
    <row r="80" spans="3:17" ht="14.25" x14ac:dyDescent="0.45">
      <c r="C80" t="str">
        <f>IF(B80="","",IFERROR(VLOOKUP(B80,'SPED Student Roster'!$A:$B,2,FALSE),""))</f>
        <v/>
      </c>
      <c r="D80" t="str">
        <f>IF(B80="","",IFERROR(VLOOKUP(B80,'SPED Student Roster'!$A:$C,3,FALSE),""))</f>
        <v/>
      </c>
      <c r="E80" t="str">
        <f>IF(B80="","",IFERROR(VLOOKUP(B80,'SPED Student Roster'!$A:$D,4,FALSE),""))</f>
        <v/>
      </c>
      <c r="F80" t="str">
        <f>IF(B80="","",IFERROR(VLOOKUP(B80,'SPED Student Roster'!$A:$E,5,FALSE),""))</f>
        <v/>
      </c>
      <c r="K80" t="str">
        <f t="shared" ca="1" si="2"/>
        <v/>
      </c>
      <c r="Q80" t="str">
        <f>IF(B80="","",IFERROR(VLOOKUP(B80,'SPED Student Roster'!$A:$F,6,FALSE),""))</f>
        <v/>
      </c>
    </row>
    <row r="81" spans="3:17" ht="14.25" x14ac:dyDescent="0.45">
      <c r="C81" t="str">
        <f>IF(B81="","",IFERROR(VLOOKUP(B81,'SPED Student Roster'!$A:$B,2,FALSE),""))</f>
        <v/>
      </c>
      <c r="D81" t="str">
        <f>IF(B81="","",IFERROR(VLOOKUP(B81,'SPED Student Roster'!$A:$C,3,FALSE),""))</f>
        <v/>
      </c>
      <c r="E81" t="str">
        <f>IF(B81="","",IFERROR(VLOOKUP(B81,'SPED Student Roster'!$A:$D,4,FALSE),""))</f>
        <v/>
      </c>
      <c r="F81" t="str">
        <f>IF(B81="","",IFERROR(VLOOKUP(B81,'SPED Student Roster'!$A:$E,5,FALSE),""))</f>
        <v/>
      </c>
      <c r="K81" t="str">
        <f t="shared" ca="1" si="2"/>
        <v/>
      </c>
      <c r="Q81" t="str">
        <f>IF(B81="","",IFERROR(VLOOKUP(B81,'SPED Student Roster'!$A:$F,6,FALSE),""))</f>
        <v/>
      </c>
    </row>
    <row r="82" spans="3:17" ht="14.25" x14ac:dyDescent="0.45">
      <c r="C82" t="str">
        <f>IF(B82="","",IFERROR(VLOOKUP(B82,'SPED Student Roster'!$A:$B,2,FALSE),""))</f>
        <v/>
      </c>
      <c r="D82" t="str">
        <f>IF(B82="","",IFERROR(VLOOKUP(B82,'SPED Student Roster'!$A:$C,3,FALSE),""))</f>
        <v/>
      </c>
      <c r="E82" t="str">
        <f>IF(B82="","",IFERROR(VLOOKUP(B82,'SPED Student Roster'!$A:$D,4,FALSE),""))</f>
        <v/>
      </c>
      <c r="F82" t="str">
        <f>IF(B82="","",IFERROR(VLOOKUP(B82,'SPED Student Roster'!$A:$E,5,FALSE),""))</f>
        <v/>
      </c>
      <c r="K82" t="str">
        <f t="shared" ca="1" si="2"/>
        <v/>
      </c>
      <c r="Q82" t="str">
        <f>IF(B82="","",IFERROR(VLOOKUP(B82,'SPED Student Roster'!$A:$F,6,FALSE),""))</f>
        <v/>
      </c>
    </row>
    <row r="83" spans="3:17" ht="14.25" x14ac:dyDescent="0.45">
      <c r="C83" t="str">
        <f>IF(B83="","",IFERROR(VLOOKUP(B83,'SPED Student Roster'!$A:$B,2,FALSE),""))</f>
        <v/>
      </c>
      <c r="D83" t="str">
        <f>IF(B83="","",IFERROR(VLOOKUP(B83,'SPED Student Roster'!$A:$C,3,FALSE),""))</f>
        <v/>
      </c>
      <c r="E83" t="str">
        <f>IF(B83="","",IFERROR(VLOOKUP(B83,'SPED Student Roster'!$A:$D,4,FALSE),""))</f>
        <v/>
      </c>
      <c r="F83" t="str">
        <f>IF(B83="","",IFERROR(VLOOKUP(B83,'SPED Student Roster'!$A:$E,5,FALSE),""))</f>
        <v/>
      </c>
      <c r="K83" t="str">
        <f t="shared" ca="1" si="2"/>
        <v/>
      </c>
      <c r="Q83" t="str">
        <f>IF(B83="","",IFERROR(VLOOKUP(B83,'SPED Student Roster'!$A:$F,6,FALSE),""))</f>
        <v/>
      </c>
    </row>
    <row r="84" spans="3:17" ht="14.25" x14ac:dyDescent="0.45">
      <c r="C84" t="str">
        <f>IF(B84="","",IFERROR(VLOOKUP(B84,'SPED Student Roster'!$A:$B,2,FALSE),""))</f>
        <v/>
      </c>
      <c r="D84" t="str">
        <f>IF(B84="","",IFERROR(VLOOKUP(B84,'SPED Student Roster'!$A:$C,3,FALSE),""))</f>
        <v/>
      </c>
      <c r="E84" t="str">
        <f>IF(B84="","",IFERROR(VLOOKUP(B84,'SPED Student Roster'!$A:$D,4,FALSE),""))</f>
        <v/>
      </c>
      <c r="F84" t="str">
        <f>IF(B84="","",IFERROR(VLOOKUP(B84,'SPED Student Roster'!$A:$E,5,FALSE),""))</f>
        <v/>
      </c>
      <c r="K84" t="str">
        <f t="shared" ca="1" si="2"/>
        <v/>
      </c>
      <c r="Q84" t="str">
        <f>IF(B84="","",IFERROR(VLOOKUP(B84,'SPED Student Roster'!$A:$F,6,FALSE),""))</f>
        <v/>
      </c>
    </row>
    <row r="85" spans="3:17" ht="14.25" x14ac:dyDescent="0.45">
      <c r="C85" t="str">
        <f>IF(B85="","",IFERROR(VLOOKUP(B85,'SPED Student Roster'!$A:$B,2,FALSE),""))</f>
        <v/>
      </c>
      <c r="D85" t="str">
        <f>IF(B85="","",IFERROR(VLOOKUP(B85,'SPED Student Roster'!$A:$C,3,FALSE),""))</f>
        <v/>
      </c>
      <c r="E85" t="str">
        <f>IF(B85="","",IFERROR(VLOOKUP(B85,'SPED Student Roster'!$A:$D,4,FALSE),""))</f>
        <v/>
      </c>
      <c r="F85" t="str">
        <f>IF(B85="","",IFERROR(VLOOKUP(B85,'SPED Student Roster'!$A:$E,5,FALSE),""))</f>
        <v/>
      </c>
      <c r="K85" t="str">
        <f t="shared" ca="1" si="2"/>
        <v/>
      </c>
      <c r="Q85" t="str">
        <f>IF(B85="","",IFERROR(VLOOKUP(B85,'SPED Student Roster'!$A:$F,6,FALSE),""))</f>
        <v/>
      </c>
    </row>
    <row r="86" spans="3:17" ht="14.25" x14ac:dyDescent="0.45">
      <c r="C86" t="str">
        <f>IF(B86="","",IFERROR(VLOOKUP(B86,'SPED Student Roster'!$A:$B,2,FALSE),""))</f>
        <v/>
      </c>
      <c r="D86" t="str">
        <f>IF(B86="","",IFERROR(VLOOKUP(B86,'SPED Student Roster'!$A:$C,3,FALSE),""))</f>
        <v/>
      </c>
      <c r="E86" t="str">
        <f>IF(B86="","",IFERROR(VLOOKUP(B86,'SPED Student Roster'!$A:$D,4,FALSE),""))</f>
        <v/>
      </c>
      <c r="F86" t="str">
        <f>IF(B86="","",IFERROR(VLOOKUP(B86,'SPED Student Roster'!$A:$E,5,FALSE),""))</f>
        <v/>
      </c>
      <c r="K86" t="str">
        <f t="shared" ca="1" si="2"/>
        <v/>
      </c>
      <c r="Q86" t="str">
        <f>IF(B86="","",IFERROR(VLOOKUP(B86,'SPED Student Roster'!$A:$F,6,FALSE),""))</f>
        <v/>
      </c>
    </row>
    <row r="87" spans="3:17" ht="14.25" x14ac:dyDescent="0.45">
      <c r="C87" t="str">
        <f>IF(B87="","",IFERROR(VLOOKUP(B87,'SPED Student Roster'!$A:$B,2,FALSE),""))</f>
        <v/>
      </c>
      <c r="D87" t="str">
        <f>IF(B87="","",IFERROR(VLOOKUP(B87,'SPED Student Roster'!$A:$C,3,FALSE),""))</f>
        <v/>
      </c>
      <c r="E87" t="str">
        <f>IF(B87="","",IFERROR(VLOOKUP(B87,'SPED Student Roster'!$A:$D,4,FALSE),""))</f>
        <v/>
      </c>
      <c r="F87" t="str">
        <f>IF(B87="","",IFERROR(VLOOKUP(B87,'SPED Student Roster'!$A:$E,5,FALSE),""))</f>
        <v/>
      </c>
      <c r="K87" t="str">
        <f t="shared" ca="1" si="2"/>
        <v/>
      </c>
      <c r="Q87" t="str">
        <f>IF(B87="","",IFERROR(VLOOKUP(B87,'SPED Student Roster'!$A:$F,6,FALSE),""))</f>
        <v/>
      </c>
    </row>
    <row r="88" spans="3:17" ht="14.25" x14ac:dyDescent="0.45">
      <c r="C88" t="str">
        <f>IF(B88="","",IFERROR(VLOOKUP(B88,'SPED Student Roster'!$A:$B,2,FALSE),""))</f>
        <v/>
      </c>
      <c r="D88" t="str">
        <f>IF(B88="","",IFERROR(VLOOKUP(B88,'SPED Student Roster'!$A:$C,3,FALSE),""))</f>
        <v/>
      </c>
      <c r="E88" t="str">
        <f>IF(B88="","",IFERROR(VLOOKUP(B88,'SPED Student Roster'!$A:$D,4,FALSE),""))</f>
        <v/>
      </c>
      <c r="F88" t="str">
        <f>IF(B88="","",IFERROR(VLOOKUP(B88,'SPED Student Roster'!$A:$E,5,FALSE),""))</f>
        <v/>
      </c>
      <c r="K88" t="str">
        <f t="shared" ca="1" si="2"/>
        <v/>
      </c>
      <c r="Q88" t="str">
        <f>IF(B88="","",IFERROR(VLOOKUP(B88,'SPED Student Roster'!$A:$F,6,FALSE),""))</f>
        <v/>
      </c>
    </row>
    <row r="89" spans="3:17" ht="14.25" x14ac:dyDescent="0.45">
      <c r="C89" t="str">
        <f>IF(B89="","",IFERROR(VLOOKUP(B89,'SPED Student Roster'!$A:$B,2,FALSE),""))</f>
        <v/>
      </c>
      <c r="D89" t="str">
        <f>IF(B89="","",IFERROR(VLOOKUP(B89,'SPED Student Roster'!$A:$C,3,FALSE),""))</f>
        <v/>
      </c>
      <c r="E89" t="str">
        <f>IF(B89="","",IFERROR(VLOOKUP(B89,'SPED Student Roster'!$A:$D,4,FALSE),""))</f>
        <v/>
      </c>
      <c r="F89" t="str">
        <f>IF(B89="","",IFERROR(VLOOKUP(B89,'SPED Student Roster'!$A:$E,5,FALSE),""))</f>
        <v/>
      </c>
      <c r="K89" t="str">
        <f t="shared" ca="1" si="2"/>
        <v/>
      </c>
      <c r="Q89" t="str">
        <f>IF(B89="","",IFERROR(VLOOKUP(B89,'SPED Student Roster'!$A:$F,6,FALSE),""))</f>
        <v/>
      </c>
    </row>
    <row r="90" spans="3:17" ht="14.25" x14ac:dyDescent="0.45">
      <c r="C90" t="str">
        <f>IF(B90="","",IFERROR(VLOOKUP(B90,'SPED Student Roster'!$A:$B,2,FALSE),""))</f>
        <v/>
      </c>
      <c r="D90" t="str">
        <f>IF(B90="","",IFERROR(VLOOKUP(B90,'SPED Student Roster'!$A:$C,3,FALSE),""))</f>
        <v/>
      </c>
      <c r="E90" t="str">
        <f>IF(B90="","",IFERROR(VLOOKUP(B90,'SPED Student Roster'!$A:$D,4,FALSE),""))</f>
        <v/>
      </c>
      <c r="F90" t="str">
        <f>IF(B90="","",IFERROR(VLOOKUP(B90,'SPED Student Roster'!$A:$E,5,FALSE),""))</f>
        <v/>
      </c>
      <c r="K90" t="str">
        <f t="shared" ca="1" si="2"/>
        <v/>
      </c>
      <c r="Q90" t="str">
        <f>IF(B90="","",IFERROR(VLOOKUP(B90,'SPED Student Roster'!$A:$F,6,FALSE),""))</f>
        <v/>
      </c>
    </row>
    <row r="91" spans="3:17" ht="14.25" x14ac:dyDescent="0.45">
      <c r="C91" t="str">
        <f>IF(B91="","",IFERROR(VLOOKUP(B91,'SPED Student Roster'!$A:$B,2,FALSE),""))</f>
        <v/>
      </c>
      <c r="D91" t="str">
        <f>IF(B91="","",IFERROR(VLOOKUP(B91,'SPED Student Roster'!$A:$C,3,FALSE),""))</f>
        <v/>
      </c>
      <c r="E91" t="str">
        <f>IF(B91="","",IFERROR(VLOOKUP(B91,'SPED Student Roster'!$A:$D,4,FALSE),""))</f>
        <v/>
      </c>
      <c r="F91" t="str">
        <f>IF(B91="","",IFERROR(VLOOKUP(B91,'SPED Student Roster'!$A:$E,5,FALSE),""))</f>
        <v/>
      </c>
      <c r="K91" t="str">
        <f t="shared" ca="1" si="2"/>
        <v/>
      </c>
      <c r="Q91" t="str">
        <f>IF(B91="","",IFERROR(VLOOKUP(B91,'SPED Student Roster'!$A:$F,6,FALSE),""))</f>
        <v/>
      </c>
    </row>
    <row r="92" spans="3:17" ht="14.25" x14ac:dyDescent="0.45">
      <c r="C92" t="str">
        <f>IF(B92="","",IFERROR(VLOOKUP(B92,'SPED Student Roster'!$A:$B,2,FALSE),""))</f>
        <v/>
      </c>
      <c r="D92" t="str">
        <f>IF(B92="","",IFERROR(VLOOKUP(B92,'SPED Student Roster'!$A:$C,3,FALSE),""))</f>
        <v/>
      </c>
      <c r="E92" t="str">
        <f>IF(B92="","",IFERROR(VLOOKUP(B92,'SPED Student Roster'!$A:$D,4,FALSE),""))</f>
        <v/>
      </c>
      <c r="F92" t="str">
        <f>IF(B92="","",IFERROR(VLOOKUP(B92,'SPED Student Roster'!$A:$E,5,FALSE),""))</f>
        <v/>
      </c>
      <c r="K92" t="str">
        <f t="shared" ca="1" si="2"/>
        <v/>
      </c>
      <c r="Q92" t="str">
        <f>IF(B92="","",IFERROR(VLOOKUP(B92,'SPED Student Roster'!$A:$F,6,FALSE),""))</f>
        <v/>
      </c>
    </row>
    <row r="93" spans="3:17" ht="14.25" x14ac:dyDescent="0.45">
      <c r="C93" t="str">
        <f>IF(B93="","",IFERROR(VLOOKUP(B93,'SPED Student Roster'!$A:$B,2,FALSE),""))</f>
        <v/>
      </c>
      <c r="D93" t="str">
        <f>IF(B93="","",IFERROR(VLOOKUP(B93,'SPED Student Roster'!$A:$C,3,FALSE),""))</f>
        <v/>
      </c>
      <c r="E93" t="str">
        <f>IF(B93="","",IFERROR(VLOOKUP(B93,'SPED Student Roster'!$A:$D,4,FALSE),""))</f>
        <v/>
      </c>
      <c r="F93" t="str">
        <f>IF(B93="","",IFERROR(VLOOKUP(B93,'SPED Student Roster'!$A:$E,5,FALSE),""))</f>
        <v/>
      </c>
      <c r="K93" t="str">
        <f t="shared" ca="1" si="2"/>
        <v/>
      </c>
      <c r="Q93" t="str">
        <f>IF(B93="","",IFERROR(VLOOKUP(B93,'SPED Student Roster'!$A:$F,6,FALSE),""))</f>
        <v/>
      </c>
    </row>
    <row r="94" spans="3:17" ht="14.25" x14ac:dyDescent="0.45">
      <c r="C94" t="str">
        <f>IF(B94="","",IFERROR(VLOOKUP(B94,'SPED Student Roster'!$A:$B,2,FALSE),""))</f>
        <v/>
      </c>
      <c r="D94" t="str">
        <f>IF(B94="","",IFERROR(VLOOKUP(B94,'SPED Student Roster'!$A:$C,3,FALSE),""))</f>
        <v/>
      </c>
      <c r="E94" t="str">
        <f>IF(B94="","",IFERROR(VLOOKUP(B94,'SPED Student Roster'!$A:$D,4,FALSE),""))</f>
        <v/>
      </c>
      <c r="F94" t="str">
        <f>IF(B94="","",IFERROR(VLOOKUP(B94,'SPED Student Roster'!$A:$E,5,FALSE),""))</f>
        <v/>
      </c>
      <c r="K94" t="str">
        <f t="shared" ca="1" si="2"/>
        <v/>
      </c>
      <c r="Q94" t="str">
        <f>IF(B94="","",IFERROR(VLOOKUP(B94,'SPED Student Roster'!$A:$F,6,FALSE),""))</f>
        <v/>
      </c>
    </row>
    <row r="95" spans="3:17" ht="14.25" x14ac:dyDescent="0.45">
      <c r="C95" t="str">
        <f>IF(B95="","",IFERROR(VLOOKUP(B95,'SPED Student Roster'!$A:$B,2,FALSE),""))</f>
        <v/>
      </c>
      <c r="D95" t="str">
        <f>IF(B95="","",IFERROR(VLOOKUP(B95,'SPED Student Roster'!$A:$C,3,FALSE),""))</f>
        <v/>
      </c>
      <c r="E95" t="str">
        <f>IF(B95="","",IFERROR(VLOOKUP(B95,'SPED Student Roster'!$A:$D,4,FALSE),""))</f>
        <v/>
      </c>
      <c r="F95" t="str">
        <f>IF(B95="","",IFERROR(VLOOKUP(B95,'SPED Student Roster'!$A:$E,5,FALSE),""))</f>
        <v/>
      </c>
      <c r="K95" t="str">
        <f t="shared" ca="1" si="2"/>
        <v/>
      </c>
      <c r="Q95" t="str">
        <f>IF(B95="","",IFERROR(VLOOKUP(B95,'SPED Student Roster'!$A:$F,6,FALSE),""))</f>
        <v/>
      </c>
    </row>
    <row r="96" spans="3:17" ht="14.25" x14ac:dyDescent="0.45">
      <c r="C96" t="str">
        <f>IF(B96="","",IFERROR(VLOOKUP(B96,'SPED Student Roster'!$A:$B,2,FALSE),""))</f>
        <v/>
      </c>
      <c r="D96" t="str">
        <f>IF(B96="","",IFERROR(VLOOKUP(B96,'SPED Student Roster'!$A:$C,3,FALSE),""))</f>
        <v/>
      </c>
      <c r="E96" t="str">
        <f>IF(B96="","",IFERROR(VLOOKUP(B96,'SPED Student Roster'!$A:$D,4,FALSE),""))</f>
        <v/>
      </c>
      <c r="F96" t="str">
        <f>IF(B96="","",IFERROR(VLOOKUP(B96,'SPED Student Roster'!$A:$E,5,FALSE),""))</f>
        <v/>
      </c>
      <c r="K96" t="str">
        <f t="shared" ca="1" si="2"/>
        <v/>
      </c>
      <c r="Q96" t="str">
        <f>IF(B96="","",IFERROR(VLOOKUP(B96,'SPED Student Roster'!$A:$F,6,FALSE),""))</f>
        <v/>
      </c>
    </row>
    <row r="97" spans="3:17" ht="14.25" x14ac:dyDescent="0.45">
      <c r="C97" t="str">
        <f>IF(B97="","",IFERROR(VLOOKUP(B97,'SPED Student Roster'!$A:$B,2,FALSE),""))</f>
        <v/>
      </c>
      <c r="D97" t="str">
        <f>IF(B97="","",IFERROR(VLOOKUP(B97,'SPED Student Roster'!$A:$C,3,FALSE),""))</f>
        <v/>
      </c>
      <c r="E97" t="str">
        <f>IF(B97="","",IFERROR(VLOOKUP(B97,'SPED Student Roster'!$A:$D,4,FALSE),""))</f>
        <v/>
      </c>
      <c r="F97" t="str">
        <f>IF(B97="","",IFERROR(VLOOKUP(B97,'SPED Student Roster'!$A:$E,5,FALSE),""))</f>
        <v/>
      </c>
      <c r="K97" t="str">
        <f t="shared" ca="1" si="2"/>
        <v/>
      </c>
      <c r="Q97" t="str">
        <f>IF(B97="","",IFERROR(VLOOKUP(B97,'SPED Student Roster'!$A:$F,6,FALSE),""))</f>
        <v/>
      </c>
    </row>
    <row r="98" spans="3:17" ht="14.25" x14ac:dyDescent="0.45">
      <c r="C98" t="str">
        <f>IF(B98="","",IFERROR(VLOOKUP(B98,'SPED Student Roster'!$A:$B,2,FALSE),""))</f>
        <v/>
      </c>
      <c r="D98" t="str">
        <f>IF(B98="","",IFERROR(VLOOKUP(B98,'SPED Student Roster'!$A:$C,3,FALSE),""))</f>
        <v/>
      </c>
      <c r="E98" t="str">
        <f>IF(B98="","",IFERROR(VLOOKUP(B98,'SPED Student Roster'!$A:$D,4,FALSE),""))</f>
        <v/>
      </c>
      <c r="F98" t="str">
        <f>IF(B98="","",IFERROR(VLOOKUP(B98,'SPED Student Roster'!$A:$E,5,FALSE),""))</f>
        <v/>
      </c>
      <c r="K98" t="str">
        <f t="shared" ca="1" si="2"/>
        <v/>
      </c>
      <c r="Q98" t="str">
        <f>IF(B98="","",IFERROR(VLOOKUP(B98,'SPED Student Roster'!$A:$F,6,FALSE),""))</f>
        <v/>
      </c>
    </row>
    <row r="99" spans="3:17" ht="14.25" x14ac:dyDescent="0.45">
      <c r="C99" t="str">
        <f>IF(B99="","",IFERROR(VLOOKUP(B99,'SPED Student Roster'!$A:$B,2,FALSE),""))</f>
        <v/>
      </c>
      <c r="D99" t="str">
        <f>IF(B99="","",IFERROR(VLOOKUP(B99,'SPED Student Roster'!$A:$C,3,FALSE),""))</f>
        <v/>
      </c>
      <c r="E99" t="str">
        <f>IF(B99="","",IFERROR(VLOOKUP(B99,'SPED Student Roster'!$A:$D,4,FALSE),""))</f>
        <v/>
      </c>
      <c r="F99" t="str">
        <f>IF(B99="","",IFERROR(VLOOKUP(B99,'SPED Student Roster'!$A:$E,5,FALSE),""))</f>
        <v/>
      </c>
      <c r="K99" t="str">
        <f t="shared" ca="1" si="2"/>
        <v/>
      </c>
      <c r="Q99" t="str">
        <f>IF(B99="","",IFERROR(VLOOKUP(B99,'SPED Student Roster'!$A:$F,6,FALSE),""))</f>
        <v/>
      </c>
    </row>
    <row r="100" spans="3:17" ht="14.25" x14ac:dyDescent="0.45">
      <c r="C100" t="str">
        <f>IF(B100="","",IFERROR(VLOOKUP(B100,'SPED Student Roster'!$A:$B,2,FALSE),""))</f>
        <v/>
      </c>
      <c r="D100" t="str">
        <f>IF(B100="","",IFERROR(VLOOKUP(B100,'SPED Student Roster'!$A:$C,3,FALSE),""))</f>
        <v/>
      </c>
      <c r="E100" t="str">
        <f>IF(B100="","",IFERROR(VLOOKUP(B100,'SPED Student Roster'!$A:$D,4,FALSE),""))</f>
        <v/>
      </c>
      <c r="F100" t="str">
        <f>IF(B100="","",IFERROR(VLOOKUP(B100,'SPED Student Roster'!$A:$E,5,FALSE),""))</f>
        <v/>
      </c>
      <c r="K100" t="str">
        <f t="shared" ref="K100:K131" ca="1" si="3">IF(OR(B100="",J100=""),"",J100-TODAY())</f>
        <v/>
      </c>
      <c r="Q100" t="str">
        <f>IF(B100="","",IFERROR(VLOOKUP(B100,'SPED Student Roster'!$A:$F,6,FALSE),""))</f>
        <v/>
      </c>
    </row>
    <row r="101" spans="3:17" ht="14.25" x14ac:dyDescent="0.45">
      <c r="C101" t="str">
        <f>IF(B101="","",IFERROR(VLOOKUP(B101,'SPED Student Roster'!$A:$B,2,FALSE),""))</f>
        <v/>
      </c>
      <c r="D101" t="str">
        <f>IF(B101="","",IFERROR(VLOOKUP(B101,'SPED Student Roster'!$A:$C,3,FALSE),""))</f>
        <v/>
      </c>
      <c r="E101" t="str">
        <f>IF(B101="","",IFERROR(VLOOKUP(B101,'SPED Student Roster'!$A:$D,4,FALSE),""))</f>
        <v/>
      </c>
      <c r="F101" t="str">
        <f>IF(B101="","",IFERROR(VLOOKUP(B101,'SPED Student Roster'!$A:$E,5,FALSE),""))</f>
        <v/>
      </c>
      <c r="K101" t="str">
        <f t="shared" ca="1" si="3"/>
        <v/>
      </c>
      <c r="Q101" t="str">
        <f>IF(B101="","",IFERROR(VLOOKUP(B101,'SPED Student Roster'!$A:$F,6,FALSE),""))</f>
        <v/>
      </c>
    </row>
    <row r="102" spans="3:17" ht="14.25" x14ac:dyDescent="0.45">
      <c r="C102" t="str">
        <f>IF(B102="","",IFERROR(VLOOKUP(B102,'SPED Student Roster'!$A:$B,2,FALSE),""))</f>
        <v/>
      </c>
      <c r="D102" t="str">
        <f>IF(B102="","",IFERROR(VLOOKUP(B102,'SPED Student Roster'!$A:$C,3,FALSE),""))</f>
        <v/>
      </c>
      <c r="E102" t="str">
        <f>IF(B102="","",IFERROR(VLOOKUP(B102,'SPED Student Roster'!$A:$D,4,FALSE),""))</f>
        <v/>
      </c>
      <c r="F102" t="str">
        <f>IF(B102="","",IFERROR(VLOOKUP(B102,'SPED Student Roster'!$A:$E,5,FALSE),""))</f>
        <v/>
      </c>
      <c r="K102" t="str">
        <f t="shared" ca="1" si="3"/>
        <v/>
      </c>
      <c r="Q102" t="str">
        <f>IF(B102="","",IFERROR(VLOOKUP(B102,'SPED Student Roster'!$A:$F,6,FALSE),""))</f>
        <v/>
      </c>
    </row>
    <row r="103" spans="3:17" ht="14.25" x14ac:dyDescent="0.45">
      <c r="C103" t="str">
        <f>IF(B103="","",IFERROR(VLOOKUP(B103,'SPED Student Roster'!$A:$B,2,FALSE),""))</f>
        <v/>
      </c>
      <c r="D103" t="str">
        <f>IF(B103="","",IFERROR(VLOOKUP(B103,'SPED Student Roster'!$A:$C,3,FALSE),""))</f>
        <v/>
      </c>
      <c r="E103" t="str">
        <f>IF(B103="","",IFERROR(VLOOKUP(B103,'SPED Student Roster'!$A:$D,4,FALSE),""))</f>
        <v/>
      </c>
      <c r="F103" t="str">
        <f>IF(B103="","",IFERROR(VLOOKUP(B103,'SPED Student Roster'!$A:$E,5,FALSE),""))</f>
        <v/>
      </c>
      <c r="K103" t="str">
        <f t="shared" ca="1" si="3"/>
        <v/>
      </c>
      <c r="Q103" t="str">
        <f>IF(B103="","",IFERROR(VLOOKUP(B103,'SPED Student Roster'!$A:$F,6,FALSE),""))</f>
        <v/>
      </c>
    </row>
    <row r="104" spans="3:17" ht="14.25" x14ac:dyDescent="0.45">
      <c r="C104" t="str">
        <f>IF(B104="","",IFERROR(VLOOKUP(B104,'SPED Student Roster'!$A:$B,2,FALSE),""))</f>
        <v/>
      </c>
      <c r="D104" t="str">
        <f>IF(B104="","",IFERROR(VLOOKUP(B104,'SPED Student Roster'!$A:$C,3,FALSE),""))</f>
        <v/>
      </c>
      <c r="E104" t="str">
        <f>IF(B104="","",IFERROR(VLOOKUP(B104,'SPED Student Roster'!$A:$D,4,FALSE),""))</f>
        <v/>
      </c>
      <c r="F104" t="str">
        <f>IF(B104="","",IFERROR(VLOOKUP(B104,'SPED Student Roster'!$A:$E,5,FALSE),""))</f>
        <v/>
      </c>
      <c r="K104" t="str">
        <f t="shared" ca="1" si="3"/>
        <v/>
      </c>
      <c r="Q104" t="str">
        <f>IF(B104="","",IFERROR(VLOOKUP(B104,'SPED Student Roster'!$A:$F,6,FALSE),""))</f>
        <v/>
      </c>
    </row>
    <row r="105" spans="3:17" ht="14.25" x14ac:dyDescent="0.45">
      <c r="C105" t="str">
        <f>IF(B105="","",IFERROR(VLOOKUP(B105,'SPED Student Roster'!$A:$B,2,FALSE),""))</f>
        <v/>
      </c>
      <c r="D105" t="str">
        <f>IF(B105="","",IFERROR(VLOOKUP(B105,'SPED Student Roster'!$A:$C,3,FALSE),""))</f>
        <v/>
      </c>
      <c r="E105" t="str">
        <f>IF(B105="","",IFERROR(VLOOKUP(B105,'SPED Student Roster'!$A:$D,4,FALSE),""))</f>
        <v/>
      </c>
      <c r="F105" t="str">
        <f>IF(B105="","",IFERROR(VLOOKUP(B105,'SPED Student Roster'!$A:$E,5,FALSE),""))</f>
        <v/>
      </c>
      <c r="K105" t="str">
        <f t="shared" ca="1" si="3"/>
        <v/>
      </c>
      <c r="Q105" t="str">
        <f>IF(B105="","",IFERROR(VLOOKUP(B105,'SPED Student Roster'!$A:$F,6,FALSE),""))</f>
        <v/>
      </c>
    </row>
    <row r="106" spans="3:17" ht="14.25" x14ac:dyDescent="0.45">
      <c r="C106" t="str">
        <f>IF(B106="","",IFERROR(VLOOKUP(B106,'SPED Student Roster'!$A:$B,2,FALSE),""))</f>
        <v/>
      </c>
      <c r="D106" t="str">
        <f>IF(B106="","",IFERROR(VLOOKUP(B106,'SPED Student Roster'!$A:$C,3,FALSE),""))</f>
        <v/>
      </c>
      <c r="E106" t="str">
        <f>IF(B106="","",IFERROR(VLOOKUP(B106,'SPED Student Roster'!$A:$D,4,FALSE),""))</f>
        <v/>
      </c>
      <c r="F106" t="str">
        <f>IF(B106="","",IFERROR(VLOOKUP(B106,'SPED Student Roster'!$A:$E,5,FALSE),""))</f>
        <v/>
      </c>
      <c r="K106" t="str">
        <f t="shared" ca="1" si="3"/>
        <v/>
      </c>
      <c r="Q106" t="str">
        <f>IF(B106="","",IFERROR(VLOOKUP(B106,'SPED Student Roster'!$A:$F,6,FALSE),""))</f>
        <v/>
      </c>
    </row>
    <row r="107" spans="3:17" ht="14.25" x14ac:dyDescent="0.45">
      <c r="C107" t="str">
        <f>IF(B107="","",IFERROR(VLOOKUP(B107,'SPED Student Roster'!$A:$B,2,FALSE),""))</f>
        <v/>
      </c>
      <c r="D107" t="str">
        <f>IF(B107="","",IFERROR(VLOOKUP(B107,'SPED Student Roster'!$A:$C,3,FALSE),""))</f>
        <v/>
      </c>
      <c r="E107" t="str">
        <f>IF(B107="","",IFERROR(VLOOKUP(B107,'SPED Student Roster'!$A:$D,4,FALSE),""))</f>
        <v/>
      </c>
      <c r="F107" t="str">
        <f>IF(B107="","",IFERROR(VLOOKUP(B107,'SPED Student Roster'!$A:$E,5,FALSE),""))</f>
        <v/>
      </c>
      <c r="K107" t="str">
        <f t="shared" ca="1" si="3"/>
        <v/>
      </c>
      <c r="Q107" t="str">
        <f>IF(B107="","",IFERROR(VLOOKUP(B107,'SPED Student Roster'!$A:$F,6,FALSE),""))</f>
        <v/>
      </c>
    </row>
    <row r="108" spans="3:17" ht="14.25" x14ac:dyDescent="0.45">
      <c r="C108" t="str">
        <f>IF(B108="","",IFERROR(VLOOKUP(B108,'SPED Student Roster'!$A:$B,2,FALSE),""))</f>
        <v/>
      </c>
      <c r="D108" t="str">
        <f>IF(B108="","",IFERROR(VLOOKUP(B108,'SPED Student Roster'!$A:$C,3,FALSE),""))</f>
        <v/>
      </c>
      <c r="E108" t="str">
        <f>IF(B108="","",IFERROR(VLOOKUP(B108,'SPED Student Roster'!$A:$D,4,FALSE),""))</f>
        <v/>
      </c>
      <c r="F108" t="str">
        <f>IF(B108="","",IFERROR(VLOOKUP(B108,'SPED Student Roster'!$A:$E,5,FALSE),""))</f>
        <v/>
      </c>
      <c r="K108" t="str">
        <f t="shared" ca="1" si="3"/>
        <v/>
      </c>
      <c r="Q108" t="str">
        <f>IF(B108="","",IFERROR(VLOOKUP(B108,'SPED Student Roster'!$A:$F,6,FALSE),""))</f>
        <v/>
      </c>
    </row>
    <row r="109" spans="3:17" ht="14.25" x14ac:dyDescent="0.45">
      <c r="C109" t="str">
        <f>IF(B109="","",IFERROR(VLOOKUP(B109,'SPED Student Roster'!$A:$B,2,FALSE),""))</f>
        <v/>
      </c>
      <c r="D109" t="str">
        <f>IF(B109="","",IFERROR(VLOOKUP(B109,'SPED Student Roster'!$A:$C,3,FALSE),""))</f>
        <v/>
      </c>
      <c r="E109" t="str">
        <f>IF(B109="","",IFERROR(VLOOKUP(B109,'SPED Student Roster'!$A:$D,4,FALSE),""))</f>
        <v/>
      </c>
      <c r="F109" t="str">
        <f>IF(B109="","",IFERROR(VLOOKUP(B109,'SPED Student Roster'!$A:$E,5,FALSE),""))</f>
        <v/>
      </c>
      <c r="K109" t="str">
        <f t="shared" ca="1" si="3"/>
        <v/>
      </c>
      <c r="Q109" t="str">
        <f>IF(B109="","",IFERROR(VLOOKUP(B109,'SPED Student Roster'!$A:$F,6,FALSE),""))</f>
        <v/>
      </c>
    </row>
    <row r="110" spans="3:17" ht="14.25" x14ac:dyDescent="0.45">
      <c r="C110" t="str">
        <f>IF(B110="","",IFERROR(VLOOKUP(B110,'SPED Student Roster'!$A:$B,2,FALSE),""))</f>
        <v/>
      </c>
      <c r="D110" t="str">
        <f>IF(B110="","",IFERROR(VLOOKUP(B110,'SPED Student Roster'!$A:$C,3,FALSE),""))</f>
        <v/>
      </c>
      <c r="E110" t="str">
        <f>IF(B110="","",IFERROR(VLOOKUP(B110,'SPED Student Roster'!$A:$D,4,FALSE),""))</f>
        <v/>
      </c>
      <c r="F110" t="str">
        <f>IF(B110="","",IFERROR(VLOOKUP(B110,'SPED Student Roster'!$A:$E,5,FALSE),""))</f>
        <v/>
      </c>
      <c r="K110" t="str">
        <f t="shared" ca="1" si="3"/>
        <v/>
      </c>
      <c r="Q110" t="str">
        <f>IF(B110="","",IFERROR(VLOOKUP(B110,'SPED Student Roster'!$A:$F,6,FALSE),""))</f>
        <v/>
      </c>
    </row>
    <row r="111" spans="3:17" ht="14.25" x14ac:dyDescent="0.45">
      <c r="C111" t="str">
        <f>IF(B111="","",IFERROR(VLOOKUP(B111,'SPED Student Roster'!$A:$B,2,FALSE),""))</f>
        <v/>
      </c>
      <c r="D111" t="str">
        <f>IF(B111="","",IFERROR(VLOOKUP(B111,'SPED Student Roster'!$A:$C,3,FALSE),""))</f>
        <v/>
      </c>
      <c r="E111" t="str">
        <f>IF(B111="","",IFERROR(VLOOKUP(B111,'SPED Student Roster'!$A:$D,4,FALSE),""))</f>
        <v/>
      </c>
      <c r="F111" t="str">
        <f>IF(B111="","",IFERROR(VLOOKUP(B111,'SPED Student Roster'!$A:$E,5,FALSE),""))</f>
        <v/>
      </c>
      <c r="K111" t="str">
        <f t="shared" ca="1" si="3"/>
        <v/>
      </c>
      <c r="Q111" t="str">
        <f>IF(B111="","",IFERROR(VLOOKUP(B111,'SPED Student Roster'!$A:$F,6,FALSE),""))</f>
        <v/>
      </c>
    </row>
    <row r="112" spans="3:17" ht="14.25" x14ac:dyDescent="0.45">
      <c r="C112" t="str">
        <f>IF(B112="","",IFERROR(VLOOKUP(B112,'SPED Student Roster'!$A:$B,2,FALSE),""))</f>
        <v/>
      </c>
      <c r="D112" t="str">
        <f>IF(B112="","",IFERROR(VLOOKUP(B112,'SPED Student Roster'!$A:$C,3,FALSE),""))</f>
        <v/>
      </c>
      <c r="E112" t="str">
        <f>IF(B112="","",IFERROR(VLOOKUP(B112,'SPED Student Roster'!$A:$D,4,FALSE),""))</f>
        <v/>
      </c>
      <c r="F112" t="str">
        <f>IF(B112="","",IFERROR(VLOOKUP(B112,'SPED Student Roster'!$A:$E,5,FALSE),""))</f>
        <v/>
      </c>
      <c r="K112" t="str">
        <f t="shared" ca="1" si="3"/>
        <v/>
      </c>
      <c r="Q112" t="str">
        <f>IF(B112="","",IFERROR(VLOOKUP(B112,'SPED Student Roster'!$A:$F,6,FALSE),""))</f>
        <v/>
      </c>
    </row>
    <row r="113" spans="3:17" ht="14.25" x14ac:dyDescent="0.45">
      <c r="C113" t="str">
        <f>IF(B113="","",IFERROR(VLOOKUP(B113,'SPED Student Roster'!$A:$B,2,FALSE),""))</f>
        <v/>
      </c>
      <c r="D113" t="str">
        <f>IF(B113="","",IFERROR(VLOOKUP(B113,'SPED Student Roster'!$A:$C,3,FALSE),""))</f>
        <v/>
      </c>
      <c r="E113" t="str">
        <f>IF(B113="","",IFERROR(VLOOKUP(B113,'SPED Student Roster'!$A:$D,4,FALSE),""))</f>
        <v/>
      </c>
      <c r="F113" t="str">
        <f>IF(B113="","",IFERROR(VLOOKUP(B113,'SPED Student Roster'!$A:$E,5,FALSE),""))</f>
        <v/>
      </c>
      <c r="K113" t="str">
        <f t="shared" ca="1" si="3"/>
        <v/>
      </c>
      <c r="Q113" t="str">
        <f>IF(B113="","",IFERROR(VLOOKUP(B113,'SPED Student Roster'!$A:$F,6,FALSE),""))</f>
        <v/>
      </c>
    </row>
    <row r="114" spans="3:17" ht="14.25" x14ac:dyDescent="0.45">
      <c r="C114" t="str">
        <f>IF(B114="","",IFERROR(VLOOKUP(B114,'SPED Student Roster'!$A:$B,2,FALSE),""))</f>
        <v/>
      </c>
      <c r="D114" t="str">
        <f>IF(B114="","",IFERROR(VLOOKUP(B114,'SPED Student Roster'!$A:$C,3,FALSE),""))</f>
        <v/>
      </c>
      <c r="E114" t="str">
        <f>IF(B114="","",IFERROR(VLOOKUP(B114,'SPED Student Roster'!$A:$D,4,FALSE),""))</f>
        <v/>
      </c>
      <c r="F114" t="str">
        <f>IF(B114="","",IFERROR(VLOOKUP(B114,'SPED Student Roster'!$A:$E,5,FALSE),""))</f>
        <v/>
      </c>
      <c r="K114" t="str">
        <f t="shared" ca="1" si="3"/>
        <v/>
      </c>
      <c r="Q114" t="str">
        <f>IF(B114="","",IFERROR(VLOOKUP(B114,'SPED Student Roster'!$A:$F,6,FALSE),""))</f>
        <v/>
      </c>
    </row>
    <row r="115" spans="3:17" ht="14.25" x14ac:dyDescent="0.45">
      <c r="C115" t="str">
        <f>IF(B115="","",IFERROR(VLOOKUP(B115,'SPED Student Roster'!$A:$B,2,FALSE),""))</f>
        <v/>
      </c>
      <c r="D115" t="str">
        <f>IF(B115="","",IFERROR(VLOOKUP(B115,'SPED Student Roster'!$A:$C,3,FALSE),""))</f>
        <v/>
      </c>
      <c r="E115" t="str">
        <f>IF(B115="","",IFERROR(VLOOKUP(B115,'SPED Student Roster'!$A:$D,4,FALSE),""))</f>
        <v/>
      </c>
      <c r="F115" t="str">
        <f>IF(B115="","",IFERROR(VLOOKUP(B115,'SPED Student Roster'!$A:$E,5,FALSE),""))</f>
        <v/>
      </c>
      <c r="K115" t="str">
        <f t="shared" ca="1" si="3"/>
        <v/>
      </c>
      <c r="Q115" t="str">
        <f>IF(B115="","",IFERROR(VLOOKUP(B115,'SPED Student Roster'!$A:$F,6,FALSE),""))</f>
        <v/>
      </c>
    </row>
    <row r="116" spans="3:17" ht="14.25" x14ac:dyDescent="0.45">
      <c r="C116" t="str">
        <f>IF(B116="","",IFERROR(VLOOKUP(B116,'SPED Student Roster'!$A:$B,2,FALSE),""))</f>
        <v/>
      </c>
      <c r="D116" t="str">
        <f>IF(B116="","",IFERROR(VLOOKUP(B116,'SPED Student Roster'!$A:$C,3,FALSE),""))</f>
        <v/>
      </c>
      <c r="E116" t="str">
        <f>IF(B116="","",IFERROR(VLOOKUP(B116,'SPED Student Roster'!$A:$D,4,FALSE),""))</f>
        <v/>
      </c>
      <c r="F116" t="str">
        <f>IF(B116="","",IFERROR(VLOOKUP(B116,'SPED Student Roster'!$A:$E,5,FALSE),""))</f>
        <v/>
      </c>
      <c r="K116" t="str">
        <f t="shared" ca="1" si="3"/>
        <v/>
      </c>
      <c r="Q116" t="str">
        <f>IF(B116="","",IFERROR(VLOOKUP(B116,'SPED Student Roster'!$A:$F,6,FALSE),""))</f>
        <v/>
      </c>
    </row>
    <row r="117" spans="3:17" ht="14.25" x14ac:dyDescent="0.45">
      <c r="C117" t="str">
        <f>IF(B117="","",IFERROR(VLOOKUP(B117,'SPED Student Roster'!$A:$B,2,FALSE),""))</f>
        <v/>
      </c>
      <c r="D117" t="str">
        <f>IF(B117="","",IFERROR(VLOOKUP(B117,'SPED Student Roster'!$A:$C,3,FALSE),""))</f>
        <v/>
      </c>
      <c r="E117" t="str">
        <f>IF(B117="","",IFERROR(VLOOKUP(B117,'SPED Student Roster'!$A:$D,4,FALSE),""))</f>
        <v/>
      </c>
      <c r="F117" t="str">
        <f>IF(B117="","",IFERROR(VLOOKUP(B117,'SPED Student Roster'!$A:$E,5,FALSE),""))</f>
        <v/>
      </c>
      <c r="K117" t="str">
        <f t="shared" ca="1" si="3"/>
        <v/>
      </c>
      <c r="Q117" t="str">
        <f>IF(B117="","",IFERROR(VLOOKUP(B117,'SPED Student Roster'!$A:$F,6,FALSE),""))</f>
        <v/>
      </c>
    </row>
    <row r="118" spans="3:17" ht="14.25" x14ac:dyDescent="0.45">
      <c r="C118" t="str">
        <f>IF(B118="","",IFERROR(VLOOKUP(B118,'SPED Student Roster'!$A:$B,2,FALSE),""))</f>
        <v/>
      </c>
      <c r="D118" t="str">
        <f>IF(B118="","",IFERROR(VLOOKUP(B118,'SPED Student Roster'!$A:$C,3,FALSE),""))</f>
        <v/>
      </c>
      <c r="E118" t="str">
        <f>IF(B118="","",IFERROR(VLOOKUP(B118,'SPED Student Roster'!$A:$D,4,FALSE),""))</f>
        <v/>
      </c>
      <c r="F118" t="str">
        <f>IF(B118="","",IFERROR(VLOOKUP(B118,'SPED Student Roster'!$A:$E,5,FALSE),""))</f>
        <v/>
      </c>
      <c r="K118" t="str">
        <f t="shared" ca="1" si="3"/>
        <v/>
      </c>
      <c r="Q118" t="str">
        <f>IF(B118="","",IFERROR(VLOOKUP(B118,'SPED Student Roster'!$A:$F,6,FALSE),""))</f>
        <v/>
      </c>
    </row>
    <row r="119" spans="3:17" ht="14.25" x14ac:dyDescent="0.45">
      <c r="C119" t="str">
        <f>IF(B119="","",IFERROR(VLOOKUP(B119,'SPED Student Roster'!$A:$B,2,FALSE),""))</f>
        <v/>
      </c>
      <c r="D119" t="str">
        <f>IF(B119="","",IFERROR(VLOOKUP(B119,'SPED Student Roster'!$A:$C,3,FALSE),""))</f>
        <v/>
      </c>
      <c r="E119" t="str">
        <f>IF(B119="","",IFERROR(VLOOKUP(B119,'SPED Student Roster'!$A:$D,4,FALSE),""))</f>
        <v/>
      </c>
      <c r="F119" t="str">
        <f>IF(B119="","",IFERROR(VLOOKUP(B119,'SPED Student Roster'!$A:$E,5,FALSE),""))</f>
        <v/>
      </c>
      <c r="K119" t="str">
        <f t="shared" ca="1" si="3"/>
        <v/>
      </c>
      <c r="Q119" t="str">
        <f>IF(B119="","",IFERROR(VLOOKUP(B119,'SPED Student Roster'!$A:$F,6,FALSE),""))</f>
        <v/>
      </c>
    </row>
    <row r="120" spans="3:17" ht="14.25" x14ac:dyDescent="0.45">
      <c r="C120" t="str">
        <f>IF(B120="","",IFERROR(VLOOKUP(B120,'SPED Student Roster'!$A:$B,2,FALSE),""))</f>
        <v/>
      </c>
      <c r="D120" t="str">
        <f>IF(B120="","",IFERROR(VLOOKUP(B120,'SPED Student Roster'!$A:$C,3,FALSE),""))</f>
        <v/>
      </c>
      <c r="E120" t="str">
        <f>IF(B120="","",IFERROR(VLOOKUP(B120,'SPED Student Roster'!$A:$D,4,FALSE),""))</f>
        <v/>
      </c>
      <c r="F120" t="str">
        <f>IF(B120="","",IFERROR(VLOOKUP(B120,'SPED Student Roster'!$A:$E,5,FALSE),""))</f>
        <v/>
      </c>
      <c r="K120" t="str">
        <f t="shared" ca="1" si="3"/>
        <v/>
      </c>
      <c r="Q120" t="str">
        <f>IF(B120="","",IFERROR(VLOOKUP(B120,'SPED Student Roster'!$A:$F,6,FALSE),""))</f>
        <v/>
      </c>
    </row>
    <row r="121" spans="3:17" ht="14.25" x14ac:dyDescent="0.45">
      <c r="C121" t="str">
        <f>IF(B121="","",IFERROR(VLOOKUP(B121,'SPED Student Roster'!$A:$B,2,FALSE),""))</f>
        <v/>
      </c>
      <c r="D121" t="str">
        <f>IF(B121="","",IFERROR(VLOOKUP(B121,'SPED Student Roster'!$A:$C,3,FALSE),""))</f>
        <v/>
      </c>
      <c r="E121" t="str">
        <f>IF(B121="","",IFERROR(VLOOKUP(B121,'SPED Student Roster'!$A:$D,4,FALSE),""))</f>
        <v/>
      </c>
      <c r="F121" t="str">
        <f>IF(B121="","",IFERROR(VLOOKUP(B121,'SPED Student Roster'!$A:$E,5,FALSE),""))</f>
        <v/>
      </c>
      <c r="K121" t="str">
        <f t="shared" ca="1" si="3"/>
        <v/>
      </c>
      <c r="Q121" t="str">
        <f>IF(B121="","",IFERROR(VLOOKUP(B121,'SPED Student Roster'!$A:$F,6,FALSE),""))</f>
        <v/>
      </c>
    </row>
    <row r="122" spans="3:17" ht="14.25" x14ac:dyDescent="0.45">
      <c r="C122" t="str">
        <f>IF(B122="","",IFERROR(VLOOKUP(B122,'SPED Student Roster'!$A:$B,2,FALSE),""))</f>
        <v/>
      </c>
      <c r="D122" t="str">
        <f>IF(B122="","",IFERROR(VLOOKUP(B122,'SPED Student Roster'!$A:$C,3,FALSE),""))</f>
        <v/>
      </c>
      <c r="E122" t="str">
        <f>IF(B122="","",IFERROR(VLOOKUP(B122,'SPED Student Roster'!$A:$D,4,FALSE),""))</f>
        <v/>
      </c>
      <c r="F122" t="str">
        <f>IF(B122="","",IFERROR(VLOOKUP(B122,'SPED Student Roster'!$A:$E,5,FALSE),""))</f>
        <v/>
      </c>
      <c r="K122" t="str">
        <f t="shared" ca="1" si="3"/>
        <v/>
      </c>
      <c r="Q122" t="str">
        <f>IF(B122="","",IFERROR(VLOOKUP(B122,'SPED Student Roster'!$A:$F,6,FALSE),""))</f>
        <v/>
      </c>
    </row>
    <row r="123" spans="3:17" ht="14.25" x14ac:dyDescent="0.45">
      <c r="C123" t="str">
        <f>IF(B123="","",IFERROR(VLOOKUP(B123,'SPED Student Roster'!$A:$B,2,FALSE),""))</f>
        <v/>
      </c>
      <c r="D123" t="str">
        <f>IF(B123="","",IFERROR(VLOOKUP(B123,'SPED Student Roster'!$A:$C,3,FALSE),""))</f>
        <v/>
      </c>
      <c r="E123" t="str">
        <f>IF(B123="","",IFERROR(VLOOKUP(B123,'SPED Student Roster'!$A:$D,4,FALSE),""))</f>
        <v/>
      </c>
      <c r="F123" t="str">
        <f>IF(B123="","",IFERROR(VLOOKUP(B123,'SPED Student Roster'!$A:$E,5,FALSE),""))</f>
        <v/>
      </c>
      <c r="K123" t="str">
        <f t="shared" ca="1" si="3"/>
        <v/>
      </c>
      <c r="Q123" t="str">
        <f>IF(B123="","",IFERROR(VLOOKUP(B123,'SPED Student Roster'!$A:$F,6,FALSE),""))</f>
        <v/>
      </c>
    </row>
    <row r="124" spans="3:17" ht="14.25" x14ac:dyDescent="0.45">
      <c r="C124" t="str">
        <f>IF(B124="","",IFERROR(VLOOKUP(B124,'SPED Student Roster'!$A:$B,2,FALSE),""))</f>
        <v/>
      </c>
      <c r="D124" t="str">
        <f>IF(B124="","",IFERROR(VLOOKUP(B124,'SPED Student Roster'!$A:$C,3,FALSE),""))</f>
        <v/>
      </c>
      <c r="E124" t="str">
        <f>IF(B124="","",IFERROR(VLOOKUP(B124,'SPED Student Roster'!$A:$D,4,FALSE),""))</f>
        <v/>
      </c>
      <c r="F124" t="str">
        <f>IF(B124="","",IFERROR(VLOOKUP(B124,'SPED Student Roster'!$A:$E,5,FALSE),""))</f>
        <v/>
      </c>
      <c r="K124" t="str">
        <f t="shared" ca="1" si="3"/>
        <v/>
      </c>
      <c r="Q124" t="str">
        <f>IF(B124="","",IFERROR(VLOOKUP(B124,'SPED Student Roster'!$A:$F,6,FALSE),""))</f>
        <v/>
      </c>
    </row>
    <row r="125" spans="3:17" ht="14.25" x14ac:dyDescent="0.45">
      <c r="C125" t="str">
        <f>IF(B125="","",IFERROR(VLOOKUP(B125,'SPED Student Roster'!$A:$B,2,FALSE),""))</f>
        <v/>
      </c>
      <c r="D125" t="str">
        <f>IF(B125="","",IFERROR(VLOOKUP(B125,'SPED Student Roster'!$A:$C,3,FALSE),""))</f>
        <v/>
      </c>
      <c r="E125" t="str">
        <f>IF(B125="","",IFERROR(VLOOKUP(B125,'SPED Student Roster'!$A:$D,4,FALSE),""))</f>
        <v/>
      </c>
      <c r="F125" t="str">
        <f>IF(B125="","",IFERROR(VLOOKUP(B125,'SPED Student Roster'!$A:$E,5,FALSE),""))</f>
        <v/>
      </c>
      <c r="K125" t="str">
        <f t="shared" ca="1" si="3"/>
        <v/>
      </c>
      <c r="Q125" t="str">
        <f>IF(B125="","",IFERROR(VLOOKUP(B125,'SPED Student Roster'!$A:$F,6,FALSE),""))</f>
        <v/>
      </c>
    </row>
    <row r="126" spans="3:17" ht="14.25" x14ac:dyDescent="0.45">
      <c r="C126" t="str">
        <f>IF(B126="","",IFERROR(VLOOKUP(B126,'SPED Student Roster'!$A:$B,2,FALSE),""))</f>
        <v/>
      </c>
      <c r="D126" t="str">
        <f>IF(B126="","",IFERROR(VLOOKUP(B126,'SPED Student Roster'!$A:$C,3,FALSE),""))</f>
        <v/>
      </c>
      <c r="E126" t="str">
        <f>IF(B126="","",IFERROR(VLOOKUP(B126,'SPED Student Roster'!$A:$D,4,FALSE),""))</f>
        <v/>
      </c>
      <c r="F126" t="str">
        <f>IF(B126="","",IFERROR(VLOOKUP(B126,'SPED Student Roster'!$A:$E,5,FALSE),""))</f>
        <v/>
      </c>
      <c r="K126" t="str">
        <f t="shared" ca="1" si="3"/>
        <v/>
      </c>
      <c r="Q126" t="str">
        <f>IF(B126="","",IFERROR(VLOOKUP(B126,'SPED Student Roster'!$A:$F,6,FALSE),""))</f>
        <v/>
      </c>
    </row>
    <row r="127" spans="3:17" ht="14.25" x14ac:dyDescent="0.45">
      <c r="C127" t="str">
        <f>IF(B127="","",IFERROR(VLOOKUP(B127,'SPED Student Roster'!$A:$B,2,FALSE),""))</f>
        <v/>
      </c>
      <c r="D127" t="str">
        <f>IF(B127="","",IFERROR(VLOOKUP(B127,'SPED Student Roster'!$A:$C,3,FALSE),""))</f>
        <v/>
      </c>
      <c r="E127" t="str">
        <f>IF(B127="","",IFERROR(VLOOKUP(B127,'SPED Student Roster'!$A:$D,4,FALSE),""))</f>
        <v/>
      </c>
      <c r="F127" t="str">
        <f>IF(B127="","",IFERROR(VLOOKUP(B127,'SPED Student Roster'!$A:$E,5,FALSE),""))</f>
        <v/>
      </c>
      <c r="K127" t="str">
        <f t="shared" ca="1" si="3"/>
        <v/>
      </c>
      <c r="Q127" t="str">
        <f>IF(B127="","",IFERROR(VLOOKUP(B127,'SPED Student Roster'!$A:$F,6,FALSE),""))</f>
        <v/>
      </c>
    </row>
    <row r="128" spans="3:17" ht="14.25" x14ac:dyDescent="0.45">
      <c r="C128" t="str">
        <f>IF(B128="","",IFERROR(VLOOKUP(B128,'SPED Student Roster'!$A:$B,2,FALSE),""))</f>
        <v/>
      </c>
      <c r="D128" t="str">
        <f>IF(B128="","",IFERROR(VLOOKUP(B128,'SPED Student Roster'!$A:$C,3,FALSE),""))</f>
        <v/>
      </c>
      <c r="E128" t="str">
        <f>IF(B128="","",IFERROR(VLOOKUP(B128,'SPED Student Roster'!$A:$D,4,FALSE),""))</f>
        <v/>
      </c>
      <c r="F128" t="str">
        <f>IF(B128="","",IFERROR(VLOOKUP(B128,'SPED Student Roster'!$A:$E,5,FALSE),""))</f>
        <v/>
      </c>
      <c r="K128" t="str">
        <f t="shared" ca="1" si="3"/>
        <v/>
      </c>
      <c r="Q128" t="str">
        <f>IF(B128="","",IFERROR(VLOOKUP(B128,'SPED Student Roster'!$A:$F,6,FALSE),""))</f>
        <v/>
      </c>
    </row>
    <row r="129" spans="3:17" ht="14.25" x14ac:dyDescent="0.45">
      <c r="C129" t="str">
        <f>IF(B129="","",IFERROR(VLOOKUP(B129,'SPED Student Roster'!$A:$B,2,FALSE),""))</f>
        <v/>
      </c>
      <c r="D129" t="str">
        <f>IF(B129="","",IFERROR(VLOOKUP(B129,'SPED Student Roster'!$A:$C,3,FALSE),""))</f>
        <v/>
      </c>
      <c r="E129" t="str">
        <f>IF(B129="","",IFERROR(VLOOKUP(B129,'SPED Student Roster'!$A:$D,4,FALSE),""))</f>
        <v/>
      </c>
      <c r="F129" t="str">
        <f>IF(B129="","",IFERROR(VLOOKUP(B129,'SPED Student Roster'!$A:$E,5,FALSE),""))</f>
        <v/>
      </c>
      <c r="K129" t="str">
        <f t="shared" ca="1" si="3"/>
        <v/>
      </c>
      <c r="Q129" t="str">
        <f>IF(B129="","",IFERROR(VLOOKUP(B129,'SPED Student Roster'!$A:$F,6,FALSE),""))</f>
        <v/>
      </c>
    </row>
    <row r="130" spans="3:17" ht="14.25" x14ac:dyDescent="0.45">
      <c r="C130" t="str">
        <f>IF(B130="","",IFERROR(VLOOKUP(B130,'SPED Student Roster'!$A:$B,2,FALSE),""))</f>
        <v/>
      </c>
      <c r="D130" t="str">
        <f>IF(B130="","",IFERROR(VLOOKUP(B130,'SPED Student Roster'!$A:$C,3,FALSE),""))</f>
        <v/>
      </c>
      <c r="E130" t="str">
        <f>IF(B130="","",IFERROR(VLOOKUP(B130,'SPED Student Roster'!$A:$D,4,FALSE),""))</f>
        <v/>
      </c>
      <c r="F130" t="str">
        <f>IF(B130="","",IFERROR(VLOOKUP(B130,'SPED Student Roster'!$A:$E,5,FALSE),""))</f>
        <v/>
      </c>
      <c r="K130" t="str">
        <f t="shared" ca="1" si="3"/>
        <v/>
      </c>
      <c r="Q130" t="str">
        <f>IF(B130="","",IFERROR(VLOOKUP(B130,'SPED Student Roster'!$A:$F,6,FALSE),""))</f>
        <v/>
      </c>
    </row>
    <row r="131" spans="3:17" ht="14.25" x14ac:dyDescent="0.45">
      <c r="C131" t="str">
        <f>IF(B131="","",IFERROR(VLOOKUP(B131,'SPED Student Roster'!$A:$B,2,FALSE),""))</f>
        <v/>
      </c>
      <c r="D131" t="str">
        <f>IF(B131="","",IFERROR(VLOOKUP(B131,'SPED Student Roster'!$A:$C,3,FALSE),""))</f>
        <v/>
      </c>
      <c r="E131" t="str">
        <f>IF(B131="","",IFERROR(VLOOKUP(B131,'SPED Student Roster'!$A:$D,4,FALSE),""))</f>
        <v/>
      </c>
      <c r="F131" t="str">
        <f>IF(B131="","",IFERROR(VLOOKUP(B131,'SPED Student Roster'!$A:$E,5,FALSE),""))</f>
        <v/>
      </c>
      <c r="K131" t="str">
        <f t="shared" ca="1" si="3"/>
        <v/>
      </c>
      <c r="Q131" t="str">
        <f>IF(B131="","",IFERROR(VLOOKUP(B131,'SPED Student Roster'!$A:$F,6,FALSE),""))</f>
        <v/>
      </c>
    </row>
    <row r="132" spans="3:17" ht="14.25" x14ac:dyDescent="0.45">
      <c r="C132" t="str">
        <f>IF(B132="","",IFERROR(VLOOKUP(B132,'SPED Student Roster'!$A:$B,2,FALSE),""))</f>
        <v/>
      </c>
      <c r="D132" t="str">
        <f>IF(B132="","",IFERROR(VLOOKUP(B132,'SPED Student Roster'!$A:$C,3,FALSE),""))</f>
        <v/>
      </c>
      <c r="E132" t="str">
        <f>IF(B132="","",IFERROR(VLOOKUP(B132,'SPED Student Roster'!$A:$D,4,FALSE),""))</f>
        <v/>
      </c>
      <c r="F132" t="str">
        <f>IF(B132="","",IFERROR(VLOOKUP(B132,'SPED Student Roster'!$A:$E,5,FALSE),""))</f>
        <v/>
      </c>
      <c r="K132" t="str">
        <f t="shared" ref="K132:K163" ca="1" si="4">IF(OR(B132="",J132=""),"",J132-TODAY())</f>
        <v/>
      </c>
      <c r="Q132" t="str">
        <f>IF(B132="","",IFERROR(VLOOKUP(B132,'SPED Student Roster'!$A:$F,6,FALSE),""))</f>
        <v/>
      </c>
    </row>
    <row r="133" spans="3:17" ht="14.25" x14ac:dyDescent="0.45">
      <c r="C133" t="str">
        <f>IF(B133="","",IFERROR(VLOOKUP(B133,'SPED Student Roster'!$A:$B,2,FALSE),""))</f>
        <v/>
      </c>
      <c r="D133" t="str">
        <f>IF(B133="","",IFERROR(VLOOKUP(B133,'SPED Student Roster'!$A:$C,3,FALSE),""))</f>
        <v/>
      </c>
      <c r="E133" t="str">
        <f>IF(B133="","",IFERROR(VLOOKUP(B133,'SPED Student Roster'!$A:$D,4,FALSE),""))</f>
        <v/>
      </c>
      <c r="F133" t="str">
        <f>IF(B133="","",IFERROR(VLOOKUP(B133,'SPED Student Roster'!$A:$E,5,FALSE),""))</f>
        <v/>
      </c>
      <c r="K133" t="str">
        <f t="shared" ca="1" si="4"/>
        <v/>
      </c>
      <c r="Q133" t="str">
        <f>IF(B133="","",IFERROR(VLOOKUP(B133,'SPED Student Roster'!$A:$F,6,FALSE),""))</f>
        <v/>
      </c>
    </row>
    <row r="134" spans="3:17" ht="14.25" x14ac:dyDescent="0.45">
      <c r="C134" t="str">
        <f>IF(B134="","",IFERROR(VLOOKUP(B134,'SPED Student Roster'!$A:$B,2,FALSE),""))</f>
        <v/>
      </c>
      <c r="D134" t="str">
        <f>IF(B134="","",IFERROR(VLOOKUP(B134,'SPED Student Roster'!$A:$C,3,FALSE),""))</f>
        <v/>
      </c>
      <c r="E134" t="str">
        <f>IF(B134="","",IFERROR(VLOOKUP(B134,'SPED Student Roster'!$A:$D,4,FALSE),""))</f>
        <v/>
      </c>
      <c r="F134" t="str">
        <f>IF(B134="","",IFERROR(VLOOKUP(B134,'SPED Student Roster'!$A:$E,5,FALSE),""))</f>
        <v/>
      </c>
      <c r="K134" t="str">
        <f t="shared" ca="1" si="4"/>
        <v/>
      </c>
      <c r="Q134" t="str">
        <f>IF(B134="","",IFERROR(VLOOKUP(B134,'SPED Student Roster'!$A:$F,6,FALSE),""))</f>
        <v/>
      </c>
    </row>
    <row r="135" spans="3:17" ht="14.25" x14ac:dyDescent="0.45">
      <c r="C135" t="str">
        <f>IF(B135="","",IFERROR(VLOOKUP(B135,'SPED Student Roster'!$A:$B,2,FALSE),""))</f>
        <v/>
      </c>
      <c r="D135" t="str">
        <f>IF(B135="","",IFERROR(VLOOKUP(B135,'SPED Student Roster'!$A:$C,3,FALSE),""))</f>
        <v/>
      </c>
      <c r="E135" t="str">
        <f>IF(B135="","",IFERROR(VLOOKUP(B135,'SPED Student Roster'!$A:$D,4,FALSE),""))</f>
        <v/>
      </c>
      <c r="F135" t="str">
        <f>IF(B135="","",IFERROR(VLOOKUP(B135,'SPED Student Roster'!$A:$E,5,FALSE),""))</f>
        <v/>
      </c>
      <c r="K135" t="str">
        <f t="shared" ca="1" si="4"/>
        <v/>
      </c>
      <c r="Q135" t="str">
        <f>IF(B135="","",IFERROR(VLOOKUP(B135,'SPED Student Roster'!$A:$F,6,FALSE),""))</f>
        <v/>
      </c>
    </row>
    <row r="136" spans="3:17" ht="14.25" x14ac:dyDescent="0.45">
      <c r="C136" t="str">
        <f>IF(B136="","",IFERROR(VLOOKUP(B136,'SPED Student Roster'!$A:$B,2,FALSE),""))</f>
        <v/>
      </c>
      <c r="D136" t="str">
        <f>IF(B136="","",IFERROR(VLOOKUP(B136,'SPED Student Roster'!$A:$C,3,FALSE),""))</f>
        <v/>
      </c>
      <c r="E136" t="str">
        <f>IF(B136="","",IFERROR(VLOOKUP(B136,'SPED Student Roster'!$A:$D,4,FALSE),""))</f>
        <v/>
      </c>
      <c r="F136" t="str">
        <f>IF(B136="","",IFERROR(VLOOKUP(B136,'SPED Student Roster'!$A:$E,5,FALSE),""))</f>
        <v/>
      </c>
      <c r="K136" t="str">
        <f t="shared" ca="1" si="4"/>
        <v/>
      </c>
      <c r="Q136" t="str">
        <f>IF(B136="","",IFERROR(VLOOKUP(B136,'SPED Student Roster'!$A:$F,6,FALSE),""))</f>
        <v/>
      </c>
    </row>
    <row r="137" spans="3:17" ht="14.25" x14ac:dyDescent="0.45">
      <c r="C137" t="str">
        <f>IF(B137="","",IFERROR(VLOOKUP(B137,'SPED Student Roster'!$A:$B,2,FALSE),""))</f>
        <v/>
      </c>
      <c r="D137" t="str">
        <f>IF(B137="","",IFERROR(VLOOKUP(B137,'SPED Student Roster'!$A:$C,3,FALSE),""))</f>
        <v/>
      </c>
      <c r="E137" t="str">
        <f>IF(B137="","",IFERROR(VLOOKUP(B137,'SPED Student Roster'!$A:$D,4,FALSE),""))</f>
        <v/>
      </c>
      <c r="F137" t="str">
        <f>IF(B137="","",IFERROR(VLOOKUP(B137,'SPED Student Roster'!$A:$E,5,FALSE),""))</f>
        <v/>
      </c>
      <c r="K137" t="str">
        <f t="shared" ca="1" si="4"/>
        <v/>
      </c>
      <c r="Q137" t="str">
        <f>IF(B137="","",IFERROR(VLOOKUP(B137,'SPED Student Roster'!$A:$F,6,FALSE),""))</f>
        <v/>
      </c>
    </row>
    <row r="138" spans="3:17" ht="14.25" x14ac:dyDescent="0.45">
      <c r="C138" t="str">
        <f>IF(B138="","",IFERROR(VLOOKUP(B138,'SPED Student Roster'!$A:$B,2,FALSE),""))</f>
        <v/>
      </c>
      <c r="D138" t="str">
        <f>IF(B138="","",IFERROR(VLOOKUP(B138,'SPED Student Roster'!$A:$C,3,FALSE),""))</f>
        <v/>
      </c>
      <c r="E138" t="str">
        <f>IF(B138="","",IFERROR(VLOOKUP(B138,'SPED Student Roster'!$A:$D,4,FALSE),""))</f>
        <v/>
      </c>
      <c r="F138" t="str">
        <f>IF(B138="","",IFERROR(VLOOKUP(B138,'SPED Student Roster'!$A:$E,5,FALSE),""))</f>
        <v/>
      </c>
      <c r="K138" t="str">
        <f t="shared" ca="1" si="4"/>
        <v/>
      </c>
      <c r="Q138" t="str">
        <f>IF(B138="","",IFERROR(VLOOKUP(B138,'SPED Student Roster'!$A:$F,6,FALSE),""))</f>
        <v/>
      </c>
    </row>
    <row r="139" spans="3:17" ht="14.25" x14ac:dyDescent="0.45">
      <c r="C139" t="str">
        <f>IF(B139="","",IFERROR(VLOOKUP(B139,'SPED Student Roster'!$A:$B,2,FALSE),""))</f>
        <v/>
      </c>
      <c r="D139" t="str">
        <f>IF(B139="","",IFERROR(VLOOKUP(B139,'SPED Student Roster'!$A:$C,3,FALSE),""))</f>
        <v/>
      </c>
      <c r="E139" t="str">
        <f>IF(B139="","",IFERROR(VLOOKUP(B139,'SPED Student Roster'!$A:$D,4,FALSE),""))</f>
        <v/>
      </c>
      <c r="F139" t="str">
        <f>IF(B139="","",IFERROR(VLOOKUP(B139,'SPED Student Roster'!$A:$E,5,FALSE),""))</f>
        <v/>
      </c>
      <c r="K139" t="str">
        <f t="shared" ca="1" si="4"/>
        <v/>
      </c>
      <c r="Q139" t="str">
        <f>IF(B139="","",IFERROR(VLOOKUP(B139,'SPED Student Roster'!$A:$F,6,FALSE),""))</f>
        <v/>
      </c>
    </row>
    <row r="140" spans="3:17" ht="14.25" x14ac:dyDescent="0.45">
      <c r="C140" t="str">
        <f>IF(B140="","",IFERROR(VLOOKUP(B140,'SPED Student Roster'!$A:$B,2,FALSE),""))</f>
        <v/>
      </c>
      <c r="D140" t="str">
        <f>IF(B140="","",IFERROR(VLOOKUP(B140,'SPED Student Roster'!$A:$C,3,FALSE),""))</f>
        <v/>
      </c>
      <c r="E140" t="str">
        <f>IF(B140="","",IFERROR(VLOOKUP(B140,'SPED Student Roster'!$A:$D,4,FALSE),""))</f>
        <v/>
      </c>
      <c r="F140" t="str">
        <f>IF(B140="","",IFERROR(VLOOKUP(B140,'SPED Student Roster'!$A:$E,5,FALSE),""))</f>
        <v/>
      </c>
      <c r="K140" t="str">
        <f t="shared" ca="1" si="4"/>
        <v/>
      </c>
      <c r="Q140" t="str">
        <f>IF(B140="","",IFERROR(VLOOKUP(B140,'SPED Student Roster'!$A:$F,6,FALSE),""))</f>
        <v/>
      </c>
    </row>
    <row r="141" spans="3:17" ht="14.25" x14ac:dyDescent="0.45">
      <c r="C141" t="str">
        <f>IF(B141="","",IFERROR(VLOOKUP(B141,'SPED Student Roster'!$A:$B,2,FALSE),""))</f>
        <v/>
      </c>
      <c r="D141" t="str">
        <f>IF(B141="","",IFERROR(VLOOKUP(B141,'SPED Student Roster'!$A:$C,3,FALSE),""))</f>
        <v/>
      </c>
      <c r="E141" t="str">
        <f>IF(B141="","",IFERROR(VLOOKUP(B141,'SPED Student Roster'!$A:$D,4,FALSE),""))</f>
        <v/>
      </c>
      <c r="F141" t="str">
        <f>IF(B141="","",IFERROR(VLOOKUP(B141,'SPED Student Roster'!$A:$E,5,FALSE),""))</f>
        <v/>
      </c>
      <c r="K141" t="str">
        <f t="shared" ca="1" si="4"/>
        <v/>
      </c>
      <c r="Q141" t="str">
        <f>IF(B141="","",IFERROR(VLOOKUP(B141,'SPED Student Roster'!$A:$F,6,FALSE),""))</f>
        <v/>
      </c>
    </row>
    <row r="142" spans="3:17" ht="14.25" x14ac:dyDescent="0.45">
      <c r="C142" t="str">
        <f>IF(B142="","",IFERROR(VLOOKUP(B142,'SPED Student Roster'!$A:$B,2,FALSE),""))</f>
        <v/>
      </c>
      <c r="D142" t="str">
        <f>IF(B142="","",IFERROR(VLOOKUP(B142,'SPED Student Roster'!$A:$C,3,FALSE),""))</f>
        <v/>
      </c>
      <c r="E142" t="str">
        <f>IF(B142="","",IFERROR(VLOOKUP(B142,'SPED Student Roster'!$A:$D,4,FALSE),""))</f>
        <v/>
      </c>
      <c r="F142" t="str">
        <f>IF(B142="","",IFERROR(VLOOKUP(B142,'SPED Student Roster'!$A:$E,5,FALSE),""))</f>
        <v/>
      </c>
      <c r="K142" t="str">
        <f t="shared" ca="1" si="4"/>
        <v/>
      </c>
      <c r="Q142" t="str">
        <f>IF(B142="","",IFERROR(VLOOKUP(B142,'SPED Student Roster'!$A:$F,6,FALSE),""))</f>
        <v/>
      </c>
    </row>
    <row r="143" spans="3:17" ht="14.25" x14ac:dyDescent="0.45">
      <c r="C143" t="str">
        <f>IF(B143="","",IFERROR(VLOOKUP(B143,'SPED Student Roster'!$A:$B,2,FALSE),""))</f>
        <v/>
      </c>
      <c r="D143" t="str">
        <f>IF(B143="","",IFERROR(VLOOKUP(B143,'SPED Student Roster'!$A:$C,3,FALSE),""))</f>
        <v/>
      </c>
      <c r="E143" t="str">
        <f>IF(B143="","",IFERROR(VLOOKUP(B143,'SPED Student Roster'!$A:$D,4,FALSE),""))</f>
        <v/>
      </c>
      <c r="F143" t="str">
        <f>IF(B143="","",IFERROR(VLOOKUP(B143,'SPED Student Roster'!$A:$E,5,FALSE),""))</f>
        <v/>
      </c>
      <c r="K143" t="str">
        <f t="shared" ca="1" si="4"/>
        <v/>
      </c>
      <c r="Q143" t="str">
        <f>IF(B143="","",IFERROR(VLOOKUP(B143,'SPED Student Roster'!$A:$F,6,FALSE),""))</f>
        <v/>
      </c>
    </row>
    <row r="144" spans="3:17" ht="14.25" x14ac:dyDescent="0.45">
      <c r="C144" t="str">
        <f>IF(B144="","",IFERROR(VLOOKUP(B144,'SPED Student Roster'!$A:$B,2,FALSE),""))</f>
        <v/>
      </c>
      <c r="D144" t="str">
        <f>IF(B144="","",IFERROR(VLOOKUP(B144,'SPED Student Roster'!$A:$C,3,FALSE),""))</f>
        <v/>
      </c>
      <c r="E144" t="str">
        <f>IF(B144="","",IFERROR(VLOOKUP(B144,'SPED Student Roster'!$A:$D,4,FALSE),""))</f>
        <v/>
      </c>
      <c r="F144" t="str">
        <f>IF(B144="","",IFERROR(VLOOKUP(B144,'SPED Student Roster'!$A:$E,5,FALSE),""))</f>
        <v/>
      </c>
      <c r="K144" t="str">
        <f t="shared" ca="1" si="4"/>
        <v/>
      </c>
      <c r="Q144" t="str">
        <f>IF(B144="","",IFERROR(VLOOKUP(B144,'SPED Student Roster'!$A:$F,6,FALSE),""))</f>
        <v/>
      </c>
    </row>
    <row r="145" spans="3:17" ht="14.25" x14ac:dyDescent="0.45">
      <c r="C145" t="str">
        <f>IF(B145="","",IFERROR(VLOOKUP(B145,'SPED Student Roster'!$A:$B,2,FALSE),""))</f>
        <v/>
      </c>
      <c r="D145" t="str">
        <f>IF(B145="","",IFERROR(VLOOKUP(B145,'SPED Student Roster'!$A:$C,3,FALSE),""))</f>
        <v/>
      </c>
      <c r="E145" t="str">
        <f>IF(B145="","",IFERROR(VLOOKUP(B145,'SPED Student Roster'!$A:$D,4,FALSE),""))</f>
        <v/>
      </c>
      <c r="F145" t="str">
        <f>IF(B145="","",IFERROR(VLOOKUP(B145,'SPED Student Roster'!$A:$E,5,FALSE),""))</f>
        <v/>
      </c>
      <c r="K145" t="str">
        <f t="shared" ca="1" si="4"/>
        <v/>
      </c>
      <c r="Q145" t="str">
        <f>IF(B145="","",IFERROR(VLOOKUP(B145,'SPED Student Roster'!$A:$F,6,FALSE),""))</f>
        <v/>
      </c>
    </row>
    <row r="146" spans="3:17" ht="14.25" x14ac:dyDescent="0.45">
      <c r="C146" t="str">
        <f>IF(B146="","",IFERROR(VLOOKUP(B146,'SPED Student Roster'!$A:$B,2,FALSE),""))</f>
        <v/>
      </c>
      <c r="D146" t="str">
        <f>IF(B146="","",IFERROR(VLOOKUP(B146,'SPED Student Roster'!$A:$C,3,FALSE),""))</f>
        <v/>
      </c>
      <c r="E146" t="str">
        <f>IF(B146="","",IFERROR(VLOOKUP(B146,'SPED Student Roster'!$A:$D,4,FALSE),""))</f>
        <v/>
      </c>
      <c r="F146" t="str">
        <f>IF(B146="","",IFERROR(VLOOKUP(B146,'SPED Student Roster'!$A:$E,5,FALSE),""))</f>
        <v/>
      </c>
      <c r="K146" t="str">
        <f t="shared" ca="1" si="4"/>
        <v/>
      </c>
      <c r="Q146" t="str">
        <f>IF(B146="","",IFERROR(VLOOKUP(B146,'SPED Student Roster'!$A:$F,6,FALSE),""))</f>
        <v/>
      </c>
    </row>
    <row r="147" spans="3:17" ht="14.25" x14ac:dyDescent="0.45">
      <c r="C147" t="str">
        <f>IF(B147="","",IFERROR(VLOOKUP(B147,'SPED Student Roster'!$A:$B,2,FALSE),""))</f>
        <v/>
      </c>
      <c r="D147" t="str">
        <f>IF(B147="","",IFERROR(VLOOKUP(B147,'SPED Student Roster'!$A:$C,3,FALSE),""))</f>
        <v/>
      </c>
      <c r="E147" t="str">
        <f>IF(B147="","",IFERROR(VLOOKUP(B147,'SPED Student Roster'!$A:$D,4,FALSE),""))</f>
        <v/>
      </c>
      <c r="F147" t="str">
        <f>IF(B147="","",IFERROR(VLOOKUP(B147,'SPED Student Roster'!$A:$E,5,FALSE),""))</f>
        <v/>
      </c>
      <c r="K147" t="str">
        <f t="shared" ca="1" si="4"/>
        <v/>
      </c>
      <c r="Q147" t="str">
        <f>IF(B147="","",IFERROR(VLOOKUP(B147,'SPED Student Roster'!$A:$F,6,FALSE),""))</f>
        <v/>
      </c>
    </row>
    <row r="148" spans="3:17" ht="14.25" x14ac:dyDescent="0.45">
      <c r="C148" t="str">
        <f>IF(B148="","",IFERROR(VLOOKUP(B148,'SPED Student Roster'!$A:$B,2,FALSE),""))</f>
        <v/>
      </c>
      <c r="D148" t="str">
        <f>IF(B148="","",IFERROR(VLOOKUP(B148,'SPED Student Roster'!$A:$C,3,FALSE),""))</f>
        <v/>
      </c>
      <c r="E148" t="str">
        <f>IF(B148="","",IFERROR(VLOOKUP(B148,'SPED Student Roster'!$A:$D,4,FALSE),""))</f>
        <v/>
      </c>
      <c r="F148" t="str">
        <f>IF(B148="","",IFERROR(VLOOKUP(B148,'SPED Student Roster'!$A:$E,5,FALSE),""))</f>
        <v/>
      </c>
      <c r="K148" t="str">
        <f t="shared" ca="1" si="4"/>
        <v/>
      </c>
      <c r="Q148" t="str">
        <f>IF(B148="","",IFERROR(VLOOKUP(B148,'SPED Student Roster'!$A:$F,6,FALSE),""))</f>
        <v/>
      </c>
    </row>
    <row r="149" spans="3:17" ht="14.25" x14ac:dyDescent="0.45">
      <c r="C149" t="str">
        <f>IF(B149="","",IFERROR(VLOOKUP(B149,'SPED Student Roster'!$A:$B,2,FALSE),""))</f>
        <v/>
      </c>
      <c r="D149" t="str">
        <f>IF(B149="","",IFERROR(VLOOKUP(B149,'SPED Student Roster'!$A:$C,3,FALSE),""))</f>
        <v/>
      </c>
      <c r="E149" t="str">
        <f>IF(B149="","",IFERROR(VLOOKUP(B149,'SPED Student Roster'!$A:$D,4,FALSE),""))</f>
        <v/>
      </c>
      <c r="F149" t="str">
        <f>IF(B149="","",IFERROR(VLOOKUP(B149,'SPED Student Roster'!$A:$E,5,FALSE),""))</f>
        <v/>
      </c>
      <c r="K149" t="str">
        <f t="shared" ca="1" si="4"/>
        <v/>
      </c>
      <c r="Q149" t="str">
        <f>IF(B149="","",IFERROR(VLOOKUP(B149,'SPED Student Roster'!$A:$F,6,FALSE),""))</f>
        <v/>
      </c>
    </row>
    <row r="150" spans="3:17" ht="14.25" x14ac:dyDescent="0.45">
      <c r="C150" t="str">
        <f>IF(B150="","",IFERROR(VLOOKUP(B150,'SPED Student Roster'!$A:$B,2,FALSE),""))</f>
        <v/>
      </c>
      <c r="D150" t="str">
        <f>IF(B150="","",IFERROR(VLOOKUP(B150,'SPED Student Roster'!$A:$C,3,FALSE),""))</f>
        <v/>
      </c>
      <c r="E150" t="str">
        <f>IF(B150="","",IFERROR(VLOOKUP(B150,'SPED Student Roster'!$A:$D,4,FALSE),""))</f>
        <v/>
      </c>
      <c r="F150" t="str">
        <f>IF(B150="","",IFERROR(VLOOKUP(B150,'SPED Student Roster'!$A:$E,5,FALSE),""))</f>
        <v/>
      </c>
      <c r="K150" t="str">
        <f t="shared" ca="1" si="4"/>
        <v/>
      </c>
      <c r="Q150" t="str">
        <f>IF(B150="","",IFERROR(VLOOKUP(B150,'SPED Student Roster'!$A:$F,6,FALSE),""))</f>
        <v/>
      </c>
    </row>
    <row r="151" spans="3:17" ht="14.25" x14ac:dyDescent="0.45">
      <c r="C151" t="str">
        <f>IF(B151="","",IFERROR(VLOOKUP(B151,'SPED Student Roster'!$A:$B,2,FALSE),""))</f>
        <v/>
      </c>
      <c r="D151" t="str">
        <f>IF(B151="","",IFERROR(VLOOKUP(B151,'SPED Student Roster'!$A:$C,3,FALSE),""))</f>
        <v/>
      </c>
      <c r="E151" t="str">
        <f>IF(B151="","",IFERROR(VLOOKUP(B151,'SPED Student Roster'!$A:$D,4,FALSE),""))</f>
        <v/>
      </c>
      <c r="F151" t="str">
        <f>IF(B151="","",IFERROR(VLOOKUP(B151,'SPED Student Roster'!$A:$E,5,FALSE),""))</f>
        <v/>
      </c>
      <c r="K151" t="str">
        <f t="shared" ca="1" si="4"/>
        <v/>
      </c>
      <c r="Q151" t="str">
        <f>IF(B151="","",IFERROR(VLOOKUP(B151,'SPED Student Roster'!$A:$F,6,FALSE),""))</f>
        <v/>
      </c>
    </row>
    <row r="152" spans="3:17" ht="14.25" x14ac:dyDescent="0.45">
      <c r="C152" t="str">
        <f>IF(B152="","",IFERROR(VLOOKUP(B152,'SPED Student Roster'!$A:$B,2,FALSE),""))</f>
        <v/>
      </c>
      <c r="D152" t="str">
        <f>IF(B152="","",IFERROR(VLOOKUP(B152,'SPED Student Roster'!$A:$C,3,FALSE),""))</f>
        <v/>
      </c>
      <c r="E152" t="str">
        <f>IF(B152="","",IFERROR(VLOOKUP(B152,'SPED Student Roster'!$A:$D,4,FALSE),""))</f>
        <v/>
      </c>
      <c r="F152" t="str">
        <f>IF(B152="","",IFERROR(VLOOKUP(B152,'SPED Student Roster'!$A:$E,5,FALSE),""))</f>
        <v/>
      </c>
      <c r="K152" t="str">
        <f t="shared" ca="1" si="4"/>
        <v/>
      </c>
      <c r="Q152" t="str">
        <f>IF(B152="","",IFERROR(VLOOKUP(B152,'SPED Student Roster'!$A:$F,6,FALSE),""))</f>
        <v/>
      </c>
    </row>
    <row r="153" spans="3:17" ht="14.25" x14ac:dyDescent="0.45">
      <c r="C153" t="str">
        <f>IF(B153="","",IFERROR(VLOOKUP(B153,'SPED Student Roster'!$A:$B,2,FALSE),""))</f>
        <v/>
      </c>
      <c r="D153" t="str">
        <f>IF(B153="","",IFERROR(VLOOKUP(B153,'SPED Student Roster'!$A:$C,3,FALSE),""))</f>
        <v/>
      </c>
      <c r="E153" t="str">
        <f>IF(B153="","",IFERROR(VLOOKUP(B153,'SPED Student Roster'!$A:$D,4,FALSE),""))</f>
        <v/>
      </c>
      <c r="F153" t="str">
        <f>IF(B153="","",IFERROR(VLOOKUP(B153,'SPED Student Roster'!$A:$E,5,FALSE),""))</f>
        <v/>
      </c>
      <c r="K153" t="str">
        <f t="shared" ca="1" si="4"/>
        <v/>
      </c>
      <c r="Q153" t="str">
        <f>IF(B153="","",IFERROR(VLOOKUP(B153,'SPED Student Roster'!$A:$F,6,FALSE),""))</f>
        <v/>
      </c>
    </row>
    <row r="154" spans="3:17" ht="14.25" x14ac:dyDescent="0.45">
      <c r="C154" t="str">
        <f>IF(B154="","",IFERROR(VLOOKUP(B154,'SPED Student Roster'!$A:$B,2,FALSE),""))</f>
        <v/>
      </c>
      <c r="D154" t="str">
        <f>IF(B154="","",IFERROR(VLOOKUP(B154,'SPED Student Roster'!$A:$C,3,FALSE),""))</f>
        <v/>
      </c>
      <c r="E154" t="str">
        <f>IF(B154="","",IFERROR(VLOOKUP(B154,'SPED Student Roster'!$A:$D,4,FALSE),""))</f>
        <v/>
      </c>
      <c r="F154" t="str">
        <f>IF(B154="","",IFERROR(VLOOKUP(B154,'SPED Student Roster'!$A:$E,5,FALSE),""))</f>
        <v/>
      </c>
      <c r="K154" t="str">
        <f t="shared" ca="1" si="4"/>
        <v/>
      </c>
      <c r="Q154" t="str">
        <f>IF(B154="","",IFERROR(VLOOKUP(B154,'SPED Student Roster'!$A:$F,6,FALSE),""))</f>
        <v/>
      </c>
    </row>
    <row r="155" spans="3:17" ht="14.25" x14ac:dyDescent="0.45">
      <c r="C155" t="str">
        <f>IF(B155="","",IFERROR(VLOOKUP(B155,'SPED Student Roster'!$A:$B,2,FALSE),""))</f>
        <v/>
      </c>
      <c r="D155" t="str">
        <f>IF(B155="","",IFERROR(VLOOKUP(B155,'SPED Student Roster'!$A:$C,3,FALSE),""))</f>
        <v/>
      </c>
      <c r="E155" t="str">
        <f>IF(B155="","",IFERROR(VLOOKUP(B155,'SPED Student Roster'!$A:$D,4,FALSE),""))</f>
        <v/>
      </c>
      <c r="F155" t="str">
        <f>IF(B155="","",IFERROR(VLOOKUP(B155,'SPED Student Roster'!$A:$E,5,FALSE),""))</f>
        <v/>
      </c>
      <c r="K155" t="str">
        <f t="shared" ca="1" si="4"/>
        <v/>
      </c>
      <c r="Q155" t="str">
        <f>IF(B155="","",IFERROR(VLOOKUP(B155,'SPED Student Roster'!$A:$F,6,FALSE),""))</f>
        <v/>
      </c>
    </row>
    <row r="156" spans="3:17" ht="14.25" x14ac:dyDescent="0.45">
      <c r="C156" t="str">
        <f>IF(B156="","",IFERROR(VLOOKUP(B156,'SPED Student Roster'!$A:$B,2,FALSE),""))</f>
        <v/>
      </c>
      <c r="D156" t="str">
        <f>IF(B156="","",IFERROR(VLOOKUP(B156,'SPED Student Roster'!$A:$C,3,FALSE),""))</f>
        <v/>
      </c>
      <c r="E156" t="str">
        <f>IF(B156="","",IFERROR(VLOOKUP(B156,'SPED Student Roster'!$A:$D,4,FALSE),""))</f>
        <v/>
      </c>
      <c r="F156" t="str">
        <f>IF(B156="","",IFERROR(VLOOKUP(B156,'SPED Student Roster'!$A:$E,5,FALSE),""))</f>
        <v/>
      </c>
      <c r="K156" t="str">
        <f t="shared" ca="1" si="4"/>
        <v/>
      </c>
      <c r="Q156" t="str">
        <f>IF(B156="","",IFERROR(VLOOKUP(B156,'SPED Student Roster'!$A:$F,6,FALSE),""))</f>
        <v/>
      </c>
    </row>
    <row r="157" spans="3:17" ht="14.25" x14ac:dyDescent="0.45">
      <c r="C157" t="str">
        <f>IF(B157="","",IFERROR(VLOOKUP(B157,'SPED Student Roster'!$A:$B,2,FALSE),""))</f>
        <v/>
      </c>
      <c r="D157" t="str">
        <f>IF(B157="","",IFERROR(VLOOKUP(B157,'SPED Student Roster'!$A:$C,3,FALSE),""))</f>
        <v/>
      </c>
      <c r="E157" t="str">
        <f>IF(B157="","",IFERROR(VLOOKUP(B157,'SPED Student Roster'!$A:$D,4,FALSE),""))</f>
        <v/>
      </c>
      <c r="F157" t="str">
        <f>IF(B157="","",IFERROR(VLOOKUP(B157,'SPED Student Roster'!$A:$E,5,FALSE),""))</f>
        <v/>
      </c>
      <c r="K157" t="str">
        <f t="shared" ca="1" si="4"/>
        <v/>
      </c>
      <c r="Q157" t="str">
        <f>IF(B157="","",IFERROR(VLOOKUP(B157,'SPED Student Roster'!$A:$F,6,FALSE),""))</f>
        <v/>
      </c>
    </row>
    <row r="158" spans="3:17" ht="14.25" x14ac:dyDescent="0.45">
      <c r="C158" t="str">
        <f>IF(B158="","",IFERROR(VLOOKUP(B158,'SPED Student Roster'!$A:$B,2,FALSE),""))</f>
        <v/>
      </c>
      <c r="D158" t="str">
        <f>IF(B158="","",IFERROR(VLOOKUP(B158,'SPED Student Roster'!$A:$C,3,FALSE),""))</f>
        <v/>
      </c>
      <c r="E158" t="str">
        <f>IF(B158="","",IFERROR(VLOOKUP(B158,'SPED Student Roster'!$A:$D,4,FALSE),""))</f>
        <v/>
      </c>
      <c r="F158" t="str">
        <f>IF(B158="","",IFERROR(VLOOKUP(B158,'SPED Student Roster'!$A:$E,5,FALSE),""))</f>
        <v/>
      </c>
      <c r="K158" t="str">
        <f t="shared" ca="1" si="4"/>
        <v/>
      </c>
      <c r="Q158" t="str">
        <f>IF(B158="","",IFERROR(VLOOKUP(B158,'SPED Student Roster'!$A:$F,6,FALSE),""))</f>
        <v/>
      </c>
    </row>
    <row r="159" spans="3:17" ht="14.25" x14ac:dyDescent="0.45">
      <c r="C159" t="str">
        <f>IF(B159="","",IFERROR(VLOOKUP(B159,'SPED Student Roster'!$A:$B,2,FALSE),""))</f>
        <v/>
      </c>
      <c r="D159" t="str">
        <f>IF(B159="","",IFERROR(VLOOKUP(B159,'SPED Student Roster'!$A:$C,3,FALSE),""))</f>
        <v/>
      </c>
      <c r="E159" t="str">
        <f>IF(B159="","",IFERROR(VLOOKUP(B159,'SPED Student Roster'!$A:$D,4,FALSE),""))</f>
        <v/>
      </c>
      <c r="F159" t="str">
        <f>IF(B159="","",IFERROR(VLOOKUP(B159,'SPED Student Roster'!$A:$E,5,FALSE),""))</f>
        <v/>
      </c>
      <c r="K159" t="str">
        <f t="shared" ca="1" si="4"/>
        <v/>
      </c>
      <c r="Q159" t="str">
        <f>IF(B159="","",IFERROR(VLOOKUP(B159,'SPED Student Roster'!$A:$F,6,FALSE),""))</f>
        <v/>
      </c>
    </row>
    <row r="160" spans="3:17" ht="14.25" x14ac:dyDescent="0.45">
      <c r="C160" t="str">
        <f>IF(B160="","",IFERROR(VLOOKUP(B160,'SPED Student Roster'!$A:$B,2,FALSE),""))</f>
        <v/>
      </c>
      <c r="D160" t="str">
        <f>IF(B160="","",IFERROR(VLOOKUP(B160,'SPED Student Roster'!$A:$C,3,FALSE),""))</f>
        <v/>
      </c>
      <c r="E160" t="str">
        <f>IF(B160="","",IFERROR(VLOOKUP(B160,'SPED Student Roster'!$A:$D,4,FALSE),""))</f>
        <v/>
      </c>
      <c r="F160" t="str">
        <f>IF(B160="","",IFERROR(VLOOKUP(B160,'SPED Student Roster'!$A:$E,5,FALSE),""))</f>
        <v/>
      </c>
      <c r="K160" t="str">
        <f t="shared" ca="1" si="4"/>
        <v/>
      </c>
      <c r="Q160" t="str">
        <f>IF(B160="","",IFERROR(VLOOKUP(B160,'SPED Student Roster'!$A:$F,6,FALSE),""))</f>
        <v/>
      </c>
    </row>
    <row r="161" spans="3:17" ht="14.25" x14ac:dyDescent="0.45">
      <c r="C161" t="str">
        <f>IF(B161="","",IFERROR(VLOOKUP(B161,'SPED Student Roster'!$A:$B,2,FALSE),""))</f>
        <v/>
      </c>
      <c r="D161" t="str">
        <f>IF(B161="","",IFERROR(VLOOKUP(B161,'SPED Student Roster'!$A:$C,3,FALSE),""))</f>
        <v/>
      </c>
      <c r="E161" t="str">
        <f>IF(B161="","",IFERROR(VLOOKUP(B161,'SPED Student Roster'!$A:$D,4,FALSE),""))</f>
        <v/>
      </c>
      <c r="F161" t="str">
        <f>IF(B161="","",IFERROR(VLOOKUP(B161,'SPED Student Roster'!$A:$E,5,FALSE),""))</f>
        <v/>
      </c>
      <c r="K161" t="str">
        <f t="shared" ca="1" si="4"/>
        <v/>
      </c>
      <c r="Q161" t="str">
        <f>IF(B161="","",IFERROR(VLOOKUP(B161,'SPED Student Roster'!$A:$F,6,FALSE),""))</f>
        <v/>
      </c>
    </row>
    <row r="162" spans="3:17" ht="14.25" x14ac:dyDescent="0.45">
      <c r="C162" t="str">
        <f>IF(B162="","",IFERROR(VLOOKUP(B162,'SPED Student Roster'!$A:$B,2,FALSE),""))</f>
        <v/>
      </c>
      <c r="D162" t="str">
        <f>IF(B162="","",IFERROR(VLOOKUP(B162,'SPED Student Roster'!$A:$C,3,FALSE),""))</f>
        <v/>
      </c>
      <c r="E162" t="str">
        <f>IF(B162="","",IFERROR(VLOOKUP(B162,'SPED Student Roster'!$A:$D,4,FALSE),""))</f>
        <v/>
      </c>
      <c r="F162" t="str">
        <f>IF(B162="","",IFERROR(VLOOKUP(B162,'SPED Student Roster'!$A:$E,5,FALSE),""))</f>
        <v/>
      </c>
      <c r="K162" t="str">
        <f t="shared" ca="1" si="4"/>
        <v/>
      </c>
      <c r="Q162" t="str">
        <f>IF(B162="","",IFERROR(VLOOKUP(B162,'SPED Student Roster'!$A:$F,6,FALSE),""))</f>
        <v/>
      </c>
    </row>
    <row r="163" spans="3:17" ht="14.25" x14ac:dyDescent="0.45">
      <c r="C163" t="str">
        <f>IF(B163="","",IFERROR(VLOOKUP(B163,'SPED Student Roster'!$A:$B,2,FALSE),""))</f>
        <v/>
      </c>
      <c r="D163" t="str">
        <f>IF(B163="","",IFERROR(VLOOKUP(B163,'SPED Student Roster'!$A:$C,3,FALSE),""))</f>
        <v/>
      </c>
      <c r="E163" t="str">
        <f>IF(B163="","",IFERROR(VLOOKUP(B163,'SPED Student Roster'!$A:$D,4,FALSE),""))</f>
        <v/>
      </c>
      <c r="F163" t="str">
        <f>IF(B163="","",IFERROR(VLOOKUP(B163,'SPED Student Roster'!$A:$E,5,FALSE),""))</f>
        <v/>
      </c>
      <c r="K163" t="str">
        <f t="shared" ca="1" si="4"/>
        <v/>
      </c>
      <c r="Q163" t="str">
        <f>IF(B163="","",IFERROR(VLOOKUP(B163,'SPED Student Roster'!$A:$F,6,FALSE),""))</f>
        <v/>
      </c>
    </row>
    <row r="164" spans="3:17" ht="14.25" x14ac:dyDescent="0.45">
      <c r="C164" t="str">
        <f>IF(B164="","",IFERROR(VLOOKUP(B164,'SPED Student Roster'!$A:$B,2,FALSE),""))</f>
        <v/>
      </c>
      <c r="D164" t="str">
        <f>IF(B164="","",IFERROR(VLOOKUP(B164,'SPED Student Roster'!$A:$C,3,FALSE),""))</f>
        <v/>
      </c>
      <c r="E164" t="str">
        <f>IF(B164="","",IFERROR(VLOOKUP(B164,'SPED Student Roster'!$A:$D,4,FALSE),""))</f>
        <v/>
      </c>
      <c r="F164" t="str">
        <f>IF(B164="","",IFERROR(VLOOKUP(B164,'SPED Student Roster'!$A:$E,5,FALSE),""))</f>
        <v/>
      </c>
      <c r="K164" t="str">
        <f t="shared" ref="K164:K195" ca="1" si="5">IF(OR(B164="",J164=""),"",J164-TODAY())</f>
        <v/>
      </c>
      <c r="Q164" t="str">
        <f>IF(B164="","",IFERROR(VLOOKUP(B164,'SPED Student Roster'!$A:$F,6,FALSE),""))</f>
        <v/>
      </c>
    </row>
    <row r="165" spans="3:17" ht="14.25" x14ac:dyDescent="0.45">
      <c r="C165" t="str">
        <f>IF(B165="","",IFERROR(VLOOKUP(B165,'SPED Student Roster'!$A:$B,2,FALSE),""))</f>
        <v/>
      </c>
      <c r="D165" t="str">
        <f>IF(B165="","",IFERROR(VLOOKUP(B165,'SPED Student Roster'!$A:$C,3,FALSE),""))</f>
        <v/>
      </c>
      <c r="E165" t="str">
        <f>IF(B165="","",IFERROR(VLOOKUP(B165,'SPED Student Roster'!$A:$D,4,FALSE),""))</f>
        <v/>
      </c>
      <c r="F165" t="str">
        <f>IF(B165="","",IFERROR(VLOOKUP(B165,'SPED Student Roster'!$A:$E,5,FALSE),""))</f>
        <v/>
      </c>
      <c r="K165" t="str">
        <f t="shared" ca="1" si="5"/>
        <v/>
      </c>
      <c r="Q165" t="str">
        <f>IF(B165="","",IFERROR(VLOOKUP(B165,'SPED Student Roster'!$A:$F,6,FALSE),""))</f>
        <v/>
      </c>
    </row>
    <row r="166" spans="3:17" ht="14.25" x14ac:dyDescent="0.45">
      <c r="C166" t="str">
        <f>IF(B166="","",IFERROR(VLOOKUP(B166,'SPED Student Roster'!$A:$B,2,FALSE),""))</f>
        <v/>
      </c>
      <c r="D166" t="str">
        <f>IF(B166="","",IFERROR(VLOOKUP(B166,'SPED Student Roster'!$A:$C,3,FALSE),""))</f>
        <v/>
      </c>
      <c r="E166" t="str">
        <f>IF(B166="","",IFERROR(VLOOKUP(B166,'SPED Student Roster'!$A:$D,4,FALSE),""))</f>
        <v/>
      </c>
      <c r="F166" t="str">
        <f>IF(B166="","",IFERROR(VLOOKUP(B166,'SPED Student Roster'!$A:$E,5,FALSE),""))</f>
        <v/>
      </c>
      <c r="K166" t="str">
        <f t="shared" ca="1" si="5"/>
        <v/>
      </c>
      <c r="Q166" t="str">
        <f>IF(B166="","",IFERROR(VLOOKUP(B166,'SPED Student Roster'!$A:$F,6,FALSE),""))</f>
        <v/>
      </c>
    </row>
    <row r="167" spans="3:17" ht="14.25" x14ac:dyDescent="0.45">
      <c r="C167" t="str">
        <f>IF(B167="","",IFERROR(VLOOKUP(B167,'SPED Student Roster'!$A:$B,2,FALSE),""))</f>
        <v/>
      </c>
      <c r="D167" t="str">
        <f>IF(B167="","",IFERROR(VLOOKUP(B167,'SPED Student Roster'!$A:$C,3,FALSE),""))</f>
        <v/>
      </c>
      <c r="E167" t="str">
        <f>IF(B167="","",IFERROR(VLOOKUP(B167,'SPED Student Roster'!$A:$D,4,FALSE),""))</f>
        <v/>
      </c>
      <c r="F167" t="str">
        <f>IF(B167="","",IFERROR(VLOOKUP(B167,'SPED Student Roster'!$A:$E,5,FALSE),""))</f>
        <v/>
      </c>
      <c r="K167" t="str">
        <f t="shared" ca="1" si="5"/>
        <v/>
      </c>
      <c r="Q167" t="str">
        <f>IF(B167="","",IFERROR(VLOOKUP(B167,'SPED Student Roster'!$A:$F,6,FALSE),""))</f>
        <v/>
      </c>
    </row>
    <row r="168" spans="3:17" ht="14.25" x14ac:dyDescent="0.45">
      <c r="C168" t="str">
        <f>IF(B168="","",IFERROR(VLOOKUP(B168,'SPED Student Roster'!$A:$B,2,FALSE),""))</f>
        <v/>
      </c>
      <c r="D168" t="str">
        <f>IF(B168="","",IFERROR(VLOOKUP(B168,'SPED Student Roster'!$A:$C,3,FALSE),""))</f>
        <v/>
      </c>
      <c r="E168" t="str">
        <f>IF(B168="","",IFERROR(VLOOKUP(B168,'SPED Student Roster'!$A:$D,4,FALSE),""))</f>
        <v/>
      </c>
      <c r="F168" t="str">
        <f>IF(B168="","",IFERROR(VLOOKUP(B168,'SPED Student Roster'!$A:$E,5,FALSE),""))</f>
        <v/>
      </c>
      <c r="K168" t="str">
        <f t="shared" ca="1" si="5"/>
        <v/>
      </c>
      <c r="Q168" t="str">
        <f>IF(B168="","",IFERROR(VLOOKUP(B168,'SPED Student Roster'!$A:$F,6,FALSE),""))</f>
        <v/>
      </c>
    </row>
    <row r="169" spans="3:17" ht="14.25" x14ac:dyDescent="0.45">
      <c r="C169" t="str">
        <f>IF(B169="","",IFERROR(VLOOKUP(B169,'SPED Student Roster'!$A:$B,2,FALSE),""))</f>
        <v/>
      </c>
      <c r="D169" t="str">
        <f>IF(B169="","",IFERROR(VLOOKUP(B169,'SPED Student Roster'!$A:$C,3,FALSE),""))</f>
        <v/>
      </c>
      <c r="E169" t="str">
        <f>IF(B169="","",IFERROR(VLOOKUP(B169,'SPED Student Roster'!$A:$D,4,FALSE),""))</f>
        <v/>
      </c>
      <c r="F169" t="str">
        <f>IF(B169="","",IFERROR(VLOOKUP(B169,'SPED Student Roster'!$A:$E,5,FALSE),""))</f>
        <v/>
      </c>
      <c r="K169" t="str">
        <f t="shared" ca="1" si="5"/>
        <v/>
      </c>
      <c r="Q169" t="str">
        <f>IF(B169="","",IFERROR(VLOOKUP(B169,'SPED Student Roster'!$A:$F,6,FALSE),""))</f>
        <v/>
      </c>
    </row>
    <row r="170" spans="3:17" ht="14.25" x14ac:dyDescent="0.45">
      <c r="C170" t="str">
        <f>IF(B170="","",IFERROR(VLOOKUP(B170,'SPED Student Roster'!$A:$B,2,FALSE),""))</f>
        <v/>
      </c>
      <c r="D170" t="str">
        <f>IF(B170="","",IFERROR(VLOOKUP(B170,'SPED Student Roster'!$A:$C,3,FALSE),""))</f>
        <v/>
      </c>
      <c r="E170" t="str">
        <f>IF(B170="","",IFERROR(VLOOKUP(B170,'SPED Student Roster'!$A:$D,4,FALSE),""))</f>
        <v/>
      </c>
      <c r="F170" t="str">
        <f>IF(B170="","",IFERROR(VLOOKUP(B170,'SPED Student Roster'!$A:$E,5,FALSE),""))</f>
        <v/>
      </c>
      <c r="K170" t="str">
        <f t="shared" ca="1" si="5"/>
        <v/>
      </c>
      <c r="Q170" t="str">
        <f>IF(B170="","",IFERROR(VLOOKUP(B170,'SPED Student Roster'!$A:$F,6,FALSE),""))</f>
        <v/>
      </c>
    </row>
    <row r="171" spans="3:17" ht="14.25" x14ac:dyDescent="0.45">
      <c r="C171" t="str">
        <f>IF(B171="","",IFERROR(VLOOKUP(B171,'SPED Student Roster'!$A:$B,2,FALSE),""))</f>
        <v/>
      </c>
      <c r="D171" t="str">
        <f>IF(B171="","",IFERROR(VLOOKUP(B171,'SPED Student Roster'!$A:$C,3,FALSE),""))</f>
        <v/>
      </c>
      <c r="E171" t="str">
        <f>IF(B171="","",IFERROR(VLOOKUP(B171,'SPED Student Roster'!$A:$D,4,FALSE),""))</f>
        <v/>
      </c>
      <c r="F171" t="str">
        <f>IF(B171="","",IFERROR(VLOOKUP(B171,'SPED Student Roster'!$A:$E,5,FALSE),""))</f>
        <v/>
      </c>
      <c r="K171" t="str">
        <f t="shared" ca="1" si="5"/>
        <v/>
      </c>
      <c r="Q171" t="str">
        <f>IF(B171="","",IFERROR(VLOOKUP(B171,'SPED Student Roster'!$A:$F,6,FALSE),""))</f>
        <v/>
      </c>
    </row>
    <row r="172" spans="3:17" ht="14.25" x14ac:dyDescent="0.45">
      <c r="C172" t="str">
        <f>IF(B172="","",IFERROR(VLOOKUP(B172,'SPED Student Roster'!$A:$B,2,FALSE),""))</f>
        <v/>
      </c>
      <c r="D172" t="str">
        <f>IF(B172="","",IFERROR(VLOOKUP(B172,'SPED Student Roster'!$A:$C,3,FALSE),""))</f>
        <v/>
      </c>
      <c r="E172" t="str">
        <f>IF(B172="","",IFERROR(VLOOKUP(B172,'SPED Student Roster'!$A:$D,4,FALSE),""))</f>
        <v/>
      </c>
      <c r="F172" t="str">
        <f>IF(B172="","",IFERROR(VLOOKUP(B172,'SPED Student Roster'!$A:$E,5,FALSE),""))</f>
        <v/>
      </c>
      <c r="K172" t="str">
        <f t="shared" ca="1" si="5"/>
        <v/>
      </c>
      <c r="Q172" t="str">
        <f>IF(B172="","",IFERROR(VLOOKUP(B172,'SPED Student Roster'!$A:$F,6,FALSE),""))</f>
        <v/>
      </c>
    </row>
    <row r="173" spans="3:17" ht="14.25" x14ac:dyDescent="0.45">
      <c r="C173" t="str">
        <f>IF(B173="","",IFERROR(VLOOKUP(B173,'SPED Student Roster'!$A:$B,2,FALSE),""))</f>
        <v/>
      </c>
      <c r="D173" t="str">
        <f>IF(B173="","",IFERROR(VLOOKUP(B173,'SPED Student Roster'!$A:$C,3,FALSE),""))</f>
        <v/>
      </c>
      <c r="E173" t="str">
        <f>IF(B173="","",IFERROR(VLOOKUP(B173,'SPED Student Roster'!$A:$D,4,FALSE),""))</f>
        <v/>
      </c>
      <c r="F173" t="str">
        <f>IF(B173="","",IFERROR(VLOOKUP(B173,'SPED Student Roster'!$A:$E,5,FALSE),""))</f>
        <v/>
      </c>
      <c r="K173" t="str">
        <f t="shared" ca="1" si="5"/>
        <v/>
      </c>
      <c r="Q173" t="str">
        <f>IF(B173="","",IFERROR(VLOOKUP(B173,'SPED Student Roster'!$A:$F,6,FALSE),""))</f>
        <v/>
      </c>
    </row>
    <row r="174" spans="3:17" ht="14.25" x14ac:dyDescent="0.45">
      <c r="C174" t="str">
        <f>IF(B174="","",IFERROR(VLOOKUP(B174,'SPED Student Roster'!$A:$B,2,FALSE),""))</f>
        <v/>
      </c>
      <c r="D174" t="str">
        <f>IF(B174="","",IFERROR(VLOOKUP(B174,'SPED Student Roster'!$A:$C,3,FALSE),""))</f>
        <v/>
      </c>
      <c r="E174" t="str">
        <f>IF(B174="","",IFERROR(VLOOKUP(B174,'SPED Student Roster'!$A:$D,4,FALSE),""))</f>
        <v/>
      </c>
      <c r="F174" t="str">
        <f>IF(B174="","",IFERROR(VLOOKUP(B174,'SPED Student Roster'!$A:$E,5,FALSE),""))</f>
        <v/>
      </c>
      <c r="K174" t="str">
        <f t="shared" ca="1" si="5"/>
        <v/>
      </c>
      <c r="Q174" t="str">
        <f>IF(B174="","",IFERROR(VLOOKUP(B174,'SPED Student Roster'!$A:$F,6,FALSE),""))</f>
        <v/>
      </c>
    </row>
    <row r="175" spans="3:17" ht="14.25" x14ac:dyDescent="0.45">
      <c r="C175" t="str">
        <f>IF(B175="","",IFERROR(VLOOKUP(B175,'SPED Student Roster'!$A:$B,2,FALSE),""))</f>
        <v/>
      </c>
      <c r="D175" t="str">
        <f>IF(B175="","",IFERROR(VLOOKUP(B175,'SPED Student Roster'!$A:$C,3,FALSE),""))</f>
        <v/>
      </c>
      <c r="E175" t="str">
        <f>IF(B175="","",IFERROR(VLOOKUP(B175,'SPED Student Roster'!$A:$D,4,FALSE),""))</f>
        <v/>
      </c>
      <c r="F175" t="str">
        <f>IF(B175="","",IFERROR(VLOOKUP(B175,'SPED Student Roster'!$A:$E,5,FALSE),""))</f>
        <v/>
      </c>
      <c r="K175" t="str">
        <f t="shared" ca="1" si="5"/>
        <v/>
      </c>
      <c r="Q175" t="str">
        <f>IF(B175="","",IFERROR(VLOOKUP(B175,'SPED Student Roster'!$A:$F,6,FALSE),""))</f>
        <v/>
      </c>
    </row>
    <row r="176" spans="3:17" ht="14.25" x14ac:dyDescent="0.45">
      <c r="C176" t="str">
        <f>IF(B176="","",IFERROR(VLOOKUP(B176,'SPED Student Roster'!$A:$B,2,FALSE),""))</f>
        <v/>
      </c>
      <c r="D176" t="str">
        <f>IF(B176="","",IFERROR(VLOOKUP(B176,'SPED Student Roster'!$A:$C,3,FALSE),""))</f>
        <v/>
      </c>
      <c r="E176" t="str">
        <f>IF(B176="","",IFERROR(VLOOKUP(B176,'SPED Student Roster'!$A:$D,4,FALSE),""))</f>
        <v/>
      </c>
      <c r="F176" t="str">
        <f>IF(B176="","",IFERROR(VLOOKUP(B176,'SPED Student Roster'!$A:$E,5,FALSE),""))</f>
        <v/>
      </c>
      <c r="K176" t="str">
        <f t="shared" ca="1" si="5"/>
        <v/>
      </c>
      <c r="Q176" t="str">
        <f>IF(B176="","",IFERROR(VLOOKUP(B176,'SPED Student Roster'!$A:$F,6,FALSE),""))</f>
        <v/>
      </c>
    </row>
    <row r="177" spans="3:17" ht="14.25" x14ac:dyDescent="0.45">
      <c r="C177" t="str">
        <f>IF(B177="","",IFERROR(VLOOKUP(B177,'SPED Student Roster'!$A:$B,2,FALSE),""))</f>
        <v/>
      </c>
      <c r="D177" t="str">
        <f>IF(B177="","",IFERROR(VLOOKUP(B177,'SPED Student Roster'!$A:$C,3,FALSE),""))</f>
        <v/>
      </c>
      <c r="E177" t="str">
        <f>IF(B177="","",IFERROR(VLOOKUP(B177,'SPED Student Roster'!$A:$D,4,FALSE),""))</f>
        <v/>
      </c>
      <c r="F177" t="str">
        <f>IF(B177="","",IFERROR(VLOOKUP(B177,'SPED Student Roster'!$A:$E,5,FALSE),""))</f>
        <v/>
      </c>
      <c r="K177" t="str">
        <f t="shared" ca="1" si="5"/>
        <v/>
      </c>
      <c r="Q177" t="str">
        <f>IF(B177="","",IFERROR(VLOOKUP(B177,'SPED Student Roster'!$A:$F,6,FALSE),""))</f>
        <v/>
      </c>
    </row>
    <row r="178" spans="3:17" ht="14.25" x14ac:dyDescent="0.45">
      <c r="C178" t="str">
        <f>IF(B178="","",IFERROR(VLOOKUP(B178,'SPED Student Roster'!$A:$B,2,FALSE),""))</f>
        <v/>
      </c>
      <c r="D178" t="str">
        <f>IF(B178="","",IFERROR(VLOOKUP(B178,'SPED Student Roster'!$A:$C,3,FALSE),""))</f>
        <v/>
      </c>
      <c r="E178" t="str">
        <f>IF(B178="","",IFERROR(VLOOKUP(B178,'SPED Student Roster'!$A:$D,4,FALSE),""))</f>
        <v/>
      </c>
      <c r="F178" t="str">
        <f>IF(B178="","",IFERROR(VLOOKUP(B178,'SPED Student Roster'!$A:$E,5,FALSE),""))</f>
        <v/>
      </c>
      <c r="K178" t="str">
        <f t="shared" ca="1" si="5"/>
        <v/>
      </c>
      <c r="Q178" t="str">
        <f>IF(B178="","",IFERROR(VLOOKUP(B178,'SPED Student Roster'!$A:$F,6,FALSE),""))</f>
        <v/>
      </c>
    </row>
    <row r="179" spans="3:17" ht="14.25" x14ac:dyDescent="0.45">
      <c r="C179" t="str">
        <f>IF(B179="","",IFERROR(VLOOKUP(B179,'SPED Student Roster'!$A:$B,2,FALSE),""))</f>
        <v/>
      </c>
      <c r="D179" t="str">
        <f>IF(B179="","",IFERROR(VLOOKUP(B179,'SPED Student Roster'!$A:$C,3,FALSE),""))</f>
        <v/>
      </c>
      <c r="E179" t="str">
        <f>IF(B179="","",IFERROR(VLOOKUP(B179,'SPED Student Roster'!$A:$D,4,FALSE),""))</f>
        <v/>
      </c>
      <c r="F179" t="str">
        <f>IF(B179="","",IFERROR(VLOOKUP(B179,'SPED Student Roster'!$A:$E,5,FALSE),""))</f>
        <v/>
      </c>
      <c r="K179" t="str">
        <f t="shared" ca="1" si="5"/>
        <v/>
      </c>
      <c r="Q179" t="str">
        <f>IF(B179="","",IFERROR(VLOOKUP(B179,'SPED Student Roster'!$A:$F,6,FALSE),""))</f>
        <v/>
      </c>
    </row>
    <row r="180" spans="3:17" ht="14.25" x14ac:dyDescent="0.45">
      <c r="C180" t="str">
        <f>IF(B180="","",IFERROR(VLOOKUP(B180,'SPED Student Roster'!$A:$B,2,FALSE),""))</f>
        <v/>
      </c>
      <c r="D180" t="str">
        <f>IF(B180="","",IFERROR(VLOOKUP(B180,'SPED Student Roster'!$A:$C,3,FALSE),""))</f>
        <v/>
      </c>
      <c r="E180" t="str">
        <f>IF(B180="","",IFERROR(VLOOKUP(B180,'SPED Student Roster'!$A:$D,4,FALSE),""))</f>
        <v/>
      </c>
      <c r="F180" t="str">
        <f>IF(B180="","",IFERROR(VLOOKUP(B180,'SPED Student Roster'!$A:$E,5,FALSE),""))</f>
        <v/>
      </c>
      <c r="K180" t="str">
        <f t="shared" ca="1" si="5"/>
        <v/>
      </c>
      <c r="Q180" t="str">
        <f>IF(B180="","",IFERROR(VLOOKUP(B180,'SPED Student Roster'!$A:$F,6,FALSE),""))</f>
        <v/>
      </c>
    </row>
    <row r="181" spans="3:17" ht="14.25" x14ac:dyDescent="0.45">
      <c r="C181" t="str">
        <f>IF(B181="","",IFERROR(VLOOKUP(B181,'SPED Student Roster'!$A:$B,2,FALSE),""))</f>
        <v/>
      </c>
      <c r="D181" t="str">
        <f>IF(B181="","",IFERROR(VLOOKUP(B181,'SPED Student Roster'!$A:$C,3,FALSE),""))</f>
        <v/>
      </c>
      <c r="E181" t="str">
        <f>IF(B181="","",IFERROR(VLOOKUP(B181,'SPED Student Roster'!$A:$D,4,FALSE),""))</f>
        <v/>
      </c>
      <c r="F181" t="str">
        <f>IF(B181="","",IFERROR(VLOOKUP(B181,'SPED Student Roster'!$A:$E,5,FALSE),""))</f>
        <v/>
      </c>
      <c r="K181" t="str">
        <f t="shared" ca="1" si="5"/>
        <v/>
      </c>
      <c r="Q181" t="str">
        <f>IF(B181="","",IFERROR(VLOOKUP(B181,'SPED Student Roster'!$A:$F,6,FALSE),""))</f>
        <v/>
      </c>
    </row>
    <row r="182" spans="3:17" ht="14.25" x14ac:dyDescent="0.45">
      <c r="C182" t="str">
        <f>IF(B182="","",IFERROR(VLOOKUP(B182,'SPED Student Roster'!$A:$B,2,FALSE),""))</f>
        <v/>
      </c>
      <c r="D182" t="str">
        <f>IF(B182="","",IFERROR(VLOOKUP(B182,'SPED Student Roster'!$A:$C,3,FALSE),""))</f>
        <v/>
      </c>
      <c r="E182" t="str">
        <f>IF(B182="","",IFERROR(VLOOKUP(B182,'SPED Student Roster'!$A:$D,4,FALSE),""))</f>
        <v/>
      </c>
      <c r="F182" t="str">
        <f>IF(B182="","",IFERROR(VLOOKUP(B182,'SPED Student Roster'!$A:$E,5,FALSE),""))</f>
        <v/>
      </c>
      <c r="K182" t="str">
        <f t="shared" ca="1" si="5"/>
        <v/>
      </c>
      <c r="Q182" t="str">
        <f>IF(B182="","",IFERROR(VLOOKUP(B182,'SPED Student Roster'!$A:$F,6,FALSE),""))</f>
        <v/>
      </c>
    </row>
    <row r="183" spans="3:17" ht="14.25" x14ac:dyDescent="0.45">
      <c r="C183" t="str">
        <f>IF(B183="","",IFERROR(VLOOKUP(B183,'SPED Student Roster'!$A:$B,2,FALSE),""))</f>
        <v/>
      </c>
      <c r="D183" t="str">
        <f>IF(B183="","",IFERROR(VLOOKUP(B183,'SPED Student Roster'!$A:$C,3,FALSE),""))</f>
        <v/>
      </c>
      <c r="E183" t="str">
        <f>IF(B183="","",IFERROR(VLOOKUP(B183,'SPED Student Roster'!$A:$D,4,FALSE),""))</f>
        <v/>
      </c>
      <c r="F183" t="str">
        <f>IF(B183="","",IFERROR(VLOOKUP(B183,'SPED Student Roster'!$A:$E,5,FALSE),""))</f>
        <v/>
      </c>
      <c r="K183" t="str">
        <f t="shared" ca="1" si="5"/>
        <v/>
      </c>
      <c r="Q183" t="str">
        <f>IF(B183="","",IFERROR(VLOOKUP(B183,'SPED Student Roster'!$A:$F,6,FALSE),""))</f>
        <v/>
      </c>
    </row>
    <row r="184" spans="3:17" ht="14.25" x14ac:dyDescent="0.45">
      <c r="C184" t="str">
        <f>IF(B184="","",IFERROR(VLOOKUP(B184,'SPED Student Roster'!$A:$B,2,FALSE),""))</f>
        <v/>
      </c>
      <c r="D184" t="str">
        <f>IF(B184="","",IFERROR(VLOOKUP(B184,'SPED Student Roster'!$A:$C,3,FALSE),""))</f>
        <v/>
      </c>
      <c r="E184" t="str">
        <f>IF(B184="","",IFERROR(VLOOKUP(B184,'SPED Student Roster'!$A:$D,4,FALSE),""))</f>
        <v/>
      </c>
      <c r="F184" t="str">
        <f>IF(B184="","",IFERROR(VLOOKUP(B184,'SPED Student Roster'!$A:$E,5,FALSE),""))</f>
        <v/>
      </c>
      <c r="K184" t="str">
        <f t="shared" ca="1" si="5"/>
        <v/>
      </c>
      <c r="Q184" t="str">
        <f>IF(B184="","",IFERROR(VLOOKUP(B184,'SPED Student Roster'!$A:$F,6,FALSE),""))</f>
        <v/>
      </c>
    </row>
    <row r="185" spans="3:17" ht="14.25" x14ac:dyDescent="0.45">
      <c r="C185" t="str">
        <f>IF(B185="","",IFERROR(VLOOKUP(B185,'SPED Student Roster'!$A:$B,2,FALSE),""))</f>
        <v/>
      </c>
      <c r="D185" t="str">
        <f>IF(B185="","",IFERROR(VLOOKUP(B185,'SPED Student Roster'!$A:$C,3,FALSE),""))</f>
        <v/>
      </c>
      <c r="E185" t="str">
        <f>IF(B185="","",IFERROR(VLOOKUP(B185,'SPED Student Roster'!$A:$D,4,FALSE),""))</f>
        <v/>
      </c>
      <c r="F185" t="str">
        <f>IF(B185="","",IFERROR(VLOOKUP(B185,'SPED Student Roster'!$A:$E,5,FALSE),""))</f>
        <v/>
      </c>
      <c r="K185" t="str">
        <f t="shared" ca="1" si="5"/>
        <v/>
      </c>
      <c r="Q185" t="str">
        <f>IF(B185="","",IFERROR(VLOOKUP(B185,'SPED Student Roster'!$A:$F,6,FALSE),""))</f>
        <v/>
      </c>
    </row>
    <row r="186" spans="3:17" ht="14.25" x14ac:dyDescent="0.45">
      <c r="C186" t="str">
        <f>IF(B186="","",IFERROR(VLOOKUP(B186,'SPED Student Roster'!$A:$B,2,FALSE),""))</f>
        <v/>
      </c>
      <c r="D186" t="str">
        <f>IF(B186="","",IFERROR(VLOOKUP(B186,'SPED Student Roster'!$A:$C,3,FALSE),""))</f>
        <v/>
      </c>
      <c r="E186" t="str">
        <f>IF(B186="","",IFERROR(VLOOKUP(B186,'SPED Student Roster'!$A:$D,4,FALSE),""))</f>
        <v/>
      </c>
      <c r="F186" t="str">
        <f>IF(B186="","",IFERROR(VLOOKUP(B186,'SPED Student Roster'!$A:$E,5,FALSE),""))</f>
        <v/>
      </c>
      <c r="K186" t="str">
        <f t="shared" ca="1" si="5"/>
        <v/>
      </c>
      <c r="Q186" t="str">
        <f>IF(B186="","",IFERROR(VLOOKUP(B186,'SPED Student Roster'!$A:$F,6,FALSE),""))</f>
        <v/>
      </c>
    </row>
    <row r="187" spans="3:17" ht="14.25" x14ac:dyDescent="0.45">
      <c r="C187" t="str">
        <f>IF(B187="","",IFERROR(VLOOKUP(B187,'SPED Student Roster'!$A:$B,2,FALSE),""))</f>
        <v/>
      </c>
      <c r="D187" t="str">
        <f>IF(B187="","",IFERROR(VLOOKUP(B187,'SPED Student Roster'!$A:$C,3,FALSE),""))</f>
        <v/>
      </c>
      <c r="E187" t="str">
        <f>IF(B187="","",IFERROR(VLOOKUP(B187,'SPED Student Roster'!$A:$D,4,FALSE),""))</f>
        <v/>
      </c>
      <c r="F187" t="str">
        <f>IF(B187="","",IFERROR(VLOOKUP(B187,'SPED Student Roster'!$A:$E,5,FALSE),""))</f>
        <v/>
      </c>
      <c r="K187" t="str">
        <f t="shared" ca="1" si="5"/>
        <v/>
      </c>
      <c r="Q187" t="str">
        <f>IF(B187="","",IFERROR(VLOOKUP(B187,'SPED Student Roster'!$A:$F,6,FALSE),""))</f>
        <v/>
      </c>
    </row>
    <row r="188" spans="3:17" ht="14.25" x14ac:dyDescent="0.45">
      <c r="C188" t="str">
        <f>IF(B188="","",IFERROR(VLOOKUP(B188,'SPED Student Roster'!$A:$B,2,FALSE),""))</f>
        <v/>
      </c>
      <c r="D188" t="str">
        <f>IF(B188="","",IFERROR(VLOOKUP(B188,'SPED Student Roster'!$A:$C,3,FALSE),""))</f>
        <v/>
      </c>
      <c r="E188" t="str">
        <f>IF(B188="","",IFERROR(VLOOKUP(B188,'SPED Student Roster'!$A:$D,4,FALSE),""))</f>
        <v/>
      </c>
      <c r="F188" t="str">
        <f>IF(B188="","",IFERROR(VLOOKUP(B188,'SPED Student Roster'!$A:$E,5,FALSE),""))</f>
        <v/>
      </c>
      <c r="K188" t="str">
        <f t="shared" ca="1" si="5"/>
        <v/>
      </c>
      <c r="Q188" t="str">
        <f>IF(B188="","",IFERROR(VLOOKUP(B188,'SPED Student Roster'!$A:$F,6,FALSE),""))</f>
        <v/>
      </c>
    </row>
    <row r="189" spans="3:17" ht="14.25" x14ac:dyDescent="0.45">
      <c r="C189" t="str">
        <f>IF(B189="","",IFERROR(VLOOKUP(B189,'SPED Student Roster'!$A:$B,2,FALSE),""))</f>
        <v/>
      </c>
      <c r="D189" t="str">
        <f>IF(B189="","",IFERROR(VLOOKUP(B189,'SPED Student Roster'!$A:$C,3,FALSE),""))</f>
        <v/>
      </c>
      <c r="E189" t="str">
        <f>IF(B189="","",IFERROR(VLOOKUP(B189,'SPED Student Roster'!$A:$D,4,FALSE),""))</f>
        <v/>
      </c>
      <c r="F189" t="str">
        <f>IF(B189="","",IFERROR(VLOOKUP(B189,'SPED Student Roster'!$A:$E,5,FALSE),""))</f>
        <v/>
      </c>
      <c r="K189" t="str">
        <f t="shared" ca="1" si="5"/>
        <v/>
      </c>
      <c r="Q189" t="str">
        <f>IF(B189="","",IFERROR(VLOOKUP(B189,'SPED Student Roster'!$A:$F,6,FALSE),""))</f>
        <v/>
      </c>
    </row>
    <row r="190" spans="3:17" ht="14.25" x14ac:dyDescent="0.45">
      <c r="C190" t="str">
        <f>IF(B190="","",IFERROR(VLOOKUP(B190,'SPED Student Roster'!$A:$B,2,FALSE),""))</f>
        <v/>
      </c>
      <c r="D190" t="str">
        <f>IF(B190="","",IFERROR(VLOOKUP(B190,'SPED Student Roster'!$A:$C,3,FALSE),""))</f>
        <v/>
      </c>
      <c r="E190" t="str">
        <f>IF(B190="","",IFERROR(VLOOKUP(B190,'SPED Student Roster'!$A:$D,4,FALSE),""))</f>
        <v/>
      </c>
      <c r="F190" t="str">
        <f>IF(B190="","",IFERROR(VLOOKUP(B190,'SPED Student Roster'!$A:$E,5,FALSE),""))</f>
        <v/>
      </c>
      <c r="K190" t="str">
        <f t="shared" ca="1" si="5"/>
        <v/>
      </c>
      <c r="Q190" t="str">
        <f>IF(B190="","",IFERROR(VLOOKUP(B190,'SPED Student Roster'!$A:$F,6,FALSE),""))</f>
        <v/>
      </c>
    </row>
    <row r="191" spans="3:17" ht="14.25" x14ac:dyDescent="0.45">
      <c r="C191" t="str">
        <f>IF(B191="","",IFERROR(VLOOKUP(B191,'SPED Student Roster'!$A:$B,2,FALSE),""))</f>
        <v/>
      </c>
      <c r="D191" t="str">
        <f>IF(B191="","",IFERROR(VLOOKUP(B191,'SPED Student Roster'!$A:$C,3,FALSE),""))</f>
        <v/>
      </c>
      <c r="E191" t="str">
        <f>IF(B191="","",IFERROR(VLOOKUP(B191,'SPED Student Roster'!$A:$D,4,FALSE),""))</f>
        <v/>
      </c>
      <c r="F191" t="str">
        <f>IF(B191="","",IFERROR(VLOOKUP(B191,'SPED Student Roster'!$A:$E,5,FALSE),""))</f>
        <v/>
      </c>
      <c r="K191" t="str">
        <f t="shared" ca="1" si="5"/>
        <v/>
      </c>
      <c r="Q191" t="str">
        <f>IF(B191="","",IFERROR(VLOOKUP(B191,'SPED Student Roster'!$A:$F,6,FALSE),""))</f>
        <v/>
      </c>
    </row>
    <row r="192" spans="3:17" ht="14.25" x14ac:dyDescent="0.45">
      <c r="C192" t="str">
        <f>IF(B192="","",IFERROR(VLOOKUP(B192,'SPED Student Roster'!$A:$B,2,FALSE),""))</f>
        <v/>
      </c>
      <c r="D192" t="str">
        <f>IF(B192="","",IFERROR(VLOOKUP(B192,'SPED Student Roster'!$A:$C,3,FALSE),""))</f>
        <v/>
      </c>
      <c r="E192" t="str">
        <f>IF(B192="","",IFERROR(VLOOKUP(B192,'SPED Student Roster'!$A:$D,4,FALSE),""))</f>
        <v/>
      </c>
      <c r="F192" t="str">
        <f>IF(B192="","",IFERROR(VLOOKUP(B192,'SPED Student Roster'!$A:$E,5,FALSE),""))</f>
        <v/>
      </c>
      <c r="K192" t="str">
        <f t="shared" ca="1" si="5"/>
        <v/>
      </c>
      <c r="Q192" t="str">
        <f>IF(B192="","",IFERROR(VLOOKUP(B192,'SPED Student Roster'!$A:$F,6,FALSE),""))</f>
        <v/>
      </c>
    </row>
    <row r="193" spans="3:17" ht="14.25" x14ac:dyDescent="0.45">
      <c r="C193" t="str">
        <f>IF(B193="","",IFERROR(VLOOKUP(B193,'SPED Student Roster'!$A:$B,2,FALSE),""))</f>
        <v/>
      </c>
      <c r="D193" t="str">
        <f>IF(B193="","",IFERROR(VLOOKUP(B193,'SPED Student Roster'!$A:$C,3,FALSE),""))</f>
        <v/>
      </c>
      <c r="E193" t="str">
        <f>IF(B193="","",IFERROR(VLOOKUP(B193,'SPED Student Roster'!$A:$D,4,FALSE),""))</f>
        <v/>
      </c>
      <c r="F193" t="str">
        <f>IF(B193="","",IFERROR(VLOOKUP(B193,'SPED Student Roster'!$A:$E,5,FALSE),""))</f>
        <v/>
      </c>
      <c r="K193" t="str">
        <f t="shared" ca="1" si="5"/>
        <v/>
      </c>
      <c r="Q193" t="str">
        <f>IF(B193="","",IFERROR(VLOOKUP(B193,'SPED Student Roster'!$A:$F,6,FALSE),""))</f>
        <v/>
      </c>
    </row>
    <row r="194" spans="3:17" ht="14.25" x14ac:dyDescent="0.45">
      <c r="C194" t="str">
        <f>IF(B194="","",IFERROR(VLOOKUP(B194,'SPED Student Roster'!$A:$B,2,FALSE),""))</f>
        <v/>
      </c>
      <c r="D194" t="str">
        <f>IF(B194="","",IFERROR(VLOOKUP(B194,'SPED Student Roster'!$A:$C,3,FALSE),""))</f>
        <v/>
      </c>
      <c r="E194" t="str">
        <f>IF(B194="","",IFERROR(VLOOKUP(B194,'SPED Student Roster'!$A:$D,4,FALSE),""))</f>
        <v/>
      </c>
      <c r="F194" t="str">
        <f>IF(B194="","",IFERROR(VLOOKUP(B194,'SPED Student Roster'!$A:$E,5,FALSE),""))</f>
        <v/>
      </c>
      <c r="K194" t="str">
        <f t="shared" ca="1" si="5"/>
        <v/>
      </c>
      <c r="Q194" t="str">
        <f>IF(B194="","",IFERROR(VLOOKUP(B194,'SPED Student Roster'!$A:$F,6,FALSE),""))</f>
        <v/>
      </c>
    </row>
    <row r="195" spans="3:17" ht="14.25" x14ac:dyDescent="0.45">
      <c r="C195" t="str">
        <f>IF(B195="","",IFERROR(VLOOKUP(B195,'SPED Student Roster'!$A:$B,2,FALSE),""))</f>
        <v/>
      </c>
      <c r="D195" t="str">
        <f>IF(B195="","",IFERROR(VLOOKUP(B195,'SPED Student Roster'!$A:$C,3,FALSE),""))</f>
        <v/>
      </c>
      <c r="E195" t="str">
        <f>IF(B195="","",IFERROR(VLOOKUP(B195,'SPED Student Roster'!$A:$D,4,FALSE),""))</f>
        <v/>
      </c>
      <c r="F195" t="str">
        <f>IF(B195="","",IFERROR(VLOOKUP(B195,'SPED Student Roster'!$A:$E,5,FALSE),""))</f>
        <v/>
      </c>
      <c r="K195" t="str">
        <f t="shared" ca="1" si="5"/>
        <v/>
      </c>
      <c r="Q195" t="str">
        <f>IF(B195="","",IFERROR(VLOOKUP(B195,'SPED Student Roster'!$A:$F,6,FALSE),""))</f>
        <v/>
      </c>
    </row>
    <row r="196" spans="3:17" ht="14.25" x14ac:dyDescent="0.45">
      <c r="C196" t="str">
        <f>IF(B196="","",IFERROR(VLOOKUP(B196,'SPED Student Roster'!$A:$B,2,FALSE),""))</f>
        <v/>
      </c>
      <c r="D196" t="str">
        <f>IF(B196="","",IFERROR(VLOOKUP(B196,'SPED Student Roster'!$A:$C,3,FALSE),""))</f>
        <v/>
      </c>
      <c r="E196" t="str">
        <f>IF(B196="","",IFERROR(VLOOKUP(B196,'SPED Student Roster'!$A:$D,4,FALSE),""))</f>
        <v/>
      </c>
      <c r="F196" t="str">
        <f>IF(B196="","",IFERROR(VLOOKUP(B196,'SPED Student Roster'!$A:$E,5,FALSE),""))</f>
        <v/>
      </c>
      <c r="K196" t="str">
        <f t="shared" ref="K196:K201" ca="1" si="6">IF(OR(B196="",J196=""),"",J196-TODAY())</f>
        <v/>
      </c>
      <c r="Q196" t="str">
        <f>IF(B196="","",IFERROR(VLOOKUP(B196,'SPED Student Roster'!$A:$F,6,FALSE),""))</f>
        <v/>
      </c>
    </row>
    <row r="197" spans="3:17" ht="14.25" x14ac:dyDescent="0.45">
      <c r="C197" t="str">
        <f>IF(B197="","",IFERROR(VLOOKUP(B197,'SPED Student Roster'!$A:$B,2,FALSE),""))</f>
        <v/>
      </c>
      <c r="D197" t="str">
        <f>IF(B197="","",IFERROR(VLOOKUP(B197,'SPED Student Roster'!$A:$C,3,FALSE),""))</f>
        <v/>
      </c>
      <c r="E197" t="str">
        <f>IF(B197="","",IFERROR(VLOOKUP(B197,'SPED Student Roster'!$A:$D,4,FALSE),""))</f>
        <v/>
      </c>
      <c r="F197" t="str">
        <f>IF(B197="","",IFERROR(VLOOKUP(B197,'SPED Student Roster'!$A:$E,5,FALSE),""))</f>
        <v/>
      </c>
      <c r="K197" t="str">
        <f t="shared" ca="1" si="6"/>
        <v/>
      </c>
      <c r="Q197" t="str">
        <f>IF(B197="","",IFERROR(VLOOKUP(B197,'SPED Student Roster'!$A:$F,6,FALSE),""))</f>
        <v/>
      </c>
    </row>
    <row r="198" spans="3:17" ht="14.25" x14ac:dyDescent="0.45">
      <c r="C198" t="str">
        <f>IF(B198="","",IFERROR(VLOOKUP(B198,'SPED Student Roster'!$A:$B,2,FALSE),""))</f>
        <v/>
      </c>
      <c r="D198" t="str">
        <f>IF(B198="","",IFERROR(VLOOKUP(B198,'SPED Student Roster'!$A:$C,3,FALSE),""))</f>
        <v/>
      </c>
      <c r="E198" t="str">
        <f>IF(B198="","",IFERROR(VLOOKUP(B198,'SPED Student Roster'!$A:$D,4,FALSE),""))</f>
        <v/>
      </c>
      <c r="F198" t="str">
        <f>IF(B198="","",IFERROR(VLOOKUP(B198,'SPED Student Roster'!$A:$E,5,FALSE),""))</f>
        <v/>
      </c>
      <c r="K198" t="str">
        <f t="shared" ca="1" si="6"/>
        <v/>
      </c>
      <c r="Q198" t="str">
        <f>IF(B198="","",IFERROR(VLOOKUP(B198,'SPED Student Roster'!$A:$F,6,FALSE),""))</f>
        <v/>
      </c>
    </row>
    <row r="199" spans="3:17" ht="14.25" x14ac:dyDescent="0.45">
      <c r="C199" t="str">
        <f>IF(B199="","",IFERROR(VLOOKUP(B199,'SPED Student Roster'!$A:$B,2,FALSE),""))</f>
        <v/>
      </c>
      <c r="D199" t="str">
        <f>IF(B199="","",IFERROR(VLOOKUP(B199,'SPED Student Roster'!$A:$C,3,FALSE),""))</f>
        <v/>
      </c>
      <c r="E199" t="str">
        <f>IF(B199="","",IFERROR(VLOOKUP(B199,'SPED Student Roster'!$A:$D,4,FALSE),""))</f>
        <v/>
      </c>
      <c r="F199" t="str">
        <f>IF(B199="","",IFERROR(VLOOKUP(B199,'SPED Student Roster'!$A:$E,5,FALSE),""))</f>
        <v/>
      </c>
      <c r="K199" t="str">
        <f t="shared" ca="1" si="6"/>
        <v/>
      </c>
      <c r="Q199" t="str">
        <f>IF(B199="","",IFERROR(VLOOKUP(B199,'SPED Student Roster'!$A:$F,6,FALSE),""))</f>
        <v/>
      </c>
    </row>
    <row r="200" spans="3:17" ht="14.25" x14ac:dyDescent="0.45">
      <c r="C200" t="str">
        <f>IF(B200="","",IFERROR(VLOOKUP(B200,'SPED Student Roster'!$A:$B,2,FALSE),""))</f>
        <v/>
      </c>
      <c r="D200" t="str">
        <f>IF(B200="","",IFERROR(VLOOKUP(B200,'SPED Student Roster'!$A:$C,3,FALSE),""))</f>
        <v/>
      </c>
      <c r="E200" t="str">
        <f>IF(B200="","",IFERROR(VLOOKUP(B200,'SPED Student Roster'!$A:$D,4,FALSE),""))</f>
        <v/>
      </c>
      <c r="F200" t="str">
        <f>IF(B200="","",IFERROR(VLOOKUP(B200,'SPED Student Roster'!$A:$E,5,FALSE),""))</f>
        <v/>
      </c>
      <c r="K200" t="str">
        <f t="shared" ca="1" si="6"/>
        <v/>
      </c>
      <c r="Q200" t="str">
        <f>IF(B200="","",IFERROR(VLOOKUP(B200,'SPED Student Roster'!$A:$F,6,FALSE),""))</f>
        <v/>
      </c>
    </row>
    <row r="201" spans="3:17" ht="14.25" x14ac:dyDescent="0.45">
      <c r="C201" t="str">
        <f>IF(B201="","",IFERROR(VLOOKUP(B201,'SPED Student Roster'!$A:$B,2,FALSE),""))</f>
        <v/>
      </c>
      <c r="D201" t="str">
        <f>IF(B201="","",IFERROR(VLOOKUP(B201,'SPED Student Roster'!$A:$C,3,FALSE),""))</f>
        <v/>
      </c>
      <c r="E201" t="str">
        <f>IF(B201="","",IFERROR(VLOOKUP(B201,'SPED Student Roster'!$A:$D,4,FALSE),""))</f>
        <v/>
      </c>
      <c r="F201" t="str">
        <f>IF(B201="","",IFERROR(VLOOKUP(B201,'SPED Student Roster'!$A:$E,5,FALSE),""))</f>
        <v/>
      </c>
      <c r="K201" t="str">
        <f t="shared" ca="1" si="6"/>
        <v/>
      </c>
      <c r="Q201" t="str">
        <f>IF(B201="","",IFERROR(VLOOKUP(B201,'SPED Student Roster'!$A:$F,6,FALSE),""))</f>
        <v/>
      </c>
    </row>
  </sheetData>
  <mergeCells count="2">
    <mergeCell ref="A2:R2"/>
    <mergeCell ref="A1:R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lease select from the dropdown list." xr:uid="{00000000-0002-0000-0200-000000000000}">
          <x14:formula1>
            <xm:f>Lists!$D$2:$D$6</xm:f>
          </x14:formula1>
          <xm:sqref>G4:G201</xm:sqref>
        </x14:dataValidation>
        <x14:dataValidation type="list" allowBlank="1" showErrorMessage="1" errorTitle="Invalid entry" error="Please select from the dropdown list." xr:uid="{00000000-0002-0000-0200-000002000000}">
          <x14:formula1>
            <xm:f>Lists!$I$2:$I$3</xm:f>
          </x14:formula1>
          <xm:sqref>N4:N201 L4:L201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1"/>
  <sheetViews>
    <sheetView zoomScaleNormal="100" workbookViewId="0"/>
  </sheetViews>
  <sheetFormatPr defaultRowHeight="15" customHeight="1" x14ac:dyDescent="0.45"/>
  <cols>
    <col min="1" max="1" width="13.33203125" customWidth="1"/>
    <col min="2" max="2" width="15" customWidth="1"/>
    <col min="3" max="4" width="18.33203125" customWidth="1"/>
    <col min="5" max="5" width="13.33203125" customWidth="1"/>
    <col min="6" max="6" width="21.6640625" customWidth="1"/>
    <col min="7" max="7" width="18.33203125" customWidth="1"/>
    <col min="8" max="8" width="25" customWidth="1"/>
    <col min="9" max="10" width="20" customWidth="1"/>
    <col min="11" max="12" width="16.6640625" customWidth="1"/>
    <col min="13" max="13" width="18.33203125" customWidth="1"/>
    <col min="14" max="14" width="16.6640625" customWidth="1"/>
    <col min="15" max="15" width="18.33203125" customWidth="1"/>
    <col min="16" max="16" width="21.6640625" customWidth="1"/>
    <col min="17" max="17" width="20" customWidth="1"/>
    <col min="18" max="18" width="33.33203125" customWidth="1"/>
  </cols>
  <sheetData>
    <row r="1" spans="1:18" ht="14.25" x14ac:dyDescent="0.45">
      <c r="A1" s="4" t="s">
        <v>117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4.25" x14ac:dyDescent="0.45">
      <c r="A2" s="4" t="s">
        <v>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4.25" x14ac:dyDescent="0.45">
      <c r="A3" t="s">
        <v>119</v>
      </c>
      <c r="B3" t="s">
        <v>32</v>
      </c>
      <c r="C3" t="s">
        <v>89</v>
      </c>
      <c r="D3" t="s">
        <v>90</v>
      </c>
      <c r="E3" t="s">
        <v>91</v>
      </c>
      <c r="F3" t="s">
        <v>92</v>
      </c>
      <c r="G3" t="s">
        <v>120</v>
      </c>
      <c r="H3" t="s">
        <v>94</v>
      </c>
      <c r="I3" t="s">
        <v>95</v>
      </c>
      <c r="J3" t="s">
        <v>96</v>
      </c>
      <c r="K3" t="s">
        <v>97</v>
      </c>
      <c r="L3" t="s">
        <v>121</v>
      </c>
      <c r="M3" t="s">
        <v>99</v>
      </c>
      <c r="N3" t="s">
        <v>122</v>
      </c>
      <c r="O3" t="s">
        <v>123</v>
      </c>
      <c r="P3" t="s">
        <v>124</v>
      </c>
      <c r="Q3" t="s">
        <v>125</v>
      </c>
      <c r="R3" t="s">
        <v>45</v>
      </c>
    </row>
    <row r="4" spans="1:18" ht="15" customHeight="1" x14ac:dyDescent="0.5">
      <c r="A4" t="s">
        <v>126</v>
      </c>
      <c r="B4" t="s">
        <v>65</v>
      </c>
      <c r="C4" t="str">
        <f>IF(B4="","",IFERROR(VLOOKUP(B4,'SPED Student Roster'!$A:$B,2,FALSE),""))</f>
        <v>Kim</v>
      </c>
      <c r="D4" t="str">
        <f>IF(B4="","",IFERROR(VLOOKUP(B4,'SPED Student Roster'!$A:$C,3,FALSE),""))</f>
        <v>Sarah</v>
      </c>
      <c r="E4" s="1" t="str">
        <f>IF(B4="","",IFERROR(VLOOKUP(B4,'SPED Student Roster'!$A:$D,4,FALSE),""))</f>
        <v>6th Grade</v>
      </c>
      <c r="F4" s="1" t="str">
        <f>IF(B4="","",IFERROR(VLOOKUP(B4,'SPED Student Roster'!$A:$E,5,FALSE),""))</f>
        <v>Jefferson Middle</v>
      </c>
      <c r="G4" t="s">
        <v>105</v>
      </c>
      <c r="H4" t="s">
        <v>127</v>
      </c>
      <c r="I4" s="2">
        <v>45704</v>
      </c>
      <c r="J4" s="2">
        <v>46069</v>
      </c>
      <c r="K4">
        <f t="shared" ref="K4:K35" ca="1" si="0">IF(OR(B4="",J4=""),"",J4-TODAY())</f>
        <v>-148</v>
      </c>
      <c r="L4" t="s">
        <v>53</v>
      </c>
      <c r="N4" t="s">
        <v>54</v>
      </c>
      <c r="O4" t="s">
        <v>54</v>
      </c>
      <c r="P4" t="s">
        <v>54</v>
      </c>
      <c r="Q4" t="s">
        <v>54</v>
      </c>
      <c r="R4" t="s">
        <v>128</v>
      </c>
    </row>
    <row r="5" spans="1:18" ht="15" customHeight="1" x14ac:dyDescent="0.5">
      <c r="A5" t="s">
        <v>129</v>
      </c>
      <c r="B5" t="s">
        <v>80</v>
      </c>
      <c r="C5" t="str">
        <f>IF(B5="","",IFERROR(VLOOKUP(B5,'SPED Student Roster'!$A:$B,2,FALSE),""))</f>
        <v>Nguyen</v>
      </c>
      <c r="D5" t="str">
        <f>IF(B5="","",IFERROR(VLOOKUP(B5,'SPED Student Roster'!$A:$C,3,FALSE),""))</f>
        <v>Mai</v>
      </c>
      <c r="E5" s="1" t="str">
        <f>IF(B5="","",IFERROR(VLOOKUP(B5,'SPED Student Roster'!$A:$D,4,FALSE),""))</f>
        <v>9th Grade</v>
      </c>
      <c r="F5" s="1" t="str">
        <f>IF(B5="","",IFERROR(VLOOKUP(B5,'SPED Student Roster'!$A:$E,5,FALSE),""))</f>
        <v>Lincoln High</v>
      </c>
      <c r="G5" t="s">
        <v>109</v>
      </c>
      <c r="H5" t="s">
        <v>106</v>
      </c>
      <c r="I5" s="2">
        <v>45758</v>
      </c>
      <c r="J5" s="2">
        <v>46123</v>
      </c>
      <c r="K5">
        <f t="shared" ca="1" si="0"/>
        <v>-94</v>
      </c>
      <c r="L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130</v>
      </c>
    </row>
    <row r="6" spans="1:18" x14ac:dyDescent="0.45">
      <c r="C6" t="str">
        <f>IF(B6="","",IFERROR(VLOOKUP(B6,'SPED Student Roster'!$A:$B,2,FALSE),""))</f>
        <v/>
      </c>
      <c r="D6" t="str">
        <f>IF(B6="","",IFERROR(VLOOKUP(B6,'SPED Student Roster'!$A:$C,3,FALSE),""))</f>
        <v/>
      </c>
      <c r="E6" t="str">
        <f>IF(B6="","",IFERROR(VLOOKUP(B6,'SPED Student Roster'!$A:$D,4,FALSE),""))</f>
        <v/>
      </c>
      <c r="F6" t="str">
        <f>IF(B6="","",IFERROR(VLOOKUP(B6,'SPED Student Roster'!$A:$E,5,FALSE),""))</f>
        <v/>
      </c>
      <c r="K6" t="str">
        <f t="shared" ca="1" si="0"/>
        <v/>
      </c>
    </row>
    <row r="7" spans="1:18" x14ac:dyDescent="0.45">
      <c r="C7" t="str">
        <f>IF(B7="","",IFERROR(VLOOKUP(B7,'SPED Student Roster'!$A:$B,2,FALSE),""))</f>
        <v/>
      </c>
      <c r="D7" t="str">
        <f>IF(B7="","",IFERROR(VLOOKUP(B7,'SPED Student Roster'!$A:$C,3,FALSE),""))</f>
        <v/>
      </c>
      <c r="E7" t="str">
        <f>IF(B7="","",IFERROR(VLOOKUP(B7,'SPED Student Roster'!$A:$D,4,FALSE),""))</f>
        <v/>
      </c>
      <c r="F7" t="str">
        <f>IF(B7="","",IFERROR(VLOOKUP(B7,'SPED Student Roster'!$A:$E,5,FALSE),""))</f>
        <v/>
      </c>
      <c r="K7" t="str">
        <f t="shared" ca="1" si="0"/>
        <v/>
      </c>
    </row>
    <row r="8" spans="1:18" x14ac:dyDescent="0.45">
      <c r="C8" t="str">
        <f>IF(B8="","",IFERROR(VLOOKUP(B8,'SPED Student Roster'!$A:$B,2,FALSE),""))</f>
        <v/>
      </c>
      <c r="D8" t="str">
        <f>IF(B8="","",IFERROR(VLOOKUP(B8,'SPED Student Roster'!$A:$C,3,FALSE),""))</f>
        <v/>
      </c>
      <c r="E8" t="str">
        <f>IF(B8="","",IFERROR(VLOOKUP(B8,'SPED Student Roster'!$A:$D,4,FALSE),""))</f>
        <v/>
      </c>
      <c r="F8" t="str">
        <f>IF(B8="","",IFERROR(VLOOKUP(B8,'SPED Student Roster'!$A:$E,5,FALSE),""))</f>
        <v/>
      </c>
      <c r="K8" t="str">
        <f t="shared" ca="1" si="0"/>
        <v/>
      </c>
    </row>
    <row r="9" spans="1:18" x14ac:dyDescent="0.45">
      <c r="C9" t="str">
        <f>IF(B9="","",IFERROR(VLOOKUP(B9,'SPED Student Roster'!$A:$B,2,FALSE),""))</f>
        <v/>
      </c>
      <c r="D9" t="str">
        <f>IF(B9="","",IFERROR(VLOOKUP(B9,'SPED Student Roster'!$A:$C,3,FALSE),""))</f>
        <v/>
      </c>
      <c r="E9" t="str">
        <f>IF(B9="","",IFERROR(VLOOKUP(B9,'SPED Student Roster'!$A:$D,4,FALSE),""))</f>
        <v/>
      </c>
      <c r="F9" t="str">
        <f>IF(B9="","",IFERROR(VLOOKUP(B9,'SPED Student Roster'!$A:$E,5,FALSE),""))</f>
        <v/>
      </c>
      <c r="K9" t="str">
        <f t="shared" ca="1" si="0"/>
        <v/>
      </c>
    </row>
    <row r="10" spans="1:18" x14ac:dyDescent="0.45">
      <c r="C10" t="str">
        <f>IF(B10="","",IFERROR(VLOOKUP(B10,'SPED Student Roster'!$A:$B,2,FALSE),""))</f>
        <v/>
      </c>
      <c r="D10" t="str">
        <f>IF(B10="","",IFERROR(VLOOKUP(B10,'SPED Student Roster'!$A:$C,3,FALSE),""))</f>
        <v/>
      </c>
      <c r="E10" t="str">
        <f>IF(B10="","",IFERROR(VLOOKUP(B10,'SPED Student Roster'!$A:$D,4,FALSE),""))</f>
        <v/>
      </c>
      <c r="F10" t="str">
        <f>IF(B10="","",IFERROR(VLOOKUP(B10,'SPED Student Roster'!$A:$E,5,FALSE),""))</f>
        <v/>
      </c>
      <c r="K10" t="str">
        <f t="shared" ca="1" si="0"/>
        <v/>
      </c>
    </row>
    <row r="11" spans="1:18" x14ac:dyDescent="0.45">
      <c r="C11" t="str">
        <f>IF(B11="","",IFERROR(VLOOKUP(B11,'SPED Student Roster'!$A:$B,2,FALSE),""))</f>
        <v/>
      </c>
      <c r="D11" t="str">
        <f>IF(B11="","",IFERROR(VLOOKUP(B11,'SPED Student Roster'!$A:$C,3,FALSE),""))</f>
        <v/>
      </c>
      <c r="E11" t="str">
        <f>IF(B11="","",IFERROR(VLOOKUP(B11,'SPED Student Roster'!$A:$D,4,FALSE),""))</f>
        <v/>
      </c>
      <c r="F11" t="str">
        <f>IF(B11="","",IFERROR(VLOOKUP(B11,'SPED Student Roster'!$A:$E,5,FALSE),""))</f>
        <v/>
      </c>
      <c r="K11" t="str">
        <f t="shared" ca="1" si="0"/>
        <v/>
      </c>
    </row>
    <row r="12" spans="1:18" x14ac:dyDescent="0.45">
      <c r="C12" t="str">
        <f>IF(B12="","",IFERROR(VLOOKUP(B12,'SPED Student Roster'!$A:$B,2,FALSE),""))</f>
        <v/>
      </c>
      <c r="D12" t="str">
        <f>IF(B12="","",IFERROR(VLOOKUP(B12,'SPED Student Roster'!$A:$C,3,FALSE),""))</f>
        <v/>
      </c>
      <c r="E12" t="str">
        <f>IF(B12="","",IFERROR(VLOOKUP(B12,'SPED Student Roster'!$A:$D,4,FALSE),""))</f>
        <v/>
      </c>
      <c r="F12" t="str">
        <f>IF(B12="","",IFERROR(VLOOKUP(B12,'SPED Student Roster'!$A:$E,5,FALSE),""))</f>
        <v/>
      </c>
      <c r="K12" t="str">
        <f t="shared" ca="1" si="0"/>
        <v/>
      </c>
    </row>
    <row r="13" spans="1:18" x14ac:dyDescent="0.45">
      <c r="C13" t="str">
        <f>IF(B13="","",IFERROR(VLOOKUP(B13,'SPED Student Roster'!$A:$B,2,FALSE),""))</f>
        <v/>
      </c>
      <c r="D13" t="str">
        <f>IF(B13="","",IFERROR(VLOOKUP(B13,'SPED Student Roster'!$A:$C,3,FALSE),""))</f>
        <v/>
      </c>
      <c r="E13" t="str">
        <f>IF(B13="","",IFERROR(VLOOKUP(B13,'SPED Student Roster'!$A:$D,4,FALSE),""))</f>
        <v/>
      </c>
      <c r="F13" t="str">
        <f>IF(B13="","",IFERROR(VLOOKUP(B13,'SPED Student Roster'!$A:$E,5,FALSE),""))</f>
        <v/>
      </c>
      <c r="K13" t="str">
        <f t="shared" ca="1" si="0"/>
        <v/>
      </c>
    </row>
    <row r="14" spans="1:18" x14ac:dyDescent="0.45">
      <c r="C14" t="str">
        <f>IF(B14="","",IFERROR(VLOOKUP(B14,'SPED Student Roster'!$A:$B,2,FALSE),""))</f>
        <v/>
      </c>
      <c r="D14" t="str">
        <f>IF(B14="","",IFERROR(VLOOKUP(B14,'SPED Student Roster'!$A:$C,3,FALSE),""))</f>
        <v/>
      </c>
      <c r="E14" t="str">
        <f>IF(B14="","",IFERROR(VLOOKUP(B14,'SPED Student Roster'!$A:$D,4,FALSE),""))</f>
        <v/>
      </c>
      <c r="F14" t="str">
        <f>IF(B14="","",IFERROR(VLOOKUP(B14,'SPED Student Roster'!$A:$E,5,FALSE),""))</f>
        <v/>
      </c>
      <c r="K14" t="str">
        <f t="shared" ca="1" si="0"/>
        <v/>
      </c>
    </row>
    <row r="15" spans="1:18" x14ac:dyDescent="0.45">
      <c r="C15" t="str">
        <f>IF(B15="","",IFERROR(VLOOKUP(B15,'SPED Student Roster'!$A:$B,2,FALSE),""))</f>
        <v/>
      </c>
      <c r="D15" t="str">
        <f>IF(B15="","",IFERROR(VLOOKUP(B15,'SPED Student Roster'!$A:$C,3,FALSE),""))</f>
        <v/>
      </c>
      <c r="E15" t="str">
        <f>IF(B15="","",IFERROR(VLOOKUP(B15,'SPED Student Roster'!$A:$D,4,FALSE),""))</f>
        <v/>
      </c>
      <c r="F15" t="str">
        <f>IF(B15="","",IFERROR(VLOOKUP(B15,'SPED Student Roster'!$A:$E,5,FALSE),""))</f>
        <v/>
      </c>
      <c r="K15" t="str">
        <f t="shared" ca="1" si="0"/>
        <v/>
      </c>
    </row>
    <row r="16" spans="1:18" x14ac:dyDescent="0.45">
      <c r="C16" t="str">
        <f>IF(B16="","",IFERROR(VLOOKUP(B16,'SPED Student Roster'!$A:$B,2,FALSE),""))</f>
        <v/>
      </c>
      <c r="D16" t="str">
        <f>IF(B16="","",IFERROR(VLOOKUP(B16,'SPED Student Roster'!$A:$C,3,FALSE),""))</f>
        <v/>
      </c>
      <c r="E16" t="str">
        <f>IF(B16="","",IFERROR(VLOOKUP(B16,'SPED Student Roster'!$A:$D,4,FALSE),""))</f>
        <v/>
      </c>
      <c r="F16" t="str">
        <f>IF(B16="","",IFERROR(VLOOKUP(B16,'SPED Student Roster'!$A:$E,5,FALSE),""))</f>
        <v/>
      </c>
      <c r="K16" t="str">
        <f t="shared" ca="1" si="0"/>
        <v/>
      </c>
    </row>
    <row r="17" spans="3:11" x14ac:dyDescent="0.45">
      <c r="C17" t="str">
        <f>IF(B17="","",IFERROR(VLOOKUP(B17,'SPED Student Roster'!$A:$B,2,FALSE),""))</f>
        <v/>
      </c>
      <c r="D17" t="str">
        <f>IF(B17="","",IFERROR(VLOOKUP(B17,'SPED Student Roster'!$A:$C,3,FALSE),""))</f>
        <v/>
      </c>
      <c r="E17" t="str">
        <f>IF(B17="","",IFERROR(VLOOKUP(B17,'SPED Student Roster'!$A:$D,4,FALSE),""))</f>
        <v/>
      </c>
      <c r="F17" t="str">
        <f>IF(B17="","",IFERROR(VLOOKUP(B17,'SPED Student Roster'!$A:$E,5,FALSE),""))</f>
        <v/>
      </c>
      <c r="K17" t="str">
        <f t="shared" ca="1" si="0"/>
        <v/>
      </c>
    </row>
    <row r="18" spans="3:11" x14ac:dyDescent="0.45">
      <c r="C18" t="str">
        <f>IF(B18="","",IFERROR(VLOOKUP(B18,'SPED Student Roster'!$A:$B,2,FALSE),""))</f>
        <v/>
      </c>
      <c r="D18" t="str">
        <f>IF(B18="","",IFERROR(VLOOKUP(B18,'SPED Student Roster'!$A:$C,3,FALSE),""))</f>
        <v/>
      </c>
      <c r="E18" t="str">
        <f>IF(B18="","",IFERROR(VLOOKUP(B18,'SPED Student Roster'!$A:$D,4,FALSE),""))</f>
        <v/>
      </c>
      <c r="F18" t="str">
        <f>IF(B18="","",IFERROR(VLOOKUP(B18,'SPED Student Roster'!$A:$E,5,FALSE),""))</f>
        <v/>
      </c>
      <c r="K18" t="str">
        <f t="shared" ca="1" si="0"/>
        <v/>
      </c>
    </row>
    <row r="19" spans="3:11" x14ac:dyDescent="0.45">
      <c r="C19" t="str">
        <f>IF(B19="","",IFERROR(VLOOKUP(B19,'SPED Student Roster'!$A:$B,2,FALSE),""))</f>
        <v/>
      </c>
      <c r="D19" t="str">
        <f>IF(B19="","",IFERROR(VLOOKUP(B19,'SPED Student Roster'!$A:$C,3,FALSE),""))</f>
        <v/>
      </c>
      <c r="E19" t="str">
        <f>IF(B19="","",IFERROR(VLOOKUP(B19,'SPED Student Roster'!$A:$D,4,FALSE),""))</f>
        <v/>
      </c>
      <c r="F19" t="str">
        <f>IF(B19="","",IFERROR(VLOOKUP(B19,'SPED Student Roster'!$A:$E,5,FALSE),""))</f>
        <v/>
      </c>
      <c r="K19" t="str">
        <f t="shared" ca="1" si="0"/>
        <v/>
      </c>
    </row>
    <row r="20" spans="3:11" x14ac:dyDescent="0.45">
      <c r="C20" t="str">
        <f>IF(B20="","",IFERROR(VLOOKUP(B20,'SPED Student Roster'!$A:$B,2,FALSE),""))</f>
        <v/>
      </c>
      <c r="D20" t="str">
        <f>IF(B20="","",IFERROR(VLOOKUP(B20,'SPED Student Roster'!$A:$C,3,FALSE),""))</f>
        <v/>
      </c>
      <c r="E20" t="str">
        <f>IF(B20="","",IFERROR(VLOOKUP(B20,'SPED Student Roster'!$A:$D,4,FALSE),""))</f>
        <v/>
      </c>
      <c r="F20" t="str">
        <f>IF(B20="","",IFERROR(VLOOKUP(B20,'SPED Student Roster'!$A:$E,5,FALSE),""))</f>
        <v/>
      </c>
      <c r="K20" t="str">
        <f t="shared" ca="1" si="0"/>
        <v/>
      </c>
    </row>
    <row r="21" spans="3:11" x14ac:dyDescent="0.45">
      <c r="C21" t="str">
        <f>IF(B21="","",IFERROR(VLOOKUP(B21,'SPED Student Roster'!$A:$B,2,FALSE),""))</f>
        <v/>
      </c>
      <c r="D21" t="str">
        <f>IF(B21="","",IFERROR(VLOOKUP(B21,'SPED Student Roster'!$A:$C,3,FALSE),""))</f>
        <v/>
      </c>
      <c r="E21" t="str">
        <f>IF(B21="","",IFERROR(VLOOKUP(B21,'SPED Student Roster'!$A:$D,4,FALSE),""))</f>
        <v/>
      </c>
      <c r="F21" t="str">
        <f>IF(B21="","",IFERROR(VLOOKUP(B21,'SPED Student Roster'!$A:$E,5,FALSE),""))</f>
        <v/>
      </c>
      <c r="K21" t="str">
        <f t="shared" ca="1" si="0"/>
        <v/>
      </c>
    </row>
    <row r="22" spans="3:11" x14ac:dyDescent="0.45">
      <c r="C22" t="str">
        <f>IF(B22="","",IFERROR(VLOOKUP(B22,'SPED Student Roster'!$A:$B,2,FALSE),""))</f>
        <v/>
      </c>
      <c r="D22" t="str">
        <f>IF(B22="","",IFERROR(VLOOKUP(B22,'SPED Student Roster'!$A:$C,3,FALSE),""))</f>
        <v/>
      </c>
      <c r="E22" t="str">
        <f>IF(B22="","",IFERROR(VLOOKUP(B22,'SPED Student Roster'!$A:$D,4,FALSE),""))</f>
        <v/>
      </c>
      <c r="F22" t="str">
        <f>IF(B22="","",IFERROR(VLOOKUP(B22,'SPED Student Roster'!$A:$E,5,FALSE),""))</f>
        <v/>
      </c>
      <c r="K22" t="str">
        <f t="shared" ca="1" si="0"/>
        <v/>
      </c>
    </row>
    <row r="23" spans="3:11" x14ac:dyDescent="0.45">
      <c r="C23" t="str">
        <f>IF(B23="","",IFERROR(VLOOKUP(B23,'SPED Student Roster'!$A:$B,2,FALSE),""))</f>
        <v/>
      </c>
      <c r="D23" t="str">
        <f>IF(B23="","",IFERROR(VLOOKUP(B23,'SPED Student Roster'!$A:$C,3,FALSE),""))</f>
        <v/>
      </c>
      <c r="E23" t="str">
        <f>IF(B23="","",IFERROR(VLOOKUP(B23,'SPED Student Roster'!$A:$D,4,FALSE),""))</f>
        <v/>
      </c>
      <c r="F23" t="str">
        <f>IF(B23="","",IFERROR(VLOOKUP(B23,'SPED Student Roster'!$A:$E,5,FALSE),""))</f>
        <v/>
      </c>
      <c r="K23" t="str">
        <f t="shared" ca="1" si="0"/>
        <v/>
      </c>
    </row>
    <row r="24" spans="3:11" x14ac:dyDescent="0.45">
      <c r="C24" t="str">
        <f>IF(B24="","",IFERROR(VLOOKUP(B24,'SPED Student Roster'!$A:$B,2,FALSE),""))</f>
        <v/>
      </c>
      <c r="D24" t="str">
        <f>IF(B24="","",IFERROR(VLOOKUP(B24,'SPED Student Roster'!$A:$C,3,FALSE),""))</f>
        <v/>
      </c>
      <c r="E24" t="str">
        <f>IF(B24="","",IFERROR(VLOOKUP(B24,'SPED Student Roster'!$A:$D,4,FALSE),""))</f>
        <v/>
      </c>
      <c r="F24" t="str">
        <f>IF(B24="","",IFERROR(VLOOKUP(B24,'SPED Student Roster'!$A:$E,5,FALSE),""))</f>
        <v/>
      </c>
      <c r="K24" t="str">
        <f t="shared" ca="1" si="0"/>
        <v/>
      </c>
    </row>
    <row r="25" spans="3:11" x14ac:dyDescent="0.45">
      <c r="C25" t="str">
        <f>IF(B25="","",IFERROR(VLOOKUP(B25,'SPED Student Roster'!$A:$B,2,FALSE),""))</f>
        <v/>
      </c>
      <c r="D25" t="str">
        <f>IF(B25="","",IFERROR(VLOOKUP(B25,'SPED Student Roster'!$A:$C,3,FALSE),""))</f>
        <v/>
      </c>
      <c r="E25" t="str">
        <f>IF(B25="","",IFERROR(VLOOKUP(B25,'SPED Student Roster'!$A:$D,4,FALSE),""))</f>
        <v/>
      </c>
      <c r="F25" t="str">
        <f>IF(B25="","",IFERROR(VLOOKUP(B25,'SPED Student Roster'!$A:$E,5,FALSE),""))</f>
        <v/>
      </c>
      <c r="K25" t="str">
        <f t="shared" ca="1" si="0"/>
        <v/>
      </c>
    </row>
    <row r="26" spans="3:11" x14ac:dyDescent="0.45">
      <c r="C26" t="str">
        <f>IF(B26="","",IFERROR(VLOOKUP(B26,'SPED Student Roster'!$A:$B,2,FALSE),""))</f>
        <v/>
      </c>
      <c r="D26" t="str">
        <f>IF(B26="","",IFERROR(VLOOKUP(B26,'SPED Student Roster'!$A:$C,3,FALSE),""))</f>
        <v/>
      </c>
      <c r="E26" t="str">
        <f>IF(B26="","",IFERROR(VLOOKUP(B26,'SPED Student Roster'!$A:$D,4,FALSE),""))</f>
        <v/>
      </c>
      <c r="F26" t="str">
        <f>IF(B26="","",IFERROR(VLOOKUP(B26,'SPED Student Roster'!$A:$E,5,FALSE),""))</f>
        <v/>
      </c>
      <c r="K26" t="str">
        <f t="shared" ca="1" si="0"/>
        <v/>
      </c>
    </row>
    <row r="27" spans="3:11" x14ac:dyDescent="0.45">
      <c r="C27" t="str">
        <f>IF(B27="","",IFERROR(VLOOKUP(B27,'SPED Student Roster'!$A:$B,2,FALSE),""))</f>
        <v/>
      </c>
      <c r="D27" t="str">
        <f>IF(B27="","",IFERROR(VLOOKUP(B27,'SPED Student Roster'!$A:$C,3,FALSE),""))</f>
        <v/>
      </c>
      <c r="E27" t="str">
        <f>IF(B27="","",IFERROR(VLOOKUP(B27,'SPED Student Roster'!$A:$D,4,FALSE),""))</f>
        <v/>
      </c>
      <c r="F27" t="str">
        <f>IF(B27="","",IFERROR(VLOOKUP(B27,'SPED Student Roster'!$A:$E,5,FALSE),""))</f>
        <v/>
      </c>
      <c r="K27" t="str">
        <f t="shared" ca="1" si="0"/>
        <v/>
      </c>
    </row>
    <row r="28" spans="3:11" x14ac:dyDescent="0.45">
      <c r="C28" t="str">
        <f>IF(B28="","",IFERROR(VLOOKUP(B28,'SPED Student Roster'!$A:$B,2,FALSE),""))</f>
        <v/>
      </c>
      <c r="D28" t="str">
        <f>IF(B28="","",IFERROR(VLOOKUP(B28,'SPED Student Roster'!$A:$C,3,FALSE),""))</f>
        <v/>
      </c>
      <c r="E28" t="str">
        <f>IF(B28="","",IFERROR(VLOOKUP(B28,'SPED Student Roster'!$A:$D,4,FALSE),""))</f>
        <v/>
      </c>
      <c r="F28" t="str">
        <f>IF(B28="","",IFERROR(VLOOKUP(B28,'SPED Student Roster'!$A:$E,5,FALSE),""))</f>
        <v/>
      </c>
      <c r="K28" t="str">
        <f t="shared" ca="1" si="0"/>
        <v/>
      </c>
    </row>
    <row r="29" spans="3:11" ht="14.25" x14ac:dyDescent="0.45">
      <c r="C29" t="str">
        <f>IF(B29="","",IFERROR(VLOOKUP(B29,'SPED Student Roster'!$A:$B,2,FALSE),""))</f>
        <v/>
      </c>
      <c r="D29" t="str">
        <f>IF(B29="","",IFERROR(VLOOKUP(B29,'SPED Student Roster'!$A:$C,3,FALSE),""))</f>
        <v/>
      </c>
      <c r="E29" t="str">
        <f>IF(B29="","",IFERROR(VLOOKUP(B29,'SPED Student Roster'!$A:$D,4,FALSE),""))</f>
        <v/>
      </c>
      <c r="F29" t="str">
        <f>IF(B29="","",IFERROR(VLOOKUP(B29,'SPED Student Roster'!$A:$E,5,FALSE),""))</f>
        <v/>
      </c>
      <c r="K29" t="str">
        <f t="shared" ca="1" si="0"/>
        <v/>
      </c>
    </row>
    <row r="30" spans="3:11" ht="14.25" x14ac:dyDescent="0.45">
      <c r="C30" t="str">
        <f>IF(B30="","",IFERROR(VLOOKUP(B30,'SPED Student Roster'!$A:$B,2,FALSE),""))</f>
        <v/>
      </c>
      <c r="D30" t="str">
        <f>IF(B30="","",IFERROR(VLOOKUP(B30,'SPED Student Roster'!$A:$C,3,FALSE),""))</f>
        <v/>
      </c>
      <c r="E30" t="str">
        <f>IF(B30="","",IFERROR(VLOOKUP(B30,'SPED Student Roster'!$A:$D,4,FALSE),""))</f>
        <v/>
      </c>
      <c r="F30" t="str">
        <f>IF(B30="","",IFERROR(VLOOKUP(B30,'SPED Student Roster'!$A:$E,5,FALSE),""))</f>
        <v/>
      </c>
      <c r="K30" t="str">
        <f t="shared" ca="1" si="0"/>
        <v/>
      </c>
    </row>
    <row r="31" spans="3:11" ht="14.25" x14ac:dyDescent="0.45">
      <c r="C31" t="str">
        <f>IF(B31="","",IFERROR(VLOOKUP(B31,'SPED Student Roster'!$A:$B,2,FALSE),""))</f>
        <v/>
      </c>
      <c r="D31" t="str">
        <f>IF(B31="","",IFERROR(VLOOKUP(B31,'SPED Student Roster'!$A:$C,3,FALSE),""))</f>
        <v/>
      </c>
      <c r="E31" t="str">
        <f>IF(B31="","",IFERROR(VLOOKUP(B31,'SPED Student Roster'!$A:$D,4,FALSE),""))</f>
        <v/>
      </c>
      <c r="F31" t="str">
        <f>IF(B31="","",IFERROR(VLOOKUP(B31,'SPED Student Roster'!$A:$E,5,FALSE),""))</f>
        <v/>
      </c>
      <c r="K31" t="str">
        <f t="shared" ca="1" si="0"/>
        <v/>
      </c>
    </row>
    <row r="32" spans="3:11" ht="14.25" x14ac:dyDescent="0.45">
      <c r="C32" t="str">
        <f>IF(B32="","",IFERROR(VLOOKUP(B32,'SPED Student Roster'!$A:$B,2,FALSE),""))</f>
        <v/>
      </c>
      <c r="D32" t="str">
        <f>IF(B32="","",IFERROR(VLOOKUP(B32,'SPED Student Roster'!$A:$C,3,FALSE),""))</f>
        <v/>
      </c>
      <c r="E32" t="str">
        <f>IF(B32="","",IFERROR(VLOOKUP(B32,'SPED Student Roster'!$A:$D,4,FALSE),""))</f>
        <v/>
      </c>
      <c r="F32" t="str">
        <f>IF(B32="","",IFERROR(VLOOKUP(B32,'SPED Student Roster'!$A:$E,5,FALSE),""))</f>
        <v/>
      </c>
      <c r="K32" t="str">
        <f t="shared" ca="1" si="0"/>
        <v/>
      </c>
    </row>
    <row r="33" spans="3:11" ht="14.25" x14ac:dyDescent="0.45">
      <c r="C33" t="str">
        <f>IF(B33="","",IFERROR(VLOOKUP(B33,'SPED Student Roster'!$A:$B,2,FALSE),""))</f>
        <v/>
      </c>
      <c r="D33" t="str">
        <f>IF(B33="","",IFERROR(VLOOKUP(B33,'SPED Student Roster'!$A:$C,3,FALSE),""))</f>
        <v/>
      </c>
      <c r="E33" t="str">
        <f>IF(B33="","",IFERROR(VLOOKUP(B33,'SPED Student Roster'!$A:$D,4,FALSE),""))</f>
        <v/>
      </c>
      <c r="F33" t="str">
        <f>IF(B33="","",IFERROR(VLOOKUP(B33,'SPED Student Roster'!$A:$E,5,FALSE),""))</f>
        <v/>
      </c>
      <c r="K33" t="str">
        <f t="shared" ca="1" si="0"/>
        <v/>
      </c>
    </row>
    <row r="34" spans="3:11" ht="14.25" x14ac:dyDescent="0.45">
      <c r="C34" t="str">
        <f>IF(B34="","",IFERROR(VLOOKUP(B34,'SPED Student Roster'!$A:$B,2,FALSE),""))</f>
        <v/>
      </c>
      <c r="D34" t="str">
        <f>IF(B34="","",IFERROR(VLOOKUP(B34,'SPED Student Roster'!$A:$C,3,FALSE),""))</f>
        <v/>
      </c>
      <c r="E34" t="str">
        <f>IF(B34="","",IFERROR(VLOOKUP(B34,'SPED Student Roster'!$A:$D,4,FALSE),""))</f>
        <v/>
      </c>
      <c r="F34" t="str">
        <f>IF(B34="","",IFERROR(VLOOKUP(B34,'SPED Student Roster'!$A:$E,5,FALSE),""))</f>
        <v/>
      </c>
      <c r="K34" t="str">
        <f t="shared" ca="1" si="0"/>
        <v/>
      </c>
    </row>
    <row r="35" spans="3:11" ht="14.25" x14ac:dyDescent="0.45">
      <c r="C35" t="str">
        <f>IF(B35="","",IFERROR(VLOOKUP(B35,'SPED Student Roster'!$A:$B,2,FALSE),""))</f>
        <v/>
      </c>
      <c r="D35" t="str">
        <f>IF(B35="","",IFERROR(VLOOKUP(B35,'SPED Student Roster'!$A:$C,3,FALSE),""))</f>
        <v/>
      </c>
      <c r="E35" t="str">
        <f>IF(B35="","",IFERROR(VLOOKUP(B35,'SPED Student Roster'!$A:$D,4,FALSE),""))</f>
        <v/>
      </c>
      <c r="F35" t="str">
        <f>IF(B35="","",IFERROR(VLOOKUP(B35,'SPED Student Roster'!$A:$E,5,FALSE),""))</f>
        <v/>
      </c>
      <c r="K35" t="str">
        <f t="shared" ca="1" si="0"/>
        <v/>
      </c>
    </row>
    <row r="36" spans="3:11" ht="14.25" x14ac:dyDescent="0.45">
      <c r="C36" t="str">
        <f>IF(B36="","",IFERROR(VLOOKUP(B36,'SPED Student Roster'!$A:$B,2,FALSE),""))</f>
        <v/>
      </c>
      <c r="D36" t="str">
        <f>IF(B36="","",IFERROR(VLOOKUP(B36,'SPED Student Roster'!$A:$C,3,FALSE),""))</f>
        <v/>
      </c>
      <c r="E36" t="str">
        <f>IF(B36="","",IFERROR(VLOOKUP(B36,'SPED Student Roster'!$A:$D,4,FALSE),""))</f>
        <v/>
      </c>
      <c r="F36" t="str">
        <f>IF(B36="","",IFERROR(VLOOKUP(B36,'SPED Student Roster'!$A:$E,5,FALSE),""))</f>
        <v/>
      </c>
      <c r="K36" t="str">
        <f t="shared" ref="K36:K67" ca="1" si="1">IF(OR(B36="",J36=""),"",J36-TODAY())</f>
        <v/>
      </c>
    </row>
    <row r="37" spans="3:11" ht="14.25" x14ac:dyDescent="0.45">
      <c r="C37" t="str">
        <f>IF(B37="","",IFERROR(VLOOKUP(B37,'SPED Student Roster'!$A:$B,2,FALSE),""))</f>
        <v/>
      </c>
      <c r="D37" t="str">
        <f>IF(B37="","",IFERROR(VLOOKUP(B37,'SPED Student Roster'!$A:$C,3,FALSE),""))</f>
        <v/>
      </c>
      <c r="E37" t="str">
        <f>IF(B37="","",IFERROR(VLOOKUP(B37,'SPED Student Roster'!$A:$D,4,FALSE),""))</f>
        <v/>
      </c>
      <c r="F37" t="str">
        <f>IF(B37="","",IFERROR(VLOOKUP(B37,'SPED Student Roster'!$A:$E,5,FALSE),""))</f>
        <v/>
      </c>
      <c r="K37" t="str">
        <f t="shared" ca="1" si="1"/>
        <v/>
      </c>
    </row>
    <row r="38" spans="3:11" ht="14.25" x14ac:dyDescent="0.45">
      <c r="C38" t="str">
        <f>IF(B38="","",IFERROR(VLOOKUP(B38,'SPED Student Roster'!$A:$B,2,FALSE),""))</f>
        <v/>
      </c>
      <c r="D38" t="str">
        <f>IF(B38="","",IFERROR(VLOOKUP(B38,'SPED Student Roster'!$A:$C,3,FALSE),""))</f>
        <v/>
      </c>
      <c r="E38" t="str">
        <f>IF(B38="","",IFERROR(VLOOKUP(B38,'SPED Student Roster'!$A:$D,4,FALSE),""))</f>
        <v/>
      </c>
      <c r="F38" t="str">
        <f>IF(B38="","",IFERROR(VLOOKUP(B38,'SPED Student Roster'!$A:$E,5,FALSE),""))</f>
        <v/>
      </c>
      <c r="K38" t="str">
        <f t="shared" ca="1" si="1"/>
        <v/>
      </c>
    </row>
    <row r="39" spans="3:11" ht="14.25" x14ac:dyDescent="0.45">
      <c r="C39" t="str">
        <f>IF(B39="","",IFERROR(VLOOKUP(B39,'SPED Student Roster'!$A:$B,2,FALSE),""))</f>
        <v/>
      </c>
      <c r="D39" t="str">
        <f>IF(B39="","",IFERROR(VLOOKUP(B39,'SPED Student Roster'!$A:$C,3,FALSE),""))</f>
        <v/>
      </c>
      <c r="E39" t="str">
        <f>IF(B39="","",IFERROR(VLOOKUP(B39,'SPED Student Roster'!$A:$D,4,FALSE),""))</f>
        <v/>
      </c>
      <c r="F39" t="str">
        <f>IF(B39="","",IFERROR(VLOOKUP(B39,'SPED Student Roster'!$A:$E,5,FALSE),""))</f>
        <v/>
      </c>
      <c r="K39" t="str">
        <f t="shared" ca="1" si="1"/>
        <v/>
      </c>
    </row>
    <row r="40" spans="3:11" ht="14.25" x14ac:dyDescent="0.45">
      <c r="C40" t="str">
        <f>IF(B40="","",IFERROR(VLOOKUP(B40,'SPED Student Roster'!$A:$B,2,FALSE),""))</f>
        <v/>
      </c>
      <c r="D40" t="str">
        <f>IF(B40="","",IFERROR(VLOOKUP(B40,'SPED Student Roster'!$A:$C,3,FALSE),""))</f>
        <v/>
      </c>
      <c r="E40" t="str">
        <f>IF(B40="","",IFERROR(VLOOKUP(B40,'SPED Student Roster'!$A:$D,4,FALSE),""))</f>
        <v/>
      </c>
      <c r="F40" t="str">
        <f>IF(B40="","",IFERROR(VLOOKUP(B40,'SPED Student Roster'!$A:$E,5,FALSE),""))</f>
        <v/>
      </c>
      <c r="K40" t="str">
        <f t="shared" ca="1" si="1"/>
        <v/>
      </c>
    </row>
    <row r="41" spans="3:11" ht="14.25" x14ac:dyDescent="0.45">
      <c r="C41" t="str">
        <f>IF(B41="","",IFERROR(VLOOKUP(B41,'SPED Student Roster'!$A:$B,2,FALSE),""))</f>
        <v/>
      </c>
      <c r="D41" t="str">
        <f>IF(B41="","",IFERROR(VLOOKUP(B41,'SPED Student Roster'!$A:$C,3,FALSE),""))</f>
        <v/>
      </c>
      <c r="E41" t="str">
        <f>IF(B41="","",IFERROR(VLOOKUP(B41,'SPED Student Roster'!$A:$D,4,FALSE),""))</f>
        <v/>
      </c>
      <c r="F41" t="str">
        <f>IF(B41="","",IFERROR(VLOOKUP(B41,'SPED Student Roster'!$A:$E,5,FALSE),""))</f>
        <v/>
      </c>
      <c r="K41" t="str">
        <f t="shared" ca="1" si="1"/>
        <v/>
      </c>
    </row>
    <row r="42" spans="3:11" ht="14.25" x14ac:dyDescent="0.45">
      <c r="C42" t="str">
        <f>IF(B42="","",IFERROR(VLOOKUP(B42,'SPED Student Roster'!$A:$B,2,FALSE),""))</f>
        <v/>
      </c>
      <c r="D42" t="str">
        <f>IF(B42="","",IFERROR(VLOOKUP(B42,'SPED Student Roster'!$A:$C,3,FALSE),""))</f>
        <v/>
      </c>
      <c r="E42" t="str">
        <f>IF(B42="","",IFERROR(VLOOKUP(B42,'SPED Student Roster'!$A:$D,4,FALSE),""))</f>
        <v/>
      </c>
      <c r="F42" t="str">
        <f>IF(B42="","",IFERROR(VLOOKUP(B42,'SPED Student Roster'!$A:$E,5,FALSE),""))</f>
        <v/>
      </c>
      <c r="K42" t="str">
        <f t="shared" ca="1" si="1"/>
        <v/>
      </c>
    </row>
    <row r="43" spans="3:11" ht="14.25" x14ac:dyDescent="0.45">
      <c r="C43" t="str">
        <f>IF(B43="","",IFERROR(VLOOKUP(B43,'SPED Student Roster'!$A:$B,2,FALSE),""))</f>
        <v/>
      </c>
      <c r="D43" t="str">
        <f>IF(B43="","",IFERROR(VLOOKUP(B43,'SPED Student Roster'!$A:$C,3,FALSE),""))</f>
        <v/>
      </c>
      <c r="E43" t="str">
        <f>IF(B43="","",IFERROR(VLOOKUP(B43,'SPED Student Roster'!$A:$D,4,FALSE),""))</f>
        <v/>
      </c>
      <c r="F43" t="str">
        <f>IF(B43="","",IFERROR(VLOOKUP(B43,'SPED Student Roster'!$A:$E,5,FALSE),""))</f>
        <v/>
      </c>
      <c r="K43" t="str">
        <f t="shared" ca="1" si="1"/>
        <v/>
      </c>
    </row>
    <row r="44" spans="3:11" ht="14.25" x14ac:dyDescent="0.45">
      <c r="C44" t="str">
        <f>IF(B44="","",IFERROR(VLOOKUP(B44,'SPED Student Roster'!$A:$B,2,FALSE),""))</f>
        <v/>
      </c>
      <c r="D44" t="str">
        <f>IF(B44="","",IFERROR(VLOOKUP(B44,'SPED Student Roster'!$A:$C,3,FALSE),""))</f>
        <v/>
      </c>
      <c r="E44" t="str">
        <f>IF(B44="","",IFERROR(VLOOKUP(B44,'SPED Student Roster'!$A:$D,4,FALSE),""))</f>
        <v/>
      </c>
      <c r="F44" t="str">
        <f>IF(B44="","",IFERROR(VLOOKUP(B44,'SPED Student Roster'!$A:$E,5,FALSE),""))</f>
        <v/>
      </c>
      <c r="K44" t="str">
        <f t="shared" ca="1" si="1"/>
        <v/>
      </c>
    </row>
    <row r="45" spans="3:11" ht="14.25" x14ac:dyDescent="0.45">
      <c r="C45" t="str">
        <f>IF(B45="","",IFERROR(VLOOKUP(B45,'SPED Student Roster'!$A:$B,2,FALSE),""))</f>
        <v/>
      </c>
      <c r="D45" t="str">
        <f>IF(B45="","",IFERROR(VLOOKUP(B45,'SPED Student Roster'!$A:$C,3,FALSE),""))</f>
        <v/>
      </c>
      <c r="E45" t="str">
        <f>IF(B45="","",IFERROR(VLOOKUP(B45,'SPED Student Roster'!$A:$D,4,FALSE),""))</f>
        <v/>
      </c>
      <c r="F45" t="str">
        <f>IF(B45="","",IFERROR(VLOOKUP(B45,'SPED Student Roster'!$A:$E,5,FALSE),""))</f>
        <v/>
      </c>
      <c r="K45" t="str">
        <f t="shared" ca="1" si="1"/>
        <v/>
      </c>
    </row>
    <row r="46" spans="3:11" ht="14.25" x14ac:dyDescent="0.45">
      <c r="C46" t="str">
        <f>IF(B46="","",IFERROR(VLOOKUP(B46,'SPED Student Roster'!$A:$B,2,FALSE),""))</f>
        <v/>
      </c>
      <c r="D46" t="str">
        <f>IF(B46="","",IFERROR(VLOOKUP(B46,'SPED Student Roster'!$A:$C,3,FALSE),""))</f>
        <v/>
      </c>
      <c r="E46" t="str">
        <f>IF(B46="","",IFERROR(VLOOKUP(B46,'SPED Student Roster'!$A:$D,4,FALSE),""))</f>
        <v/>
      </c>
      <c r="F46" t="str">
        <f>IF(B46="","",IFERROR(VLOOKUP(B46,'SPED Student Roster'!$A:$E,5,FALSE),""))</f>
        <v/>
      </c>
      <c r="K46" t="str">
        <f t="shared" ca="1" si="1"/>
        <v/>
      </c>
    </row>
    <row r="47" spans="3:11" ht="14.25" x14ac:dyDescent="0.45">
      <c r="C47" t="str">
        <f>IF(B47="","",IFERROR(VLOOKUP(B47,'SPED Student Roster'!$A:$B,2,FALSE),""))</f>
        <v/>
      </c>
      <c r="D47" t="str">
        <f>IF(B47="","",IFERROR(VLOOKUP(B47,'SPED Student Roster'!$A:$C,3,FALSE),""))</f>
        <v/>
      </c>
      <c r="E47" t="str">
        <f>IF(B47="","",IFERROR(VLOOKUP(B47,'SPED Student Roster'!$A:$D,4,FALSE),""))</f>
        <v/>
      </c>
      <c r="F47" t="str">
        <f>IF(B47="","",IFERROR(VLOOKUP(B47,'SPED Student Roster'!$A:$E,5,FALSE),""))</f>
        <v/>
      </c>
      <c r="K47" t="str">
        <f t="shared" ca="1" si="1"/>
        <v/>
      </c>
    </row>
    <row r="48" spans="3:11" ht="14.25" x14ac:dyDescent="0.45">
      <c r="C48" t="str">
        <f>IF(B48="","",IFERROR(VLOOKUP(B48,'SPED Student Roster'!$A:$B,2,FALSE),""))</f>
        <v/>
      </c>
      <c r="D48" t="str">
        <f>IF(B48="","",IFERROR(VLOOKUP(B48,'SPED Student Roster'!$A:$C,3,FALSE),""))</f>
        <v/>
      </c>
      <c r="E48" t="str">
        <f>IF(B48="","",IFERROR(VLOOKUP(B48,'SPED Student Roster'!$A:$D,4,FALSE),""))</f>
        <v/>
      </c>
      <c r="F48" t="str">
        <f>IF(B48="","",IFERROR(VLOOKUP(B48,'SPED Student Roster'!$A:$E,5,FALSE),""))</f>
        <v/>
      </c>
      <c r="K48" t="str">
        <f t="shared" ca="1" si="1"/>
        <v/>
      </c>
    </row>
    <row r="49" spans="3:11" ht="14.25" x14ac:dyDescent="0.45">
      <c r="C49" t="str">
        <f>IF(B49="","",IFERROR(VLOOKUP(B49,'SPED Student Roster'!$A:$B,2,FALSE),""))</f>
        <v/>
      </c>
      <c r="D49" t="str">
        <f>IF(B49="","",IFERROR(VLOOKUP(B49,'SPED Student Roster'!$A:$C,3,FALSE),""))</f>
        <v/>
      </c>
      <c r="E49" t="str">
        <f>IF(B49="","",IFERROR(VLOOKUP(B49,'SPED Student Roster'!$A:$D,4,FALSE),""))</f>
        <v/>
      </c>
      <c r="F49" t="str">
        <f>IF(B49="","",IFERROR(VLOOKUP(B49,'SPED Student Roster'!$A:$E,5,FALSE),""))</f>
        <v/>
      </c>
      <c r="K49" t="str">
        <f t="shared" ca="1" si="1"/>
        <v/>
      </c>
    </row>
    <row r="50" spans="3:11" ht="14.25" x14ac:dyDescent="0.45">
      <c r="C50" t="str">
        <f>IF(B50="","",IFERROR(VLOOKUP(B50,'SPED Student Roster'!$A:$B,2,FALSE),""))</f>
        <v/>
      </c>
      <c r="D50" t="str">
        <f>IF(B50="","",IFERROR(VLOOKUP(B50,'SPED Student Roster'!$A:$C,3,FALSE),""))</f>
        <v/>
      </c>
      <c r="E50" t="str">
        <f>IF(B50="","",IFERROR(VLOOKUP(B50,'SPED Student Roster'!$A:$D,4,FALSE),""))</f>
        <v/>
      </c>
      <c r="F50" t="str">
        <f>IF(B50="","",IFERROR(VLOOKUP(B50,'SPED Student Roster'!$A:$E,5,FALSE),""))</f>
        <v/>
      </c>
      <c r="K50" t="str">
        <f t="shared" ca="1" si="1"/>
        <v/>
      </c>
    </row>
    <row r="51" spans="3:11" ht="14.25" x14ac:dyDescent="0.45">
      <c r="C51" t="str">
        <f>IF(B51="","",IFERROR(VLOOKUP(B51,'SPED Student Roster'!$A:$B,2,FALSE),""))</f>
        <v/>
      </c>
      <c r="D51" t="str">
        <f>IF(B51="","",IFERROR(VLOOKUP(B51,'SPED Student Roster'!$A:$C,3,FALSE),""))</f>
        <v/>
      </c>
      <c r="E51" t="str">
        <f>IF(B51="","",IFERROR(VLOOKUP(B51,'SPED Student Roster'!$A:$D,4,FALSE),""))</f>
        <v/>
      </c>
      <c r="F51" t="str">
        <f>IF(B51="","",IFERROR(VLOOKUP(B51,'SPED Student Roster'!$A:$E,5,FALSE),""))</f>
        <v/>
      </c>
      <c r="K51" t="str">
        <f t="shared" ca="1" si="1"/>
        <v/>
      </c>
    </row>
    <row r="52" spans="3:11" ht="14.25" x14ac:dyDescent="0.45">
      <c r="C52" t="str">
        <f>IF(B52="","",IFERROR(VLOOKUP(B52,'SPED Student Roster'!$A:$B,2,FALSE),""))</f>
        <v/>
      </c>
      <c r="D52" t="str">
        <f>IF(B52="","",IFERROR(VLOOKUP(B52,'SPED Student Roster'!$A:$C,3,FALSE),""))</f>
        <v/>
      </c>
      <c r="E52" t="str">
        <f>IF(B52="","",IFERROR(VLOOKUP(B52,'SPED Student Roster'!$A:$D,4,FALSE),""))</f>
        <v/>
      </c>
      <c r="F52" t="str">
        <f>IF(B52="","",IFERROR(VLOOKUP(B52,'SPED Student Roster'!$A:$E,5,FALSE),""))</f>
        <v/>
      </c>
      <c r="K52" t="str">
        <f t="shared" ca="1" si="1"/>
        <v/>
      </c>
    </row>
    <row r="53" spans="3:11" ht="14.25" x14ac:dyDescent="0.45">
      <c r="C53" t="str">
        <f>IF(B53="","",IFERROR(VLOOKUP(B53,'SPED Student Roster'!$A:$B,2,FALSE),""))</f>
        <v/>
      </c>
      <c r="D53" t="str">
        <f>IF(B53="","",IFERROR(VLOOKUP(B53,'SPED Student Roster'!$A:$C,3,FALSE),""))</f>
        <v/>
      </c>
      <c r="E53" t="str">
        <f>IF(B53="","",IFERROR(VLOOKUP(B53,'SPED Student Roster'!$A:$D,4,FALSE),""))</f>
        <v/>
      </c>
      <c r="F53" t="str">
        <f>IF(B53="","",IFERROR(VLOOKUP(B53,'SPED Student Roster'!$A:$E,5,FALSE),""))</f>
        <v/>
      </c>
      <c r="K53" t="str">
        <f t="shared" ca="1" si="1"/>
        <v/>
      </c>
    </row>
    <row r="54" spans="3:11" ht="14.25" x14ac:dyDescent="0.45">
      <c r="C54" t="str">
        <f>IF(B54="","",IFERROR(VLOOKUP(B54,'SPED Student Roster'!$A:$B,2,FALSE),""))</f>
        <v/>
      </c>
      <c r="D54" t="str">
        <f>IF(B54="","",IFERROR(VLOOKUP(B54,'SPED Student Roster'!$A:$C,3,FALSE),""))</f>
        <v/>
      </c>
      <c r="E54" t="str">
        <f>IF(B54="","",IFERROR(VLOOKUP(B54,'SPED Student Roster'!$A:$D,4,FALSE),""))</f>
        <v/>
      </c>
      <c r="F54" t="str">
        <f>IF(B54="","",IFERROR(VLOOKUP(B54,'SPED Student Roster'!$A:$E,5,FALSE),""))</f>
        <v/>
      </c>
      <c r="K54" t="str">
        <f t="shared" ca="1" si="1"/>
        <v/>
      </c>
    </row>
    <row r="55" spans="3:11" ht="14.25" x14ac:dyDescent="0.45">
      <c r="C55" t="str">
        <f>IF(B55="","",IFERROR(VLOOKUP(B55,'SPED Student Roster'!$A:$B,2,FALSE),""))</f>
        <v/>
      </c>
      <c r="D55" t="str">
        <f>IF(B55="","",IFERROR(VLOOKUP(B55,'SPED Student Roster'!$A:$C,3,FALSE),""))</f>
        <v/>
      </c>
      <c r="E55" t="str">
        <f>IF(B55="","",IFERROR(VLOOKUP(B55,'SPED Student Roster'!$A:$D,4,FALSE),""))</f>
        <v/>
      </c>
      <c r="F55" t="str">
        <f>IF(B55="","",IFERROR(VLOOKUP(B55,'SPED Student Roster'!$A:$E,5,FALSE),""))</f>
        <v/>
      </c>
      <c r="K55" t="str">
        <f t="shared" ca="1" si="1"/>
        <v/>
      </c>
    </row>
    <row r="56" spans="3:11" ht="14.25" x14ac:dyDescent="0.45">
      <c r="C56" t="str">
        <f>IF(B56="","",IFERROR(VLOOKUP(B56,'SPED Student Roster'!$A:$B,2,FALSE),""))</f>
        <v/>
      </c>
      <c r="D56" t="str">
        <f>IF(B56="","",IFERROR(VLOOKUP(B56,'SPED Student Roster'!$A:$C,3,FALSE),""))</f>
        <v/>
      </c>
      <c r="E56" t="str">
        <f>IF(B56="","",IFERROR(VLOOKUP(B56,'SPED Student Roster'!$A:$D,4,FALSE),""))</f>
        <v/>
      </c>
      <c r="F56" t="str">
        <f>IF(B56="","",IFERROR(VLOOKUP(B56,'SPED Student Roster'!$A:$E,5,FALSE),""))</f>
        <v/>
      </c>
      <c r="K56" t="str">
        <f t="shared" ca="1" si="1"/>
        <v/>
      </c>
    </row>
    <row r="57" spans="3:11" ht="14.25" x14ac:dyDescent="0.45">
      <c r="C57" t="str">
        <f>IF(B57="","",IFERROR(VLOOKUP(B57,'SPED Student Roster'!$A:$B,2,FALSE),""))</f>
        <v/>
      </c>
      <c r="D57" t="str">
        <f>IF(B57="","",IFERROR(VLOOKUP(B57,'SPED Student Roster'!$A:$C,3,FALSE),""))</f>
        <v/>
      </c>
      <c r="E57" t="str">
        <f>IF(B57="","",IFERROR(VLOOKUP(B57,'SPED Student Roster'!$A:$D,4,FALSE),""))</f>
        <v/>
      </c>
      <c r="F57" t="str">
        <f>IF(B57="","",IFERROR(VLOOKUP(B57,'SPED Student Roster'!$A:$E,5,FALSE),""))</f>
        <v/>
      </c>
      <c r="K57" t="str">
        <f t="shared" ca="1" si="1"/>
        <v/>
      </c>
    </row>
    <row r="58" spans="3:11" ht="14.25" x14ac:dyDescent="0.45">
      <c r="C58" t="str">
        <f>IF(B58="","",IFERROR(VLOOKUP(B58,'SPED Student Roster'!$A:$B,2,FALSE),""))</f>
        <v/>
      </c>
      <c r="D58" t="str">
        <f>IF(B58="","",IFERROR(VLOOKUP(B58,'SPED Student Roster'!$A:$C,3,FALSE),""))</f>
        <v/>
      </c>
      <c r="E58" t="str">
        <f>IF(B58="","",IFERROR(VLOOKUP(B58,'SPED Student Roster'!$A:$D,4,FALSE),""))</f>
        <v/>
      </c>
      <c r="F58" t="str">
        <f>IF(B58="","",IFERROR(VLOOKUP(B58,'SPED Student Roster'!$A:$E,5,FALSE),""))</f>
        <v/>
      </c>
      <c r="K58" t="str">
        <f t="shared" ca="1" si="1"/>
        <v/>
      </c>
    </row>
    <row r="59" spans="3:11" ht="14.25" x14ac:dyDescent="0.45">
      <c r="C59" t="str">
        <f>IF(B59="","",IFERROR(VLOOKUP(B59,'SPED Student Roster'!$A:$B,2,FALSE),""))</f>
        <v/>
      </c>
      <c r="D59" t="str">
        <f>IF(B59="","",IFERROR(VLOOKUP(B59,'SPED Student Roster'!$A:$C,3,FALSE),""))</f>
        <v/>
      </c>
      <c r="E59" t="str">
        <f>IF(B59="","",IFERROR(VLOOKUP(B59,'SPED Student Roster'!$A:$D,4,FALSE),""))</f>
        <v/>
      </c>
      <c r="F59" t="str">
        <f>IF(B59="","",IFERROR(VLOOKUP(B59,'SPED Student Roster'!$A:$E,5,FALSE),""))</f>
        <v/>
      </c>
      <c r="K59" t="str">
        <f t="shared" ca="1" si="1"/>
        <v/>
      </c>
    </row>
    <row r="60" spans="3:11" ht="14.25" x14ac:dyDescent="0.45">
      <c r="C60" t="str">
        <f>IF(B60="","",IFERROR(VLOOKUP(B60,'SPED Student Roster'!$A:$B,2,FALSE),""))</f>
        <v/>
      </c>
      <c r="D60" t="str">
        <f>IF(B60="","",IFERROR(VLOOKUP(B60,'SPED Student Roster'!$A:$C,3,FALSE),""))</f>
        <v/>
      </c>
      <c r="E60" t="str">
        <f>IF(B60="","",IFERROR(VLOOKUP(B60,'SPED Student Roster'!$A:$D,4,FALSE),""))</f>
        <v/>
      </c>
      <c r="F60" t="str">
        <f>IF(B60="","",IFERROR(VLOOKUP(B60,'SPED Student Roster'!$A:$E,5,FALSE),""))</f>
        <v/>
      </c>
      <c r="K60" t="str">
        <f t="shared" ca="1" si="1"/>
        <v/>
      </c>
    </row>
    <row r="61" spans="3:11" ht="14.25" x14ac:dyDescent="0.45">
      <c r="C61" t="str">
        <f>IF(B61="","",IFERROR(VLOOKUP(B61,'SPED Student Roster'!$A:$B,2,FALSE),""))</f>
        <v/>
      </c>
      <c r="D61" t="str">
        <f>IF(B61="","",IFERROR(VLOOKUP(B61,'SPED Student Roster'!$A:$C,3,FALSE),""))</f>
        <v/>
      </c>
      <c r="E61" t="str">
        <f>IF(B61="","",IFERROR(VLOOKUP(B61,'SPED Student Roster'!$A:$D,4,FALSE),""))</f>
        <v/>
      </c>
      <c r="F61" t="str">
        <f>IF(B61="","",IFERROR(VLOOKUP(B61,'SPED Student Roster'!$A:$E,5,FALSE),""))</f>
        <v/>
      </c>
      <c r="K61" t="str">
        <f t="shared" ca="1" si="1"/>
        <v/>
      </c>
    </row>
    <row r="62" spans="3:11" ht="14.25" x14ac:dyDescent="0.45">
      <c r="C62" t="str">
        <f>IF(B62="","",IFERROR(VLOOKUP(B62,'SPED Student Roster'!$A:$B,2,FALSE),""))</f>
        <v/>
      </c>
      <c r="D62" t="str">
        <f>IF(B62="","",IFERROR(VLOOKUP(B62,'SPED Student Roster'!$A:$C,3,FALSE),""))</f>
        <v/>
      </c>
      <c r="E62" t="str">
        <f>IF(B62="","",IFERROR(VLOOKUP(B62,'SPED Student Roster'!$A:$D,4,FALSE),""))</f>
        <v/>
      </c>
      <c r="F62" t="str">
        <f>IF(B62="","",IFERROR(VLOOKUP(B62,'SPED Student Roster'!$A:$E,5,FALSE),""))</f>
        <v/>
      </c>
      <c r="K62" t="str">
        <f t="shared" ca="1" si="1"/>
        <v/>
      </c>
    </row>
    <row r="63" spans="3:11" ht="14.25" x14ac:dyDescent="0.45">
      <c r="C63" t="str">
        <f>IF(B63="","",IFERROR(VLOOKUP(B63,'SPED Student Roster'!$A:$B,2,FALSE),""))</f>
        <v/>
      </c>
      <c r="D63" t="str">
        <f>IF(B63="","",IFERROR(VLOOKUP(B63,'SPED Student Roster'!$A:$C,3,FALSE),""))</f>
        <v/>
      </c>
      <c r="E63" t="str">
        <f>IF(B63="","",IFERROR(VLOOKUP(B63,'SPED Student Roster'!$A:$D,4,FALSE),""))</f>
        <v/>
      </c>
      <c r="F63" t="str">
        <f>IF(B63="","",IFERROR(VLOOKUP(B63,'SPED Student Roster'!$A:$E,5,FALSE),""))</f>
        <v/>
      </c>
      <c r="K63" t="str">
        <f t="shared" ca="1" si="1"/>
        <v/>
      </c>
    </row>
    <row r="64" spans="3:11" ht="14.25" x14ac:dyDescent="0.45">
      <c r="C64" t="str">
        <f>IF(B64="","",IFERROR(VLOOKUP(B64,'SPED Student Roster'!$A:$B,2,FALSE),""))</f>
        <v/>
      </c>
      <c r="D64" t="str">
        <f>IF(B64="","",IFERROR(VLOOKUP(B64,'SPED Student Roster'!$A:$C,3,FALSE),""))</f>
        <v/>
      </c>
      <c r="E64" t="str">
        <f>IF(B64="","",IFERROR(VLOOKUP(B64,'SPED Student Roster'!$A:$D,4,FALSE),""))</f>
        <v/>
      </c>
      <c r="F64" t="str">
        <f>IF(B64="","",IFERROR(VLOOKUP(B64,'SPED Student Roster'!$A:$E,5,FALSE),""))</f>
        <v/>
      </c>
      <c r="K64" t="str">
        <f t="shared" ca="1" si="1"/>
        <v/>
      </c>
    </row>
    <row r="65" spans="3:11" ht="14.25" x14ac:dyDescent="0.45">
      <c r="C65" t="str">
        <f>IF(B65="","",IFERROR(VLOOKUP(B65,'SPED Student Roster'!$A:$B,2,FALSE),""))</f>
        <v/>
      </c>
      <c r="D65" t="str">
        <f>IF(B65="","",IFERROR(VLOOKUP(B65,'SPED Student Roster'!$A:$C,3,FALSE),""))</f>
        <v/>
      </c>
      <c r="E65" t="str">
        <f>IF(B65="","",IFERROR(VLOOKUP(B65,'SPED Student Roster'!$A:$D,4,FALSE),""))</f>
        <v/>
      </c>
      <c r="F65" t="str">
        <f>IF(B65="","",IFERROR(VLOOKUP(B65,'SPED Student Roster'!$A:$E,5,FALSE),""))</f>
        <v/>
      </c>
      <c r="K65" t="str">
        <f t="shared" ca="1" si="1"/>
        <v/>
      </c>
    </row>
    <row r="66" spans="3:11" ht="14.25" x14ac:dyDescent="0.45">
      <c r="C66" t="str">
        <f>IF(B66="","",IFERROR(VLOOKUP(B66,'SPED Student Roster'!$A:$B,2,FALSE),""))</f>
        <v/>
      </c>
      <c r="D66" t="str">
        <f>IF(B66="","",IFERROR(VLOOKUP(B66,'SPED Student Roster'!$A:$C,3,FALSE),""))</f>
        <v/>
      </c>
      <c r="E66" t="str">
        <f>IF(B66="","",IFERROR(VLOOKUP(B66,'SPED Student Roster'!$A:$D,4,FALSE),""))</f>
        <v/>
      </c>
      <c r="F66" t="str">
        <f>IF(B66="","",IFERROR(VLOOKUP(B66,'SPED Student Roster'!$A:$E,5,FALSE),""))</f>
        <v/>
      </c>
      <c r="K66" t="str">
        <f t="shared" ca="1" si="1"/>
        <v/>
      </c>
    </row>
    <row r="67" spans="3:11" ht="14.25" x14ac:dyDescent="0.45">
      <c r="C67" t="str">
        <f>IF(B67="","",IFERROR(VLOOKUP(B67,'SPED Student Roster'!$A:$B,2,FALSE),""))</f>
        <v/>
      </c>
      <c r="D67" t="str">
        <f>IF(B67="","",IFERROR(VLOOKUP(B67,'SPED Student Roster'!$A:$C,3,FALSE),""))</f>
        <v/>
      </c>
      <c r="E67" t="str">
        <f>IF(B67="","",IFERROR(VLOOKUP(B67,'SPED Student Roster'!$A:$D,4,FALSE),""))</f>
        <v/>
      </c>
      <c r="F67" t="str">
        <f>IF(B67="","",IFERROR(VLOOKUP(B67,'SPED Student Roster'!$A:$E,5,FALSE),""))</f>
        <v/>
      </c>
      <c r="K67" t="str">
        <f t="shared" ca="1" si="1"/>
        <v/>
      </c>
    </row>
    <row r="68" spans="3:11" ht="14.25" x14ac:dyDescent="0.45">
      <c r="C68" t="str">
        <f>IF(B68="","",IFERROR(VLOOKUP(B68,'SPED Student Roster'!$A:$B,2,FALSE),""))</f>
        <v/>
      </c>
      <c r="D68" t="str">
        <f>IF(B68="","",IFERROR(VLOOKUP(B68,'SPED Student Roster'!$A:$C,3,FALSE),""))</f>
        <v/>
      </c>
      <c r="E68" t="str">
        <f>IF(B68="","",IFERROR(VLOOKUP(B68,'SPED Student Roster'!$A:$D,4,FALSE),""))</f>
        <v/>
      </c>
      <c r="F68" t="str">
        <f>IF(B68="","",IFERROR(VLOOKUP(B68,'SPED Student Roster'!$A:$E,5,FALSE),""))</f>
        <v/>
      </c>
      <c r="K68" t="str">
        <f t="shared" ref="K68:K99" ca="1" si="2">IF(OR(B68="",J68=""),"",J68-TODAY())</f>
        <v/>
      </c>
    </row>
    <row r="69" spans="3:11" ht="14.25" x14ac:dyDescent="0.45">
      <c r="C69" t="str">
        <f>IF(B69="","",IFERROR(VLOOKUP(B69,'SPED Student Roster'!$A:$B,2,FALSE),""))</f>
        <v/>
      </c>
      <c r="D69" t="str">
        <f>IF(B69="","",IFERROR(VLOOKUP(B69,'SPED Student Roster'!$A:$C,3,FALSE),""))</f>
        <v/>
      </c>
      <c r="E69" t="str">
        <f>IF(B69="","",IFERROR(VLOOKUP(B69,'SPED Student Roster'!$A:$D,4,FALSE),""))</f>
        <v/>
      </c>
      <c r="F69" t="str">
        <f>IF(B69="","",IFERROR(VLOOKUP(B69,'SPED Student Roster'!$A:$E,5,FALSE),""))</f>
        <v/>
      </c>
      <c r="K69" t="str">
        <f t="shared" ca="1" si="2"/>
        <v/>
      </c>
    </row>
    <row r="70" spans="3:11" ht="14.25" x14ac:dyDescent="0.45">
      <c r="C70" t="str">
        <f>IF(B70="","",IFERROR(VLOOKUP(B70,'SPED Student Roster'!$A:$B,2,FALSE),""))</f>
        <v/>
      </c>
      <c r="D70" t="str">
        <f>IF(B70="","",IFERROR(VLOOKUP(B70,'SPED Student Roster'!$A:$C,3,FALSE),""))</f>
        <v/>
      </c>
      <c r="E70" t="str">
        <f>IF(B70="","",IFERROR(VLOOKUP(B70,'SPED Student Roster'!$A:$D,4,FALSE),""))</f>
        <v/>
      </c>
      <c r="F70" t="str">
        <f>IF(B70="","",IFERROR(VLOOKUP(B70,'SPED Student Roster'!$A:$E,5,FALSE),""))</f>
        <v/>
      </c>
      <c r="K70" t="str">
        <f t="shared" ca="1" si="2"/>
        <v/>
      </c>
    </row>
    <row r="71" spans="3:11" ht="14.25" x14ac:dyDescent="0.45">
      <c r="C71" t="str">
        <f>IF(B71="","",IFERROR(VLOOKUP(B71,'SPED Student Roster'!$A:$B,2,FALSE),""))</f>
        <v/>
      </c>
      <c r="D71" t="str">
        <f>IF(B71="","",IFERROR(VLOOKUP(B71,'SPED Student Roster'!$A:$C,3,FALSE),""))</f>
        <v/>
      </c>
      <c r="E71" t="str">
        <f>IF(B71="","",IFERROR(VLOOKUP(B71,'SPED Student Roster'!$A:$D,4,FALSE),""))</f>
        <v/>
      </c>
      <c r="F71" t="str">
        <f>IF(B71="","",IFERROR(VLOOKUP(B71,'SPED Student Roster'!$A:$E,5,FALSE),""))</f>
        <v/>
      </c>
      <c r="K71" t="str">
        <f t="shared" ca="1" si="2"/>
        <v/>
      </c>
    </row>
    <row r="72" spans="3:11" ht="14.25" x14ac:dyDescent="0.45">
      <c r="C72" t="str">
        <f>IF(B72="","",IFERROR(VLOOKUP(B72,'SPED Student Roster'!$A:$B,2,FALSE),""))</f>
        <v/>
      </c>
      <c r="D72" t="str">
        <f>IF(B72="","",IFERROR(VLOOKUP(B72,'SPED Student Roster'!$A:$C,3,FALSE),""))</f>
        <v/>
      </c>
      <c r="E72" t="str">
        <f>IF(B72="","",IFERROR(VLOOKUP(B72,'SPED Student Roster'!$A:$D,4,FALSE),""))</f>
        <v/>
      </c>
      <c r="F72" t="str">
        <f>IF(B72="","",IFERROR(VLOOKUP(B72,'SPED Student Roster'!$A:$E,5,FALSE),""))</f>
        <v/>
      </c>
      <c r="K72" t="str">
        <f t="shared" ca="1" si="2"/>
        <v/>
      </c>
    </row>
    <row r="73" spans="3:11" ht="14.25" x14ac:dyDescent="0.45">
      <c r="C73" t="str">
        <f>IF(B73="","",IFERROR(VLOOKUP(B73,'SPED Student Roster'!$A:$B,2,FALSE),""))</f>
        <v/>
      </c>
      <c r="D73" t="str">
        <f>IF(B73="","",IFERROR(VLOOKUP(B73,'SPED Student Roster'!$A:$C,3,FALSE),""))</f>
        <v/>
      </c>
      <c r="E73" t="str">
        <f>IF(B73="","",IFERROR(VLOOKUP(B73,'SPED Student Roster'!$A:$D,4,FALSE),""))</f>
        <v/>
      </c>
      <c r="F73" t="str">
        <f>IF(B73="","",IFERROR(VLOOKUP(B73,'SPED Student Roster'!$A:$E,5,FALSE),""))</f>
        <v/>
      </c>
      <c r="K73" t="str">
        <f t="shared" ca="1" si="2"/>
        <v/>
      </c>
    </row>
    <row r="74" spans="3:11" ht="14.25" x14ac:dyDescent="0.45">
      <c r="C74" t="str">
        <f>IF(B74="","",IFERROR(VLOOKUP(B74,'SPED Student Roster'!$A:$B,2,FALSE),""))</f>
        <v/>
      </c>
      <c r="D74" t="str">
        <f>IF(B74="","",IFERROR(VLOOKUP(B74,'SPED Student Roster'!$A:$C,3,FALSE),""))</f>
        <v/>
      </c>
      <c r="E74" t="str">
        <f>IF(B74="","",IFERROR(VLOOKUP(B74,'SPED Student Roster'!$A:$D,4,FALSE),""))</f>
        <v/>
      </c>
      <c r="F74" t="str">
        <f>IF(B74="","",IFERROR(VLOOKUP(B74,'SPED Student Roster'!$A:$E,5,FALSE),""))</f>
        <v/>
      </c>
      <c r="K74" t="str">
        <f t="shared" ca="1" si="2"/>
        <v/>
      </c>
    </row>
    <row r="75" spans="3:11" ht="14.25" x14ac:dyDescent="0.45">
      <c r="C75" t="str">
        <f>IF(B75="","",IFERROR(VLOOKUP(B75,'SPED Student Roster'!$A:$B,2,FALSE),""))</f>
        <v/>
      </c>
      <c r="D75" t="str">
        <f>IF(B75="","",IFERROR(VLOOKUP(B75,'SPED Student Roster'!$A:$C,3,FALSE),""))</f>
        <v/>
      </c>
      <c r="E75" t="str">
        <f>IF(B75="","",IFERROR(VLOOKUP(B75,'SPED Student Roster'!$A:$D,4,FALSE),""))</f>
        <v/>
      </c>
      <c r="F75" t="str">
        <f>IF(B75="","",IFERROR(VLOOKUP(B75,'SPED Student Roster'!$A:$E,5,FALSE),""))</f>
        <v/>
      </c>
      <c r="K75" t="str">
        <f t="shared" ca="1" si="2"/>
        <v/>
      </c>
    </row>
    <row r="76" spans="3:11" ht="14.25" x14ac:dyDescent="0.45">
      <c r="C76" t="str">
        <f>IF(B76="","",IFERROR(VLOOKUP(B76,'SPED Student Roster'!$A:$B,2,FALSE),""))</f>
        <v/>
      </c>
      <c r="D76" t="str">
        <f>IF(B76="","",IFERROR(VLOOKUP(B76,'SPED Student Roster'!$A:$C,3,FALSE),""))</f>
        <v/>
      </c>
      <c r="E76" t="str">
        <f>IF(B76="","",IFERROR(VLOOKUP(B76,'SPED Student Roster'!$A:$D,4,FALSE),""))</f>
        <v/>
      </c>
      <c r="F76" t="str">
        <f>IF(B76="","",IFERROR(VLOOKUP(B76,'SPED Student Roster'!$A:$E,5,FALSE),""))</f>
        <v/>
      </c>
      <c r="K76" t="str">
        <f t="shared" ca="1" si="2"/>
        <v/>
      </c>
    </row>
    <row r="77" spans="3:11" ht="14.25" x14ac:dyDescent="0.45">
      <c r="C77" t="str">
        <f>IF(B77="","",IFERROR(VLOOKUP(B77,'SPED Student Roster'!$A:$B,2,FALSE),""))</f>
        <v/>
      </c>
      <c r="D77" t="str">
        <f>IF(B77="","",IFERROR(VLOOKUP(B77,'SPED Student Roster'!$A:$C,3,FALSE),""))</f>
        <v/>
      </c>
      <c r="E77" t="str">
        <f>IF(B77="","",IFERROR(VLOOKUP(B77,'SPED Student Roster'!$A:$D,4,FALSE),""))</f>
        <v/>
      </c>
      <c r="F77" t="str">
        <f>IF(B77="","",IFERROR(VLOOKUP(B77,'SPED Student Roster'!$A:$E,5,FALSE),""))</f>
        <v/>
      </c>
      <c r="K77" t="str">
        <f t="shared" ca="1" si="2"/>
        <v/>
      </c>
    </row>
    <row r="78" spans="3:11" ht="14.25" x14ac:dyDescent="0.45">
      <c r="C78" t="str">
        <f>IF(B78="","",IFERROR(VLOOKUP(B78,'SPED Student Roster'!$A:$B,2,FALSE),""))</f>
        <v/>
      </c>
      <c r="D78" t="str">
        <f>IF(B78="","",IFERROR(VLOOKUP(B78,'SPED Student Roster'!$A:$C,3,FALSE),""))</f>
        <v/>
      </c>
      <c r="E78" t="str">
        <f>IF(B78="","",IFERROR(VLOOKUP(B78,'SPED Student Roster'!$A:$D,4,FALSE),""))</f>
        <v/>
      </c>
      <c r="F78" t="str">
        <f>IF(B78="","",IFERROR(VLOOKUP(B78,'SPED Student Roster'!$A:$E,5,FALSE),""))</f>
        <v/>
      </c>
      <c r="K78" t="str">
        <f t="shared" ca="1" si="2"/>
        <v/>
      </c>
    </row>
    <row r="79" spans="3:11" ht="14.25" x14ac:dyDescent="0.45">
      <c r="C79" t="str">
        <f>IF(B79="","",IFERROR(VLOOKUP(B79,'SPED Student Roster'!$A:$B,2,FALSE),""))</f>
        <v/>
      </c>
      <c r="D79" t="str">
        <f>IF(B79="","",IFERROR(VLOOKUP(B79,'SPED Student Roster'!$A:$C,3,FALSE),""))</f>
        <v/>
      </c>
      <c r="E79" t="str">
        <f>IF(B79="","",IFERROR(VLOOKUP(B79,'SPED Student Roster'!$A:$D,4,FALSE),""))</f>
        <v/>
      </c>
      <c r="F79" t="str">
        <f>IF(B79="","",IFERROR(VLOOKUP(B79,'SPED Student Roster'!$A:$E,5,FALSE),""))</f>
        <v/>
      </c>
      <c r="K79" t="str">
        <f t="shared" ca="1" si="2"/>
        <v/>
      </c>
    </row>
    <row r="80" spans="3:11" ht="14.25" x14ac:dyDescent="0.45">
      <c r="C80" t="str">
        <f>IF(B80="","",IFERROR(VLOOKUP(B80,'SPED Student Roster'!$A:$B,2,FALSE),""))</f>
        <v/>
      </c>
      <c r="D80" t="str">
        <f>IF(B80="","",IFERROR(VLOOKUP(B80,'SPED Student Roster'!$A:$C,3,FALSE),""))</f>
        <v/>
      </c>
      <c r="E80" t="str">
        <f>IF(B80="","",IFERROR(VLOOKUP(B80,'SPED Student Roster'!$A:$D,4,FALSE),""))</f>
        <v/>
      </c>
      <c r="F80" t="str">
        <f>IF(B80="","",IFERROR(VLOOKUP(B80,'SPED Student Roster'!$A:$E,5,FALSE),""))</f>
        <v/>
      </c>
      <c r="K80" t="str">
        <f t="shared" ca="1" si="2"/>
        <v/>
      </c>
    </row>
    <row r="81" spans="3:11" ht="14.25" x14ac:dyDescent="0.45">
      <c r="C81" t="str">
        <f>IF(B81="","",IFERROR(VLOOKUP(B81,'SPED Student Roster'!$A:$B,2,FALSE),""))</f>
        <v/>
      </c>
      <c r="D81" t="str">
        <f>IF(B81="","",IFERROR(VLOOKUP(B81,'SPED Student Roster'!$A:$C,3,FALSE),""))</f>
        <v/>
      </c>
      <c r="E81" t="str">
        <f>IF(B81="","",IFERROR(VLOOKUP(B81,'SPED Student Roster'!$A:$D,4,FALSE),""))</f>
        <v/>
      </c>
      <c r="F81" t="str">
        <f>IF(B81="","",IFERROR(VLOOKUP(B81,'SPED Student Roster'!$A:$E,5,FALSE),""))</f>
        <v/>
      </c>
      <c r="K81" t="str">
        <f t="shared" ca="1" si="2"/>
        <v/>
      </c>
    </row>
    <row r="82" spans="3:11" ht="14.25" x14ac:dyDescent="0.45">
      <c r="C82" t="str">
        <f>IF(B82="","",IFERROR(VLOOKUP(B82,'SPED Student Roster'!$A:$B,2,FALSE),""))</f>
        <v/>
      </c>
      <c r="D82" t="str">
        <f>IF(B82="","",IFERROR(VLOOKUP(B82,'SPED Student Roster'!$A:$C,3,FALSE),""))</f>
        <v/>
      </c>
      <c r="E82" t="str">
        <f>IF(B82="","",IFERROR(VLOOKUP(B82,'SPED Student Roster'!$A:$D,4,FALSE),""))</f>
        <v/>
      </c>
      <c r="F82" t="str">
        <f>IF(B82="","",IFERROR(VLOOKUP(B82,'SPED Student Roster'!$A:$E,5,FALSE),""))</f>
        <v/>
      </c>
      <c r="K82" t="str">
        <f t="shared" ca="1" si="2"/>
        <v/>
      </c>
    </row>
    <row r="83" spans="3:11" ht="14.25" x14ac:dyDescent="0.45">
      <c r="C83" t="str">
        <f>IF(B83="","",IFERROR(VLOOKUP(B83,'SPED Student Roster'!$A:$B,2,FALSE),""))</f>
        <v/>
      </c>
      <c r="D83" t="str">
        <f>IF(B83="","",IFERROR(VLOOKUP(B83,'SPED Student Roster'!$A:$C,3,FALSE),""))</f>
        <v/>
      </c>
      <c r="E83" t="str">
        <f>IF(B83="","",IFERROR(VLOOKUP(B83,'SPED Student Roster'!$A:$D,4,FALSE),""))</f>
        <v/>
      </c>
      <c r="F83" t="str">
        <f>IF(B83="","",IFERROR(VLOOKUP(B83,'SPED Student Roster'!$A:$E,5,FALSE),""))</f>
        <v/>
      </c>
      <c r="K83" t="str">
        <f t="shared" ca="1" si="2"/>
        <v/>
      </c>
    </row>
    <row r="84" spans="3:11" ht="14.25" x14ac:dyDescent="0.45">
      <c r="C84" t="str">
        <f>IF(B84="","",IFERROR(VLOOKUP(B84,'SPED Student Roster'!$A:$B,2,FALSE),""))</f>
        <v/>
      </c>
      <c r="D84" t="str">
        <f>IF(B84="","",IFERROR(VLOOKUP(B84,'SPED Student Roster'!$A:$C,3,FALSE),""))</f>
        <v/>
      </c>
      <c r="E84" t="str">
        <f>IF(B84="","",IFERROR(VLOOKUP(B84,'SPED Student Roster'!$A:$D,4,FALSE),""))</f>
        <v/>
      </c>
      <c r="F84" t="str">
        <f>IF(B84="","",IFERROR(VLOOKUP(B84,'SPED Student Roster'!$A:$E,5,FALSE),""))</f>
        <v/>
      </c>
      <c r="K84" t="str">
        <f t="shared" ca="1" si="2"/>
        <v/>
      </c>
    </row>
    <row r="85" spans="3:11" ht="14.25" x14ac:dyDescent="0.45">
      <c r="C85" t="str">
        <f>IF(B85="","",IFERROR(VLOOKUP(B85,'SPED Student Roster'!$A:$B,2,FALSE),""))</f>
        <v/>
      </c>
      <c r="D85" t="str">
        <f>IF(B85="","",IFERROR(VLOOKUP(B85,'SPED Student Roster'!$A:$C,3,FALSE),""))</f>
        <v/>
      </c>
      <c r="E85" t="str">
        <f>IF(B85="","",IFERROR(VLOOKUP(B85,'SPED Student Roster'!$A:$D,4,FALSE),""))</f>
        <v/>
      </c>
      <c r="F85" t="str">
        <f>IF(B85="","",IFERROR(VLOOKUP(B85,'SPED Student Roster'!$A:$E,5,FALSE),""))</f>
        <v/>
      </c>
      <c r="K85" t="str">
        <f t="shared" ca="1" si="2"/>
        <v/>
      </c>
    </row>
    <row r="86" spans="3:11" ht="14.25" x14ac:dyDescent="0.45">
      <c r="C86" t="str">
        <f>IF(B86="","",IFERROR(VLOOKUP(B86,'SPED Student Roster'!$A:$B,2,FALSE),""))</f>
        <v/>
      </c>
      <c r="D86" t="str">
        <f>IF(B86="","",IFERROR(VLOOKUP(B86,'SPED Student Roster'!$A:$C,3,FALSE),""))</f>
        <v/>
      </c>
      <c r="E86" t="str">
        <f>IF(B86="","",IFERROR(VLOOKUP(B86,'SPED Student Roster'!$A:$D,4,FALSE),""))</f>
        <v/>
      </c>
      <c r="F86" t="str">
        <f>IF(B86="","",IFERROR(VLOOKUP(B86,'SPED Student Roster'!$A:$E,5,FALSE),""))</f>
        <v/>
      </c>
      <c r="K86" t="str">
        <f t="shared" ca="1" si="2"/>
        <v/>
      </c>
    </row>
    <row r="87" spans="3:11" ht="14.25" x14ac:dyDescent="0.45">
      <c r="C87" t="str">
        <f>IF(B87="","",IFERROR(VLOOKUP(B87,'SPED Student Roster'!$A:$B,2,FALSE),""))</f>
        <v/>
      </c>
      <c r="D87" t="str">
        <f>IF(B87="","",IFERROR(VLOOKUP(B87,'SPED Student Roster'!$A:$C,3,FALSE),""))</f>
        <v/>
      </c>
      <c r="E87" t="str">
        <f>IF(B87="","",IFERROR(VLOOKUP(B87,'SPED Student Roster'!$A:$D,4,FALSE),""))</f>
        <v/>
      </c>
      <c r="F87" t="str">
        <f>IF(B87="","",IFERROR(VLOOKUP(B87,'SPED Student Roster'!$A:$E,5,FALSE),""))</f>
        <v/>
      </c>
      <c r="K87" t="str">
        <f t="shared" ca="1" si="2"/>
        <v/>
      </c>
    </row>
    <row r="88" spans="3:11" ht="14.25" x14ac:dyDescent="0.45">
      <c r="C88" t="str">
        <f>IF(B88="","",IFERROR(VLOOKUP(B88,'SPED Student Roster'!$A:$B,2,FALSE),""))</f>
        <v/>
      </c>
      <c r="D88" t="str">
        <f>IF(B88="","",IFERROR(VLOOKUP(B88,'SPED Student Roster'!$A:$C,3,FALSE),""))</f>
        <v/>
      </c>
      <c r="E88" t="str">
        <f>IF(B88="","",IFERROR(VLOOKUP(B88,'SPED Student Roster'!$A:$D,4,FALSE),""))</f>
        <v/>
      </c>
      <c r="F88" t="str">
        <f>IF(B88="","",IFERROR(VLOOKUP(B88,'SPED Student Roster'!$A:$E,5,FALSE),""))</f>
        <v/>
      </c>
      <c r="K88" t="str">
        <f t="shared" ca="1" si="2"/>
        <v/>
      </c>
    </row>
    <row r="89" spans="3:11" ht="14.25" x14ac:dyDescent="0.45">
      <c r="C89" t="str">
        <f>IF(B89="","",IFERROR(VLOOKUP(B89,'SPED Student Roster'!$A:$B,2,FALSE),""))</f>
        <v/>
      </c>
      <c r="D89" t="str">
        <f>IF(B89="","",IFERROR(VLOOKUP(B89,'SPED Student Roster'!$A:$C,3,FALSE),""))</f>
        <v/>
      </c>
      <c r="E89" t="str">
        <f>IF(B89="","",IFERROR(VLOOKUP(B89,'SPED Student Roster'!$A:$D,4,FALSE),""))</f>
        <v/>
      </c>
      <c r="F89" t="str">
        <f>IF(B89="","",IFERROR(VLOOKUP(B89,'SPED Student Roster'!$A:$E,5,FALSE),""))</f>
        <v/>
      </c>
      <c r="K89" t="str">
        <f t="shared" ca="1" si="2"/>
        <v/>
      </c>
    </row>
    <row r="90" spans="3:11" ht="14.25" x14ac:dyDescent="0.45">
      <c r="C90" t="str">
        <f>IF(B90="","",IFERROR(VLOOKUP(B90,'SPED Student Roster'!$A:$B,2,FALSE),""))</f>
        <v/>
      </c>
      <c r="D90" t="str">
        <f>IF(B90="","",IFERROR(VLOOKUP(B90,'SPED Student Roster'!$A:$C,3,FALSE),""))</f>
        <v/>
      </c>
      <c r="E90" t="str">
        <f>IF(B90="","",IFERROR(VLOOKUP(B90,'SPED Student Roster'!$A:$D,4,FALSE),""))</f>
        <v/>
      </c>
      <c r="F90" t="str">
        <f>IF(B90="","",IFERROR(VLOOKUP(B90,'SPED Student Roster'!$A:$E,5,FALSE),""))</f>
        <v/>
      </c>
      <c r="K90" t="str">
        <f t="shared" ca="1" si="2"/>
        <v/>
      </c>
    </row>
    <row r="91" spans="3:11" ht="14.25" x14ac:dyDescent="0.45">
      <c r="C91" t="str">
        <f>IF(B91="","",IFERROR(VLOOKUP(B91,'SPED Student Roster'!$A:$B,2,FALSE),""))</f>
        <v/>
      </c>
      <c r="D91" t="str">
        <f>IF(B91="","",IFERROR(VLOOKUP(B91,'SPED Student Roster'!$A:$C,3,FALSE),""))</f>
        <v/>
      </c>
      <c r="E91" t="str">
        <f>IF(B91="","",IFERROR(VLOOKUP(B91,'SPED Student Roster'!$A:$D,4,FALSE),""))</f>
        <v/>
      </c>
      <c r="F91" t="str">
        <f>IF(B91="","",IFERROR(VLOOKUP(B91,'SPED Student Roster'!$A:$E,5,FALSE),""))</f>
        <v/>
      </c>
      <c r="K91" t="str">
        <f t="shared" ca="1" si="2"/>
        <v/>
      </c>
    </row>
    <row r="92" spans="3:11" ht="14.25" x14ac:dyDescent="0.45">
      <c r="C92" t="str">
        <f>IF(B92="","",IFERROR(VLOOKUP(B92,'SPED Student Roster'!$A:$B,2,FALSE),""))</f>
        <v/>
      </c>
      <c r="D92" t="str">
        <f>IF(B92="","",IFERROR(VLOOKUP(B92,'SPED Student Roster'!$A:$C,3,FALSE),""))</f>
        <v/>
      </c>
      <c r="E92" t="str">
        <f>IF(B92="","",IFERROR(VLOOKUP(B92,'SPED Student Roster'!$A:$D,4,FALSE),""))</f>
        <v/>
      </c>
      <c r="F92" t="str">
        <f>IF(B92="","",IFERROR(VLOOKUP(B92,'SPED Student Roster'!$A:$E,5,FALSE),""))</f>
        <v/>
      </c>
      <c r="K92" t="str">
        <f t="shared" ca="1" si="2"/>
        <v/>
      </c>
    </row>
    <row r="93" spans="3:11" ht="14.25" x14ac:dyDescent="0.45">
      <c r="C93" t="str">
        <f>IF(B93="","",IFERROR(VLOOKUP(B93,'SPED Student Roster'!$A:$B,2,FALSE),""))</f>
        <v/>
      </c>
      <c r="D93" t="str">
        <f>IF(B93="","",IFERROR(VLOOKUP(B93,'SPED Student Roster'!$A:$C,3,FALSE),""))</f>
        <v/>
      </c>
      <c r="E93" t="str">
        <f>IF(B93="","",IFERROR(VLOOKUP(B93,'SPED Student Roster'!$A:$D,4,FALSE),""))</f>
        <v/>
      </c>
      <c r="F93" t="str">
        <f>IF(B93="","",IFERROR(VLOOKUP(B93,'SPED Student Roster'!$A:$E,5,FALSE),""))</f>
        <v/>
      </c>
      <c r="K93" t="str">
        <f t="shared" ca="1" si="2"/>
        <v/>
      </c>
    </row>
    <row r="94" spans="3:11" ht="14.25" x14ac:dyDescent="0.45">
      <c r="C94" t="str">
        <f>IF(B94="","",IFERROR(VLOOKUP(B94,'SPED Student Roster'!$A:$B,2,FALSE),""))</f>
        <v/>
      </c>
      <c r="D94" t="str">
        <f>IF(B94="","",IFERROR(VLOOKUP(B94,'SPED Student Roster'!$A:$C,3,FALSE),""))</f>
        <v/>
      </c>
      <c r="E94" t="str">
        <f>IF(B94="","",IFERROR(VLOOKUP(B94,'SPED Student Roster'!$A:$D,4,FALSE),""))</f>
        <v/>
      </c>
      <c r="F94" t="str">
        <f>IF(B94="","",IFERROR(VLOOKUP(B94,'SPED Student Roster'!$A:$E,5,FALSE),""))</f>
        <v/>
      </c>
      <c r="K94" t="str">
        <f t="shared" ca="1" si="2"/>
        <v/>
      </c>
    </row>
    <row r="95" spans="3:11" ht="14.25" x14ac:dyDescent="0.45">
      <c r="C95" t="str">
        <f>IF(B95="","",IFERROR(VLOOKUP(B95,'SPED Student Roster'!$A:$B,2,FALSE),""))</f>
        <v/>
      </c>
      <c r="D95" t="str">
        <f>IF(B95="","",IFERROR(VLOOKUP(B95,'SPED Student Roster'!$A:$C,3,FALSE),""))</f>
        <v/>
      </c>
      <c r="E95" t="str">
        <f>IF(B95="","",IFERROR(VLOOKUP(B95,'SPED Student Roster'!$A:$D,4,FALSE),""))</f>
        <v/>
      </c>
      <c r="F95" t="str">
        <f>IF(B95="","",IFERROR(VLOOKUP(B95,'SPED Student Roster'!$A:$E,5,FALSE),""))</f>
        <v/>
      </c>
      <c r="K95" t="str">
        <f t="shared" ca="1" si="2"/>
        <v/>
      </c>
    </row>
    <row r="96" spans="3:11" ht="14.25" x14ac:dyDescent="0.45">
      <c r="C96" t="str">
        <f>IF(B96="","",IFERROR(VLOOKUP(B96,'SPED Student Roster'!$A:$B,2,FALSE),""))</f>
        <v/>
      </c>
      <c r="D96" t="str">
        <f>IF(B96="","",IFERROR(VLOOKUP(B96,'SPED Student Roster'!$A:$C,3,FALSE),""))</f>
        <v/>
      </c>
      <c r="E96" t="str">
        <f>IF(B96="","",IFERROR(VLOOKUP(B96,'SPED Student Roster'!$A:$D,4,FALSE),""))</f>
        <v/>
      </c>
      <c r="F96" t="str">
        <f>IF(B96="","",IFERROR(VLOOKUP(B96,'SPED Student Roster'!$A:$E,5,FALSE),""))</f>
        <v/>
      </c>
      <c r="K96" t="str">
        <f t="shared" ca="1" si="2"/>
        <v/>
      </c>
    </row>
    <row r="97" spans="3:11" ht="14.25" x14ac:dyDescent="0.45">
      <c r="C97" t="str">
        <f>IF(B97="","",IFERROR(VLOOKUP(B97,'SPED Student Roster'!$A:$B,2,FALSE),""))</f>
        <v/>
      </c>
      <c r="D97" t="str">
        <f>IF(B97="","",IFERROR(VLOOKUP(B97,'SPED Student Roster'!$A:$C,3,FALSE),""))</f>
        <v/>
      </c>
      <c r="E97" t="str">
        <f>IF(B97="","",IFERROR(VLOOKUP(B97,'SPED Student Roster'!$A:$D,4,FALSE),""))</f>
        <v/>
      </c>
      <c r="F97" t="str">
        <f>IF(B97="","",IFERROR(VLOOKUP(B97,'SPED Student Roster'!$A:$E,5,FALSE),""))</f>
        <v/>
      </c>
      <c r="K97" t="str">
        <f t="shared" ca="1" si="2"/>
        <v/>
      </c>
    </row>
    <row r="98" spans="3:11" ht="14.25" x14ac:dyDescent="0.45">
      <c r="C98" t="str">
        <f>IF(B98="","",IFERROR(VLOOKUP(B98,'SPED Student Roster'!$A:$B,2,FALSE),""))</f>
        <v/>
      </c>
      <c r="D98" t="str">
        <f>IF(B98="","",IFERROR(VLOOKUP(B98,'SPED Student Roster'!$A:$C,3,FALSE),""))</f>
        <v/>
      </c>
      <c r="E98" t="str">
        <f>IF(B98="","",IFERROR(VLOOKUP(B98,'SPED Student Roster'!$A:$D,4,FALSE),""))</f>
        <v/>
      </c>
      <c r="F98" t="str">
        <f>IF(B98="","",IFERROR(VLOOKUP(B98,'SPED Student Roster'!$A:$E,5,FALSE),""))</f>
        <v/>
      </c>
      <c r="K98" t="str">
        <f t="shared" ca="1" si="2"/>
        <v/>
      </c>
    </row>
    <row r="99" spans="3:11" ht="14.25" x14ac:dyDescent="0.45">
      <c r="C99" t="str">
        <f>IF(B99="","",IFERROR(VLOOKUP(B99,'SPED Student Roster'!$A:$B,2,FALSE),""))</f>
        <v/>
      </c>
      <c r="D99" t="str">
        <f>IF(B99="","",IFERROR(VLOOKUP(B99,'SPED Student Roster'!$A:$C,3,FALSE),""))</f>
        <v/>
      </c>
      <c r="E99" t="str">
        <f>IF(B99="","",IFERROR(VLOOKUP(B99,'SPED Student Roster'!$A:$D,4,FALSE),""))</f>
        <v/>
      </c>
      <c r="F99" t="str">
        <f>IF(B99="","",IFERROR(VLOOKUP(B99,'SPED Student Roster'!$A:$E,5,FALSE),""))</f>
        <v/>
      </c>
      <c r="K99" t="str">
        <f t="shared" ca="1" si="2"/>
        <v/>
      </c>
    </row>
    <row r="100" spans="3:11" ht="14.25" x14ac:dyDescent="0.45">
      <c r="C100" t="str">
        <f>IF(B100="","",IFERROR(VLOOKUP(B100,'SPED Student Roster'!$A:$B,2,FALSE),""))</f>
        <v/>
      </c>
      <c r="D100" t="str">
        <f>IF(B100="","",IFERROR(VLOOKUP(B100,'SPED Student Roster'!$A:$C,3,FALSE),""))</f>
        <v/>
      </c>
      <c r="E100" t="str">
        <f>IF(B100="","",IFERROR(VLOOKUP(B100,'SPED Student Roster'!$A:$D,4,FALSE),""))</f>
        <v/>
      </c>
      <c r="F100" t="str">
        <f>IF(B100="","",IFERROR(VLOOKUP(B100,'SPED Student Roster'!$A:$E,5,FALSE),""))</f>
        <v/>
      </c>
      <c r="K100" t="str">
        <f t="shared" ref="K100:K131" ca="1" si="3">IF(OR(B100="",J100=""),"",J100-TODAY())</f>
        <v/>
      </c>
    </row>
    <row r="101" spans="3:11" ht="14.25" x14ac:dyDescent="0.45">
      <c r="C101" t="str">
        <f>IF(B101="","",IFERROR(VLOOKUP(B101,'SPED Student Roster'!$A:$B,2,FALSE),""))</f>
        <v/>
      </c>
      <c r="D101" t="str">
        <f>IF(B101="","",IFERROR(VLOOKUP(B101,'SPED Student Roster'!$A:$C,3,FALSE),""))</f>
        <v/>
      </c>
      <c r="E101" t="str">
        <f>IF(B101="","",IFERROR(VLOOKUP(B101,'SPED Student Roster'!$A:$D,4,FALSE),""))</f>
        <v/>
      </c>
      <c r="F101" t="str">
        <f>IF(B101="","",IFERROR(VLOOKUP(B101,'SPED Student Roster'!$A:$E,5,FALSE),""))</f>
        <v/>
      </c>
      <c r="K101" t="str">
        <f t="shared" ca="1" si="3"/>
        <v/>
      </c>
    </row>
    <row r="102" spans="3:11" ht="14.25" x14ac:dyDescent="0.45">
      <c r="C102" t="str">
        <f>IF(B102="","",IFERROR(VLOOKUP(B102,'SPED Student Roster'!$A:$B,2,FALSE),""))</f>
        <v/>
      </c>
      <c r="D102" t="str">
        <f>IF(B102="","",IFERROR(VLOOKUP(B102,'SPED Student Roster'!$A:$C,3,FALSE),""))</f>
        <v/>
      </c>
      <c r="E102" t="str">
        <f>IF(B102="","",IFERROR(VLOOKUP(B102,'SPED Student Roster'!$A:$D,4,FALSE),""))</f>
        <v/>
      </c>
      <c r="F102" t="str">
        <f>IF(B102="","",IFERROR(VLOOKUP(B102,'SPED Student Roster'!$A:$E,5,FALSE),""))</f>
        <v/>
      </c>
      <c r="K102" t="str">
        <f t="shared" ca="1" si="3"/>
        <v/>
      </c>
    </row>
    <row r="103" spans="3:11" ht="14.25" x14ac:dyDescent="0.45">
      <c r="C103" t="str">
        <f>IF(B103="","",IFERROR(VLOOKUP(B103,'SPED Student Roster'!$A:$B,2,FALSE),""))</f>
        <v/>
      </c>
      <c r="D103" t="str">
        <f>IF(B103="","",IFERROR(VLOOKUP(B103,'SPED Student Roster'!$A:$C,3,FALSE),""))</f>
        <v/>
      </c>
      <c r="E103" t="str">
        <f>IF(B103="","",IFERROR(VLOOKUP(B103,'SPED Student Roster'!$A:$D,4,FALSE),""))</f>
        <v/>
      </c>
      <c r="F103" t="str">
        <f>IF(B103="","",IFERROR(VLOOKUP(B103,'SPED Student Roster'!$A:$E,5,FALSE),""))</f>
        <v/>
      </c>
      <c r="K103" t="str">
        <f t="shared" ca="1" si="3"/>
        <v/>
      </c>
    </row>
    <row r="104" spans="3:11" ht="14.25" x14ac:dyDescent="0.45">
      <c r="C104" t="str">
        <f>IF(B104="","",IFERROR(VLOOKUP(B104,'SPED Student Roster'!$A:$B,2,FALSE),""))</f>
        <v/>
      </c>
      <c r="D104" t="str">
        <f>IF(B104="","",IFERROR(VLOOKUP(B104,'SPED Student Roster'!$A:$C,3,FALSE),""))</f>
        <v/>
      </c>
      <c r="E104" t="str">
        <f>IF(B104="","",IFERROR(VLOOKUP(B104,'SPED Student Roster'!$A:$D,4,FALSE),""))</f>
        <v/>
      </c>
      <c r="F104" t="str">
        <f>IF(B104="","",IFERROR(VLOOKUP(B104,'SPED Student Roster'!$A:$E,5,FALSE),""))</f>
        <v/>
      </c>
      <c r="K104" t="str">
        <f t="shared" ca="1" si="3"/>
        <v/>
      </c>
    </row>
    <row r="105" spans="3:11" ht="14.25" x14ac:dyDescent="0.45">
      <c r="C105" t="str">
        <f>IF(B105="","",IFERROR(VLOOKUP(B105,'SPED Student Roster'!$A:$B,2,FALSE),""))</f>
        <v/>
      </c>
      <c r="D105" t="str">
        <f>IF(B105="","",IFERROR(VLOOKUP(B105,'SPED Student Roster'!$A:$C,3,FALSE),""))</f>
        <v/>
      </c>
      <c r="E105" t="str">
        <f>IF(B105="","",IFERROR(VLOOKUP(B105,'SPED Student Roster'!$A:$D,4,FALSE),""))</f>
        <v/>
      </c>
      <c r="F105" t="str">
        <f>IF(B105="","",IFERROR(VLOOKUP(B105,'SPED Student Roster'!$A:$E,5,FALSE),""))</f>
        <v/>
      </c>
      <c r="K105" t="str">
        <f t="shared" ca="1" si="3"/>
        <v/>
      </c>
    </row>
    <row r="106" spans="3:11" ht="14.25" x14ac:dyDescent="0.45">
      <c r="C106" t="str">
        <f>IF(B106="","",IFERROR(VLOOKUP(B106,'SPED Student Roster'!$A:$B,2,FALSE),""))</f>
        <v/>
      </c>
      <c r="D106" t="str">
        <f>IF(B106="","",IFERROR(VLOOKUP(B106,'SPED Student Roster'!$A:$C,3,FALSE),""))</f>
        <v/>
      </c>
      <c r="E106" t="str">
        <f>IF(B106="","",IFERROR(VLOOKUP(B106,'SPED Student Roster'!$A:$D,4,FALSE),""))</f>
        <v/>
      </c>
      <c r="F106" t="str">
        <f>IF(B106="","",IFERROR(VLOOKUP(B106,'SPED Student Roster'!$A:$E,5,FALSE),""))</f>
        <v/>
      </c>
      <c r="K106" t="str">
        <f t="shared" ca="1" si="3"/>
        <v/>
      </c>
    </row>
    <row r="107" spans="3:11" ht="14.25" x14ac:dyDescent="0.45">
      <c r="C107" t="str">
        <f>IF(B107="","",IFERROR(VLOOKUP(B107,'SPED Student Roster'!$A:$B,2,FALSE),""))</f>
        <v/>
      </c>
      <c r="D107" t="str">
        <f>IF(B107="","",IFERROR(VLOOKUP(B107,'SPED Student Roster'!$A:$C,3,FALSE),""))</f>
        <v/>
      </c>
      <c r="E107" t="str">
        <f>IF(B107="","",IFERROR(VLOOKUP(B107,'SPED Student Roster'!$A:$D,4,FALSE),""))</f>
        <v/>
      </c>
      <c r="F107" t="str">
        <f>IF(B107="","",IFERROR(VLOOKUP(B107,'SPED Student Roster'!$A:$E,5,FALSE),""))</f>
        <v/>
      </c>
      <c r="K107" t="str">
        <f t="shared" ca="1" si="3"/>
        <v/>
      </c>
    </row>
    <row r="108" spans="3:11" ht="14.25" x14ac:dyDescent="0.45">
      <c r="C108" t="str">
        <f>IF(B108="","",IFERROR(VLOOKUP(B108,'SPED Student Roster'!$A:$B,2,FALSE),""))</f>
        <v/>
      </c>
      <c r="D108" t="str">
        <f>IF(B108="","",IFERROR(VLOOKUP(B108,'SPED Student Roster'!$A:$C,3,FALSE),""))</f>
        <v/>
      </c>
      <c r="E108" t="str">
        <f>IF(B108="","",IFERROR(VLOOKUP(B108,'SPED Student Roster'!$A:$D,4,FALSE),""))</f>
        <v/>
      </c>
      <c r="F108" t="str">
        <f>IF(B108="","",IFERROR(VLOOKUP(B108,'SPED Student Roster'!$A:$E,5,FALSE),""))</f>
        <v/>
      </c>
      <c r="K108" t="str">
        <f t="shared" ca="1" si="3"/>
        <v/>
      </c>
    </row>
    <row r="109" spans="3:11" ht="14.25" x14ac:dyDescent="0.45">
      <c r="C109" t="str">
        <f>IF(B109="","",IFERROR(VLOOKUP(B109,'SPED Student Roster'!$A:$B,2,FALSE),""))</f>
        <v/>
      </c>
      <c r="D109" t="str">
        <f>IF(B109="","",IFERROR(VLOOKUP(B109,'SPED Student Roster'!$A:$C,3,FALSE),""))</f>
        <v/>
      </c>
      <c r="E109" t="str">
        <f>IF(B109="","",IFERROR(VLOOKUP(B109,'SPED Student Roster'!$A:$D,4,FALSE),""))</f>
        <v/>
      </c>
      <c r="F109" t="str">
        <f>IF(B109="","",IFERROR(VLOOKUP(B109,'SPED Student Roster'!$A:$E,5,FALSE),""))</f>
        <v/>
      </c>
      <c r="K109" t="str">
        <f t="shared" ca="1" si="3"/>
        <v/>
      </c>
    </row>
    <row r="110" spans="3:11" ht="14.25" x14ac:dyDescent="0.45">
      <c r="C110" t="str">
        <f>IF(B110="","",IFERROR(VLOOKUP(B110,'SPED Student Roster'!$A:$B,2,FALSE),""))</f>
        <v/>
      </c>
      <c r="D110" t="str">
        <f>IF(B110="","",IFERROR(VLOOKUP(B110,'SPED Student Roster'!$A:$C,3,FALSE),""))</f>
        <v/>
      </c>
      <c r="E110" t="str">
        <f>IF(B110="","",IFERROR(VLOOKUP(B110,'SPED Student Roster'!$A:$D,4,FALSE),""))</f>
        <v/>
      </c>
      <c r="F110" t="str">
        <f>IF(B110="","",IFERROR(VLOOKUP(B110,'SPED Student Roster'!$A:$E,5,FALSE),""))</f>
        <v/>
      </c>
      <c r="K110" t="str">
        <f t="shared" ca="1" si="3"/>
        <v/>
      </c>
    </row>
    <row r="111" spans="3:11" ht="14.25" x14ac:dyDescent="0.45">
      <c r="C111" t="str">
        <f>IF(B111="","",IFERROR(VLOOKUP(B111,'SPED Student Roster'!$A:$B,2,FALSE),""))</f>
        <v/>
      </c>
      <c r="D111" t="str">
        <f>IF(B111="","",IFERROR(VLOOKUP(B111,'SPED Student Roster'!$A:$C,3,FALSE),""))</f>
        <v/>
      </c>
      <c r="E111" t="str">
        <f>IF(B111="","",IFERROR(VLOOKUP(B111,'SPED Student Roster'!$A:$D,4,FALSE),""))</f>
        <v/>
      </c>
      <c r="F111" t="str">
        <f>IF(B111="","",IFERROR(VLOOKUP(B111,'SPED Student Roster'!$A:$E,5,FALSE),""))</f>
        <v/>
      </c>
      <c r="K111" t="str">
        <f t="shared" ca="1" si="3"/>
        <v/>
      </c>
    </row>
    <row r="112" spans="3:11" ht="14.25" x14ac:dyDescent="0.45">
      <c r="C112" t="str">
        <f>IF(B112="","",IFERROR(VLOOKUP(B112,'SPED Student Roster'!$A:$B,2,FALSE),""))</f>
        <v/>
      </c>
      <c r="D112" t="str">
        <f>IF(B112="","",IFERROR(VLOOKUP(B112,'SPED Student Roster'!$A:$C,3,FALSE),""))</f>
        <v/>
      </c>
      <c r="E112" t="str">
        <f>IF(B112="","",IFERROR(VLOOKUP(B112,'SPED Student Roster'!$A:$D,4,FALSE),""))</f>
        <v/>
      </c>
      <c r="F112" t="str">
        <f>IF(B112="","",IFERROR(VLOOKUP(B112,'SPED Student Roster'!$A:$E,5,FALSE),""))</f>
        <v/>
      </c>
      <c r="K112" t="str">
        <f t="shared" ca="1" si="3"/>
        <v/>
      </c>
    </row>
    <row r="113" spans="3:11" ht="14.25" x14ac:dyDescent="0.45">
      <c r="C113" t="str">
        <f>IF(B113="","",IFERROR(VLOOKUP(B113,'SPED Student Roster'!$A:$B,2,FALSE),""))</f>
        <v/>
      </c>
      <c r="D113" t="str">
        <f>IF(B113="","",IFERROR(VLOOKUP(B113,'SPED Student Roster'!$A:$C,3,FALSE),""))</f>
        <v/>
      </c>
      <c r="E113" t="str">
        <f>IF(B113="","",IFERROR(VLOOKUP(B113,'SPED Student Roster'!$A:$D,4,FALSE),""))</f>
        <v/>
      </c>
      <c r="F113" t="str">
        <f>IF(B113="","",IFERROR(VLOOKUP(B113,'SPED Student Roster'!$A:$E,5,FALSE),""))</f>
        <v/>
      </c>
      <c r="K113" t="str">
        <f t="shared" ca="1" si="3"/>
        <v/>
      </c>
    </row>
    <row r="114" spans="3:11" ht="14.25" x14ac:dyDescent="0.45">
      <c r="C114" t="str">
        <f>IF(B114="","",IFERROR(VLOOKUP(B114,'SPED Student Roster'!$A:$B,2,FALSE),""))</f>
        <v/>
      </c>
      <c r="D114" t="str">
        <f>IF(B114="","",IFERROR(VLOOKUP(B114,'SPED Student Roster'!$A:$C,3,FALSE),""))</f>
        <v/>
      </c>
      <c r="E114" t="str">
        <f>IF(B114="","",IFERROR(VLOOKUP(B114,'SPED Student Roster'!$A:$D,4,FALSE),""))</f>
        <v/>
      </c>
      <c r="F114" t="str">
        <f>IF(B114="","",IFERROR(VLOOKUP(B114,'SPED Student Roster'!$A:$E,5,FALSE),""))</f>
        <v/>
      </c>
      <c r="K114" t="str">
        <f t="shared" ca="1" si="3"/>
        <v/>
      </c>
    </row>
    <row r="115" spans="3:11" ht="14.25" x14ac:dyDescent="0.45">
      <c r="C115" t="str">
        <f>IF(B115="","",IFERROR(VLOOKUP(B115,'SPED Student Roster'!$A:$B,2,FALSE),""))</f>
        <v/>
      </c>
      <c r="D115" t="str">
        <f>IF(B115="","",IFERROR(VLOOKUP(B115,'SPED Student Roster'!$A:$C,3,FALSE),""))</f>
        <v/>
      </c>
      <c r="E115" t="str">
        <f>IF(B115="","",IFERROR(VLOOKUP(B115,'SPED Student Roster'!$A:$D,4,FALSE),""))</f>
        <v/>
      </c>
      <c r="F115" t="str">
        <f>IF(B115="","",IFERROR(VLOOKUP(B115,'SPED Student Roster'!$A:$E,5,FALSE),""))</f>
        <v/>
      </c>
      <c r="K115" t="str">
        <f t="shared" ca="1" si="3"/>
        <v/>
      </c>
    </row>
    <row r="116" spans="3:11" ht="14.25" x14ac:dyDescent="0.45">
      <c r="C116" t="str">
        <f>IF(B116="","",IFERROR(VLOOKUP(B116,'SPED Student Roster'!$A:$B,2,FALSE),""))</f>
        <v/>
      </c>
      <c r="D116" t="str">
        <f>IF(B116="","",IFERROR(VLOOKUP(B116,'SPED Student Roster'!$A:$C,3,FALSE),""))</f>
        <v/>
      </c>
      <c r="E116" t="str">
        <f>IF(B116="","",IFERROR(VLOOKUP(B116,'SPED Student Roster'!$A:$D,4,FALSE),""))</f>
        <v/>
      </c>
      <c r="F116" t="str">
        <f>IF(B116="","",IFERROR(VLOOKUP(B116,'SPED Student Roster'!$A:$E,5,FALSE),""))</f>
        <v/>
      </c>
      <c r="K116" t="str">
        <f t="shared" ca="1" si="3"/>
        <v/>
      </c>
    </row>
    <row r="117" spans="3:11" ht="14.25" x14ac:dyDescent="0.45">
      <c r="C117" t="str">
        <f>IF(B117="","",IFERROR(VLOOKUP(B117,'SPED Student Roster'!$A:$B,2,FALSE),""))</f>
        <v/>
      </c>
      <c r="D117" t="str">
        <f>IF(B117="","",IFERROR(VLOOKUP(B117,'SPED Student Roster'!$A:$C,3,FALSE),""))</f>
        <v/>
      </c>
      <c r="E117" t="str">
        <f>IF(B117="","",IFERROR(VLOOKUP(B117,'SPED Student Roster'!$A:$D,4,FALSE),""))</f>
        <v/>
      </c>
      <c r="F117" t="str">
        <f>IF(B117="","",IFERROR(VLOOKUP(B117,'SPED Student Roster'!$A:$E,5,FALSE),""))</f>
        <v/>
      </c>
      <c r="K117" t="str">
        <f t="shared" ca="1" si="3"/>
        <v/>
      </c>
    </row>
    <row r="118" spans="3:11" ht="14.25" x14ac:dyDescent="0.45">
      <c r="C118" t="str">
        <f>IF(B118="","",IFERROR(VLOOKUP(B118,'SPED Student Roster'!$A:$B,2,FALSE),""))</f>
        <v/>
      </c>
      <c r="D118" t="str">
        <f>IF(B118="","",IFERROR(VLOOKUP(B118,'SPED Student Roster'!$A:$C,3,FALSE),""))</f>
        <v/>
      </c>
      <c r="E118" t="str">
        <f>IF(B118="","",IFERROR(VLOOKUP(B118,'SPED Student Roster'!$A:$D,4,FALSE),""))</f>
        <v/>
      </c>
      <c r="F118" t="str">
        <f>IF(B118="","",IFERROR(VLOOKUP(B118,'SPED Student Roster'!$A:$E,5,FALSE),""))</f>
        <v/>
      </c>
      <c r="K118" t="str">
        <f t="shared" ca="1" si="3"/>
        <v/>
      </c>
    </row>
    <row r="119" spans="3:11" ht="14.25" x14ac:dyDescent="0.45">
      <c r="C119" t="str">
        <f>IF(B119="","",IFERROR(VLOOKUP(B119,'SPED Student Roster'!$A:$B,2,FALSE),""))</f>
        <v/>
      </c>
      <c r="D119" t="str">
        <f>IF(B119="","",IFERROR(VLOOKUP(B119,'SPED Student Roster'!$A:$C,3,FALSE),""))</f>
        <v/>
      </c>
      <c r="E119" t="str">
        <f>IF(B119="","",IFERROR(VLOOKUP(B119,'SPED Student Roster'!$A:$D,4,FALSE),""))</f>
        <v/>
      </c>
      <c r="F119" t="str">
        <f>IF(B119="","",IFERROR(VLOOKUP(B119,'SPED Student Roster'!$A:$E,5,FALSE),""))</f>
        <v/>
      </c>
      <c r="K119" t="str">
        <f t="shared" ca="1" si="3"/>
        <v/>
      </c>
    </row>
    <row r="120" spans="3:11" ht="14.25" x14ac:dyDescent="0.45">
      <c r="C120" t="str">
        <f>IF(B120="","",IFERROR(VLOOKUP(B120,'SPED Student Roster'!$A:$B,2,FALSE),""))</f>
        <v/>
      </c>
      <c r="D120" t="str">
        <f>IF(B120="","",IFERROR(VLOOKUP(B120,'SPED Student Roster'!$A:$C,3,FALSE),""))</f>
        <v/>
      </c>
      <c r="E120" t="str">
        <f>IF(B120="","",IFERROR(VLOOKUP(B120,'SPED Student Roster'!$A:$D,4,FALSE),""))</f>
        <v/>
      </c>
      <c r="F120" t="str">
        <f>IF(B120="","",IFERROR(VLOOKUP(B120,'SPED Student Roster'!$A:$E,5,FALSE),""))</f>
        <v/>
      </c>
      <c r="K120" t="str">
        <f t="shared" ca="1" si="3"/>
        <v/>
      </c>
    </row>
    <row r="121" spans="3:11" ht="14.25" x14ac:dyDescent="0.45">
      <c r="C121" t="str">
        <f>IF(B121="","",IFERROR(VLOOKUP(B121,'SPED Student Roster'!$A:$B,2,FALSE),""))</f>
        <v/>
      </c>
      <c r="D121" t="str">
        <f>IF(B121="","",IFERROR(VLOOKUP(B121,'SPED Student Roster'!$A:$C,3,FALSE),""))</f>
        <v/>
      </c>
      <c r="E121" t="str">
        <f>IF(B121="","",IFERROR(VLOOKUP(B121,'SPED Student Roster'!$A:$D,4,FALSE),""))</f>
        <v/>
      </c>
      <c r="F121" t="str">
        <f>IF(B121="","",IFERROR(VLOOKUP(B121,'SPED Student Roster'!$A:$E,5,FALSE),""))</f>
        <v/>
      </c>
      <c r="K121" t="str">
        <f t="shared" ca="1" si="3"/>
        <v/>
      </c>
    </row>
    <row r="122" spans="3:11" ht="14.25" x14ac:dyDescent="0.45">
      <c r="C122" t="str">
        <f>IF(B122="","",IFERROR(VLOOKUP(B122,'SPED Student Roster'!$A:$B,2,FALSE),""))</f>
        <v/>
      </c>
      <c r="D122" t="str">
        <f>IF(B122="","",IFERROR(VLOOKUP(B122,'SPED Student Roster'!$A:$C,3,FALSE),""))</f>
        <v/>
      </c>
      <c r="E122" t="str">
        <f>IF(B122="","",IFERROR(VLOOKUP(B122,'SPED Student Roster'!$A:$D,4,FALSE),""))</f>
        <v/>
      </c>
      <c r="F122" t="str">
        <f>IF(B122="","",IFERROR(VLOOKUP(B122,'SPED Student Roster'!$A:$E,5,FALSE),""))</f>
        <v/>
      </c>
      <c r="K122" t="str">
        <f t="shared" ca="1" si="3"/>
        <v/>
      </c>
    </row>
    <row r="123" spans="3:11" ht="14.25" x14ac:dyDescent="0.45">
      <c r="C123" t="str">
        <f>IF(B123="","",IFERROR(VLOOKUP(B123,'SPED Student Roster'!$A:$B,2,FALSE),""))</f>
        <v/>
      </c>
      <c r="D123" t="str">
        <f>IF(B123="","",IFERROR(VLOOKUP(B123,'SPED Student Roster'!$A:$C,3,FALSE),""))</f>
        <v/>
      </c>
      <c r="E123" t="str">
        <f>IF(B123="","",IFERROR(VLOOKUP(B123,'SPED Student Roster'!$A:$D,4,FALSE),""))</f>
        <v/>
      </c>
      <c r="F123" t="str">
        <f>IF(B123="","",IFERROR(VLOOKUP(B123,'SPED Student Roster'!$A:$E,5,FALSE),""))</f>
        <v/>
      </c>
      <c r="K123" t="str">
        <f t="shared" ca="1" si="3"/>
        <v/>
      </c>
    </row>
    <row r="124" spans="3:11" ht="14.25" x14ac:dyDescent="0.45">
      <c r="C124" t="str">
        <f>IF(B124="","",IFERROR(VLOOKUP(B124,'SPED Student Roster'!$A:$B,2,FALSE),""))</f>
        <v/>
      </c>
      <c r="D124" t="str">
        <f>IF(B124="","",IFERROR(VLOOKUP(B124,'SPED Student Roster'!$A:$C,3,FALSE),""))</f>
        <v/>
      </c>
      <c r="E124" t="str">
        <f>IF(B124="","",IFERROR(VLOOKUP(B124,'SPED Student Roster'!$A:$D,4,FALSE),""))</f>
        <v/>
      </c>
      <c r="F124" t="str">
        <f>IF(B124="","",IFERROR(VLOOKUP(B124,'SPED Student Roster'!$A:$E,5,FALSE),""))</f>
        <v/>
      </c>
      <c r="K124" t="str">
        <f t="shared" ca="1" si="3"/>
        <v/>
      </c>
    </row>
    <row r="125" spans="3:11" ht="14.25" x14ac:dyDescent="0.45">
      <c r="C125" t="str">
        <f>IF(B125="","",IFERROR(VLOOKUP(B125,'SPED Student Roster'!$A:$B,2,FALSE),""))</f>
        <v/>
      </c>
      <c r="D125" t="str">
        <f>IF(B125="","",IFERROR(VLOOKUP(B125,'SPED Student Roster'!$A:$C,3,FALSE),""))</f>
        <v/>
      </c>
      <c r="E125" t="str">
        <f>IF(B125="","",IFERROR(VLOOKUP(B125,'SPED Student Roster'!$A:$D,4,FALSE),""))</f>
        <v/>
      </c>
      <c r="F125" t="str">
        <f>IF(B125="","",IFERROR(VLOOKUP(B125,'SPED Student Roster'!$A:$E,5,FALSE),""))</f>
        <v/>
      </c>
      <c r="K125" t="str">
        <f t="shared" ca="1" si="3"/>
        <v/>
      </c>
    </row>
    <row r="126" spans="3:11" ht="14.25" x14ac:dyDescent="0.45">
      <c r="C126" t="str">
        <f>IF(B126="","",IFERROR(VLOOKUP(B126,'SPED Student Roster'!$A:$B,2,FALSE),""))</f>
        <v/>
      </c>
      <c r="D126" t="str">
        <f>IF(B126="","",IFERROR(VLOOKUP(B126,'SPED Student Roster'!$A:$C,3,FALSE),""))</f>
        <v/>
      </c>
      <c r="E126" t="str">
        <f>IF(B126="","",IFERROR(VLOOKUP(B126,'SPED Student Roster'!$A:$D,4,FALSE),""))</f>
        <v/>
      </c>
      <c r="F126" t="str">
        <f>IF(B126="","",IFERROR(VLOOKUP(B126,'SPED Student Roster'!$A:$E,5,FALSE),""))</f>
        <v/>
      </c>
      <c r="K126" t="str">
        <f t="shared" ca="1" si="3"/>
        <v/>
      </c>
    </row>
    <row r="127" spans="3:11" ht="14.25" x14ac:dyDescent="0.45">
      <c r="C127" t="str">
        <f>IF(B127="","",IFERROR(VLOOKUP(B127,'SPED Student Roster'!$A:$B,2,FALSE),""))</f>
        <v/>
      </c>
      <c r="D127" t="str">
        <f>IF(B127="","",IFERROR(VLOOKUP(B127,'SPED Student Roster'!$A:$C,3,FALSE),""))</f>
        <v/>
      </c>
      <c r="E127" t="str">
        <f>IF(B127="","",IFERROR(VLOOKUP(B127,'SPED Student Roster'!$A:$D,4,FALSE),""))</f>
        <v/>
      </c>
      <c r="F127" t="str">
        <f>IF(B127="","",IFERROR(VLOOKUP(B127,'SPED Student Roster'!$A:$E,5,FALSE),""))</f>
        <v/>
      </c>
      <c r="K127" t="str">
        <f t="shared" ca="1" si="3"/>
        <v/>
      </c>
    </row>
    <row r="128" spans="3:11" ht="14.25" x14ac:dyDescent="0.45">
      <c r="C128" t="str">
        <f>IF(B128="","",IFERROR(VLOOKUP(B128,'SPED Student Roster'!$A:$B,2,FALSE),""))</f>
        <v/>
      </c>
      <c r="D128" t="str">
        <f>IF(B128="","",IFERROR(VLOOKUP(B128,'SPED Student Roster'!$A:$C,3,FALSE),""))</f>
        <v/>
      </c>
      <c r="E128" t="str">
        <f>IF(B128="","",IFERROR(VLOOKUP(B128,'SPED Student Roster'!$A:$D,4,FALSE),""))</f>
        <v/>
      </c>
      <c r="F128" t="str">
        <f>IF(B128="","",IFERROR(VLOOKUP(B128,'SPED Student Roster'!$A:$E,5,FALSE),""))</f>
        <v/>
      </c>
      <c r="K128" t="str">
        <f t="shared" ca="1" si="3"/>
        <v/>
      </c>
    </row>
    <row r="129" spans="3:11" ht="14.25" x14ac:dyDescent="0.45">
      <c r="C129" t="str">
        <f>IF(B129="","",IFERROR(VLOOKUP(B129,'SPED Student Roster'!$A:$B,2,FALSE),""))</f>
        <v/>
      </c>
      <c r="D129" t="str">
        <f>IF(B129="","",IFERROR(VLOOKUP(B129,'SPED Student Roster'!$A:$C,3,FALSE),""))</f>
        <v/>
      </c>
      <c r="E129" t="str">
        <f>IF(B129="","",IFERROR(VLOOKUP(B129,'SPED Student Roster'!$A:$D,4,FALSE),""))</f>
        <v/>
      </c>
      <c r="F129" t="str">
        <f>IF(B129="","",IFERROR(VLOOKUP(B129,'SPED Student Roster'!$A:$E,5,FALSE),""))</f>
        <v/>
      </c>
      <c r="K129" t="str">
        <f t="shared" ca="1" si="3"/>
        <v/>
      </c>
    </row>
    <row r="130" spans="3:11" ht="14.25" x14ac:dyDescent="0.45">
      <c r="C130" t="str">
        <f>IF(B130="","",IFERROR(VLOOKUP(B130,'SPED Student Roster'!$A:$B,2,FALSE),""))</f>
        <v/>
      </c>
      <c r="D130" t="str">
        <f>IF(B130="","",IFERROR(VLOOKUP(B130,'SPED Student Roster'!$A:$C,3,FALSE),""))</f>
        <v/>
      </c>
      <c r="E130" t="str">
        <f>IF(B130="","",IFERROR(VLOOKUP(B130,'SPED Student Roster'!$A:$D,4,FALSE),""))</f>
        <v/>
      </c>
      <c r="F130" t="str">
        <f>IF(B130="","",IFERROR(VLOOKUP(B130,'SPED Student Roster'!$A:$E,5,FALSE),""))</f>
        <v/>
      </c>
      <c r="K130" t="str">
        <f t="shared" ca="1" si="3"/>
        <v/>
      </c>
    </row>
    <row r="131" spans="3:11" ht="14.25" x14ac:dyDescent="0.45">
      <c r="C131" t="str">
        <f>IF(B131="","",IFERROR(VLOOKUP(B131,'SPED Student Roster'!$A:$B,2,FALSE),""))</f>
        <v/>
      </c>
      <c r="D131" t="str">
        <f>IF(B131="","",IFERROR(VLOOKUP(B131,'SPED Student Roster'!$A:$C,3,FALSE),""))</f>
        <v/>
      </c>
      <c r="E131" t="str">
        <f>IF(B131="","",IFERROR(VLOOKUP(B131,'SPED Student Roster'!$A:$D,4,FALSE),""))</f>
        <v/>
      </c>
      <c r="F131" t="str">
        <f>IF(B131="","",IFERROR(VLOOKUP(B131,'SPED Student Roster'!$A:$E,5,FALSE),""))</f>
        <v/>
      </c>
      <c r="K131" t="str">
        <f t="shared" ca="1" si="3"/>
        <v/>
      </c>
    </row>
    <row r="132" spans="3:11" ht="14.25" x14ac:dyDescent="0.45">
      <c r="C132" t="str">
        <f>IF(B132="","",IFERROR(VLOOKUP(B132,'SPED Student Roster'!$A:$B,2,FALSE),""))</f>
        <v/>
      </c>
      <c r="D132" t="str">
        <f>IF(B132="","",IFERROR(VLOOKUP(B132,'SPED Student Roster'!$A:$C,3,FALSE),""))</f>
        <v/>
      </c>
      <c r="E132" t="str">
        <f>IF(B132="","",IFERROR(VLOOKUP(B132,'SPED Student Roster'!$A:$D,4,FALSE),""))</f>
        <v/>
      </c>
      <c r="F132" t="str">
        <f>IF(B132="","",IFERROR(VLOOKUP(B132,'SPED Student Roster'!$A:$E,5,FALSE),""))</f>
        <v/>
      </c>
      <c r="K132" t="str">
        <f t="shared" ref="K132:K163" ca="1" si="4">IF(OR(B132="",J132=""),"",J132-TODAY())</f>
        <v/>
      </c>
    </row>
    <row r="133" spans="3:11" ht="14.25" x14ac:dyDescent="0.45">
      <c r="C133" t="str">
        <f>IF(B133="","",IFERROR(VLOOKUP(B133,'SPED Student Roster'!$A:$B,2,FALSE),""))</f>
        <v/>
      </c>
      <c r="D133" t="str">
        <f>IF(B133="","",IFERROR(VLOOKUP(B133,'SPED Student Roster'!$A:$C,3,FALSE),""))</f>
        <v/>
      </c>
      <c r="E133" t="str">
        <f>IF(B133="","",IFERROR(VLOOKUP(B133,'SPED Student Roster'!$A:$D,4,FALSE),""))</f>
        <v/>
      </c>
      <c r="F133" t="str">
        <f>IF(B133="","",IFERROR(VLOOKUP(B133,'SPED Student Roster'!$A:$E,5,FALSE),""))</f>
        <v/>
      </c>
      <c r="K133" t="str">
        <f t="shared" ca="1" si="4"/>
        <v/>
      </c>
    </row>
    <row r="134" spans="3:11" ht="14.25" x14ac:dyDescent="0.45">
      <c r="C134" t="str">
        <f>IF(B134="","",IFERROR(VLOOKUP(B134,'SPED Student Roster'!$A:$B,2,FALSE),""))</f>
        <v/>
      </c>
      <c r="D134" t="str">
        <f>IF(B134="","",IFERROR(VLOOKUP(B134,'SPED Student Roster'!$A:$C,3,FALSE),""))</f>
        <v/>
      </c>
      <c r="E134" t="str">
        <f>IF(B134="","",IFERROR(VLOOKUP(B134,'SPED Student Roster'!$A:$D,4,FALSE),""))</f>
        <v/>
      </c>
      <c r="F134" t="str">
        <f>IF(B134="","",IFERROR(VLOOKUP(B134,'SPED Student Roster'!$A:$E,5,FALSE),""))</f>
        <v/>
      </c>
      <c r="K134" t="str">
        <f t="shared" ca="1" si="4"/>
        <v/>
      </c>
    </row>
    <row r="135" spans="3:11" ht="14.25" x14ac:dyDescent="0.45">
      <c r="C135" t="str">
        <f>IF(B135="","",IFERROR(VLOOKUP(B135,'SPED Student Roster'!$A:$B,2,FALSE),""))</f>
        <v/>
      </c>
      <c r="D135" t="str">
        <f>IF(B135="","",IFERROR(VLOOKUP(B135,'SPED Student Roster'!$A:$C,3,FALSE),""))</f>
        <v/>
      </c>
      <c r="E135" t="str">
        <f>IF(B135="","",IFERROR(VLOOKUP(B135,'SPED Student Roster'!$A:$D,4,FALSE),""))</f>
        <v/>
      </c>
      <c r="F135" t="str">
        <f>IF(B135="","",IFERROR(VLOOKUP(B135,'SPED Student Roster'!$A:$E,5,FALSE),""))</f>
        <v/>
      </c>
      <c r="K135" t="str">
        <f t="shared" ca="1" si="4"/>
        <v/>
      </c>
    </row>
    <row r="136" spans="3:11" ht="14.25" x14ac:dyDescent="0.45">
      <c r="C136" t="str">
        <f>IF(B136="","",IFERROR(VLOOKUP(B136,'SPED Student Roster'!$A:$B,2,FALSE),""))</f>
        <v/>
      </c>
      <c r="D136" t="str">
        <f>IF(B136="","",IFERROR(VLOOKUP(B136,'SPED Student Roster'!$A:$C,3,FALSE),""))</f>
        <v/>
      </c>
      <c r="E136" t="str">
        <f>IF(B136="","",IFERROR(VLOOKUP(B136,'SPED Student Roster'!$A:$D,4,FALSE),""))</f>
        <v/>
      </c>
      <c r="F136" t="str">
        <f>IF(B136="","",IFERROR(VLOOKUP(B136,'SPED Student Roster'!$A:$E,5,FALSE),""))</f>
        <v/>
      </c>
      <c r="K136" t="str">
        <f t="shared" ca="1" si="4"/>
        <v/>
      </c>
    </row>
    <row r="137" spans="3:11" ht="14.25" x14ac:dyDescent="0.45">
      <c r="C137" t="str">
        <f>IF(B137="","",IFERROR(VLOOKUP(B137,'SPED Student Roster'!$A:$B,2,FALSE),""))</f>
        <v/>
      </c>
      <c r="D137" t="str">
        <f>IF(B137="","",IFERROR(VLOOKUP(B137,'SPED Student Roster'!$A:$C,3,FALSE),""))</f>
        <v/>
      </c>
      <c r="E137" t="str">
        <f>IF(B137="","",IFERROR(VLOOKUP(B137,'SPED Student Roster'!$A:$D,4,FALSE),""))</f>
        <v/>
      </c>
      <c r="F137" t="str">
        <f>IF(B137="","",IFERROR(VLOOKUP(B137,'SPED Student Roster'!$A:$E,5,FALSE),""))</f>
        <v/>
      </c>
      <c r="K137" t="str">
        <f t="shared" ca="1" si="4"/>
        <v/>
      </c>
    </row>
    <row r="138" spans="3:11" ht="14.25" x14ac:dyDescent="0.45">
      <c r="C138" t="str">
        <f>IF(B138="","",IFERROR(VLOOKUP(B138,'SPED Student Roster'!$A:$B,2,FALSE),""))</f>
        <v/>
      </c>
      <c r="D138" t="str">
        <f>IF(B138="","",IFERROR(VLOOKUP(B138,'SPED Student Roster'!$A:$C,3,FALSE),""))</f>
        <v/>
      </c>
      <c r="E138" t="str">
        <f>IF(B138="","",IFERROR(VLOOKUP(B138,'SPED Student Roster'!$A:$D,4,FALSE),""))</f>
        <v/>
      </c>
      <c r="F138" t="str">
        <f>IF(B138="","",IFERROR(VLOOKUP(B138,'SPED Student Roster'!$A:$E,5,FALSE),""))</f>
        <v/>
      </c>
      <c r="K138" t="str">
        <f t="shared" ca="1" si="4"/>
        <v/>
      </c>
    </row>
    <row r="139" spans="3:11" ht="14.25" x14ac:dyDescent="0.45">
      <c r="C139" t="str">
        <f>IF(B139="","",IFERROR(VLOOKUP(B139,'SPED Student Roster'!$A:$B,2,FALSE),""))</f>
        <v/>
      </c>
      <c r="D139" t="str">
        <f>IF(B139="","",IFERROR(VLOOKUP(B139,'SPED Student Roster'!$A:$C,3,FALSE),""))</f>
        <v/>
      </c>
      <c r="E139" t="str">
        <f>IF(B139="","",IFERROR(VLOOKUP(B139,'SPED Student Roster'!$A:$D,4,FALSE),""))</f>
        <v/>
      </c>
      <c r="F139" t="str">
        <f>IF(B139="","",IFERROR(VLOOKUP(B139,'SPED Student Roster'!$A:$E,5,FALSE),""))</f>
        <v/>
      </c>
      <c r="K139" t="str">
        <f t="shared" ca="1" si="4"/>
        <v/>
      </c>
    </row>
    <row r="140" spans="3:11" ht="14.25" x14ac:dyDescent="0.45">
      <c r="C140" t="str">
        <f>IF(B140="","",IFERROR(VLOOKUP(B140,'SPED Student Roster'!$A:$B,2,FALSE),""))</f>
        <v/>
      </c>
      <c r="D140" t="str">
        <f>IF(B140="","",IFERROR(VLOOKUP(B140,'SPED Student Roster'!$A:$C,3,FALSE),""))</f>
        <v/>
      </c>
      <c r="E140" t="str">
        <f>IF(B140="","",IFERROR(VLOOKUP(B140,'SPED Student Roster'!$A:$D,4,FALSE),""))</f>
        <v/>
      </c>
      <c r="F140" t="str">
        <f>IF(B140="","",IFERROR(VLOOKUP(B140,'SPED Student Roster'!$A:$E,5,FALSE),""))</f>
        <v/>
      </c>
      <c r="K140" t="str">
        <f t="shared" ca="1" si="4"/>
        <v/>
      </c>
    </row>
    <row r="141" spans="3:11" ht="14.25" x14ac:dyDescent="0.45">
      <c r="C141" t="str">
        <f>IF(B141="","",IFERROR(VLOOKUP(B141,'SPED Student Roster'!$A:$B,2,FALSE),""))</f>
        <v/>
      </c>
      <c r="D141" t="str">
        <f>IF(B141="","",IFERROR(VLOOKUP(B141,'SPED Student Roster'!$A:$C,3,FALSE),""))</f>
        <v/>
      </c>
      <c r="E141" t="str">
        <f>IF(B141="","",IFERROR(VLOOKUP(B141,'SPED Student Roster'!$A:$D,4,FALSE),""))</f>
        <v/>
      </c>
      <c r="F141" t="str">
        <f>IF(B141="","",IFERROR(VLOOKUP(B141,'SPED Student Roster'!$A:$E,5,FALSE),""))</f>
        <v/>
      </c>
      <c r="K141" t="str">
        <f t="shared" ca="1" si="4"/>
        <v/>
      </c>
    </row>
    <row r="142" spans="3:11" ht="14.25" x14ac:dyDescent="0.45">
      <c r="C142" t="str">
        <f>IF(B142="","",IFERROR(VLOOKUP(B142,'SPED Student Roster'!$A:$B,2,FALSE),""))</f>
        <v/>
      </c>
      <c r="D142" t="str">
        <f>IF(B142="","",IFERROR(VLOOKUP(B142,'SPED Student Roster'!$A:$C,3,FALSE),""))</f>
        <v/>
      </c>
      <c r="E142" t="str">
        <f>IF(B142="","",IFERROR(VLOOKUP(B142,'SPED Student Roster'!$A:$D,4,FALSE),""))</f>
        <v/>
      </c>
      <c r="F142" t="str">
        <f>IF(B142="","",IFERROR(VLOOKUP(B142,'SPED Student Roster'!$A:$E,5,FALSE),""))</f>
        <v/>
      </c>
      <c r="K142" t="str">
        <f t="shared" ca="1" si="4"/>
        <v/>
      </c>
    </row>
    <row r="143" spans="3:11" ht="14.25" x14ac:dyDescent="0.45">
      <c r="C143" t="str">
        <f>IF(B143="","",IFERROR(VLOOKUP(B143,'SPED Student Roster'!$A:$B,2,FALSE),""))</f>
        <v/>
      </c>
      <c r="D143" t="str">
        <f>IF(B143="","",IFERROR(VLOOKUP(B143,'SPED Student Roster'!$A:$C,3,FALSE),""))</f>
        <v/>
      </c>
      <c r="E143" t="str">
        <f>IF(B143="","",IFERROR(VLOOKUP(B143,'SPED Student Roster'!$A:$D,4,FALSE),""))</f>
        <v/>
      </c>
      <c r="F143" t="str">
        <f>IF(B143="","",IFERROR(VLOOKUP(B143,'SPED Student Roster'!$A:$E,5,FALSE),""))</f>
        <v/>
      </c>
      <c r="K143" t="str">
        <f t="shared" ca="1" si="4"/>
        <v/>
      </c>
    </row>
    <row r="144" spans="3:11" ht="14.25" x14ac:dyDescent="0.45">
      <c r="C144" t="str">
        <f>IF(B144="","",IFERROR(VLOOKUP(B144,'SPED Student Roster'!$A:$B,2,FALSE),""))</f>
        <v/>
      </c>
      <c r="D144" t="str">
        <f>IF(B144="","",IFERROR(VLOOKUP(B144,'SPED Student Roster'!$A:$C,3,FALSE),""))</f>
        <v/>
      </c>
      <c r="E144" t="str">
        <f>IF(B144="","",IFERROR(VLOOKUP(B144,'SPED Student Roster'!$A:$D,4,FALSE),""))</f>
        <v/>
      </c>
      <c r="F144" t="str">
        <f>IF(B144="","",IFERROR(VLOOKUP(B144,'SPED Student Roster'!$A:$E,5,FALSE),""))</f>
        <v/>
      </c>
      <c r="K144" t="str">
        <f t="shared" ca="1" si="4"/>
        <v/>
      </c>
    </row>
    <row r="145" spans="3:11" ht="14.25" x14ac:dyDescent="0.45">
      <c r="C145" t="str">
        <f>IF(B145="","",IFERROR(VLOOKUP(B145,'SPED Student Roster'!$A:$B,2,FALSE),""))</f>
        <v/>
      </c>
      <c r="D145" t="str">
        <f>IF(B145="","",IFERROR(VLOOKUP(B145,'SPED Student Roster'!$A:$C,3,FALSE),""))</f>
        <v/>
      </c>
      <c r="E145" t="str">
        <f>IF(B145="","",IFERROR(VLOOKUP(B145,'SPED Student Roster'!$A:$D,4,FALSE),""))</f>
        <v/>
      </c>
      <c r="F145" t="str">
        <f>IF(B145="","",IFERROR(VLOOKUP(B145,'SPED Student Roster'!$A:$E,5,FALSE),""))</f>
        <v/>
      </c>
      <c r="K145" t="str">
        <f t="shared" ca="1" si="4"/>
        <v/>
      </c>
    </row>
    <row r="146" spans="3:11" ht="14.25" x14ac:dyDescent="0.45">
      <c r="C146" t="str">
        <f>IF(B146="","",IFERROR(VLOOKUP(B146,'SPED Student Roster'!$A:$B,2,FALSE),""))</f>
        <v/>
      </c>
      <c r="D146" t="str">
        <f>IF(B146="","",IFERROR(VLOOKUP(B146,'SPED Student Roster'!$A:$C,3,FALSE),""))</f>
        <v/>
      </c>
      <c r="E146" t="str">
        <f>IF(B146="","",IFERROR(VLOOKUP(B146,'SPED Student Roster'!$A:$D,4,FALSE),""))</f>
        <v/>
      </c>
      <c r="F146" t="str">
        <f>IF(B146="","",IFERROR(VLOOKUP(B146,'SPED Student Roster'!$A:$E,5,FALSE),""))</f>
        <v/>
      </c>
      <c r="K146" t="str">
        <f t="shared" ca="1" si="4"/>
        <v/>
      </c>
    </row>
    <row r="147" spans="3:11" ht="14.25" x14ac:dyDescent="0.45">
      <c r="C147" t="str">
        <f>IF(B147="","",IFERROR(VLOOKUP(B147,'SPED Student Roster'!$A:$B,2,FALSE),""))</f>
        <v/>
      </c>
      <c r="D147" t="str">
        <f>IF(B147="","",IFERROR(VLOOKUP(B147,'SPED Student Roster'!$A:$C,3,FALSE),""))</f>
        <v/>
      </c>
      <c r="E147" t="str">
        <f>IF(B147="","",IFERROR(VLOOKUP(B147,'SPED Student Roster'!$A:$D,4,FALSE),""))</f>
        <v/>
      </c>
      <c r="F147" t="str">
        <f>IF(B147="","",IFERROR(VLOOKUP(B147,'SPED Student Roster'!$A:$E,5,FALSE),""))</f>
        <v/>
      </c>
      <c r="K147" t="str">
        <f t="shared" ca="1" si="4"/>
        <v/>
      </c>
    </row>
    <row r="148" spans="3:11" ht="14.25" x14ac:dyDescent="0.45">
      <c r="C148" t="str">
        <f>IF(B148="","",IFERROR(VLOOKUP(B148,'SPED Student Roster'!$A:$B,2,FALSE),""))</f>
        <v/>
      </c>
      <c r="D148" t="str">
        <f>IF(B148="","",IFERROR(VLOOKUP(B148,'SPED Student Roster'!$A:$C,3,FALSE),""))</f>
        <v/>
      </c>
      <c r="E148" t="str">
        <f>IF(B148="","",IFERROR(VLOOKUP(B148,'SPED Student Roster'!$A:$D,4,FALSE),""))</f>
        <v/>
      </c>
      <c r="F148" t="str">
        <f>IF(B148="","",IFERROR(VLOOKUP(B148,'SPED Student Roster'!$A:$E,5,FALSE),""))</f>
        <v/>
      </c>
      <c r="K148" t="str">
        <f t="shared" ca="1" si="4"/>
        <v/>
      </c>
    </row>
    <row r="149" spans="3:11" ht="14.25" x14ac:dyDescent="0.45">
      <c r="C149" t="str">
        <f>IF(B149="","",IFERROR(VLOOKUP(B149,'SPED Student Roster'!$A:$B,2,FALSE),""))</f>
        <v/>
      </c>
      <c r="D149" t="str">
        <f>IF(B149="","",IFERROR(VLOOKUP(B149,'SPED Student Roster'!$A:$C,3,FALSE),""))</f>
        <v/>
      </c>
      <c r="E149" t="str">
        <f>IF(B149="","",IFERROR(VLOOKUP(B149,'SPED Student Roster'!$A:$D,4,FALSE),""))</f>
        <v/>
      </c>
      <c r="F149" t="str">
        <f>IF(B149="","",IFERROR(VLOOKUP(B149,'SPED Student Roster'!$A:$E,5,FALSE),""))</f>
        <v/>
      </c>
      <c r="K149" t="str">
        <f t="shared" ca="1" si="4"/>
        <v/>
      </c>
    </row>
    <row r="150" spans="3:11" ht="14.25" x14ac:dyDescent="0.45">
      <c r="C150" t="str">
        <f>IF(B150="","",IFERROR(VLOOKUP(B150,'SPED Student Roster'!$A:$B,2,FALSE),""))</f>
        <v/>
      </c>
      <c r="D150" t="str">
        <f>IF(B150="","",IFERROR(VLOOKUP(B150,'SPED Student Roster'!$A:$C,3,FALSE),""))</f>
        <v/>
      </c>
      <c r="E150" t="str">
        <f>IF(B150="","",IFERROR(VLOOKUP(B150,'SPED Student Roster'!$A:$D,4,FALSE),""))</f>
        <v/>
      </c>
      <c r="F150" t="str">
        <f>IF(B150="","",IFERROR(VLOOKUP(B150,'SPED Student Roster'!$A:$E,5,FALSE),""))</f>
        <v/>
      </c>
      <c r="K150" t="str">
        <f t="shared" ca="1" si="4"/>
        <v/>
      </c>
    </row>
    <row r="151" spans="3:11" ht="14.25" x14ac:dyDescent="0.45">
      <c r="C151" t="str">
        <f>IF(B151="","",IFERROR(VLOOKUP(B151,'SPED Student Roster'!$A:$B,2,FALSE),""))</f>
        <v/>
      </c>
      <c r="D151" t="str">
        <f>IF(B151="","",IFERROR(VLOOKUP(B151,'SPED Student Roster'!$A:$C,3,FALSE),""))</f>
        <v/>
      </c>
      <c r="E151" t="str">
        <f>IF(B151="","",IFERROR(VLOOKUP(B151,'SPED Student Roster'!$A:$D,4,FALSE),""))</f>
        <v/>
      </c>
      <c r="F151" t="str">
        <f>IF(B151="","",IFERROR(VLOOKUP(B151,'SPED Student Roster'!$A:$E,5,FALSE),""))</f>
        <v/>
      </c>
      <c r="K151" t="str">
        <f t="shared" ca="1" si="4"/>
        <v/>
      </c>
    </row>
    <row r="152" spans="3:11" ht="14.25" x14ac:dyDescent="0.45">
      <c r="C152" t="str">
        <f>IF(B152="","",IFERROR(VLOOKUP(B152,'SPED Student Roster'!$A:$B,2,FALSE),""))</f>
        <v/>
      </c>
      <c r="D152" t="str">
        <f>IF(B152="","",IFERROR(VLOOKUP(B152,'SPED Student Roster'!$A:$C,3,FALSE),""))</f>
        <v/>
      </c>
      <c r="E152" t="str">
        <f>IF(B152="","",IFERROR(VLOOKUP(B152,'SPED Student Roster'!$A:$D,4,FALSE),""))</f>
        <v/>
      </c>
      <c r="F152" t="str">
        <f>IF(B152="","",IFERROR(VLOOKUP(B152,'SPED Student Roster'!$A:$E,5,FALSE),""))</f>
        <v/>
      </c>
      <c r="K152" t="str">
        <f t="shared" ca="1" si="4"/>
        <v/>
      </c>
    </row>
    <row r="153" spans="3:11" ht="14.25" x14ac:dyDescent="0.45">
      <c r="C153" t="str">
        <f>IF(B153="","",IFERROR(VLOOKUP(B153,'SPED Student Roster'!$A:$B,2,FALSE),""))</f>
        <v/>
      </c>
      <c r="D153" t="str">
        <f>IF(B153="","",IFERROR(VLOOKUP(B153,'SPED Student Roster'!$A:$C,3,FALSE),""))</f>
        <v/>
      </c>
      <c r="E153" t="str">
        <f>IF(B153="","",IFERROR(VLOOKUP(B153,'SPED Student Roster'!$A:$D,4,FALSE),""))</f>
        <v/>
      </c>
      <c r="F153" t="str">
        <f>IF(B153="","",IFERROR(VLOOKUP(B153,'SPED Student Roster'!$A:$E,5,FALSE),""))</f>
        <v/>
      </c>
      <c r="K153" t="str">
        <f t="shared" ca="1" si="4"/>
        <v/>
      </c>
    </row>
    <row r="154" spans="3:11" ht="14.25" x14ac:dyDescent="0.45">
      <c r="C154" t="str">
        <f>IF(B154="","",IFERROR(VLOOKUP(B154,'SPED Student Roster'!$A:$B,2,FALSE),""))</f>
        <v/>
      </c>
      <c r="D154" t="str">
        <f>IF(B154="","",IFERROR(VLOOKUP(B154,'SPED Student Roster'!$A:$C,3,FALSE),""))</f>
        <v/>
      </c>
      <c r="E154" t="str">
        <f>IF(B154="","",IFERROR(VLOOKUP(B154,'SPED Student Roster'!$A:$D,4,FALSE),""))</f>
        <v/>
      </c>
      <c r="F154" t="str">
        <f>IF(B154="","",IFERROR(VLOOKUP(B154,'SPED Student Roster'!$A:$E,5,FALSE),""))</f>
        <v/>
      </c>
      <c r="K154" t="str">
        <f t="shared" ca="1" si="4"/>
        <v/>
      </c>
    </row>
    <row r="155" spans="3:11" ht="14.25" x14ac:dyDescent="0.45">
      <c r="C155" t="str">
        <f>IF(B155="","",IFERROR(VLOOKUP(B155,'SPED Student Roster'!$A:$B,2,FALSE),""))</f>
        <v/>
      </c>
      <c r="D155" t="str">
        <f>IF(B155="","",IFERROR(VLOOKUP(B155,'SPED Student Roster'!$A:$C,3,FALSE),""))</f>
        <v/>
      </c>
      <c r="E155" t="str">
        <f>IF(B155="","",IFERROR(VLOOKUP(B155,'SPED Student Roster'!$A:$D,4,FALSE),""))</f>
        <v/>
      </c>
      <c r="F155" t="str">
        <f>IF(B155="","",IFERROR(VLOOKUP(B155,'SPED Student Roster'!$A:$E,5,FALSE),""))</f>
        <v/>
      </c>
      <c r="K155" t="str">
        <f t="shared" ca="1" si="4"/>
        <v/>
      </c>
    </row>
    <row r="156" spans="3:11" ht="14.25" x14ac:dyDescent="0.45">
      <c r="C156" t="str">
        <f>IF(B156="","",IFERROR(VLOOKUP(B156,'SPED Student Roster'!$A:$B,2,FALSE),""))</f>
        <v/>
      </c>
      <c r="D156" t="str">
        <f>IF(B156="","",IFERROR(VLOOKUP(B156,'SPED Student Roster'!$A:$C,3,FALSE),""))</f>
        <v/>
      </c>
      <c r="E156" t="str">
        <f>IF(B156="","",IFERROR(VLOOKUP(B156,'SPED Student Roster'!$A:$D,4,FALSE),""))</f>
        <v/>
      </c>
      <c r="F156" t="str">
        <f>IF(B156="","",IFERROR(VLOOKUP(B156,'SPED Student Roster'!$A:$E,5,FALSE),""))</f>
        <v/>
      </c>
      <c r="K156" t="str">
        <f t="shared" ca="1" si="4"/>
        <v/>
      </c>
    </row>
    <row r="157" spans="3:11" ht="14.25" x14ac:dyDescent="0.45">
      <c r="C157" t="str">
        <f>IF(B157="","",IFERROR(VLOOKUP(B157,'SPED Student Roster'!$A:$B,2,FALSE),""))</f>
        <v/>
      </c>
      <c r="D157" t="str">
        <f>IF(B157="","",IFERROR(VLOOKUP(B157,'SPED Student Roster'!$A:$C,3,FALSE),""))</f>
        <v/>
      </c>
      <c r="E157" t="str">
        <f>IF(B157="","",IFERROR(VLOOKUP(B157,'SPED Student Roster'!$A:$D,4,FALSE),""))</f>
        <v/>
      </c>
      <c r="F157" t="str">
        <f>IF(B157="","",IFERROR(VLOOKUP(B157,'SPED Student Roster'!$A:$E,5,FALSE),""))</f>
        <v/>
      </c>
      <c r="K157" t="str">
        <f t="shared" ca="1" si="4"/>
        <v/>
      </c>
    </row>
    <row r="158" spans="3:11" ht="14.25" x14ac:dyDescent="0.45">
      <c r="C158" t="str">
        <f>IF(B158="","",IFERROR(VLOOKUP(B158,'SPED Student Roster'!$A:$B,2,FALSE),""))</f>
        <v/>
      </c>
      <c r="D158" t="str">
        <f>IF(B158="","",IFERROR(VLOOKUP(B158,'SPED Student Roster'!$A:$C,3,FALSE),""))</f>
        <v/>
      </c>
      <c r="E158" t="str">
        <f>IF(B158="","",IFERROR(VLOOKUP(B158,'SPED Student Roster'!$A:$D,4,FALSE),""))</f>
        <v/>
      </c>
      <c r="F158" t="str">
        <f>IF(B158="","",IFERROR(VLOOKUP(B158,'SPED Student Roster'!$A:$E,5,FALSE),""))</f>
        <v/>
      </c>
      <c r="K158" t="str">
        <f t="shared" ca="1" si="4"/>
        <v/>
      </c>
    </row>
    <row r="159" spans="3:11" ht="14.25" x14ac:dyDescent="0.45">
      <c r="C159" t="str">
        <f>IF(B159="","",IFERROR(VLOOKUP(B159,'SPED Student Roster'!$A:$B,2,FALSE),""))</f>
        <v/>
      </c>
      <c r="D159" t="str">
        <f>IF(B159="","",IFERROR(VLOOKUP(B159,'SPED Student Roster'!$A:$C,3,FALSE),""))</f>
        <v/>
      </c>
      <c r="E159" t="str">
        <f>IF(B159="","",IFERROR(VLOOKUP(B159,'SPED Student Roster'!$A:$D,4,FALSE),""))</f>
        <v/>
      </c>
      <c r="F159" t="str">
        <f>IF(B159="","",IFERROR(VLOOKUP(B159,'SPED Student Roster'!$A:$E,5,FALSE),""))</f>
        <v/>
      </c>
      <c r="K159" t="str">
        <f t="shared" ca="1" si="4"/>
        <v/>
      </c>
    </row>
    <row r="160" spans="3:11" ht="14.25" x14ac:dyDescent="0.45">
      <c r="C160" t="str">
        <f>IF(B160="","",IFERROR(VLOOKUP(B160,'SPED Student Roster'!$A:$B,2,FALSE),""))</f>
        <v/>
      </c>
      <c r="D160" t="str">
        <f>IF(B160="","",IFERROR(VLOOKUP(B160,'SPED Student Roster'!$A:$C,3,FALSE),""))</f>
        <v/>
      </c>
      <c r="E160" t="str">
        <f>IF(B160="","",IFERROR(VLOOKUP(B160,'SPED Student Roster'!$A:$D,4,FALSE),""))</f>
        <v/>
      </c>
      <c r="F160" t="str">
        <f>IF(B160="","",IFERROR(VLOOKUP(B160,'SPED Student Roster'!$A:$E,5,FALSE),""))</f>
        <v/>
      </c>
      <c r="K160" t="str">
        <f t="shared" ca="1" si="4"/>
        <v/>
      </c>
    </row>
    <row r="161" spans="3:11" ht="14.25" x14ac:dyDescent="0.45">
      <c r="C161" t="str">
        <f>IF(B161="","",IFERROR(VLOOKUP(B161,'SPED Student Roster'!$A:$B,2,FALSE),""))</f>
        <v/>
      </c>
      <c r="D161" t="str">
        <f>IF(B161="","",IFERROR(VLOOKUP(B161,'SPED Student Roster'!$A:$C,3,FALSE),""))</f>
        <v/>
      </c>
      <c r="E161" t="str">
        <f>IF(B161="","",IFERROR(VLOOKUP(B161,'SPED Student Roster'!$A:$D,4,FALSE),""))</f>
        <v/>
      </c>
      <c r="F161" t="str">
        <f>IF(B161="","",IFERROR(VLOOKUP(B161,'SPED Student Roster'!$A:$E,5,FALSE),""))</f>
        <v/>
      </c>
      <c r="K161" t="str">
        <f t="shared" ca="1" si="4"/>
        <v/>
      </c>
    </row>
    <row r="162" spans="3:11" ht="14.25" x14ac:dyDescent="0.45">
      <c r="C162" t="str">
        <f>IF(B162="","",IFERROR(VLOOKUP(B162,'SPED Student Roster'!$A:$B,2,FALSE),""))</f>
        <v/>
      </c>
      <c r="D162" t="str">
        <f>IF(B162="","",IFERROR(VLOOKUP(B162,'SPED Student Roster'!$A:$C,3,FALSE),""))</f>
        <v/>
      </c>
      <c r="E162" t="str">
        <f>IF(B162="","",IFERROR(VLOOKUP(B162,'SPED Student Roster'!$A:$D,4,FALSE),""))</f>
        <v/>
      </c>
      <c r="F162" t="str">
        <f>IF(B162="","",IFERROR(VLOOKUP(B162,'SPED Student Roster'!$A:$E,5,FALSE),""))</f>
        <v/>
      </c>
      <c r="K162" t="str">
        <f t="shared" ca="1" si="4"/>
        <v/>
      </c>
    </row>
    <row r="163" spans="3:11" ht="14.25" x14ac:dyDescent="0.45">
      <c r="C163" t="str">
        <f>IF(B163="","",IFERROR(VLOOKUP(B163,'SPED Student Roster'!$A:$B,2,FALSE),""))</f>
        <v/>
      </c>
      <c r="D163" t="str">
        <f>IF(B163="","",IFERROR(VLOOKUP(B163,'SPED Student Roster'!$A:$C,3,FALSE),""))</f>
        <v/>
      </c>
      <c r="E163" t="str">
        <f>IF(B163="","",IFERROR(VLOOKUP(B163,'SPED Student Roster'!$A:$D,4,FALSE),""))</f>
        <v/>
      </c>
      <c r="F163" t="str">
        <f>IF(B163="","",IFERROR(VLOOKUP(B163,'SPED Student Roster'!$A:$E,5,FALSE),""))</f>
        <v/>
      </c>
      <c r="K163" t="str">
        <f t="shared" ca="1" si="4"/>
        <v/>
      </c>
    </row>
    <row r="164" spans="3:11" ht="14.25" x14ac:dyDescent="0.45">
      <c r="C164" t="str">
        <f>IF(B164="","",IFERROR(VLOOKUP(B164,'SPED Student Roster'!$A:$B,2,FALSE),""))</f>
        <v/>
      </c>
      <c r="D164" t="str">
        <f>IF(B164="","",IFERROR(VLOOKUP(B164,'SPED Student Roster'!$A:$C,3,FALSE),""))</f>
        <v/>
      </c>
      <c r="E164" t="str">
        <f>IF(B164="","",IFERROR(VLOOKUP(B164,'SPED Student Roster'!$A:$D,4,FALSE),""))</f>
        <v/>
      </c>
      <c r="F164" t="str">
        <f>IF(B164="","",IFERROR(VLOOKUP(B164,'SPED Student Roster'!$A:$E,5,FALSE),""))</f>
        <v/>
      </c>
      <c r="K164" t="str">
        <f t="shared" ref="K164:K195" ca="1" si="5">IF(OR(B164="",J164=""),"",J164-TODAY())</f>
        <v/>
      </c>
    </row>
    <row r="165" spans="3:11" ht="14.25" x14ac:dyDescent="0.45">
      <c r="C165" t="str">
        <f>IF(B165="","",IFERROR(VLOOKUP(B165,'SPED Student Roster'!$A:$B,2,FALSE),""))</f>
        <v/>
      </c>
      <c r="D165" t="str">
        <f>IF(B165="","",IFERROR(VLOOKUP(B165,'SPED Student Roster'!$A:$C,3,FALSE),""))</f>
        <v/>
      </c>
      <c r="E165" t="str">
        <f>IF(B165="","",IFERROR(VLOOKUP(B165,'SPED Student Roster'!$A:$D,4,FALSE),""))</f>
        <v/>
      </c>
      <c r="F165" t="str">
        <f>IF(B165="","",IFERROR(VLOOKUP(B165,'SPED Student Roster'!$A:$E,5,FALSE),""))</f>
        <v/>
      </c>
      <c r="K165" t="str">
        <f t="shared" ca="1" si="5"/>
        <v/>
      </c>
    </row>
    <row r="166" spans="3:11" ht="14.25" x14ac:dyDescent="0.45">
      <c r="C166" t="str">
        <f>IF(B166="","",IFERROR(VLOOKUP(B166,'SPED Student Roster'!$A:$B,2,FALSE),""))</f>
        <v/>
      </c>
      <c r="D166" t="str">
        <f>IF(B166="","",IFERROR(VLOOKUP(B166,'SPED Student Roster'!$A:$C,3,FALSE),""))</f>
        <v/>
      </c>
      <c r="E166" t="str">
        <f>IF(B166="","",IFERROR(VLOOKUP(B166,'SPED Student Roster'!$A:$D,4,FALSE),""))</f>
        <v/>
      </c>
      <c r="F166" t="str">
        <f>IF(B166="","",IFERROR(VLOOKUP(B166,'SPED Student Roster'!$A:$E,5,FALSE),""))</f>
        <v/>
      </c>
      <c r="K166" t="str">
        <f t="shared" ca="1" si="5"/>
        <v/>
      </c>
    </row>
    <row r="167" spans="3:11" ht="14.25" x14ac:dyDescent="0.45">
      <c r="C167" t="str">
        <f>IF(B167="","",IFERROR(VLOOKUP(B167,'SPED Student Roster'!$A:$B,2,FALSE),""))</f>
        <v/>
      </c>
      <c r="D167" t="str">
        <f>IF(B167="","",IFERROR(VLOOKUP(B167,'SPED Student Roster'!$A:$C,3,FALSE),""))</f>
        <v/>
      </c>
      <c r="E167" t="str">
        <f>IF(B167="","",IFERROR(VLOOKUP(B167,'SPED Student Roster'!$A:$D,4,FALSE),""))</f>
        <v/>
      </c>
      <c r="F167" t="str">
        <f>IF(B167="","",IFERROR(VLOOKUP(B167,'SPED Student Roster'!$A:$E,5,FALSE),""))</f>
        <v/>
      </c>
      <c r="K167" t="str">
        <f t="shared" ca="1" si="5"/>
        <v/>
      </c>
    </row>
    <row r="168" spans="3:11" ht="14.25" x14ac:dyDescent="0.45">
      <c r="C168" t="str">
        <f>IF(B168="","",IFERROR(VLOOKUP(B168,'SPED Student Roster'!$A:$B,2,FALSE),""))</f>
        <v/>
      </c>
      <c r="D168" t="str">
        <f>IF(B168="","",IFERROR(VLOOKUP(B168,'SPED Student Roster'!$A:$C,3,FALSE),""))</f>
        <v/>
      </c>
      <c r="E168" t="str">
        <f>IF(B168="","",IFERROR(VLOOKUP(B168,'SPED Student Roster'!$A:$D,4,FALSE),""))</f>
        <v/>
      </c>
      <c r="F168" t="str">
        <f>IF(B168="","",IFERROR(VLOOKUP(B168,'SPED Student Roster'!$A:$E,5,FALSE),""))</f>
        <v/>
      </c>
      <c r="K168" t="str">
        <f t="shared" ca="1" si="5"/>
        <v/>
      </c>
    </row>
    <row r="169" spans="3:11" ht="14.25" x14ac:dyDescent="0.45">
      <c r="C169" t="str">
        <f>IF(B169="","",IFERROR(VLOOKUP(B169,'SPED Student Roster'!$A:$B,2,FALSE),""))</f>
        <v/>
      </c>
      <c r="D169" t="str">
        <f>IF(B169="","",IFERROR(VLOOKUP(B169,'SPED Student Roster'!$A:$C,3,FALSE),""))</f>
        <v/>
      </c>
      <c r="E169" t="str">
        <f>IF(B169="","",IFERROR(VLOOKUP(B169,'SPED Student Roster'!$A:$D,4,FALSE),""))</f>
        <v/>
      </c>
      <c r="F169" t="str">
        <f>IF(B169="","",IFERROR(VLOOKUP(B169,'SPED Student Roster'!$A:$E,5,FALSE),""))</f>
        <v/>
      </c>
      <c r="K169" t="str">
        <f t="shared" ca="1" si="5"/>
        <v/>
      </c>
    </row>
    <row r="170" spans="3:11" ht="14.25" x14ac:dyDescent="0.45">
      <c r="C170" t="str">
        <f>IF(B170="","",IFERROR(VLOOKUP(B170,'SPED Student Roster'!$A:$B,2,FALSE),""))</f>
        <v/>
      </c>
      <c r="D170" t="str">
        <f>IF(B170="","",IFERROR(VLOOKUP(B170,'SPED Student Roster'!$A:$C,3,FALSE),""))</f>
        <v/>
      </c>
      <c r="E170" t="str">
        <f>IF(B170="","",IFERROR(VLOOKUP(B170,'SPED Student Roster'!$A:$D,4,FALSE),""))</f>
        <v/>
      </c>
      <c r="F170" t="str">
        <f>IF(B170="","",IFERROR(VLOOKUP(B170,'SPED Student Roster'!$A:$E,5,FALSE),""))</f>
        <v/>
      </c>
      <c r="K170" t="str">
        <f t="shared" ca="1" si="5"/>
        <v/>
      </c>
    </row>
    <row r="171" spans="3:11" ht="14.25" x14ac:dyDescent="0.45">
      <c r="C171" t="str">
        <f>IF(B171="","",IFERROR(VLOOKUP(B171,'SPED Student Roster'!$A:$B,2,FALSE),""))</f>
        <v/>
      </c>
      <c r="D171" t="str">
        <f>IF(B171="","",IFERROR(VLOOKUP(B171,'SPED Student Roster'!$A:$C,3,FALSE),""))</f>
        <v/>
      </c>
      <c r="E171" t="str">
        <f>IF(B171="","",IFERROR(VLOOKUP(B171,'SPED Student Roster'!$A:$D,4,FALSE),""))</f>
        <v/>
      </c>
      <c r="F171" t="str">
        <f>IF(B171="","",IFERROR(VLOOKUP(B171,'SPED Student Roster'!$A:$E,5,FALSE),""))</f>
        <v/>
      </c>
      <c r="K171" t="str">
        <f t="shared" ca="1" si="5"/>
        <v/>
      </c>
    </row>
    <row r="172" spans="3:11" ht="14.25" x14ac:dyDescent="0.45">
      <c r="C172" t="str">
        <f>IF(B172="","",IFERROR(VLOOKUP(B172,'SPED Student Roster'!$A:$B,2,FALSE),""))</f>
        <v/>
      </c>
      <c r="D172" t="str">
        <f>IF(B172="","",IFERROR(VLOOKUP(B172,'SPED Student Roster'!$A:$C,3,FALSE),""))</f>
        <v/>
      </c>
      <c r="E172" t="str">
        <f>IF(B172="","",IFERROR(VLOOKUP(B172,'SPED Student Roster'!$A:$D,4,FALSE),""))</f>
        <v/>
      </c>
      <c r="F172" t="str">
        <f>IF(B172="","",IFERROR(VLOOKUP(B172,'SPED Student Roster'!$A:$E,5,FALSE),""))</f>
        <v/>
      </c>
      <c r="K172" t="str">
        <f t="shared" ca="1" si="5"/>
        <v/>
      </c>
    </row>
    <row r="173" spans="3:11" ht="14.25" x14ac:dyDescent="0.45">
      <c r="C173" t="str">
        <f>IF(B173="","",IFERROR(VLOOKUP(B173,'SPED Student Roster'!$A:$B,2,FALSE),""))</f>
        <v/>
      </c>
      <c r="D173" t="str">
        <f>IF(B173="","",IFERROR(VLOOKUP(B173,'SPED Student Roster'!$A:$C,3,FALSE),""))</f>
        <v/>
      </c>
      <c r="E173" t="str">
        <f>IF(B173="","",IFERROR(VLOOKUP(B173,'SPED Student Roster'!$A:$D,4,FALSE),""))</f>
        <v/>
      </c>
      <c r="F173" t="str">
        <f>IF(B173="","",IFERROR(VLOOKUP(B173,'SPED Student Roster'!$A:$E,5,FALSE),""))</f>
        <v/>
      </c>
      <c r="K173" t="str">
        <f t="shared" ca="1" si="5"/>
        <v/>
      </c>
    </row>
    <row r="174" spans="3:11" ht="14.25" x14ac:dyDescent="0.45">
      <c r="C174" t="str">
        <f>IF(B174="","",IFERROR(VLOOKUP(B174,'SPED Student Roster'!$A:$B,2,FALSE),""))</f>
        <v/>
      </c>
      <c r="D174" t="str">
        <f>IF(B174="","",IFERROR(VLOOKUP(B174,'SPED Student Roster'!$A:$C,3,FALSE),""))</f>
        <v/>
      </c>
      <c r="E174" t="str">
        <f>IF(B174="","",IFERROR(VLOOKUP(B174,'SPED Student Roster'!$A:$D,4,FALSE),""))</f>
        <v/>
      </c>
      <c r="F174" t="str">
        <f>IF(B174="","",IFERROR(VLOOKUP(B174,'SPED Student Roster'!$A:$E,5,FALSE),""))</f>
        <v/>
      </c>
      <c r="K174" t="str">
        <f t="shared" ca="1" si="5"/>
        <v/>
      </c>
    </row>
    <row r="175" spans="3:11" ht="14.25" x14ac:dyDescent="0.45">
      <c r="C175" t="str">
        <f>IF(B175="","",IFERROR(VLOOKUP(B175,'SPED Student Roster'!$A:$B,2,FALSE),""))</f>
        <v/>
      </c>
      <c r="D175" t="str">
        <f>IF(B175="","",IFERROR(VLOOKUP(B175,'SPED Student Roster'!$A:$C,3,FALSE),""))</f>
        <v/>
      </c>
      <c r="E175" t="str">
        <f>IF(B175="","",IFERROR(VLOOKUP(B175,'SPED Student Roster'!$A:$D,4,FALSE),""))</f>
        <v/>
      </c>
      <c r="F175" t="str">
        <f>IF(B175="","",IFERROR(VLOOKUP(B175,'SPED Student Roster'!$A:$E,5,FALSE),""))</f>
        <v/>
      </c>
      <c r="K175" t="str">
        <f t="shared" ca="1" si="5"/>
        <v/>
      </c>
    </row>
    <row r="176" spans="3:11" ht="14.25" x14ac:dyDescent="0.45">
      <c r="C176" t="str">
        <f>IF(B176="","",IFERROR(VLOOKUP(B176,'SPED Student Roster'!$A:$B,2,FALSE),""))</f>
        <v/>
      </c>
      <c r="D176" t="str">
        <f>IF(B176="","",IFERROR(VLOOKUP(B176,'SPED Student Roster'!$A:$C,3,FALSE),""))</f>
        <v/>
      </c>
      <c r="E176" t="str">
        <f>IF(B176="","",IFERROR(VLOOKUP(B176,'SPED Student Roster'!$A:$D,4,FALSE),""))</f>
        <v/>
      </c>
      <c r="F176" t="str">
        <f>IF(B176="","",IFERROR(VLOOKUP(B176,'SPED Student Roster'!$A:$E,5,FALSE),""))</f>
        <v/>
      </c>
      <c r="K176" t="str">
        <f t="shared" ca="1" si="5"/>
        <v/>
      </c>
    </row>
    <row r="177" spans="3:11" ht="14.25" x14ac:dyDescent="0.45">
      <c r="C177" t="str">
        <f>IF(B177="","",IFERROR(VLOOKUP(B177,'SPED Student Roster'!$A:$B,2,FALSE),""))</f>
        <v/>
      </c>
      <c r="D177" t="str">
        <f>IF(B177="","",IFERROR(VLOOKUP(B177,'SPED Student Roster'!$A:$C,3,FALSE),""))</f>
        <v/>
      </c>
      <c r="E177" t="str">
        <f>IF(B177="","",IFERROR(VLOOKUP(B177,'SPED Student Roster'!$A:$D,4,FALSE),""))</f>
        <v/>
      </c>
      <c r="F177" t="str">
        <f>IF(B177="","",IFERROR(VLOOKUP(B177,'SPED Student Roster'!$A:$E,5,FALSE),""))</f>
        <v/>
      </c>
      <c r="K177" t="str">
        <f t="shared" ca="1" si="5"/>
        <v/>
      </c>
    </row>
    <row r="178" spans="3:11" ht="14.25" x14ac:dyDescent="0.45">
      <c r="C178" t="str">
        <f>IF(B178="","",IFERROR(VLOOKUP(B178,'SPED Student Roster'!$A:$B,2,FALSE),""))</f>
        <v/>
      </c>
      <c r="D178" t="str">
        <f>IF(B178="","",IFERROR(VLOOKUP(B178,'SPED Student Roster'!$A:$C,3,FALSE),""))</f>
        <v/>
      </c>
      <c r="E178" t="str">
        <f>IF(B178="","",IFERROR(VLOOKUP(B178,'SPED Student Roster'!$A:$D,4,FALSE),""))</f>
        <v/>
      </c>
      <c r="F178" t="str">
        <f>IF(B178="","",IFERROR(VLOOKUP(B178,'SPED Student Roster'!$A:$E,5,FALSE),""))</f>
        <v/>
      </c>
      <c r="K178" t="str">
        <f t="shared" ca="1" si="5"/>
        <v/>
      </c>
    </row>
    <row r="179" spans="3:11" ht="14.25" x14ac:dyDescent="0.45">
      <c r="C179" t="str">
        <f>IF(B179="","",IFERROR(VLOOKUP(B179,'SPED Student Roster'!$A:$B,2,FALSE),""))</f>
        <v/>
      </c>
      <c r="D179" t="str">
        <f>IF(B179="","",IFERROR(VLOOKUP(B179,'SPED Student Roster'!$A:$C,3,FALSE),""))</f>
        <v/>
      </c>
      <c r="E179" t="str">
        <f>IF(B179="","",IFERROR(VLOOKUP(B179,'SPED Student Roster'!$A:$D,4,FALSE),""))</f>
        <v/>
      </c>
      <c r="F179" t="str">
        <f>IF(B179="","",IFERROR(VLOOKUP(B179,'SPED Student Roster'!$A:$E,5,FALSE),""))</f>
        <v/>
      </c>
      <c r="K179" t="str">
        <f t="shared" ca="1" si="5"/>
        <v/>
      </c>
    </row>
    <row r="180" spans="3:11" ht="14.25" x14ac:dyDescent="0.45">
      <c r="C180" t="str">
        <f>IF(B180="","",IFERROR(VLOOKUP(B180,'SPED Student Roster'!$A:$B,2,FALSE),""))</f>
        <v/>
      </c>
      <c r="D180" t="str">
        <f>IF(B180="","",IFERROR(VLOOKUP(B180,'SPED Student Roster'!$A:$C,3,FALSE),""))</f>
        <v/>
      </c>
      <c r="E180" t="str">
        <f>IF(B180="","",IFERROR(VLOOKUP(B180,'SPED Student Roster'!$A:$D,4,FALSE),""))</f>
        <v/>
      </c>
      <c r="F180" t="str">
        <f>IF(B180="","",IFERROR(VLOOKUP(B180,'SPED Student Roster'!$A:$E,5,FALSE),""))</f>
        <v/>
      </c>
      <c r="K180" t="str">
        <f t="shared" ca="1" si="5"/>
        <v/>
      </c>
    </row>
    <row r="181" spans="3:11" ht="14.25" x14ac:dyDescent="0.45">
      <c r="C181" t="str">
        <f>IF(B181="","",IFERROR(VLOOKUP(B181,'SPED Student Roster'!$A:$B,2,FALSE),""))</f>
        <v/>
      </c>
      <c r="D181" t="str">
        <f>IF(B181="","",IFERROR(VLOOKUP(B181,'SPED Student Roster'!$A:$C,3,FALSE),""))</f>
        <v/>
      </c>
      <c r="E181" t="str">
        <f>IF(B181="","",IFERROR(VLOOKUP(B181,'SPED Student Roster'!$A:$D,4,FALSE),""))</f>
        <v/>
      </c>
      <c r="F181" t="str">
        <f>IF(B181="","",IFERROR(VLOOKUP(B181,'SPED Student Roster'!$A:$E,5,FALSE),""))</f>
        <v/>
      </c>
      <c r="K181" t="str">
        <f t="shared" ca="1" si="5"/>
        <v/>
      </c>
    </row>
    <row r="182" spans="3:11" ht="14.25" x14ac:dyDescent="0.45">
      <c r="C182" t="str">
        <f>IF(B182="","",IFERROR(VLOOKUP(B182,'SPED Student Roster'!$A:$B,2,FALSE),""))</f>
        <v/>
      </c>
      <c r="D182" t="str">
        <f>IF(B182="","",IFERROR(VLOOKUP(B182,'SPED Student Roster'!$A:$C,3,FALSE),""))</f>
        <v/>
      </c>
      <c r="E182" t="str">
        <f>IF(B182="","",IFERROR(VLOOKUP(B182,'SPED Student Roster'!$A:$D,4,FALSE),""))</f>
        <v/>
      </c>
      <c r="F182" t="str">
        <f>IF(B182="","",IFERROR(VLOOKUP(B182,'SPED Student Roster'!$A:$E,5,FALSE),""))</f>
        <v/>
      </c>
      <c r="K182" t="str">
        <f t="shared" ca="1" si="5"/>
        <v/>
      </c>
    </row>
    <row r="183" spans="3:11" ht="14.25" x14ac:dyDescent="0.45">
      <c r="C183" t="str">
        <f>IF(B183="","",IFERROR(VLOOKUP(B183,'SPED Student Roster'!$A:$B,2,FALSE),""))</f>
        <v/>
      </c>
      <c r="D183" t="str">
        <f>IF(B183="","",IFERROR(VLOOKUP(B183,'SPED Student Roster'!$A:$C,3,FALSE),""))</f>
        <v/>
      </c>
      <c r="E183" t="str">
        <f>IF(B183="","",IFERROR(VLOOKUP(B183,'SPED Student Roster'!$A:$D,4,FALSE),""))</f>
        <v/>
      </c>
      <c r="F183" t="str">
        <f>IF(B183="","",IFERROR(VLOOKUP(B183,'SPED Student Roster'!$A:$E,5,FALSE),""))</f>
        <v/>
      </c>
      <c r="K183" t="str">
        <f t="shared" ca="1" si="5"/>
        <v/>
      </c>
    </row>
    <row r="184" spans="3:11" ht="14.25" x14ac:dyDescent="0.45">
      <c r="C184" t="str">
        <f>IF(B184="","",IFERROR(VLOOKUP(B184,'SPED Student Roster'!$A:$B,2,FALSE),""))</f>
        <v/>
      </c>
      <c r="D184" t="str">
        <f>IF(B184="","",IFERROR(VLOOKUP(B184,'SPED Student Roster'!$A:$C,3,FALSE),""))</f>
        <v/>
      </c>
      <c r="E184" t="str">
        <f>IF(B184="","",IFERROR(VLOOKUP(B184,'SPED Student Roster'!$A:$D,4,FALSE),""))</f>
        <v/>
      </c>
      <c r="F184" t="str">
        <f>IF(B184="","",IFERROR(VLOOKUP(B184,'SPED Student Roster'!$A:$E,5,FALSE),""))</f>
        <v/>
      </c>
      <c r="K184" t="str">
        <f t="shared" ca="1" si="5"/>
        <v/>
      </c>
    </row>
    <row r="185" spans="3:11" ht="14.25" x14ac:dyDescent="0.45">
      <c r="C185" t="str">
        <f>IF(B185="","",IFERROR(VLOOKUP(B185,'SPED Student Roster'!$A:$B,2,FALSE),""))</f>
        <v/>
      </c>
      <c r="D185" t="str">
        <f>IF(B185="","",IFERROR(VLOOKUP(B185,'SPED Student Roster'!$A:$C,3,FALSE),""))</f>
        <v/>
      </c>
      <c r="E185" t="str">
        <f>IF(B185="","",IFERROR(VLOOKUP(B185,'SPED Student Roster'!$A:$D,4,FALSE),""))</f>
        <v/>
      </c>
      <c r="F185" t="str">
        <f>IF(B185="","",IFERROR(VLOOKUP(B185,'SPED Student Roster'!$A:$E,5,FALSE),""))</f>
        <v/>
      </c>
      <c r="K185" t="str">
        <f t="shared" ca="1" si="5"/>
        <v/>
      </c>
    </row>
    <row r="186" spans="3:11" ht="14.25" x14ac:dyDescent="0.45">
      <c r="C186" t="str">
        <f>IF(B186="","",IFERROR(VLOOKUP(B186,'SPED Student Roster'!$A:$B,2,FALSE),""))</f>
        <v/>
      </c>
      <c r="D186" t="str">
        <f>IF(B186="","",IFERROR(VLOOKUP(B186,'SPED Student Roster'!$A:$C,3,FALSE),""))</f>
        <v/>
      </c>
      <c r="E186" t="str">
        <f>IF(B186="","",IFERROR(VLOOKUP(B186,'SPED Student Roster'!$A:$D,4,FALSE),""))</f>
        <v/>
      </c>
      <c r="F186" t="str">
        <f>IF(B186="","",IFERROR(VLOOKUP(B186,'SPED Student Roster'!$A:$E,5,FALSE),""))</f>
        <v/>
      </c>
      <c r="K186" t="str">
        <f t="shared" ca="1" si="5"/>
        <v/>
      </c>
    </row>
    <row r="187" spans="3:11" ht="14.25" x14ac:dyDescent="0.45">
      <c r="C187" t="str">
        <f>IF(B187="","",IFERROR(VLOOKUP(B187,'SPED Student Roster'!$A:$B,2,FALSE),""))</f>
        <v/>
      </c>
      <c r="D187" t="str">
        <f>IF(B187="","",IFERROR(VLOOKUP(B187,'SPED Student Roster'!$A:$C,3,FALSE),""))</f>
        <v/>
      </c>
      <c r="E187" t="str">
        <f>IF(B187="","",IFERROR(VLOOKUP(B187,'SPED Student Roster'!$A:$D,4,FALSE),""))</f>
        <v/>
      </c>
      <c r="F187" t="str">
        <f>IF(B187="","",IFERROR(VLOOKUP(B187,'SPED Student Roster'!$A:$E,5,FALSE),""))</f>
        <v/>
      </c>
      <c r="K187" t="str">
        <f t="shared" ca="1" si="5"/>
        <v/>
      </c>
    </row>
    <row r="188" spans="3:11" ht="14.25" x14ac:dyDescent="0.45">
      <c r="C188" t="str">
        <f>IF(B188="","",IFERROR(VLOOKUP(B188,'SPED Student Roster'!$A:$B,2,FALSE),""))</f>
        <v/>
      </c>
      <c r="D188" t="str">
        <f>IF(B188="","",IFERROR(VLOOKUP(B188,'SPED Student Roster'!$A:$C,3,FALSE),""))</f>
        <v/>
      </c>
      <c r="E188" t="str">
        <f>IF(B188="","",IFERROR(VLOOKUP(B188,'SPED Student Roster'!$A:$D,4,FALSE),""))</f>
        <v/>
      </c>
      <c r="F188" t="str">
        <f>IF(B188="","",IFERROR(VLOOKUP(B188,'SPED Student Roster'!$A:$E,5,FALSE),""))</f>
        <v/>
      </c>
      <c r="K188" t="str">
        <f t="shared" ca="1" si="5"/>
        <v/>
      </c>
    </row>
    <row r="189" spans="3:11" ht="14.25" x14ac:dyDescent="0.45">
      <c r="C189" t="str">
        <f>IF(B189="","",IFERROR(VLOOKUP(B189,'SPED Student Roster'!$A:$B,2,FALSE),""))</f>
        <v/>
      </c>
      <c r="D189" t="str">
        <f>IF(B189="","",IFERROR(VLOOKUP(B189,'SPED Student Roster'!$A:$C,3,FALSE),""))</f>
        <v/>
      </c>
      <c r="E189" t="str">
        <f>IF(B189="","",IFERROR(VLOOKUP(B189,'SPED Student Roster'!$A:$D,4,FALSE),""))</f>
        <v/>
      </c>
      <c r="F189" t="str">
        <f>IF(B189="","",IFERROR(VLOOKUP(B189,'SPED Student Roster'!$A:$E,5,FALSE),""))</f>
        <v/>
      </c>
      <c r="K189" t="str">
        <f t="shared" ca="1" si="5"/>
        <v/>
      </c>
    </row>
    <row r="190" spans="3:11" ht="14.25" x14ac:dyDescent="0.45">
      <c r="C190" t="str">
        <f>IF(B190="","",IFERROR(VLOOKUP(B190,'SPED Student Roster'!$A:$B,2,FALSE),""))</f>
        <v/>
      </c>
      <c r="D190" t="str">
        <f>IF(B190="","",IFERROR(VLOOKUP(B190,'SPED Student Roster'!$A:$C,3,FALSE),""))</f>
        <v/>
      </c>
      <c r="E190" t="str">
        <f>IF(B190="","",IFERROR(VLOOKUP(B190,'SPED Student Roster'!$A:$D,4,FALSE),""))</f>
        <v/>
      </c>
      <c r="F190" t="str">
        <f>IF(B190="","",IFERROR(VLOOKUP(B190,'SPED Student Roster'!$A:$E,5,FALSE),""))</f>
        <v/>
      </c>
      <c r="K190" t="str">
        <f t="shared" ca="1" si="5"/>
        <v/>
      </c>
    </row>
    <row r="191" spans="3:11" ht="14.25" x14ac:dyDescent="0.45">
      <c r="C191" t="str">
        <f>IF(B191="","",IFERROR(VLOOKUP(B191,'SPED Student Roster'!$A:$B,2,FALSE),""))</f>
        <v/>
      </c>
      <c r="D191" t="str">
        <f>IF(B191="","",IFERROR(VLOOKUP(B191,'SPED Student Roster'!$A:$C,3,FALSE),""))</f>
        <v/>
      </c>
      <c r="E191" t="str">
        <f>IF(B191="","",IFERROR(VLOOKUP(B191,'SPED Student Roster'!$A:$D,4,FALSE),""))</f>
        <v/>
      </c>
      <c r="F191" t="str">
        <f>IF(B191="","",IFERROR(VLOOKUP(B191,'SPED Student Roster'!$A:$E,5,FALSE),""))</f>
        <v/>
      </c>
      <c r="K191" t="str">
        <f t="shared" ca="1" si="5"/>
        <v/>
      </c>
    </row>
    <row r="192" spans="3:11" ht="14.25" x14ac:dyDescent="0.45">
      <c r="C192" t="str">
        <f>IF(B192="","",IFERROR(VLOOKUP(B192,'SPED Student Roster'!$A:$B,2,FALSE),""))</f>
        <v/>
      </c>
      <c r="D192" t="str">
        <f>IF(B192="","",IFERROR(VLOOKUP(B192,'SPED Student Roster'!$A:$C,3,FALSE),""))</f>
        <v/>
      </c>
      <c r="E192" t="str">
        <f>IF(B192="","",IFERROR(VLOOKUP(B192,'SPED Student Roster'!$A:$D,4,FALSE),""))</f>
        <v/>
      </c>
      <c r="F192" t="str">
        <f>IF(B192="","",IFERROR(VLOOKUP(B192,'SPED Student Roster'!$A:$E,5,FALSE),""))</f>
        <v/>
      </c>
      <c r="K192" t="str">
        <f t="shared" ca="1" si="5"/>
        <v/>
      </c>
    </row>
    <row r="193" spans="3:11" ht="14.25" x14ac:dyDescent="0.45">
      <c r="C193" t="str">
        <f>IF(B193="","",IFERROR(VLOOKUP(B193,'SPED Student Roster'!$A:$B,2,FALSE),""))</f>
        <v/>
      </c>
      <c r="D193" t="str">
        <f>IF(B193="","",IFERROR(VLOOKUP(B193,'SPED Student Roster'!$A:$C,3,FALSE),""))</f>
        <v/>
      </c>
      <c r="E193" t="str">
        <f>IF(B193="","",IFERROR(VLOOKUP(B193,'SPED Student Roster'!$A:$D,4,FALSE),""))</f>
        <v/>
      </c>
      <c r="F193" t="str">
        <f>IF(B193="","",IFERROR(VLOOKUP(B193,'SPED Student Roster'!$A:$E,5,FALSE),""))</f>
        <v/>
      </c>
      <c r="K193" t="str">
        <f t="shared" ca="1" si="5"/>
        <v/>
      </c>
    </row>
    <row r="194" spans="3:11" ht="14.25" x14ac:dyDescent="0.45">
      <c r="C194" t="str">
        <f>IF(B194="","",IFERROR(VLOOKUP(B194,'SPED Student Roster'!$A:$B,2,FALSE),""))</f>
        <v/>
      </c>
      <c r="D194" t="str">
        <f>IF(B194="","",IFERROR(VLOOKUP(B194,'SPED Student Roster'!$A:$C,3,FALSE),""))</f>
        <v/>
      </c>
      <c r="E194" t="str">
        <f>IF(B194="","",IFERROR(VLOOKUP(B194,'SPED Student Roster'!$A:$D,4,FALSE),""))</f>
        <v/>
      </c>
      <c r="F194" t="str">
        <f>IF(B194="","",IFERROR(VLOOKUP(B194,'SPED Student Roster'!$A:$E,5,FALSE),""))</f>
        <v/>
      </c>
      <c r="K194" t="str">
        <f t="shared" ca="1" si="5"/>
        <v/>
      </c>
    </row>
    <row r="195" spans="3:11" ht="14.25" x14ac:dyDescent="0.45">
      <c r="C195" t="str">
        <f>IF(B195="","",IFERROR(VLOOKUP(B195,'SPED Student Roster'!$A:$B,2,FALSE),""))</f>
        <v/>
      </c>
      <c r="D195" t="str">
        <f>IF(B195="","",IFERROR(VLOOKUP(B195,'SPED Student Roster'!$A:$C,3,FALSE),""))</f>
        <v/>
      </c>
      <c r="E195" t="str">
        <f>IF(B195="","",IFERROR(VLOOKUP(B195,'SPED Student Roster'!$A:$D,4,FALSE),""))</f>
        <v/>
      </c>
      <c r="F195" t="str">
        <f>IF(B195="","",IFERROR(VLOOKUP(B195,'SPED Student Roster'!$A:$E,5,FALSE),""))</f>
        <v/>
      </c>
      <c r="K195" t="str">
        <f t="shared" ca="1" si="5"/>
        <v/>
      </c>
    </row>
    <row r="196" spans="3:11" ht="14.25" x14ac:dyDescent="0.45">
      <c r="C196" t="str">
        <f>IF(B196="","",IFERROR(VLOOKUP(B196,'SPED Student Roster'!$A:$B,2,FALSE),""))</f>
        <v/>
      </c>
      <c r="D196" t="str">
        <f>IF(B196="","",IFERROR(VLOOKUP(B196,'SPED Student Roster'!$A:$C,3,FALSE),""))</f>
        <v/>
      </c>
      <c r="E196" t="str">
        <f>IF(B196="","",IFERROR(VLOOKUP(B196,'SPED Student Roster'!$A:$D,4,FALSE),""))</f>
        <v/>
      </c>
      <c r="F196" t="str">
        <f>IF(B196="","",IFERROR(VLOOKUP(B196,'SPED Student Roster'!$A:$E,5,FALSE),""))</f>
        <v/>
      </c>
      <c r="K196" t="str">
        <f t="shared" ref="K196:K201" ca="1" si="6">IF(OR(B196="",J196=""),"",J196-TODAY())</f>
        <v/>
      </c>
    </row>
    <row r="197" spans="3:11" ht="14.25" x14ac:dyDescent="0.45">
      <c r="C197" t="str">
        <f>IF(B197="","",IFERROR(VLOOKUP(B197,'SPED Student Roster'!$A:$B,2,FALSE),""))</f>
        <v/>
      </c>
      <c r="D197" t="str">
        <f>IF(B197="","",IFERROR(VLOOKUP(B197,'SPED Student Roster'!$A:$C,3,FALSE),""))</f>
        <v/>
      </c>
      <c r="E197" t="str">
        <f>IF(B197="","",IFERROR(VLOOKUP(B197,'SPED Student Roster'!$A:$D,4,FALSE),""))</f>
        <v/>
      </c>
      <c r="F197" t="str">
        <f>IF(B197="","",IFERROR(VLOOKUP(B197,'SPED Student Roster'!$A:$E,5,FALSE),""))</f>
        <v/>
      </c>
      <c r="K197" t="str">
        <f t="shared" ca="1" si="6"/>
        <v/>
      </c>
    </row>
    <row r="198" spans="3:11" ht="14.25" x14ac:dyDescent="0.45">
      <c r="C198" t="str">
        <f>IF(B198="","",IFERROR(VLOOKUP(B198,'SPED Student Roster'!$A:$B,2,FALSE),""))</f>
        <v/>
      </c>
      <c r="D198" t="str">
        <f>IF(B198="","",IFERROR(VLOOKUP(B198,'SPED Student Roster'!$A:$C,3,FALSE),""))</f>
        <v/>
      </c>
      <c r="E198" t="str">
        <f>IF(B198="","",IFERROR(VLOOKUP(B198,'SPED Student Roster'!$A:$D,4,FALSE),""))</f>
        <v/>
      </c>
      <c r="F198" t="str">
        <f>IF(B198="","",IFERROR(VLOOKUP(B198,'SPED Student Roster'!$A:$E,5,FALSE),""))</f>
        <v/>
      </c>
      <c r="K198" t="str">
        <f t="shared" ca="1" si="6"/>
        <v/>
      </c>
    </row>
    <row r="199" spans="3:11" ht="14.25" x14ac:dyDescent="0.45">
      <c r="C199" t="str">
        <f>IF(B199="","",IFERROR(VLOOKUP(B199,'SPED Student Roster'!$A:$B,2,FALSE),""))</f>
        <v/>
      </c>
      <c r="D199" t="str">
        <f>IF(B199="","",IFERROR(VLOOKUP(B199,'SPED Student Roster'!$A:$C,3,FALSE),""))</f>
        <v/>
      </c>
      <c r="E199" t="str">
        <f>IF(B199="","",IFERROR(VLOOKUP(B199,'SPED Student Roster'!$A:$D,4,FALSE),""))</f>
        <v/>
      </c>
      <c r="F199" t="str">
        <f>IF(B199="","",IFERROR(VLOOKUP(B199,'SPED Student Roster'!$A:$E,5,FALSE),""))</f>
        <v/>
      </c>
      <c r="K199" t="str">
        <f t="shared" ca="1" si="6"/>
        <v/>
      </c>
    </row>
    <row r="200" spans="3:11" ht="14.25" x14ac:dyDescent="0.45">
      <c r="C200" t="str">
        <f>IF(B200="","",IFERROR(VLOOKUP(B200,'SPED Student Roster'!$A:$B,2,FALSE),""))</f>
        <v/>
      </c>
      <c r="D200" t="str">
        <f>IF(B200="","",IFERROR(VLOOKUP(B200,'SPED Student Roster'!$A:$C,3,FALSE),""))</f>
        <v/>
      </c>
      <c r="E200" t="str">
        <f>IF(B200="","",IFERROR(VLOOKUP(B200,'SPED Student Roster'!$A:$D,4,FALSE),""))</f>
        <v/>
      </c>
      <c r="F200" t="str">
        <f>IF(B200="","",IFERROR(VLOOKUP(B200,'SPED Student Roster'!$A:$E,5,FALSE),""))</f>
        <v/>
      </c>
      <c r="K200" t="str">
        <f t="shared" ca="1" si="6"/>
        <v/>
      </c>
    </row>
    <row r="201" spans="3:11" ht="14.25" x14ac:dyDescent="0.45">
      <c r="C201" t="str">
        <f>IF(B201="","",IFERROR(VLOOKUP(B201,'SPED Student Roster'!$A:$B,2,FALSE),""))</f>
        <v/>
      </c>
      <c r="D201" t="str">
        <f>IF(B201="","",IFERROR(VLOOKUP(B201,'SPED Student Roster'!$A:$C,3,FALSE),""))</f>
        <v/>
      </c>
      <c r="E201" t="str">
        <f>IF(B201="","",IFERROR(VLOOKUP(B201,'SPED Student Roster'!$A:$D,4,FALSE),""))</f>
        <v/>
      </c>
      <c r="F201" t="str">
        <f>IF(B201="","",IFERROR(VLOOKUP(B201,'SPED Student Roster'!$A:$E,5,FALSE),""))</f>
        <v/>
      </c>
      <c r="K201" t="str">
        <f t="shared" ca="1" si="6"/>
        <v/>
      </c>
    </row>
  </sheetData>
  <mergeCells count="2">
    <mergeCell ref="A2:R2"/>
    <mergeCell ref="A1:R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lease select from the dropdown list." xr:uid="{00000000-0002-0000-0300-000000000000}">
          <x14:formula1>
            <xm:f>Lists!$E$2:$E$5</xm:f>
          </x14:formula1>
          <xm:sqref>G4:G201</xm:sqref>
        </x14:dataValidation>
        <x14:dataValidation type="list" allowBlank="1" showErrorMessage="1" errorTitle="Invalid entry" error="Please select from the dropdown list." xr:uid="{00000000-0002-0000-0300-000002000000}">
          <x14:formula1>
            <xm:f>Lists!$I$2:$I$3</xm:f>
          </x14:formula1>
          <xm:sqref>N4:Q201 L4:L201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1"/>
  <sheetViews>
    <sheetView zoomScaleNormal="100" workbookViewId="0"/>
  </sheetViews>
  <sheetFormatPr defaultRowHeight="15" customHeight="1" x14ac:dyDescent="0.45"/>
  <cols>
    <col min="1" max="1" width="15" customWidth="1"/>
    <col min="2" max="3" width="18.33203125" customWidth="1"/>
    <col min="4" max="4" width="13.33203125" customWidth="1"/>
    <col min="5" max="5" width="21.6640625" customWidth="1"/>
    <col min="6" max="6" width="23.33203125" customWidth="1"/>
    <col min="7" max="7" width="33.33203125" customWidth="1"/>
    <col min="8" max="8" width="23.33203125" customWidth="1"/>
    <col min="9" max="10" width="15" customWidth="1"/>
    <col min="11" max="11" width="21.6640625" customWidth="1"/>
    <col min="12" max="12" width="20" customWidth="1"/>
    <col min="13" max="13" width="21.6640625" customWidth="1"/>
    <col min="14" max="14" width="20" customWidth="1"/>
    <col min="15" max="15" width="26.6640625" customWidth="1"/>
    <col min="16" max="16" width="33.33203125" customWidth="1"/>
  </cols>
  <sheetData>
    <row r="1" spans="1:16" ht="14.25" x14ac:dyDescent="0.45">
      <c r="A1" s="4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45">
      <c r="A2" s="4" t="s">
        <v>132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4.25" x14ac:dyDescent="0.45">
      <c r="A3" t="s">
        <v>32</v>
      </c>
      <c r="B3" t="s">
        <v>89</v>
      </c>
      <c r="C3" t="s">
        <v>90</v>
      </c>
      <c r="D3" t="s">
        <v>91</v>
      </c>
      <c r="E3" t="s">
        <v>92</v>
      </c>
      <c r="F3" t="s">
        <v>133</v>
      </c>
      <c r="G3" t="s">
        <v>134</v>
      </c>
      <c r="H3" t="s">
        <v>135</v>
      </c>
      <c r="I3" t="s">
        <v>136</v>
      </c>
      <c r="J3" t="s">
        <v>137</v>
      </c>
      <c r="K3" t="s">
        <v>124</v>
      </c>
      <c r="L3" t="s">
        <v>125</v>
      </c>
      <c r="M3" t="s">
        <v>138</v>
      </c>
      <c r="N3" t="s">
        <v>139</v>
      </c>
      <c r="O3" t="s">
        <v>140</v>
      </c>
      <c r="P3" t="s">
        <v>45</v>
      </c>
    </row>
    <row r="4" spans="1:16" ht="15" customHeight="1" x14ac:dyDescent="0.5">
      <c r="A4" t="s">
        <v>46</v>
      </c>
      <c r="B4" s="1" t="str">
        <f>IF(A4="","",IFERROR(VLOOKUP(A4,'SPED Student Roster'!$A:$B,2,FALSE),""))</f>
        <v>Alvarez</v>
      </c>
      <c r="C4" t="str">
        <f>IF(A4="","",IFERROR(VLOOKUP(A4,'SPED Student Roster'!$A:$C,3,FALSE),""))</f>
        <v>Elena</v>
      </c>
      <c r="D4" t="str">
        <f>IF(A4="","",IFERROR(VLOOKUP(A4,'SPED Student Roster'!$A:$D,4,FALSE),""))</f>
        <v>11th Grade</v>
      </c>
      <c r="E4" t="str">
        <f>IF(A4="","",IFERROR(VLOOKUP(A4,'SPED Student Roster'!$A:$E,5,FALSE),""))</f>
        <v>Lincoln High</v>
      </c>
      <c r="F4" s="2">
        <v>44059</v>
      </c>
      <c r="G4" t="s">
        <v>141</v>
      </c>
      <c r="H4" t="s">
        <v>55</v>
      </c>
      <c r="I4" s="1" t="s">
        <v>53</v>
      </c>
      <c r="K4" t="s">
        <v>54</v>
      </c>
      <c r="L4" t="s">
        <v>54</v>
      </c>
      <c r="M4" s="2">
        <v>46113</v>
      </c>
      <c r="N4" t="s">
        <v>142</v>
      </c>
      <c r="O4" t="s">
        <v>54</v>
      </c>
      <c r="P4" t="s">
        <v>143</v>
      </c>
    </row>
    <row r="5" spans="1:16" ht="15" customHeight="1" x14ac:dyDescent="0.5">
      <c r="A5" t="s">
        <v>65</v>
      </c>
      <c r="B5" s="1" t="str">
        <f>IF(A5="","",IFERROR(VLOOKUP(A5,'SPED Student Roster'!$A:$B,2,FALSE),""))</f>
        <v>Kim</v>
      </c>
      <c r="C5" t="str">
        <f>IF(A5="","",IFERROR(VLOOKUP(A5,'SPED Student Roster'!$A:$C,3,FALSE),""))</f>
        <v>Sarah</v>
      </c>
      <c r="D5" t="str">
        <f>IF(A5="","",IFERROR(VLOOKUP(A5,'SPED Student Roster'!$A:$D,4,FALSE),""))</f>
        <v>6th Grade</v>
      </c>
      <c r="E5" t="str">
        <f>IF(A5="","",IFERROR(VLOOKUP(A5,'SPED Student Roster'!$A:$E,5,FALSE),""))</f>
        <v>Jefferson Middle</v>
      </c>
      <c r="F5" s="2">
        <v>44450</v>
      </c>
      <c r="G5" t="s">
        <v>144</v>
      </c>
      <c r="H5" t="s">
        <v>72</v>
      </c>
      <c r="I5" s="1" t="s">
        <v>54</v>
      </c>
      <c r="J5" t="s">
        <v>126</v>
      </c>
      <c r="K5" t="s">
        <v>54</v>
      </c>
      <c r="L5" t="s">
        <v>54</v>
      </c>
      <c r="M5" s="2">
        <v>46082</v>
      </c>
      <c r="N5" t="s">
        <v>145</v>
      </c>
      <c r="O5" t="s">
        <v>54</v>
      </c>
      <c r="P5" t="s">
        <v>146</v>
      </c>
    </row>
    <row r="6" spans="1:16" x14ac:dyDescent="0.45">
      <c r="B6" t="str">
        <f>IF(A6="","",IFERROR(VLOOKUP(A6,'SPED Student Roster'!$A:$B,2,FALSE),""))</f>
        <v/>
      </c>
      <c r="C6" t="str">
        <f>IF(A6="","",IFERROR(VLOOKUP(A6,'SPED Student Roster'!$A:$C,3,FALSE),""))</f>
        <v/>
      </c>
      <c r="D6" t="str">
        <f>IF(A6="","",IFERROR(VLOOKUP(A6,'SPED Student Roster'!$A:$D,4,FALSE),""))</f>
        <v/>
      </c>
      <c r="E6" t="str">
        <f>IF(A6="","",IFERROR(VLOOKUP(A6,'SPED Student Roster'!$A:$E,5,FALSE),""))</f>
        <v/>
      </c>
    </row>
    <row r="7" spans="1:16" x14ac:dyDescent="0.45">
      <c r="B7" t="str">
        <f>IF(A7="","",IFERROR(VLOOKUP(A7,'SPED Student Roster'!$A:$B,2,FALSE),""))</f>
        <v/>
      </c>
      <c r="C7" t="str">
        <f>IF(A7="","",IFERROR(VLOOKUP(A7,'SPED Student Roster'!$A:$C,3,FALSE),""))</f>
        <v/>
      </c>
      <c r="D7" t="str">
        <f>IF(A7="","",IFERROR(VLOOKUP(A7,'SPED Student Roster'!$A:$D,4,FALSE),""))</f>
        <v/>
      </c>
      <c r="E7" t="str">
        <f>IF(A7="","",IFERROR(VLOOKUP(A7,'SPED Student Roster'!$A:$E,5,FALSE),""))</f>
        <v/>
      </c>
    </row>
    <row r="8" spans="1:16" x14ac:dyDescent="0.45">
      <c r="B8" t="str">
        <f>IF(A8="","",IFERROR(VLOOKUP(A8,'SPED Student Roster'!$A:$B,2,FALSE),""))</f>
        <v/>
      </c>
      <c r="C8" t="str">
        <f>IF(A8="","",IFERROR(VLOOKUP(A8,'SPED Student Roster'!$A:$C,3,FALSE),""))</f>
        <v/>
      </c>
      <c r="D8" t="str">
        <f>IF(A8="","",IFERROR(VLOOKUP(A8,'SPED Student Roster'!$A:$D,4,FALSE),""))</f>
        <v/>
      </c>
      <c r="E8" t="str">
        <f>IF(A8="","",IFERROR(VLOOKUP(A8,'SPED Student Roster'!$A:$E,5,FALSE),""))</f>
        <v/>
      </c>
    </row>
    <row r="9" spans="1:16" x14ac:dyDescent="0.45">
      <c r="B9" t="str">
        <f>IF(A9="","",IFERROR(VLOOKUP(A9,'SPED Student Roster'!$A:$B,2,FALSE),""))</f>
        <v/>
      </c>
      <c r="C9" t="str">
        <f>IF(A9="","",IFERROR(VLOOKUP(A9,'SPED Student Roster'!$A:$C,3,FALSE),""))</f>
        <v/>
      </c>
      <c r="D9" t="str">
        <f>IF(A9="","",IFERROR(VLOOKUP(A9,'SPED Student Roster'!$A:$D,4,FALSE),""))</f>
        <v/>
      </c>
      <c r="E9" t="str">
        <f>IF(A9="","",IFERROR(VLOOKUP(A9,'SPED Student Roster'!$A:$E,5,FALSE),""))</f>
        <v/>
      </c>
    </row>
    <row r="10" spans="1:16" x14ac:dyDescent="0.45">
      <c r="B10" t="str">
        <f>IF(A10="","",IFERROR(VLOOKUP(A10,'SPED Student Roster'!$A:$B,2,FALSE),""))</f>
        <v/>
      </c>
      <c r="C10" t="str">
        <f>IF(A10="","",IFERROR(VLOOKUP(A10,'SPED Student Roster'!$A:$C,3,FALSE),""))</f>
        <v/>
      </c>
      <c r="D10" t="str">
        <f>IF(A10="","",IFERROR(VLOOKUP(A10,'SPED Student Roster'!$A:$D,4,FALSE),""))</f>
        <v/>
      </c>
      <c r="E10" t="str">
        <f>IF(A10="","",IFERROR(VLOOKUP(A10,'SPED Student Roster'!$A:$E,5,FALSE),""))</f>
        <v/>
      </c>
    </row>
    <row r="11" spans="1:16" x14ac:dyDescent="0.45">
      <c r="B11" t="str">
        <f>IF(A11="","",IFERROR(VLOOKUP(A11,'SPED Student Roster'!$A:$B,2,FALSE),""))</f>
        <v/>
      </c>
      <c r="C11" t="str">
        <f>IF(A11="","",IFERROR(VLOOKUP(A11,'SPED Student Roster'!$A:$C,3,FALSE),""))</f>
        <v/>
      </c>
      <c r="D11" t="str">
        <f>IF(A11="","",IFERROR(VLOOKUP(A11,'SPED Student Roster'!$A:$D,4,FALSE),""))</f>
        <v/>
      </c>
      <c r="E11" t="str">
        <f>IF(A11="","",IFERROR(VLOOKUP(A11,'SPED Student Roster'!$A:$E,5,FALSE),""))</f>
        <v/>
      </c>
    </row>
    <row r="12" spans="1:16" x14ac:dyDescent="0.45">
      <c r="B12" t="str">
        <f>IF(A12="","",IFERROR(VLOOKUP(A12,'SPED Student Roster'!$A:$B,2,FALSE),""))</f>
        <v/>
      </c>
      <c r="C12" t="str">
        <f>IF(A12="","",IFERROR(VLOOKUP(A12,'SPED Student Roster'!$A:$C,3,FALSE),""))</f>
        <v/>
      </c>
      <c r="D12" t="str">
        <f>IF(A12="","",IFERROR(VLOOKUP(A12,'SPED Student Roster'!$A:$D,4,FALSE),""))</f>
        <v/>
      </c>
      <c r="E12" t="str">
        <f>IF(A12="","",IFERROR(VLOOKUP(A12,'SPED Student Roster'!$A:$E,5,FALSE),""))</f>
        <v/>
      </c>
    </row>
    <row r="13" spans="1:16" x14ac:dyDescent="0.45">
      <c r="B13" t="str">
        <f>IF(A13="","",IFERROR(VLOOKUP(A13,'SPED Student Roster'!$A:$B,2,FALSE),""))</f>
        <v/>
      </c>
      <c r="C13" t="str">
        <f>IF(A13="","",IFERROR(VLOOKUP(A13,'SPED Student Roster'!$A:$C,3,FALSE),""))</f>
        <v/>
      </c>
      <c r="D13" t="str">
        <f>IF(A13="","",IFERROR(VLOOKUP(A13,'SPED Student Roster'!$A:$D,4,FALSE),""))</f>
        <v/>
      </c>
      <c r="E13" t="str">
        <f>IF(A13="","",IFERROR(VLOOKUP(A13,'SPED Student Roster'!$A:$E,5,FALSE),""))</f>
        <v/>
      </c>
    </row>
    <row r="14" spans="1:16" x14ac:dyDescent="0.45">
      <c r="B14" t="str">
        <f>IF(A14="","",IFERROR(VLOOKUP(A14,'SPED Student Roster'!$A:$B,2,FALSE),""))</f>
        <v/>
      </c>
      <c r="C14" t="str">
        <f>IF(A14="","",IFERROR(VLOOKUP(A14,'SPED Student Roster'!$A:$C,3,FALSE),""))</f>
        <v/>
      </c>
      <c r="D14" t="str">
        <f>IF(A14="","",IFERROR(VLOOKUP(A14,'SPED Student Roster'!$A:$D,4,FALSE),""))</f>
        <v/>
      </c>
      <c r="E14" t="str">
        <f>IF(A14="","",IFERROR(VLOOKUP(A14,'SPED Student Roster'!$A:$E,5,FALSE),""))</f>
        <v/>
      </c>
    </row>
    <row r="15" spans="1:16" x14ac:dyDescent="0.45">
      <c r="B15" t="str">
        <f>IF(A15="","",IFERROR(VLOOKUP(A15,'SPED Student Roster'!$A:$B,2,FALSE),""))</f>
        <v/>
      </c>
      <c r="C15" t="str">
        <f>IF(A15="","",IFERROR(VLOOKUP(A15,'SPED Student Roster'!$A:$C,3,FALSE),""))</f>
        <v/>
      </c>
      <c r="D15" t="str">
        <f>IF(A15="","",IFERROR(VLOOKUP(A15,'SPED Student Roster'!$A:$D,4,FALSE),""))</f>
        <v/>
      </c>
      <c r="E15" t="str">
        <f>IF(A15="","",IFERROR(VLOOKUP(A15,'SPED Student Roster'!$A:$E,5,FALSE),""))</f>
        <v/>
      </c>
    </row>
    <row r="16" spans="1:16" x14ac:dyDescent="0.45">
      <c r="B16" t="str">
        <f>IF(A16="","",IFERROR(VLOOKUP(A16,'SPED Student Roster'!$A:$B,2,FALSE),""))</f>
        <v/>
      </c>
      <c r="C16" t="str">
        <f>IF(A16="","",IFERROR(VLOOKUP(A16,'SPED Student Roster'!$A:$C,3,FALSE),""))</f>
        <v/>
      </c>
      <c r="D16" t="str">
        <f>IF(A16="","",IFERROR(VLOOKUP(A16,'SPED Student Roster'!$A:$D,4,FALSE),""))</f>
        <v/>
      </c>
      <c r="E16" t="str">
        <f>IF(A16="","",IFERROR(VLOOKUP(A16,'SPED Student Roster'!$A:$E,5,FALSE),""))</f>
        <v/>
      </c>
    </row>
    <row r="17" spans="2:5" x14ac:dyDescent="0.45">
      <c r="B17" t="str">
        <f>IF(A17="","",IFERROR(VLOOKUP(A17,'SPED Student Roster'!$A:$B,2,FALSE),""))</f>
        <v/>
      </c>
      <c r="C17" t="str">
        <f>IF(A17="","",IFERROR(VLOOKUP(A17,'SPED Student Roster'!$A:$C,3,FALSE),""))</f>
        <v/>
      </c>
      <c r="D17" t="str">
        <f>IF(A17="","",IFERROR(VLOOKUP(A17,'SPED Student Roster'!$A:$D,4,FALSE),""))</f>
        <v/>
      </c>
      <c r="E17" t="str">
        <f>IF(A17="","",IFERROR(VLOOKUP(A17,'SPED Student Roster'!$A:$E,5,FALSE),""))</f>
        <v/>
      </c>
    </row>
    <row r="18" spans="2:5" x14ac:dyDescent="0.45">
      <c r="B18" t="str">
        <f>IF(A18="","",IFERROR(VLOOKUP(A18,'SPED Student Roster'!$A:$B,2,FALSE),""))</f>
        <v/>
      </c>
      <c r="C18" t="str">
        <f>IF(A18="","",IFERROR(VLOOKUP(A18,'SPED Student Roster'!$A:$C,3,FALSE),""))</f>
        <v/>
      </c>
      <c r="D18" t="str">
        <f>IF(A18="","",IFERROR(VLOOKUP(A18,'SPED Student Roster'!$A:$D,4,FALSE),""))</f>
        <v/>
      </c>
      <c r="E18" t="str">
        <f>IF(A18="","",IFERROR(VLOOKUP(A18,'SPED Student Roster'!$A:$E,5,FALSE),""))</f>
        <v/>
      </c>
    </row>
    <row r="19" spans="2:5" x14ac:dyDescent="0.45">
      <c r="B19" t="str">
        <f>IF(A19="","",IFERROR(VLOOKUP(A19,'SPED Student Roster'!$A:$B,2,FALSE),""))</f>
        <v/>
      </c>
      <c r="C19" t="str">
        <f>IF(A19="","",IFERROR(VLOOKUP(A19,'SPED Student Roster'!$A:$C,3,FALSE),""))</f>
        <v/>
      </c>
      <c r="D19" t="str">
        <f>IF(A19="","",IFERROR(VLOOKUP(A19,'SPED Student Roster'!$A:$D,4,FALSE),""))</f>
        <v/>
      </c>
      <c r="E19" t="str">
        <f>IF(A19="","",IFERROR(VLOOKUP(A19,'SPED Student Roster'!$A:$E,5,FALSE),""))</f>
        <v/>
      </c>
    </row>
    <row r="20" spans="2:5" x14ac:dyDescent="0.45">
      <c r="B20" t="str">
        <f>IF(A20="","",IFERROR(VLOOKUP(A20,'SPED Student Roster'!$A:$B,2,FALSE),""))</f>
        <v/>
      </c>
      <c r="C20" t="str">
        <f>IF(A20="","",IFERROR(VLOOKUP(A20,'SPED Student Roster'!$A:$C,3,FALSE),""))</f>
        <v/>
      </c>
      <c r="D20" t="str">
        <f>IF(A20="","",IFERROR(VLOOKUP(A20,'SPED Student Roster'!$A:$D,4,FALSE),""))</f>
        <v/>
      </c>
      <c r="E20" t="str">
        <f>IF(A20="","",IFERROR(VLOOKUP(A20,'SPED Student Roster'!$A:$E,5,FALSE),""))</f>
        <v/>
      </c>
    </row>
    <row r="21" spans="2:5" x14ac:dyDescent="0.45">
      <c r="B21" t="str">
        <f>IF(A21="","",IFERROR(VLOOKUP(A21,'SPED Student Roster'!$A:$B,2,FALSE),""))</f>
        <v/>
      </c>
      <c r="C21" t="str">
        <f>IF(A21="","",IFERROR(VLOOKUP(A21,'SPED Student Roster'!$A:$C,3,FALSE),""))</f>
        <v/>
      </c>
      <c r="D21" t="str">
        <f>IF(A21="","",IFERROR(VLOOKUP(A21,'SPED Student Roster'!$A:$D,4,FALSE),""))</f>
        <v/>
      </c>
      <c r="E21" t="str">
        <f>IF(A21="","",IFERROR(VLOOKUP(A21,'SPED Student Roster'!$A:$E,5,FALSE),""))</f>
        <v/>
      </c>
    </row>
    <row r="22" spans="2:5" x14ac:dyDescent="0.45">
      <c r="B22" t="str">
        <f>IF(A22="","",IFERROR(VLOOKUP(A22,'SPED Student Roster'!$A:$B,2,FALSE),""))</f>
        <v/>
      </c>
      <c r="C22" t="str">
        <f>IF(A22="","",IFERROR(VLOOKUP(A22,'SPED Student Roster'!$A:$C,3,FALSE),""))</f>
        <v/>
      </c>
      <c r="D22" t="str">
        <f>IF(A22="","",IFERROR(VLOOKUP(A22,'SPED Student Roster'!$A:$D,4,FALSE),""))</f>
        <v/>
      </c>
      <c r="E22" t="str">
        <f>IF(A22="","",IFERROR(VLOOKUP(A22,'SPED Student Roster'!$A:$E,5,FALSE),""))</f>
        <v/>
      </c>
    </row>
    <row r="23" spans="2:5" x14ac:dyDescent="0.45">
      <c r="B23" t="str">
        <f>IF(A23="","",IFERROR(VLOOKUP(A23,'SPED Student Roster'!$A:$B,2,FALSE),""))</f>
        <v/>
      </c>
      <c r="C23" t="str">
        <f>IF(A23="","",IFERROR(VLOOKUP(A23,'SPED Student Roster'!$A:$C,3,FALSE),""))</f>
        <v/>
      </c>
      <c r="D23" t="str">
        <f>IF(A23="","",IFERROR(VLOOKUP(A23,'SPED Student Roster'!$A:$D,4,FALSE),""))</f>
        <v/>
      </c>
      <c r="E23" t="str">
        <f>IF(A23="","",IFERROR(VLOOKUP(A23,'SPED Student Roster'!$A:$E,5,FALSE),""))</f>
        <v/>
      </c>
    </row>
    <row r="24" spans="2:5" x14ac:dyDescent="0.45">
      <c r="B24" t="str">
        <f>IF(A24="","",IFERROR(VLOOKUP(A24,'SPED Student Roster'!$A:$B,2,FALSE),""))</f>
        <v/>
      </c>
      <c r="C24" t="str">
        <f>IF(A24="","",IFERROR(VLOOKUP(A24,'SPED Student Roster'!$A:$C,3,FALSE),""))</f>
        <v/>
      </c>
      <c r="D24" t="str">
        <f>IF(A24="","",IFERROR(VLOOKUP(A24,'SPED Student Roster'!$A:$D,4,FALSE),""))</f>
        <v/>
      </c>
      <c r="E24" t="str">
        <f>IF(A24="","",IFERROR(VLOOKUP(A24,'SPED Student Roster'!$A:$E,5,FALSE),""))</f>
        <v/>
      </c>
    </row>
    <row r="25" spans="2:5" x14ac:dyDescent="0.45">
      <c r="B25" t="str">
        <f>IF(A25="","",IFERROR(VLOOKUP(A25,'SPED Student Roster'!$A:$B,2,FALSE),""))</f>
        <v/>
      </c>
      <c r="C25" t="str">
        <f>IF(A25="","",IFERROR(VLOOKUP(A25,'SPED Student Roster'!$A:$C,3,FALSE),""))</f>
        <v/>
      </c>
      <c r="D25" t="str">
        <f>IF(A25="","",IFERROR(VLOOKUP(A25,'SPED Student Roster'!$A:$D,4,FALSE),""))</f>
        <v/>
      </c>
      <c r="E25" t="str">
        <f>IF(A25="","",IFERROR(VLOOKUP(A25,'SPED Student Roster'!$A:$E,5,FALSE),""))</f>
        <v/>
      </c>
    </row>
    <row r="26" spans="2:5" x14ac:dyDescent="0.45">
      <c r="B26" t="str">
        <f>IF(A26="","",IFERROR(VLOOKUP(A26,'SPED Student Roster'!$A:$B,2,FALSE),""))</f>
        <v/>
      </c>
      <c r="C26" t="str">
        <f>IF(A26="","",IFERROR(VLOOKUP(A26,'SPED Student Roster'!$A:$C,3,FALSE),""))</f>
        <v/>
      </c>
      <c r="D26" t="str">
        <f>IF(A26="","",IFERROR(VLOOKUP(A26,'SPED Student Roster'!$A:$D,4,FALSE),""))</f>
        <v/>
      </c>
      <c r="E26" t="str">
        <f>IF(A26="","",IFERROR(VLOOKUP(A26,'SPED Student Roster'!$A:$E,5,FALSE),""))</f>
        <v/>
      </c>
    </row>
    <row r="27" spans="2:5" x14ac:dyDescent="0.45">
      <c r="B27" t="str">
        <f>IF(A27="","",IFERROR(VLOOKUP(A27,'SPED Student Roster'!$A:$B,2,FALSE),""))</f>
        <v/>
      </c>
      <c r="C27" t="str">
        <f>IF(A27="","",IFERROR(VLOOKUP(A27,'SPED Student Roster'!$A:$C,3,FALSE),""))</f>
        <v/>
      </c>
      <c r="D27" t="str">
        <f>IF(A27="","",IFERROR(VLOOKUP(A27,'SPED Student Roster'!$A:$D,4,FALSE),""))</f>
        <v/>
      </c>
      <c r="E27" t="str">
        <f>IF(A27="","",IFERROR(VLOOKUP(A27,'SPED Student Roster'!$A:$E,5,FALSE),""))</f>
        <v/>
      </c>
    </row>
    <row r="28" spans="2:5" x14ac:dyDescent="0.45">
      <c r="B28" t="str">
        <f>IF(A28="","",IFERROR(VLOOKUP(A28,'SPED Student Roster'!$A:$B,2,FALSE),""))</f>
        <v/>
      </c>
      <c r="C28" t="str">
        <f>IF(A28="","",IFERROR(VLOOKUP(A28,'SPED Student Roster'!$A:$C,3,FALSE),""))</f>
        <v/>
      </c>
      <c r="D28" t="str">
        <f>IF(A28="","",IFERROR(VLOOKUP(A28,'SPED Student Roster'!$A:$D,4,FALSE),""))</f>
        <v/>
      </c>
      <c r="E28" t="str">
        <f>IF(A28="","",IFERROR(VLOOKUP(A28,'SPED Student Roster'!$A:$E,5,FALSE),""))</f>
        <v/>
      </c>
    </row>
    <row r="29" spans="2:5" ht="14.25" x14ac:dyDescent="0.45">
      <c r="B29" t="str">
        <f>IF(A29="","",IFERROR(VLOOKUP(A29,'SPED Student Roster'!$A:$B,2,FALSE),""))</f>
        <v/>
      </c>
      <c r="C29" t="str">
        <f>IF(A29="","",IFERROR(VLOOKUP(A29,'SPED Student Roster'!$A:$C,3,FALSE),""))</f>
        <v/>
      </c>
      <c r="D29" t="str">
        <f>IF(A29="","",IFERROR(VLOOKUP(A29,'SPED Student Roster'!$A:$D,4,FALSE),""))</f>
        <v/>
      </c>
      <c r="E29" t="str">
        <f>IF(A29="","",IFERROR(VLOOKUP(A29,'SPED Student Roster'!$A:$E,5,FALSE),""))</f>
        <v/>
      </c>
    </row>
    <row r="30" spans="2:5" ht="14.25" x14ac:dyDescent="0.45">
      <c r="B30" t="str">
        <f>IF(A30="","",IFERROR(VLOOKUP(A30,'SPED Student Roster'!$A:$B,2,FALSE),""))</f>
        <v/>
      </c>
      <c r="C30" t="str">
        <f>IF(A30="","",IFERROR(VLOOKUP(A30,'SPED Student Roster'!$A:$C,3,FALSE),""))</f>
        <v/>
      </c>
      <c r="D30" t="str">
        <f>IF(A30="","",IFERROR(VLOOKUP(A30,'SPED Student Roster'!$A:$D,4,FALSE),""))</f>
        <v/>
      </c>
      <c r="E30" t="str">
        <f>IF(A30="","",IFERROR(VLOOKUP(A30,'SPED Student Roster'!$A:$E,5,FALSE),""))</f>
        <v/>
      </c>
    </row>
    <row r="31" spans="2:5" ht="14.25" x14ac:dyDescent="0.45">
      <c r="B31" t="str">
        <f>IF(A31="","",IFERROR(VLOOKUP(A31,'SPED Student Roster'!$A:$B,2,FALSE),""))</f>
        <v/>
      </c>
      <c r="C31" t="str">
        <f>IF(A31="","",IFERROR(VLOOKUP(A31,'SPED Student Roster'!$A:$C,3,FALSE),""))</f>
        <v/>
      </c>
      <c r="D31" t="str">
        <f>IF(A31="","",IFERROR(VLOOKUP(A31,'SPED Student Roster'!$A:$D,4,FALSE),""))</f>
        <v/>
      </c>
      <c r="E31" t="str">
        <f>IF(A31="","",IFERROR(VLOOKUP(A31,'SPED Student Roster'!$A:$E,5,FALSE),""))</f>
        <v/>
      </c>
    </row>
    <row r="32" spans="2:5" ht="14.25" x14ac:dyDescent="0.45">
      <c r="B32" t="str">
        <f>IF(A32="","",IFERROR(VLOOKUP(A32,'SPED Student Roster'!$A:$B,2,FALSE),""))</f>
        <v/>
      </c>
      <c r="C32" t="str">
        <f>IF(A32="","",IFERROR(VLOOKUP(A32,'SPED Student Roster'!$A:$C,3,FALSE),""))</f>
        <v/>
      </c>
      <c r="D32" t="str">
        <f>IF(A32="","",IFERROR(VLOOKUP(A32,'SPED Student Roster'!$A:$D,4,FALSE),""))</f>
        <v/>
      </c>
      <c r="E32" t="str">
        <f>IF(A32="","",IFERROR(VLOOKUP(A32,'SPED Student Roster'!$A:$E,5,FALSE),""))</f>
        <v/>
      </c>
    </row>
    <row r="33" spans="2:5" ht="14.25" x14ac:dyDescent="0.45">
      <c r="B33" t="str">
        <f>IF(A33="","",IFERROR(VLOOKUP(A33,'SPED Student Roster'!$A:$B,2,FALSE),""))</f>
        <v/>
      </c>
      <c r="C33" t="str">
        <f>IF(A33="","",IFERROR(VLOOKUP(A33,'SPED Student Roster'!$A:$C,3,FALSE),""))</f>
        <v/>
      </c>
      <c r="D33" t="str">
        <f>IF(A33="","",IFERROR(VLOOKUP(A33,'SPED Student Roster'!$A:$D,4,FALSE),""))</f>
        <v/>
      </c>
      <c r="E33" t="str">
        <f>IF(A33="","",IFERROR(VLOOKUP(A33,'SPED Student Roster'!$A:$E,5,FALSE),""))</f>
        <v/>
      </c>
    </row>
    <row r="34" spans="2:5" ht="14.25" x14ac:dyDescent="0.45">
      <c r="B34" t="str">
        <f>IF(A34="","",IFERROR(VLOOKUP(A34,'SPED Student Roster'!$A:$B,2,FALSE),""))</f>
        <v/>
      </c>
      <c r="C34" t="str">
        <f>IF(A34="","",IFERROR(VLOOKUP(A34,'SPED Student Roster'!$A:$C,3,FALSE),""))</f>
        <v/>
      </c>
      <c r="D34" t="str">
        <f>IF(A34="","",IFERROR(VLOOKUP(A34,'SPED Student Roster'!$A:$D,4,FALSE),""))</f>
        <v/>
      </c>
      <c r="E34" t="str">
        <f>IF(A34="","",IFERROR(VLOOKUP(A34,'SPED Student Roster'!$A:$E,5,FALSE),""))</f>
        <v/>
      </c>
    </row>
    <row r="35" spans="2:5" ht="14.25" x14ac:dyDescent="0.45">
      <c r="B35" t="str">
        <f>IF(A35="","",IFERROR(VLOOKUP(A35,'SPED Student Roster'!$A:$B,2,FALSE),""))</f>
        <v/>
      </c>
      <c r="C35" t="str">
        <f>IF(A35="","",IFERROR(VLOOKUP(A35,'SPED Student Roster'!$A:$C,3,FALSE),""))</f>
        <v/>
      </c>
      <c r="D35" t="str">
        <f>IF(A35="","",IFERROR(VLOOKUP(A35,'SPED Student Roster'!$A:$D,4,FALSE),""))</f>
        <v/>
      </c>
      <c r="E35" t="str">
        <f>IF(A35="","",IFERROR(VLOOKUP(A35,'SPED Student Roster'!$A:$E,5,FALSE),""))</f>
        <v/>
      </c>
    </row>
    <row r="36" spans="2:5" ht="14.25" x14ac:dyDescent="0.45">
      <c r="B36" t="str">
        <f>IF(A36="","",IFERROR(VLOOKUP(A36,'SPED Student Roster'!$A:$B,2,FALSE),""))</f>
        <v/>
      </c>
      <c r="C36" t="str">
        <f>IF(A36="","",IFERROR(VLOOKUP(A36,'SPED Student Roster'!$A:$C,3,FALSE),""))</f>
        <v/>
      </c>
      <c r="D36" t="str">
        <f>IF(A36="","",IFERROR(VLOOKUP(A36,'SPED Student Roster'!$A:$D,4,FALSE),""))</f>
        <v/>
      </c>
      <c r="E36" t="str">
        <f>IF(A36="","",IFERROR(VLOOKUP(A36,'SPED Student Roster'!$A:$E,5,FALSE),""))</f>
        <v/>
      </c>
    </row>
    <row r="37" spans="2:5" ht="14.25" x14ac:dyDescent="0.45">
      <c r="B37" t="str">
        <f>IF(A37="","",IFERROR(VLOOKUP(A37,'SPED Student Roster'!$A:$B,2,FALSE),""))</f>
        <v/>
      </c>
      <c r="C37" t="str">
        <f>IF(A37="","",IFERROR(VLOOKUP(A37,'SPED Student Roster'!$A:$C,3,FALSE),""))</f>
        <v/>
      </c>
      <c r="D37" t="str">
        <f>IF(A37="","",IFERROR(VLOOKUP(A37,'SPED Student Roster'!$A:$D,4,FALSE),""))</f>
        <v/>
      </c>
      <c r="E37" t="str">
        <f>IF(A37="","",IFERROR(VLOOKUP(A37,'SPED Student Roster'!$A:$E,5,FALSE),""))</f>
        <v/>
      </c>
    </row>
    <row r="38" spans="2:5" ht="14.25" x14ac:dyDescent="0.45">
      <c r="B38" t="str">
        <f>IF(A38="","",IFERROR(VLOOKUP(A38,'SPED Student Roster'!$A:$B,2,FALSE),""))</f>
        <v/>
      </c>
      <c r="C38" t="str">
        <f>IF(A38="","",IFERROR(VLOOKUP(A38,'SPED Student Roster'!$A:$C,3,FALSE),""))</f>
        <v/>
      </c>
      <c r="D38" t="str">
        <f>IF(A38="","",IFERROR(VLOOKUP(A38,'SPED Student Roster'!$A:$D,4,FALSE),""))</f>
        <v/>
      </c>
      <c r="E38" t="str">
        <f>IF(A38="","",IFERROR(VLOOKUP(A38,'SPED Student Roster'!$A:$E,5,FALSE),""))</f>
        <v/>
      </c>
    </row>
    <row r="39" spans="2:5" ht="14.25" x14ac:dyDescent="0.45">
      <c r="B39" t="str">
        <f>IF(A39="","",IFERROR(VLOOKUP(A39,'SPED Student Roster'!$A:$B,2,FALSE),""))</f>
        <v/>
      </c>
      <c r="C39" t="str">
        <f>IF(A39="","",IFERROR(VLOOKUP(A39,'SPED Student Roster'!$A:$C,3,FALSE),""))</f>
        <v/>
      </c>
      <c r="D39" t="str">
        <f>IF(A39="","",IFERROR(VLOOKUP(A39,'SPED Student Roster'!$A:$D,4,FALSE),""))</f>
        <v/>
      </c>
      <c r="E39" t="str">
        <f>IF(A39="","",IFERROR(VLOOKUP(A39,'SPED Student Roster'!$A:$E,5,FALSE),""))</f>
        <v/>
      </c>
    </row>
    <row r="40" spans="2:5" ht="14.25" x14ac:dyDescent="0.45">
      <c r="B40" t="str">
        <f>IF(A40="","",IFERROR(VLOOKUP(A40,'SPED Student Roster'!$A:$B,2,FALSE),""))</f>
        <v/>
      </c>
      <c r="C40" t="str">
        <f>IF(A40="","",IFERROR(VLOOKUP(A40,'SPED Student Roster'!$A:$C,3,FALSE),""))</f>
        <v/>
      </c>
      <c r="D40" t="str">
        <f>IF(A40="","",IFERROR(VLOOKUP(A40,'SPED Student Roster'!$A:$D,4,FALSE),""))</f>
        <v/>
      </c>
      <c r="E40" t="str">
        <f>IF(A40="","",IFERROR(VLOOKUP(A40,'SPED Student Roster'!$A:$E,5,FALSE),""))</f>
        <v/>
      </c>
    </row>
    <row r="41" spans="2:5" ht="14.25" x14ac:dyDescent="0.45">
      <c r="B41" t="str">
        <f>IF(A41="","",IFERROR(VLOOKUP(A41,'SPED Student Roster'!$A:$B,2,FALSE),""))</f>
        <v/>
      </c>
      <c r="C41" t="str">
        <f>IF(A41="","",IFERROR(VLOOKUP(A41,'SPED Student Roster'!$A:$C,3,FALSE),""))</f>
        <v/>
      </c>
      <c r="D41" t="str">
        <f>IF(A41="","",IFERROR(VLOOKUP(A41,'SPED Student Roster'!$A:$D,4,FALSE),""))</f>
        <v/>
      </c>
      <c r="E41" t="str">
        <f>IF(A41="","",IFERROR(VLOOKUP(A41,'SPED Student Roster'!$A:$E,5,FALSE),""))</f>
        <v/>
      </c>
    </row>
    <row r="42" spans="2:5" ht="14.25" x14ac:dyDescent="0.45">
      <c r="B42" t="str">
        <f>IF(A42="","",IFERROR(VLOOKUP(A42,'SPED Student Roster'!$A:$B,2,FALSE),""))</f>
        <v/>
      </c>
      <c r="C42" t="str">
        <f>IF(A42="","",IFERROR(VLOOKUP(A42,'SPED Student Roster'!$A:$C,3,FALSE),""))</f>
        <v/>
      </c>
      <c r="D42" t="str">
        <f>IF(A42="","",IFERROR(VLOOKUP(A42,'SPED Student Roster'!$A:$D,4,FALSE),""))</f>
        <v/>
      </c>
      <c r="E42" t="str">
        <f>IF(A42="","",IFERROR(VLOOKUP(A42,'SPED Student Roster'!$A:$E,5,FALSE),""))</f>
        <v/>
      </c>
    </row>
    <row r="43" spans="2:5" ht="14.25" x14ac:dyDescent="0.45">
      <c r="B43" t="str">
        <f>IF(A43="","",IFERROR(VLOOKUP(A43,'SPED Student Roster'!$A:$B,2,FALSE),""))</f>
        <v/>
      </c>
      <c r="C43" t="str">
        <f>IF(A43="","",IFERROR(VLOOKUP(A43,'SPED Student Roster'!$A:$C,3,FALSE),""))</f>
        <v/>
      </c>
      <c r="D43" t="str">
        <f>IF(A43="","",IFERROR(VLOOKUP(A43,'SPED Student Roster'!$A:$D,4,FALSE),""))</f>
        <v/>
      </c>
      <c r="E43" t="str">
        <f>IF(A43="","",IFERROR(VLOOKUP(A43,'SPED Student Roster'!$A:$E,5,FALSE),""))</f>
        <v/>
      </c>
    </row>
    <row r="44" spans="2:5" ht="14.25" x14ac:dyDescent="0.45">
      <c r="B44" t="str">
        <f>IF(A44="","",IFERROR(VLOOKUP(A44,'SPED Student Roster'!$A:$B,2,FALSE),""))</f>
        <v/>
      </c>
      <c r="C44" t="str">
        <f>IF(A44="","",IFERROR(VLOOKUP(A44,'SPED Student Roster'!$A:$C,3,FALSE),""))</f>
        <v/>
      </c>
      <c r="D44" t="str">
        <f>IF(A44="","",IFERROR(VLOOKUP(A44,'SPED Student Roster'!$A:$D,4,FALSE),""))</f>
        <v/>
      </c>
      <c r="E44" t="str">
        <f>IF(A44="","",IFERROR(VLOOKUP(A44,'SPED Student Roster'!$A:$E,5,FALSE),""))</f>
        <v/>
      </c>
    </row>
    <row r="45" spans="2:5" ht="14.25" x14ac:dyDescent="0.45">
      <c r="B45" t="str">
        <f>IF(A45="","",IFERROR(VLOOKUP(A45,'SPED Student Roster'!$A:$B,2,FALSE),""))</f>
        <v/>
      </c>
      <c r="C45" t="str">
        <f>IF(A45="","",IFERROR(VLOOKUP(A45,'SPED Student Roster'!$A:$C,3,FALSE),""))</f>
        <v/>
      </c>
      <c r="D45" t="str">
        <f>IF(A45="","",IFERROR(VLOOKUP(A45,'SPED Student Roster'!$A:$D,4,FALSE),""))</f>
        <v/>
      </c>
      <c r="E45" t="str">
        <f>IF(A45="","",IFERROR(VLOOKUP(A45,'SPED Student Roster'!$A:$E,5,FALSE),""))</f>
        <v/>
      </c>
    </row>
    <row r="46" spans="2:5" ht="14.25" x14ac:dyDescent="0.45">
      <c r="B46" t="str">
        <f>IF(A46="","",IFERROR(VLOOKUP(A46,'SPED Student Roster'!$A:$B,2,FALSE),""))</f>
        <v/>
      </c>
      <c r="C46" t="str">
        <f>IF(A46="","",IFERROR(VLOOKUP(A46,'SPED Student Roster'!$A:$C,3,FALSE),""))</f>
        <v/>
      </c>
      <c r="D46" t="str">
        <f>IF(A46="","",IFERROR(VLOOKUP(A46,'SPED Student Roster'!$A:$D,4,FALSE),""))</f>
        <v/>
      </c>
      <c r="E46" t="str">
        <f>IF(A46="","",IFERROR(VLOOKUP(A46,'SPED Student Roster'!$A:$E,5,FALSE),""))</f>
        <v/>
      </c>
    </row>
    <row r="47" spans="2:5" ht="14.25" x14ac:dyDescent="0.45">
      <c r="B47" t="str">
        <f>IF(A47="","",IFERROR(VLOOKUP(A47,'SPED Student Roster'!$A:$B,2,FALSE),""))</f>
        <v/>
      </c>
      <c r="C47" t="str">
        <f>IF(A47="","",IFERROR(VLOOKUP(A47,'SPED Student Roster'!$A:$C,3,FALSE),""))</f>
        <v/>
      </c>
      <c r="D47" t="str">
        <f>IF(A47="","",IFERROR(VLOOKUP(A47,'SPED Student Roster'!$A:$D,4,FALSE),""))</f>
        <v/>
      </c>
      <c r="E47" t="str">
        <f>IF(A47="","",IFERROR(VLOOKUP(A47,'SPED Student Roster'!$A:$E,5,FALSE),""))</f>
        <v/>
      </c>
    </row>
    <row r="48" spans="2:5" ht="14.25" x14ac:dyDescent="0.45">
      <c r="B48" t="str">
        <f>IF(A48="","",IFERROR(VLOOKUP(A48,'SPED Student Roster'!$A:$B,2,FALSE),""))</f>
        <v/>
      </c>
      <c r="C48" t="str">
        <f>IF(A48="","",IFERROR(VLOOKUP(A48,'SPED Student Roster'!$A:$C,3,FALSE),""))</f>
        <v/>
      </c>
      <c r="D48" t="str">
        <f>IF(A48="","",IFERROR(VLOOKUP(A48,'SPED Student Roster'!$A:$D,4,FALSE),""))</f>
        <v/>
      </c>
      <c r="E48" t="str">
        <f>IF(A48="","",IFERROR(VLOOKUP(A48,'SPED Student Roster'!$A:$E,5,FALSE),""))</f>
        <v/>
      </c>
    </row>
    <row r="49" spans="2:5" ht="14.25" x14ac:dyDescent="0.45">
      <c r="B49" t="str">
        <f>IF(A49="","",IFERROR(VLOOKUP(A49,'SPED Student Roster'!$A:$B,2,FALSE),""))</f>
        <v/>
      </c>
      <c r="C49" t="str">
        <f>IF(A49="","",IFERROR(VLOOKUP(A49,'SPED Student Roster'!$A:$C,3,FALSE),""))</f>
        <v/>
      </c>
      <c r="D49" t="str">
        <f>IF(A49="","",IFERROR(VLOOKUP(A49,'SPED Student Roster'!$A:$D,4,FALSE),""))</f>
        <v/>
      </c>
      <c r="E49" t="str">
        <f>IF(A49="","",IFERROR(VLOOKUP(A49,'SPED Student Roster'!$A:$E,5,FALSE),""))</f>
        <v/>
      </c>
    </row>
    <row r="50" spans="2:5" ht="14.25" x14ac:dyDescent="0.45">
      <c r="B50" t="str">
        <f>IF(A50="","",IFERROR(VLOOKUP(A50,'SPED Student Roster'!$A:$B,2,FALSE),""))</f>
        <v/>
      </c>
      <c r="C50" t="str">
        <f>IF(A50="","",IFERROR(VLOOKUP(A50,'SPED Student Roster'!$A:$C,3,FALSE),""))</f>
        <v/>
      </c>
      <c r="D50" t="str">
        <f>IF(A50="","",IFERROR(VLOOKUP(A50,'SPED Student Roster'!$A:$D,4,FALSE),""))</f>
        <v/>
      </c>
      <c r="E50" t="str">
        <f>IF(A50="","",IFERROR(VLOOKUP(A50,'SPED Student Roster'!$A:$E,5,FALSE),""))</f>
        <v/>
      </c>
    </row>
    <row r="51" spans="2:5" ht="14.25" x14ac:dyDescent="0.45">
      <c r="B51" t="str">
        <f>IF(A51="","",IFERROR(VLOOKUP(A51,'SPED Student Roster'!$A:$B,2,FALSE),""))</f>
        <v/>
      </c>
      <c r="C51" t="str">
        <f>IF(A51="","",IFERROR(VLOOKUP(A51,'SPED Student Roster'!$A:$C,3,FALSE),""))</f>
        <v/>
      </c>
      <c r="D51" t="str">
        <f>IF(A51="","",IFERROR(VLOOKUP(A51,'SPED Student Roster'!$A:$D,4,FALSE),""))</f>
        <v/>
      </c>
      <c r="E51" t="str">
        <f>IF(A51="","",IFERROR(VLOOKUP(A51,'SPED Student Roster'!$A:$E,5,FALSE),""))</f>
        <v/>
      </c>
    </row>
    <row r="52" spans="2:5" ht="14.25" x14ac:dyDescent="0.45">
      <c r="B52" t="str">
        <f>IF(A52="","",IFERROR(VLOOKUP(A52,'SPED Student Roster'!$A:$B,2,FALSE),""))</f>
        <v/>
      </c>
      <c r="C52" t="str">
        <f>IF(A52="","",IFERROR(VLOOKUP(A52,'SPED Student Roster'!$A:$C,3,FALSE),""))</f>
        <v/>
      </c>
      <c r="D52" t="str">
        <f>IF(A52="","",IFERROR(VLOOKUP(A52,'SPED Student Roster'!$A:$D,4,FALSE),""))</f>
        <v/>
      </c>
      <c r="E52" t="str">
        <f>IF(A52="","",IFERROR(VLOOKUP(A52,'SPED Student Roster'!$A:$E,5,FALSE),""))</f>
        <v/>
      </c>
    </row>
    <row r="53" spans="2:5" ht="14.25" x14ac:dyDescent="0.45">
      <c r="B53" t="str">
        <f>IF(A53="","",IFERROR(VLOOKUP(A53,'SPED Student Roster'!$A:$B,2,FALSE),""))</f>
        <v/>
      </c>
      <c r="C53" t="str">
        <f>IF(A53="","",IFERROR(VLOOKUP(A53,'SPED Student Roster'!$A:$C,3,FALSE),""))</f>
        <v/>
      </c>
      <c r="D53" t="str">
        <f>IF(A53="","",IFERROR(VLOOKUP(A53,'SPED Student Roster'!$A:$D,4,FALSE),""))</f>
        <v/>
      </c>
      <c r="E53" t="str">
        <f>IF(A53="","",IFERROR(VLOOKUP(A53,'SPED Student Roster'!$A:$E,5,FALSE),""))</f>
        <v/>
      </c>
    </row>
    <row r="54" spans="2:5" ht="14.25" x14ac:dyDescent="0.45">
      <c r="B54" t="str">
        <f>IF(A54="","",IFERROR(VLOOKUP(A54,'SPED Student Roster'!$A:$B,2,FALSE),""))</f>
        <v/>
      </c>
      <c r="C54" t="str">
        <f>IF(A54="","",IFERROR(VLOOKUP(A54,'SPED Student Roster'!$A:$C,3,FALSE),""))</f>
        <v/>
      </c>
      <c r="D54" t="str">
        <f>IF(A54="","",IFERROR(VLOOKUP(A54,'SPED Student Roster'!$A:$D,4,FALSE),""))</f>
        <v/>
      </c>
      <c r="E54" t="str">
        <f>IF(A54="","",IFERROR(VLOOKUP(A54,'SPED Student Roster'!$A:$E,5,FALSE),""))</f>
        <v/>
      </c>
    </row>
    <row r="55" spans="2:5" ht="14.25" x14ac:dyDescent="0.45">
      <c r="B55" t="str">
        <f>IF(A55="","",IFERROR(VLOOKUP(A55,'SPED Student Roster'!$A:$B,2,FALSE),""))</f>
        <v/>
      </c>
      <c r="C55" t="str">
        <f>IF(A55="","",IFERROR(VLOOKUP(A55,'SPED Student Roster'!$A:$C,3,FALSE),""))</f>
        <v/>
      </c>
      <c r="D55" t="str">
        <f>IF(A55="","",IFERROR(VLOOKUP(A55,'SPED Student Roster'!$A:$D,4,FALSE),""))</f>
        <v/>
      </c>
      <c r="E55" t="str">
        <f>IF(A55="","",IFERROR(VLOOKUP(A55,'SPED Student Roster'!$A:$E,5,FALSE),""))</f>
        <v/>
      </c>
    </row>
    <row r="56" spans="2:5" ht="14.25" x14ac:dyDescent="0.45">
      <c r="B56" t="str">
        <f>IF(A56="","",IFERROR(VLOOKUP(A56,'SPED Student Roster'!$A:$B,2,FALSE),""))</f>
        <v/>
      </c>
      <c r="C56" t="str">
        <f>IF(A56="","",IFERROR(VLOOKUP(A56,'SPED Student Roster'!$A:$C,3,FALSE),""))</f>
        <v/>
      </c>
      <c r="D56" t="str">
        <f>IF(A56="","",IFERROR(VLOOKUP(A56,'SPED Student Roster'!$A:$D,4,FALSE),""))</f>
        <v/>
      </c>
      <c r="E56" t="str">
        <f>IF(A56="","",IFERROR(VLOOKUP(A56,'SPED Student Roster'!$A:$E,5,FALSE),""))</f>
        <v/>
      </c>
    </row>
    <row r="57" spans="2:5" ht="14.25" x14ac:dyDescent="0.45">
      <c r="B57" t="str">
        <f>IF(A57="","",IFERROR(VLOOKUP(A57,'SPED Student Roster'!$A:$B,2,FALSE),""))</f>
        <v/>
      </c>
      <c r="C57" t="str">
        <f>IF(A57="","",IFERROR(VLOOKUP(A57,'SPED Student Roster'!$A:$C,3,FALSE),""))</f>
        <v/>
      </c>
      <c r="D57" t="str">
        <f>IF(A57="","",IFERROR(VLOOKUP(A57,'SPED Student Roster'!$A:$D,4,FALSE),""))</f>
        <v/>
      </c>
      <c r="E57" t="str">
        <f>IF(A57="","",IFERROR(VLOOKUP(A57,'SPED Student Roster'!$A:$E,5,FALSE),""))</f>
        <v/>
      </c>
    </row>
    <row r="58" spans="2:5" ht="14.25" x14ac:dyDescent="0.45">
      <c r="B58" t="str">
        <f>IF(A58="","",IFERROR(VLOOKUP(A58,'SPED Student Roster'!$A:$B,2,FALSE),""))</f>
        <v/>
      </c>
      <c r="C58" t="str">
        <f>IF(A58="","",IFERROR(VLOOKUP(A58,'SPED Student Roster'!$A:$C,3,FALSE),""))</f>
        <v/>
      </c>
      <c r="D58" t="str">
        <f>IF(A58="","",IFERROR(VLOOKUP(A58,'SPED Student Roster'!$A:$D,4,FALSE),""))</f>
        <v/>
      </c>
      <c r="E58" t="str">
        <f>IF(A58="","",IFERROR(VLOOKUP(A58,'SPED Student Roster'!$A:$E,5,FALSE),""))</f>
        <v/>
      </c>
    </row>
    <row r="59" spans="2:5" ht="14.25" x14ac:dyDescent="0.45">
      <c r="B59" t="str">
        <f>IF(A59="","",IFERROR(VLOOKUP(A59,'SPED Student Roster'!$A:$B,2,FALSE),""))</f>
        <v/>
      </c>
      <c r="C59" t="str">
        <f>IF(A59="","",IFERROR(VLOOKUP(A59,'SPED Student Roster'!$A:$C,3,FALSE),""))</f>
        <v/>
      </c>
      <c r="D59" t="str">
        <f>IF(A59="","",IFERROR(VLOOKUP(A59,'SPED Student Roster'!$A:$D,4,FALSE),""))</f>
        <v/>
      </c>
      <c r="E59" t="str">
        <f>IF(A59="","",IFERROR(VLOOKUP(A59,'SPED Student Roster'!$A:$E,5,FALSE),""))</f>
        <v/>
      </c>
    </row>
    <row r="60" spans="2:5" ht="14.25" x14ac:dyDescent="0.45">
      <c r="B60" t="str">
        <f>IF(A60="","",IFERROR(VLOOKUP(A60,'SPED Student Roster'!$A:$B,2,FALSE),""))</f>
        <v/>
      </c>
      <c r="C60" t="str">
        <f>IF(A60="","",IFERROR(VLOOKUP(A60,'SPED Student Roster'!$A:$C,3,FALSE),""))</f>
        <v/>
      </c>
      <c r="D60" t="str">
        <f>IF(A60="","",IFERROR(VLOOKUP(A60,'SPED Student Roster'!$A:$D,4,FALSE),""))</f>
        <v/>
      </c>
      <c r="E60" t="str">
        <f>IF(A60="","",IFERROR(VLOOKUP(A60,'SPED Student Roster'!$A:$E,5,FALSE),""))</f>
        <v/>
      </c>
    </row>
    <row r="61" spans="2:5" ht="14.25" x14ac:dyDescent="0.45">
      <c r="B61" t="str">
        <f>IF(A61="","",IFERROR(VLOOKUP(A61,'SPED Student Roster'!$A:$B,2,FALSE),""))</f>
        <v/>
      </c>
      <c r="C61" t="str">
        <f>IF(A61="","",IFERROR(VLOOKUP(A61,'SPED Student Roster'!$A:$C,3,FALSE),""))</f>
        <v/>
      </c>
      <c r="D61" t="str">
        <f>IF(A61="","",IFERROR(VLOOKUP(A61,'SPED Student Roster'!$A:$D,4,FALSE),""))</f>
        <v/>
      </c>
      <c r="E61" t="str">
        <f>IF(A61="","",IFERROR(VLOOKUP(A61,'SPED Student Roster'!$A:$E,5,FALSE),""))</f>
        <v/>
      </c>
    </row>
    <row r="62" spans="2:5" ht="14.25" x14ac:dyDescent="0.45">
      <c r="B62" t="str">
        <f>IF(A62="","",IFERROR(VLOOKUP(A62,'SPED Student Roster'!$A:$B,2,FALSE),""))</f>
        <v/>
      </c>
      <c r="C62" t="str">
        <f>IF(A62="","",IFERROR(VLOOKUP(A62,'SPED Student Roster'!$A:$C,3,FALSE),""))</f>
        <v/>
      </c>
      <c r="D62" t="str">
        <f>IF(A62="","",IFERROR(VLOOKUP(A62,'SPED Student Roster'!$A:$D,4,FALSE),""))</f>
        <v/>
      </c>
      <c r="E62" t="str">
        <f>IF(A62="","",IFERROR(VLOOKUP(A62,'SPED Student Roster'!$A:$E,5,FALSE),""))</f>
        <v/>
      </c>
    </row>
    <row r="63" spans="2:5" ht="14.25" x14ac:dyDescent="0.45">
      <c r="B63" t="str">
        <f>IF(A63="","",IFERROR(VLOOKUP(A63,'SPED Student Roster'!$A:$B,2,FALSE),""))</f>
        <v/>
      </c>
      <c r="C63" t="str">
        <f>IF(A63="","",IFERROR(VLOOKUP(A63,'SPED Student Roster'!$A:$C,3,FALSE),""))</f>
        <v/>
      </c>
      <c r="D63" t="str">
        <f>IF(A63="","",IFERROR(VLOOKUP(A63,'SPED Student Roster'!$A:$D,4,FALSE),""))</f>
        <v/>
      </c>
      <c r="E63" t="str">
        <f>IF(A63="","",IFERROR(VLOOKUP(A63,'SPED Student Roster'!$A:$E,5,FALSE),""))</f>
        <v/>
      </c>
    </row>
    <row r="64" spans="2:5" ht="14.25" x14ac:dyDescent="0.45">
      <c r="B64" t="str">
        <f>IF(A64="","",IFERROR(VLOOKUP(A64,'SPED Student Roster'!$A:$B,2,FALSE),""))</f>
        <v/>
      </c>
      <c r="C64" t="str">
        <f>IF(A64="","",IFERROR(VLOOKUP(A64,'SPED Student Roster'!$A:$C,3,FALSE),""))</f>
        <v/>
      </c>
      <c r="D64" t="str">
        <f>IF(A64="","",IFERROR(VLOOKUP(A64,'SPED Student Roster'!$A:$D,4,FALSE),""))</f>
        <v/>
      </c>
      <c r="E64" t="str">
        <f>IF(A64="","",IFERROR(VLOOKUP(A64,'SPED Student Roster'!$A:$E,5,FALSE),""))</f>
        <v/>
      </c>
    </row>
    <row r="65" spans="2:5" ht="14.25" x14ac:dyDescent="0.45">
      <c r="B65" t="str">
        <f>IF(A65="","",IFERROR(VLOOKUP(A65,'SPED Student Roster'!$A:$B,2,FALSE),""))</f>
        <v/>
      </c>
      <c r="C65" t="str">
        <f>IF(A65="","",IFERROR(VLOOKUP(A65,'SPED Student Roster'!$A:$C,3,FALSE),""))</f>
        <v/>
      </c>
      <c r="D65" t="str">
        <f>IF(A65="","",IFERROR(VLOOKUP(A65,'SPED Student Roster'!$A:$D,4,FALSE),""))</f>
        <v/>
      </c>
      <c r="E65" t="str">
        <f>IF(A65="","",IFERROR(VLOOKUP(A65,'SPED Student Roster'!$A:$E,5,FALSE),""))</f>
        <v/>
      </c>
    </row>
    <row r="66" spans="2:5" ht="14.25" x14ac:dyDescent="0.45">
      <c r="B66" t="str">
        <f>IF(A66="","",IFERROR(VLOOKUP(A66,'SPED Student Roster'!$A:$B,2,FALSE),""))</f>
        <v/>
      </c>
      <c r="C66" t="str">
        <f>IF(A66="","",IFERROR(VLOOKUP(A66,'SPED Student Roster'!$A:$C,3,FALSE),""))</f>
        <v/>
      </c>
      <c r="D66" t="str">
        <f>IF(A66="","",IFERROR(VLOOKUP(A66,'SPED Student Roster'!$A:$D,4,FALSE),""))</f>
        <v/>
      </c>
      <c r="E66" t="str">
        <f>IF(A66="","",IFERROR(VLOOKUP(A66,'SPED Student Roster'!$A:$E,5,FALSE),""))</f>
        <v/>
      </c>
    </row>
    <row r="67" spans="2:5" ht="14.25" x14ac:dyDescent="0.45">
      <c r="B67" t="str">
        <f>IF(A67="","",IFERROR(VLOOKUP(A67,'SPED Student Roster'!$A:$B,2,FALSE),""))</f>
        <v/>
      </c>
      <c r="C67" t="str">
        <f>IF(A67="","",IFERROR(VLOOKUP(A67,'SPED Student Roster'!$A:$C,3,FALSE),""))</f>
        <v/>
      </c>
      <c r="D67" t="str">
        <f>IF(A67="","",IFERROR(VLOOKUP(A67,'SPED Student Roster'!$A:$D,4,FALSE),""))</f>
        <v/>
      </c>
      <c r="E67" t="str">
        <f>IF(A67="","",IFERROR(VLOOKUP(A67,'SPED Student Roster'!$A:$E,5,FALSE),""))</f>
        <v/>
      </c>
    </row>
    <row r="68" spans="2:5" ht="14.25" x14ac:dyDescent="0.45">
      <c r="B68" t="str">
        <f>IF(A68="","",IFERROR(VLOOKUP(A68,'SPED Student Roster'!$A:$B,2,FALSE),""))</f>
        <v/>
      </c>
      <c r="C68" t="str">
        <f>IF(A68="","",IFERROR(VLOOKUP(A68,'SPED Student Roster'!$A:$C,3,FALSE),""))</f>
        <v/>
      </c>
      <c r="D68" t="str">
        <f>IF(A68="","",IFERROR(VLOOKUP(A68,'SPED Student Roster'!$A:$D,4,FALSE),""))</f>
        <v/>
      </c>
      <c r="E68" t="str">
        <f>IF(A68="","",IFERROR(VLOOKUP(A68,'SPED Student Roster'!$A:$E,5,FALSE),""))</f>
        <v/>
      </c>
    </row>
    <row r="69" spans="2:5" ht="14.25" x14ac:dyDescent="0.45">
      <c r="B69" t="str">
        <f>IF(A69="","",IFERROR(VLOOKUP(A69,'SPED Student Roster'!$A:$B,2,FALSE),""))</f>
        <v/>
      </c>
      <c r="C69" t="str">
        <f>IF(A69="","",IFERROR(VLOOKUP(A69,'SPED Student Roster'!$A:$C,3,FALSE),""))</f>
        <v/>
      </c>
      <c r="D69" t="str">
        <f>IF(A69="","",IFERROR(VLOOKUP(A69,'SPED Student Roster'!$A:$D,4,FALSE),""))</f>
        <v/>
      </c>
      <c r="E69" t="str">
        <f>IF(A69="","",IFERROR(VLOOKUP(A69,'SPED Student Roster'!$A:$E,5,FALSE),""))</f>
        <v/>
      </c>
    </row>
    <row r="70" spans="2:5" ht="14.25" x14ac:dyDescent="0.45">
      <c r="B70" t="str">
        <f>IF(A70="","",IFERROR(VLOOKUP(A70,'SPED Student Roster'!$A:$B,2,FALSE),""))</f>
        <v/>
      </c>
      <c r="C70" t="str">
        <f>IF(A70="","",IFERROR(VLOOKUP(A70,'SPED Student Roster'!$A:$C,3,FALSE),""))</f>
        <v/>
      </c>
      <c r="D70" t="str">
        <f>IF(A70="","",IFERROR(VLOOKUP(A70,'SPED Student Roster'!$A:$D,4,FALSE),""))</f>
        <v/>
      </c>
      <c r="E70" t="str">
        <f>IF(A70="","",IFERROR(VLOOKUP(A70,'SPED Student Roster'!$A:$E,5,FALSE),""))</f>
        <v/>
      </c>
    </row>
    <row r="71" spans="2:5" ht="14.25" x14ac:dyDescent="0.45">
      <c r="B71" t="str">
        <f>IF(A71="","",IFERROR(VLOOKUP(A71,'SPED Student Roster'!$A:$B,2,FALSE),""))</f>
        <v/>
      </c>
      <c r="C71" t="str">
        <f>IF(A71="","",IFERROR(VLOOKUP(A71,'SPED Student Roster'!$A:$C,3,FALSE),""))</f>
        <v/>
      </c>
      <c r="D71" t="str">
        <f>IF(A71="","",IFERROR(VLOOKUP(A71,'SPED Student Roster'!$A:$D,4,FALSE),""))</f>
        <v/>
      </c>
      <c r="E71" t="str">
        <f>IF(A71="","",IFERROR(VLOOKUP(A71,'SPED Student Roster'!$A:$E,5,FALSE),""))</f>
        <v/>
      </c>
    </row>
    <row r="72" spans="2:5" ht="14.25" x14ac:dyDescent="0.45">
      <c r="B72" t="str">
        <f>IF(A72="","",IFERROR(VLOOKUP(A72,'SPED Student Roster'!$A:$B,2,FALSE),""))</f>
        <v/>
      </c>
      <c r="C72" t="str">
        <f>IF(A72="","",IFERROR(VLOOKUP(A72,'SPED Student Roster'!$A:$C,3,FALSE),""))</f>
        <v/>
      </c>
      <c r="D72" t="str">
        <f>IF(A72="","",IFERROR(VLOOKUP(A72,'SPED Student Roster'!$A:$D,4,FALSE),""))</f>
        <v/>
      </c>
      <c r="E72" t="str">
        <f>IF(A72="","",IFERROR(VLOOKUP(A72,'SPED Student Roster'!$A:$E,5,FALSE),""))</f>
        <v/>
      </c>
    </row>
    <row r="73" spans="2:5" ht="14.25" x14ac:dyDescent="0.45">
      <c r="B73" t="str">
        <f>IF(A73="","",IFERROR(VLOOKUP(A73,'SPED Student Roster'!$A:$B,2,FALSE),""))</f>
        <v/>
      </c>
      <c r="C73" t="str">
        <f>IF(A73="","",IFERROR(VLOOKUP(A73,'SPED Student Roster'!$A:$C,3,FALSE),""))</f>
        <v/>
      </c>
      <c r="D73" t="str">
        <f>IF(A73="","",IFERROR(VLOOKUP(A73,'SPED Student Roster'!$A:$D,4,FALSE),""))</f>
        <v/>
      </c>
      <c r="E73" t="str">
        <f>IF(A73="","",IFERROR(VLOOKUP(A73,'SPED Student Roster'!$A:$E,5,FALSE),""))</f>
        <v/>
      </c>
    </row>
    <row r="74" spans="2:5" ht="14.25" x14ac:dyDescent="0.45">
      <c r="B74" t="str">
        <f>IF(A74="","",IFERROR(VLOOKUP(A74,'SPED Student Roster'!$A:$B,2,FALSE),""))</f>
        <v/>
      </c>
      <c r="C74" t="str">
        <f>IF(A74="","",IFERROR(VLOOKUP(A74,'SPED Student Roster'!$A:$C,3,FALSE),""))</f>
        <v/>
      </c>
      <c r="D74" t="str">
        <f>IF(A74="","",IFERROR(VLOOKUP(A74,'SPED Student Roster'!$A:$D,4,FALSE),""))</f>
        <v/>
      </c>
      <c r="E74" t="str">
        <f>IF(A74="","",IFERROR(VLOOKUP(A74,'SPED Student Roster'!$A:$E,5,FALSE),""))</f>
        <v/>
      </c>
    </row>
    <row r="75" spans="2:5" ht="14.25" x14ac:dyDescent="0.45">
      <c r="B75" t="str">
        <f>IF(A75="","",IFERROR(VLOOKUP(A75,'SPED Student Roster'!$A:$B,2,FALSE),""))</f>
        <v/>
      </c>
      <c r="C75" t="str">
        <f>IF(A75="","",IFERROR(VLOOKUP(A75,'SPED Student Roster'!$A:$C,3,FALSE),""))</f>
        <v/>
      </c>
      <c r="D75" t="str">
        <f>IF(A75="","",IFERROR(VLOOKUP(A75,'SPED Student Roster'!$A:$D,4,FALSE),""))</f>
        <v/>
      </c>
      <c r="E75" t="str">
        <f>IF(A75="","",IFERROR(VLOOKUP(A75,'SPED Student Roster'!$A:$E,5,FALSE),""))</f>
        <v/>
      </c>
    </row>
    <row r="76" spans="2:5" ht="14.25" x14ac:dyDescent="0.45">
      <c r="B76" t="str">
        <f>IF(A76="","",IFERROR(VLOOKUP(A76,'SPED Student Roster'!$A:$B,2,FALSE),""))</f>
        <v/>
      </c>
      <c r="C76" t="str">
        <f>IF(A76="","",IFERROR(VLOOKUP(A76,'SPED Student Roster'!$A:$C,3,FALSE),""))</f>
        <v/>
      </c>
      <c r="D76" t="str">
        <f>IF(A76="","",IFERROR(VLOOKUP(A76,'SPED Student Roster'!$A:$D,4,FALSE),""))</f>
        <v/>
      </c>
      <c r="E76" t="str">
        <f>IF(A76="","",IFERROR(VLOOKUP(A76,'SPED Student Roster'!$A:$E,5,FALSE),""))</f>
        <v/>
      </c>
    </row>
    <row r="77" spans="2:5" ht="14.25" x14ac:dyDescent="0.45">
      <c r="B77" t="str">
        <f>IF(A77="","",IFERROR(VLOOKUP(A77,'SPED Student Roster'!$A:$B,2,FALSE),""))</f>
        <v/>
      </c>
      <c r="C77" t="str">
        <f>IF(A77="","",IFERROR(VLOOKUP(A77,'SPED Student Roster'!$A:$C,3,FALSE),""))</f>
        <v/>
      </c>
      <c r="D77" t="str">
        <f>IF(A77="","",IFERROR(VLOOKUP(A77,'SPED Student Roster'!$A:$D,4,FALSE),""))</f>
        <v/>
      </c>
      <c r="E77" t="str">
        <f>IF(A77="","",IFERROR(VLOOKUP(A77,'SPED Student Roster'!$A:$E,5,FALSE),""))</f>
        <v/>
      </c>
    </row>
    <row r="78" spans="2:5" ht="14.25" x14ac:dyDescent="0.45">
      <c r="B78" t="str">
        <f>IF(A78="","",IFERROR(VLOOKUP(A78,'SPED Student Roster'!$A:$B,2,FALSE),""))</f>
        <v/>
      </c>
      <c r="C78" t="str">
        <f>IF(A78="","",IFERROR(VLOOKUP(A78,'SPED Student Roster'!$A:$C,3,FALSE),""))</f>
        <v/>
      </c>
      <c r="D78" t="str">
        <f>IF(A78="","",IFERROR(VLOOKUP(A78,'SPED Student Roster'!$A:$D,4,FALSE),""))</f>
        <v/>
      </c>
      <c r="E78" t="str">
        <f>IF(A78="","",IFERROR(VLOOKUP(A78,'SPED Student Roster'!$A:$E,5,FALSE),""))</f>
        <v/>
      </c>
    </row>
    <row r="79" spans="2:5" ht="14.25" x14ac:dyDescent="0.45">
      <c r="B79" t="str">
        <f>IF(A79="","",IFERROR(VLOOKUP(A79,'SPED Student Roster'!$A:$B,2,FALSE),""))</f>
        <v/>
      </c>
      <c r="C79" t="str">
        <f>IF(A79="","",IFERROR(VLOOKUP(A79,'SPED Student Roster'!$A:$C,3,FALSE),""))</f>
        <v/>
      </c>
      <c r="D79" t="str">
        <f>IF(A79="","",IFERROR(VLOOKUP(A79,'SPED Student Roster'!$A:$D,4,FALSE),""))</f>
        <v/>
      </c>
      <c r="E79" t="str">
        <f>IF(A79="","",IFERROR(VLOOKUP(A79,'SPED Student Roster'!$A:$E,5,FALSE),""))</f>
        <v/>
      </c>
    </row>
    <row r="80" spans="2:5" ht="14.25" x14ac:dyDescent="0.45">
      <c r="B80" t="str">
        <f>IF(A80="","",IFERROR(VLOOKUP(A80,'SPED Student Roster'!$A:$B,2,FALSE),""))</f>
        <v/>
      </c>
      <c r="C80" t="str">
        <f>IF(A80="","",IFERROR(VLOOKUP(A80,'SPED Student Roster'!$A:$C,3,FALSE),""))</f>
        <v/>
      </c>
      <c r="D80" t="str">
        <f>IF(A80="","",IFERROR(VLOOKUP(A80,'SPED Student Roster'!$A:$D,4,FALSE),""))</f>
        <v/>
      </c>
      <c r="E80" t="str">
        <f>IF(A80="","",IFERROR(VLOOKUP(A80,'SPED Student Roster'!$A:$E,5,FALSE),""))</f>
        <v/>
      </c>
    </row>
    <row r="81" spans="2:5" ht="14.25" x14ac:dyDescent="0.45">
      <c r="B81" t="str">
        <f>IF(A81="","",IFERROR(VLOOKUP(A81,'SPED Student Roster'!$A:$B,2,FALSE),""))</f>
        <v/>
      </c>
      <c r="C81" t="str">
        <f>IF(A81="","",IFERROR(VLOOKUP(A81,'SPED Student Roster'!$A:$C,3,FALSE),""))</f>
        <v/>
      </c>
      <c r="D81" t="str">
        <f>IF(A81="","",IFERROR(VLOOKUP(A81,'SPED Student Roster'!$A:$D,4,FALSE),""))</f>
        <v/>
      </c>
      <c r="E81" t="str">
        <f>IF(A81="","",IFERROR(VLOOKUP(A81,'SPED Student Roster'!$A:$E,5,FALSE),""))</f>
        <v/>
      </c>
    </row>
    <row r="82" spans="2:5" ht="14.25" x14ac:dyDescent="0.45">
      <c r="B82" t="str">
        <f>IF(A82="","",IFERROR(VLOOKUP(A82,'SPED Student Roster'!$A:$B,2,FALSE),""))</f>
        <v/>
      </c>
      <c r="C82" t="str">
        <f>IF(A82="","",IFERROR(VLOOKUP(A82,'SPED Student Roster'!$A:$C,3,FALSE),""))</f>
        <v/>
      </c>
      <c r="D82" t="str">
        <f>IF(A82="","",IFERROR(VLOOKUP(A82,'SPED Student Roster'!$A:$D,4,FALSE),""))</f>
        <v/>
      </c>
      <c r="E82" t="str">
        <f>IF(A82="","",IFERROR(VLOOKUP(A82,'SPED Student Roster'!$A:$E,5,FALSE),""))</f>
        <v/>
      </c>
    </row>
    <row r="83" spans="2:5" ht="14.25" x14ac:dyDescent="0.45">
      <c r="B83" t="str">
        <f>IF(A83="","",IFERROR(VLOOKUP(A83,'SPED Student Roster'!$A:$B,2,FALSE),""))</f>
        <v/>
      </c>
      <c r="C83" t="str">
        <f>IF(A83="","",IFERROR(VLOOKUP(A83,'SPED Student Roster'!$A:$C,3,FALSE),""))</f>
        <v/>
      </c>
      <c r="D83" t="str">
        <f>IF(A83="","",IFERROR(VLOOKUP(A83,'SPED Student Roster'!$A:$D,4,FALSE),""))</f>
        <v/>
      </c>
      <c r="E83" t="str">
        <f>IF(A83="","",IFERROR(VLOOKUP(A83,'SPED Student Roster'!$A:$E,5,FALSE),""))</f>
        <v/>
      </c>
    </row>
    <row r="84" spans="2:5" ht="14.25" x14ac:dyDescent="0.45">
      <c r="B84" t="str">
        <f>IF(A84="","",IFERROR(VLOOKUP(A84,'SPED Student Roster'!$A:$B,2,FALSE),""))</f>
        <v/>
      </c>
      <c r="C84" t="str">
        <f>IF(A84="","",IFERROR(VLOOKUP(A84,'SPED Student Roster'!$A:$C,3,FALSE),""))</f>
        <v/>
      </c>
      <c r="D84" t="str">
        <f>IF(A84="","",IFERROR(VLOOKUP(A84,'SPED Student Roster'!$A:$D,4,FALSE),""))</f>
        <v/>
      </c>
      <c r="E84" t="str">
        <f>IF(A84="","",IFERROR(VLOOKUP(A84,'SPED Student Roster'!$A:$E,5,FALSE),""))</f>
        <v/>
      </c>
    </row>
    <row r="85" spans="2:5" ht="14.25" x14ac:dyDescent="0.45">
      <c r="B85" t="str">
        <f>IF(A85="","",IFERROR(VLOOKUP(A85,'SPED Student Roster'!$A:$B,2,FALSE),""))</f>
        <v/>
      </c>
      <c r="C85" t="str">
        <f>IF(A85="","",IFERROR(VLOOKUP(A85,'SPED Student Roster'!$A:$C,3,FALSE),""))</f>
        <v/>
      </c>
      <c r="D85" t="str">
        <f>IF(A85="","",IFERROR(VLOOKUP(A85,'SPED Student Roster'!$A:$D,4,FALSE),""))</f>
        <v/>
      </c>
      <c r="E85" t="str">
        <f>IF(A85="","",IFERROR(VLOOKUP(A85,'SPED Student Roster'!$A:$E,5,FALSE),""))</f>
        <v/>
      </c>
    </row>
    <row r="86" spans="2:5" ht="14.25" x14ac:dyDescent="0.45">
      <c r="B86" t="str">
        <f>IF(A86="","",IFERROR(VLOOKUP(A86,'SPED Student Roster'!$A:$B,2,FALSE),""))</f>
        <v/>
      </c>
      <c r="C86" t="str">
        <f>IF(A86="","",IFERROR(VLOOKUP(A86,'SPED Student Roster'!$A:$C,3,FALSE),""))</f>
        <v/>
      </c>
      <c r="D86" t="str">
        <f>IF(A86="","",IFERROR(VLOOKUP(A86,'SPED Student Roster'!$A:$D,4,FALSE),""))</f>
        <v/>
      </c>
      <c r="E86" t="str">
        <f>IF(A86="","",IFERROR(VLOOKUP(A86,'SPED Student Roster'!$A:$E,5,FALSE),""))</f>
        <v/>
      </c>
    </row>
    <row r="87" spans="2:5" ht="14.25" x14ac:dyDescent="0.45">
      <c r="B87" t="str">
        <f>IF(A87="","",IFERROR(VLOOKUP(A87,'SPED Student Roster'!$A:$B,2,FALSE),""))</f>
        <v/>
      </c>
      <c r="C87" t="str">
        <f>IF(A87="","",IFERROR(VLOOKUP(A87,'SPED Student Roster'!$A:$C,3,FALSE),""))</f>
        <v/>
      </c>
      <c r="D87" t="str">
        <f>IF(A87="","",IFERROR(VLOOKUP(A87,'SPED Student Roster'!$A:$D,4,FALSE),""))</f>
        <v/>
      </c>
      <c r="E87" t="str">
        <f>IF(A87="","",IFERROR(VLOOKUP(A87,'SPED Student Roster'!$A:$E,5,FALSE),""))</f>
        <v/>
      </c>
    </row>
    <row r="88" spans="2:5" ht="14.25" x14ac:dyDescent="0.45">
      <c r="B88" t="str">
        <f>IF(A88="","",IFERROR(VLOOKUP(A88,'SPED Student Roster'!$A:$B,2,FALSE),""))</f>
        <v/>
      </c>
      <c r="C88" t="str">
        <f>IF(A88="","",IFERROR(VLOOKUP(A88,'SPED Student Roster'!$A:$C,3,FALSE),""))</f>
        <v/>
      </c>
      <c r="D88" t="str">
        <f>IF(A88="","",IFERROR(VLOOKUP(A88,'SPED Student Roster'!$A:$D,4,FALSE),""))</f>
        <v/>
      </c>
      <c r="E88" t="str">
        <f>IF(A88="","",IFERROR(VLOOKUP(A88,'SPED Student Roster'!$A:$E,5,FALSE),""))</f>
        <v/>
      </c>
    </row>
    <row r="89" spans="2:5" ht="14.25" x14ac:dyDescent="0.45">
      <c r="B89" t="str">
        <f>IF(A89="","",IFERROR(VLOOKUP(A89,'SPED Student Roster'!$A:$B,2,FALSE),""))</f>
        <v/>
      </c>
      <c r="C89" t="str">
        <f>IF(A89="","",IFERROR(VLOOKUP(A89,'SPED Student Roster'!$A:$C,3,FALSE),""))</f>
        <v/>
      </c>
      <c r="D89" t="str">
        <f>IF(A89="","",IFERROR(VLOOKUP(A89,'SPED Student Roster'!$A:$D,4,FALSE),""))</f>
        <v/>
      </c>
      <c r="E89" t="str">
        <f>IF(A89="","",IFERROR(VLOOKUP(A89,'SPED Student Roster'!$A:$E,5,FALSE),""))</f>
        <v/>
      </c>
    </row>
    <row r="90" spans="2:5" ht="14.25" x14ac:dyDescent="0.45">
      <c r="B90" t="str">
        <f>IF(A90="","",IFERROR(VLOOKUP(A90,'SPED Student Roster'!$A:$B,2,FALSE),""))</f>
        <v/>
      </c>
      <c r="C90" t="str">
        <f>IF(A90="","",IFERROR(VLOOKUP(A90,'SPED Student Roster'!$A:$C,3,FALSE),""))</f>
        <v/>
      </c>
      <c r="D90" t="str">
        <f>IF(A90="","",IFERROR(VLOOKUP(A90,'SPED Student Roster'!$A:$D,4,FALSE),""))</f>
        <v/>
      </c>
      <c r="E90" t="str">
        <f>IF(A90="","",IFERROR(VLOOKUP(A90,'SPED Student Roster'!$A:$E,5,FALSE),""))</f>
        <v/>
      </c>
    </row>
    <row r="91" spans="2:5" ht="14.25" x14ac:dyDescent="0.45">
      <c r="B91" t="str">
        <f>IF(A91="","",IFERROR(VLOOKUP(A91,'SPED Student Roster'!$A:$B,2,FALSE),""))</f>
        <v/>
      </c>
      <c r="C91" t="str">
        <f>IF(A91="","",IFERROR(VLOOKUP(A91,'SPED Student Roster'!$A:$C,3,FALSE),""))</f>
        <v/>
      </c>
      <c r="D91" t="str">
        <f>IF(A91="","",IFERROR(VLOOKUP(A91,'SPED Student Roster'!$A:$D,4,FALSE),""))</f>
        <v/>
      </c>
      <c r="E91" t="str">
        <f>IF(A91="","",IFERROR(VLOOKUP(A91,'SPED Student Roster'!$A:$E,5,FALSE),""))</f>
        <v/>
      </c>
    </row>
    <row r="92" spans="2:5" ht="14.25" x14ac:dyDescent="0.45">
      <c r="B92" t="str">
        <f>IF(A92="","",IFERROR(VLOOKUP(A92,'SPED Student Roster'!$A:$B,2,FALSE),""))</f>
        <v/>
      </c>
      <c r="C92" t="str">
        <f>IF(A92="","",IFERROR(VLOOKUP(A92,'SPED Student Roster'!$A:$C,3,FALSE),""))</f>
        <v/>
      </c>
      <c r="D92" t="str">
        <f>IF(A92="","",IFERROR(VLOOKUP(A92,'SPED Student Roster'!$A:$D,4,FALSE),""))</f>
        <v/>
      </c>
      <c r="E92" t="str">
        <f>IF(A92="","",IFERROR(VLOOKUP(A92,'SPED Student Roster'!$A:$E,5,FALSE),""))</f>
        <v/>
      </c>
    </row>
    <row r="93" spans="2:5" ht="14.25" x14ac:dyDescent="0.45">
      <c r="B93" t="str">
        <f>IF(A93="","",IFERROR(VLOOKUP(A93,'SPED Student Roster'!$A:$B,2,FALSE),""))</f>
        <v/>
      </c>
      <c r="C93" t="str">
        <f>IF(A93="","",IFERROR(VLOOKUP(A93,'SPED Student Roster'!$A:$C,3,FALSE),""))</f>
        <v/>
      </c>
      <c r="D93" t="str">
        <f>IF(A93="","",IFERROR(VLOOKUP(A93,'SPED Student Roster'!$A:$D,4,FALSE),""))</f>
        <v/>
      </c>
      <c r="E93" t="str">
        <f>IF(A93="","",IFERROR(VLOOKUP(A93,'SPED Student Roster'!$A:$E,5,FALSE),""))</f>
        <v/>
      </c>
    </row>
    <row r="94" spans="2:5" ht="14.25" x14ac:dyDescent="0.45">
      <c r="B94" t="str">
        <f>IF(A94="","",IFERROR(VLOOKUP(A94,'SPED Student Roster'!$A:$B,2,FALSE),""))</f>
        <v/>
      </c>
      <c r="C94" t="str">
        <f>IF(A94="","",IFERROR(VLOOKUP(A94,'SPED Student Roster'!$A:$C,3,FALSE),""))</f>
        <v/>
      </c>
      <c r="D94" t="str">
        <f>IF(A94="","",IFERROR(VLOOKUP(A94,'SPED Student Roster'!$A:$D,4,FALSE),""))</f>
        <v/>
      </c>
      <c r="E94" t="str">
        <f>IF(A94="","",IFERROR(VLOOKUP(A94,'SPED Student Roster'!$A:$E,5,FALSE),""))</f>
        <v/>
      </c>
    </row>
    <row r="95" spans="2:5" ht="14.25" x14ac:dyDescent="0.45">
      <c r="B95" t="str">
        <f>IF(A95="","",IFERROR(VLOOKUP(A95,'SPED Student Roster'!$A:$B,2,FALSE),""))</f>
        <v/>
      </c>
      <c r="C95" t="str">
        <f>IF(A95="","",IFERROR(VLOOKUP(A95,'SPED Student Roster'!$A:$C,3,FALSE),""))</f>
        <v/>
      </c>
      <c r="D95" t="str">
        <f>IF(A95="","",IFERROR(VLOOKUP(A95,'SPED Student Roster'!$A:$D,4,FALSE),""))</f>
        <v/>
      </c>
      <c r="E95" t="str">
        <f>IF(A95="","",IFERROR(VLOOKUP(A95,'SPED Student Roster'!$A:$E,5,FALSE),""))</f>
        <v/>
      </c>
    </row>
    <row r="96" spans="2:5" ht="14.25" x14ac:dyDescent="0.45">
      <c r="B96" t="str">
        <f>IF(A96="","",IFERROR(VLOOKUP(A96,'SPED Student Roster'!$A:$B,2,FALSE),""))</f>
        <v/>
      </c>
      <c r="C96" t="str">
        <f>IF(A96="","",IFERROR(VLOOKUP(A96,'SPED Student Roster'!$A:$C,3,FALSE),""))</f>
        <v/>
      </c>
      <c r="D96" t="str">
        <f>IF(A96="","",IFERROR(VLOOKUP(A96,'SPED Student Roster'!$A:$D,4,FALSE),""))</f>
        <v/>
      </c>
      <c r="E96" t="str">
        <f>IF(A96="","",IFERROR(VLOOKUP(A96,'SPED Student Roster'!$A:$E,5,FALSE),""))</f>
        <v/>
      </c>
    </row>
    <row r="97" spans="2:5" ht="14.25" x14ac:dyDescent="0.45">
      <c r="B97" t="str">
        <f>IF(A97="","",IFERROR(VLOOKUP(A97,'SPED Student Roster'!$A:$B,2,FALSE),""))</f>
        <v/>
      </c>
      <c r="C97" t="str">
        <f>IF(A97="","",IFERROR(VLOOKUP(A97,'SPED Student Roster'!$A:$C,3,FALSE),""))</f>
        <v/>
      </c>
      <c r="D97" t="str">
        <f>IF(A97="","",IFERROR(VLOOKUP(A97,'SPED Student Roster'!$A:$D,4,FALSE),""))</f>
        <v/>
      </c>
      <c r="E97" t="str">
        <f>IF(A97="","",IFERROR(VLOOKUP(A97,'SPED Student Roster'!$A:$E,5,FALSE),""))</f>
        <v/>
      </c>
    </row>
    <row r="98" spans="2:5" ht="14.25" x14ac:dyDescent="0.45">
      <c r="B98" t="str">
        <f>IF(A98="","",IFERROR(VLOOKUP(A98,'SPED Student Roster'!$A:$B,2,FALSE),""))</f>
        <v/>
      </c>
      <c r="C98" t="str">
        <f>IF(A98="","",IFERROR(VLOOKUP(A98,'SPED Student Roster'!$A:$C,3,FALSE),""))</f>
        <v/>
      </c>
      <c r="D98" t="str">
        <f>IF(A98="","",IFERROR(VLOOKUP(A98,'SPED Student Roster'!$A:$D,4,FALSE),""))</f>
        <v/>
      </c>
      <c r="E98" t="str">
        <f>IF(A98="","",IFERROR(VLOOKUP(A98,'SPED Student Roster'!$A:$E,5,FALSE),""))</f>
        <v/>
      </c>
    </row>
    <row r="99" spans="2:5" ht="14.25" x14ac:dyDescent="0.45">
      <c r="B99" t="str">
        <f>IF(A99="","",IFERROR(VLOOKUP(A99,'SPED Student Roster'!$A:$B,2,FALSE),""))</f>
        <v/>
      </c>
      <c r="C99" t="str">
        <f>IF(A99="","",IFERROR(VLOOKUP(A99,'SPED Student Roster'!$A:$C,3,FALSE),""))</f>
        <v/>
      </c>
      <c r="D99" t="str">
        <f>IF(A99="","",IFERROR(VLOOKUP(A99,'SPED Student Roster'!$A:$D,4,FALSE),""))</f>
        <v/>
      </c>
      <c r="E99" t="str">
        <f>IF(A99="","",IFERROR(VLOOKUP(A99,'SPED Student Roster'!$A:$E,5,FALSE),""))</f>
        <v/>
      </c>
    </row>
    <row r="100" spans="2:5" ht="14.25" x14ac:dyDescent="0.45">
      <c r="B100" t="str">
        <f>IF(A100="","",IFERROR(VLOOKUP(A100,'SPED Student Roster'!$A:$B,2,FALSE),""))</f>
        <v/>
      </c>
      <c r="C100" t="str">
        <f>IF(A100="","",IFERROR(VLOOKUP(A100,'SPED Student Roster'!$A:$C,3,FALSE),""))</f>
        <v/>
      </c>
      <c r="D100" t="str">
        <f>IF(A100="","",IFERROR(VLOOKUP(A100,'SPED Student Roster'!$A:$D,4,FALSE),""))</f>
        <v/>
      </c>
      <c r="E100" t="str">
        <f>IF(A100="","",IFERROR(VLOOKUP(A100,'SPED Student Roster'!$A:$E,5,FALSE),""))</f>
        <v/>
      </c>
    </row>
    <row r="101" spans="2:5" ht="14.25" x14ac:dyDescent="0.45">
      <c r="B101" t="str">
        <f>IF(A101="","",IFERROR(VLOOKUP(A101,'SPED Student Roster'!$A:$B,2,FALSE),""))</f>
        <v/>
      </c>
      <c r="C101" t="str">
        <f>IF(A101="","",IFERROR(VLOOKUP(A101,'SPED Student Roster'!$A:$C,3,FALSE),""))</f>
        <v/>
      </c>
      <c r="D101" t="str">
        <f>IF(A101="","",IFERROR(VLOOKUP(A101,'SPED Student Roster'!$A:$D,4,FALSE),""))</f>
        <v/>
      </c>
      <c r="E101" t="str">
        <f>IF(A101="","",IFERROR(VLOOKUP(A101,'SPED Student Roster'!$A:$E,5,FALSE),""))</f>
        <v/>
      </c>
    </row>
    <row r="102" spans="2:5" ht="14.25" x14ac:dyDescent="0.45">
      <c r="B102" t="str">
        <f>IF(A102="","",IFERROR(VLOOKUP(A102,'SPED Student Roster'!$A:$B,2,FALSE),""))</f>
        <v/>
      </c>
      <c r="C102" t="str">
        <f>IF(A102="","",IFERROR(VLOOKUP(A102,'SPED Student Roster'!$A:$C,3,FALSE),""))</f>
        <v/>
      </c>
      <c r="D102" t="str">
        <f>IF(A102="","",IFERROR(VLOOKUP(A102,'SPED Student Roster'!$A:$D,4,FALSE),""))</f>
        <v/>
      </c>
      <c r="E102" t="str">
        <f>IF(A102="","",IFERROR(VLOOKUP(A102,'SPED Student Roster'!$A:$E,5,FALSE),""))</f>
        <v/>
      </c>
    </row>
    <row r="103" spans="2:5" ht="14.25" x14ac:dyDescent="0.45">
      <c r="B103" t="str">
        <f>IF(A103="","",IFERROR(VLOOKUP(A103,'SPED Student Roster'!$A:$B,2,FALSE),""))</f>
        <v/>
      </c>
      <c r="C103" t="str">
        <f>IF(A103="","",IFERROR(VLOOKUP(A103,'SPED Student Roster'!$A:$C,3,FALSE),""))</f>
        <v/>
      </c>
      <c r="D103" t="str">
        <f>IF(A103="","",IFERROR(VLOOKUP(A103,'SPED Student Roster'!$A:$D,4,FALSE),""))</f>
        <v/>
      </c>
      <c r="E103" t="str">
        <f>IF(A103="","",IFERROR(VLOOKUP(A103,'SPED Student Roster'!$A:$E,5,FALSE),""))</f>
        <v/>
      </c>
    </row>
    <row r="104" spans="2:5" ht="14.25" x14ac:dyDescent="0.45">
      <c r="B104" t="str">
        <f>IF(A104="","",IFERROR(VLOOKUP(A104,'SPED Student Roster'!$A:$B,2,FALSE),""))</f>
        <v/>
      </c>
      <c r="C104" t="str">
        <f>IF(A104="","",IFERROR(VLOOKUP(A104,'SPED Student Roster'!$A:$C,3,FALSE),""))</f>
        <v/>
      </c>
      <c r="D104" t="str">
        <f>IF(A104="","",IFERROR(VLOOKUP(A104,'SPED Student Roster'!$A:$D,4,FALSE),""))</f>
        <v/>
      </c>
      <c r="E104" t="str">
        <f>IF(A104="","",IFERROR(VLOOKUP(A104,'SPED Student Roster'!$A:$E,5,FALSE),""))</f>
        <v/>
      </c>
    </row>
    <row r="105" spans="2:5" ht="14.25" x14ac:dyDescent="0.45">
      <c r="B105" t="str">
        <f>IF(A105="","",IFERROR(VLOOKUP(A105,'SPED Student Roster'!$A:$B,2,FALSE),""))</f>
        <v/>
      </c>
      <c r="C105" t="str">
        <f>IF(A105="","",IFERROR(VLOOKUP(A105,'SPED Student Roster'!$A:$C,3,FALSE),""))</f>
        <v/>
      </c>
      <c r="D105" t="str">
        <f>IF(A105="","",IFERROR(VLOOKUP(A105,'SPED Student Roster'!$A:$D,4,FALSE),""))</f>
        <v/>
      </c>
      <c r="E105" t="str">
        <f>IF(A105="","",IFERROR(VLOOKUP(A105,'SPED Student Roster'!$A:$E,5,FALSE),""))</f>
        <v/>
      </c>
    </row>
    <row r="106" spans="2:5" ht="14.25" x14ac:dyDescent="0.45">
      <c r="B106" t="str">
        <f>IF(A106="","",IFERROR(VLOOKUP(A106,'SPED Student Roster'!$A:$B,2,FALSE),""))</f>
        <v/>
      </c>
      <c r="C106" t="str">
        <f>IF(A106="","",IFERROR(VLOOKUP(A106,'SPED Student Roster'!$A:$C,3,FALSE),""))</f>
        <v/>
      </c>
      <c r="D106" t="str">
        <f>IF(A106="","",IFERROR(VLOOKUP(A106,'SPED Student Roster'!$A:$D,4,FALSE),""))</f>
        <v/>
      </c>
      <c r="E106" t="str">
        <f>IF(A106="","",IFERROR(VLOOKUP(A106,'SPED Student Roster'!$A:$E,5,FALSE),""))</f>
        <v/>
      </c>
    </row>
    <row r="107" spans="2:5" ht="14.25" x14ac:dyDescent="0.45">
      <c r="B107" t="str">
        <f>IF(A107="","",IFERROR(VLOOKUP(A107,'SPED Student Roster'!$A:$B,2,FALSE),""))</f>
        <v/>
      </c>
      <c r="C107" t="str">
        <f>IF(A107="","",IFERROR(VLOOKUP(A107,'SPED Student Roster'!$A:$C,3,FALSE),""))</f>
        <v/>
      </c>
      <c r="D107" t="str">
        <f>IF(A107="","",IFERROR(VLOOKUP(A107,'SPED Student Roster'!$A:$D,4,FALSE),""))</f>
        <v/>
      </c>
      <c r="E107" t="str">
        <f>IF(A107="","",IFERROR(VLOOKUP(A107,'SPED Student Roster'!$A:$E,5,FALSE),""))</f>
        <v/>
      </c>
    </row>
    <row r="108" spans="2:5" ht="14.25" x14ac:dyDescent="0.45">
      <c r="B108" t="str">
        <f>IF(A108="","",IFERROR(VLOOKUP(A108,'SPED Student Roster'!$A:$B,2,FALSE),""))</f>
        <v/>
      </c>
      <c r="C108" t="str">
        <f>IF(A108="","",IFERROR(VLOOKUP(A108,'SPED Student Roster'!$A:$C,3,FALSE),""))</f>
        <v/>
      </c>
      <c r="D108" t="str">
        <f>IF(A108="","",IFERROR(VLOOKUP(A108,'SPED Student Roster'!$A:$D,4,FALSE),""))</f>
        <v/>
      </c>
      <c r="E108" t="str">
        <f>IF(A108="","",IFERROR(VLOOKUP(A108,'SPED Student Roster'!$A:$E,5,FALSE),""))</f>
        <v/>
      </c>
    </row>
    <row r="109" spans="2:5" ht="14.25" x14ac:dyDescent="0.45">
      <c r="B109" t="str">
        <f>IF(A109="","",IFERROR(VLOOKUP(A109,'SPED Student Roster'!$A:$B,2,FALSE),""))</f>
        <v/>
      </c>
      <c r="C109" t="str">
        <f>IF(A109="","",IFERROR(VLOOKUP(A109,'SPED Student Roster'!$A:$C,3,FALSE),""))</f>
        <v/>
      </c>
      <c r="D109" t="str">
        <f>IF(A109="","",IFERROR(VLOOKUP(A109,'SPED Student Roster'!$A:$D,4,FALSE),""))</f>
        <v/>
      </c>
      <c r="E109" t="str">
        <f>IF(A109="","",IFERROR(VLOOKUP(A109,'SPED Student Roster'!$A:$E,5,FALSE),""))</f>
        <v/>
      </c>
    </row>
    <row r="110" spans="2:5" ht="14.25" x14ac:dyDescent="0.45">
      <c r="B110" t="str">
        <f>IF(A110="","",IFERROR(VLOOKUP(A110,'SPED Student Roster'!$A:$B,2,FALSE),""))</f>
        <v/>
      </c>
      <c r="C110" t="str">
        <f>IF(A110="","",IFERROR(VLOOKUP(A110,'SPED Student Roster'!$A:$C,3,FALSE),""))</f>
        <v/>
      </c>
      <c r="D110" t="str">
        <f>IF(A110="","",IFERROR(VLOOKUP(A110,'SPED Student Roster'!$A:$D,4,FALSE),""))</f>
        <v/>
      </c>
      <c r="E110" t="str">
        <f>IF(A110="","",IFERROR(VLOOKUP(A110,'SPED Student Roster'!$A:$E,5,FALSE),""))</f>
        <v/>
      </c>
    </row>
    <row r="111" spans="2:5" ht="14.25" x14ac:dyDescent="0.45">
      <c r="B111" t="str">
        <f>IF(A111="","",IFERROR(VLOOKUP(A111,'SPED Student Roster'!$A:$B,2,FALSE),""))</f>
        <v/>
      </c>
      <c r="C111" t="str">
        <f>IF(A111="","",IFERROR(VLOOKUP(A111,'SPED Student Roster'!$A:$C,3,FALSE),""))</f>
        <v/>
      </c>
      <c r="D111" t="str">
        <f>IF(A111="","",IFERROR(VLOOKUP(A111,'SPED Student Roster'!$A:$D,4,FALSE),""))</f>
        <v/>
      </c>
      <c r="E111" t="str">
        <f>IF(A111="","",IFERROR(VLOOKUP(A111,'SPED Student Roster'!$A:$E,5,FALSE),""))</f>
        <v/>
      </c>
    </row>
    <row r="112" spans="2:5" ht="14.25" x14ac:dyDescent="0.45">
      <c r="B112" t="str">
        <f>IF(A112="","",IFERROR(VLOOKUP(A112,'SPED Student Roster'!$A:$B,2,FALSE),""))</f>
        <v/>
      </c>
      <c r="C112" t="str">
        <f>IF(A112="","",IFERROR(VLOOKUP(A112,'SPED Student Roster'!$A:$C,3,FALSE),""))</f>
        <v/>
      </c>
      <c r="D112" t="str">
        <f>IF(A112="","",IFERROR(VLOOKUP(A112,'SPED Student Roster'!$A:$D,4,FALSE),""))</f>
        <v/>
      </c>
      <c r="E112" t="str">
        <f>IF(A112="","",IFERROR(VLOOKUP(A112,'SPED Student Roster'!$A:$E,5,FALSE),""))</f>
        <v/>
      </c>
    </row>
    <row r="113" spans="2:5" ht="14.25" x14ac:dyDescent="0.45">
      <c r="B113" t="str">
        <f>IF(A113="","",IFERROR(VLOOKUP(A113,'SPED Student Roster'!$A:$B,2,FALSE),""))</f>
        <v/>
      </c>
      <c r="C113" t="str">
        <f>IF(A113="","",IFERROR(VLOOKUP(A113,'SPED Student Roster'!$A:$C,3,FALSE),""))</f>
        <v/>
      </c>
      <c r="D113" t="str">
        <f>IF(A113="","",IFERROR(VLOOKUP(A113,'SPED Student Roster'!$A:$D,4,FALSE),""))</f>
        <v/>
      </c>
      <c r="E113" t="str">
        <f>IF(A113="","",IFERROR(VLOOKUP(A113,'SPED Student Roster'!$A:$E,5,FALSE),""))</f>
        <v/>
      </c>
    </row>
    <row r="114" spans="2:5" ht="14.25" x14ac:dyDescent="0.45">
      <c r="B114" t="str">
        <f>IF(A114="","",IFERROR(VLOOKUP(A114,'SPED Student Roster'!$A:$B,2,FALSE),""))</f>
        <v/>
      </c>
      <c r="C114" t="str">
        <f>IF(A114="","",IFERROR(VLOOKUP(A114,'SPED Student Roster'!$A:$C,3,FALSE),""))</f>
        <v/>
      </c>
      <c r="D114" t="str">
        <f>IF(A114="","",IFERROR(VLOOKUP(A114,'SPED Student Roster'!$A:$D,4,FALSE),""))</f>
        <v/>
      </c>
      <c r="E114" t="str">
        <f>IF(A114="","",IFERROR(VLOOKUP(A114,'SPED Student Roster'!$A:$E,5,FALSE),""))</f>
        <v/>
      </c>
    </row>
    <row r="115" spans="2:5" ht="14.25" x14ac:dyDescent="0.45">
      <c r="B115" t="str">
        <f>IF(A115="","",IFERROR(VLOOKUP(A115,'SPED Student Roster'!$A:$B,2,FALSE),""))</f>
        <v/>
      </c>
      <c r="C115" t="str">
        <f>IF(A115="","",IFERROR(VLOOKUP(A115,'SPED Student Roster'!$A:$C,3,FALSE),""))</f>
        <v/>
      </c>
      <c r="D115" t="str">
        <f>IF(A115="","",IFERROR(VLOOKUP(A115,'SPED Student Roster'!$A:$D,4,FALSE),""))</f>
        <v/>
      </c>
      <c r="E115" t="str">
        <f>IF(A115="","",IFERROR(VLOOKUP(A115,'SPED Student Roster'!$A:$E,5,FALSE),""))</f>
        <v/>
      </c>
    </row>
    <row r="116" spans="2:5" ht="14.25" x14ac:dyDescent="0.45">
      <c r="B116" t="str">
        <f>IF(A116="","",IFERROR(VLOOKUP(A116,'SPED Student Roster'!$A:$B,2,FALSE),""))</f>
        <v/>
      </c>
      <c r="C116" t="str">
        <f>IF(A116="","",IFERROR(VLOOKUP(A116,'SPED Student Roster'!$A:$C,3,FALSE),""))</f>
        <v/>
      </c>
      <c r="D116" t="str">
        <f>IF(A116="","",IFERROR(VLOOKUP(A116,'SPED Student Roster'!$A:$D,4,FALSE),""))</f>
        <v/>
      </c>
      <c r="E116" t="str">
        <f>IF(A116="","",IFERROR(VLOOKUP(A116,'SPED Student Roster'!$A:$E,5,FALSE),""))</f>
        <v/>
      </c>
    </row>
    <row r="117" spans="2:5" ht="14.25" x14ac:dyDescent="0.45">
      <c r="B117" t="str">
        <f>IF(A117="","",IFERROR(VLOOKUP(A117,'SPED Student Roster'!$A:$B,2,FALSE),""))</f>
        <v/>
      </c>
      <c r="C117" t="str">
        <f>IF(A117="","",IFERROR(VLOOKUP(A117,'SPED Student Roster'!$A:$C,3,FALSE),""))</f>
        <v/>
      </c>
      <c r="D117" t="str">
        <f>IF(A117="","",IFERROR(VLOOKUP(A117,'SPED Student Roster'!$A:$D,4,FALSE),""))</f>
        <v/>
      </c>
      <c r="E117" t="str">
        <f>IF(A117="","",IFERROR(VLOOKUP(A117,'SPED Student Roster'!$A:$E,5,FALSE),""))</f>
        <v/>
      </c>
    </row>
    <row r="118" spans="2:5" ht="14.25" x14ac:dyDescent="0.45">
      <c r="B118" t="str">
        <f>IF(A118="","",IFERROR(VLOOKUP(A118,'SPED Student Roster'!$A:$B,2,FALSE),""))</f>
        <v/>
      </c>
      <c r="C118" t="str">
        <f>IF(A118="","",IFERROR(VLOOKUP(A118,'SPED Student Roster'!$A:$C,3,FALSE),""))</f>
        <v/>
      </c>
      <c r="D118" t="str">
        <f>IF(A118="","",IFERROR(VLOOKUP(A118,'SPED Student Roster'!$A:$D,4,FALSE),""))</f>
        <v/>
      </c>
      <c r="E118" t="str">
        <f>IF(A118="","",IFERROR(VLOOKUP(A118,'SPED Student Roster'!$A:$E,5,FALSE),""))</f>
        <v/>
      </c>
    </row>
    <row r="119" spans="2:5" ht="14.25" x14ac:dyDescent="0.45">
      <c r="B119" t="str">
        <f>IF(A119="","",IFERROR(VLOOKUP(A119,'SPED Student Roster'!$A:$B,2,FALSE),""))</f>
        <v/>
      </c>
      <c r="C119" t="str">
        <f>IF(A119="","",IFERROR(VLOOKUP(A119,'SPED Student Roster'!$A:$C,3,FALSE),""))</f>
        <v/>
      </c>
      <c r="D119" t="str">
        <f>IF(A119="","",IFERROR(VLOOKUP(A119,'SPED Student Roster'!$A:$D,4,FALSE),""))</f>
        <v/>
      </c>
      <c r="E119" t="str">
        <f>IF(A119="","",IFERROR(VLOOKUP(A119,'SPED Student Roster'!$A:$E,5,FALSE),""))</f>
        <v/>
      </c>
    </row>
    <row r="120" spans="2:5" ht="14.25" x14ac:dyDescent="0.45">
      <c r="B120" t="str">
        <f>IF(A120="","",IFERROR(VLOOKUP(A120,'SPED Student Roster'!$A:$B,2,FALSE),""))</f>
        <v/>
      </c>
      <c r="C120" t="str">
        <f>IF(A120="","",IFERROR(VLOOKUP(A120,'SPED Student Roster'!$A:$C,3,FALSE),""))</f>
        <v/>
      </c>
      <c r="D120" t="str">
        <f>IF(A120="","",IFERROR(VLOOKUP(A120,'SPED Student Roster'!$A:$D,4,FALSE),""))</f>
        <v/>
      </c>
      <c r="E120" t="str">
        <f>IF(A120="","",IFERROR(VLOOKUP(A120,'SPED Student Roster'!$A:$E,5,FALSE),""))</f>
        <v/>
      </c>
    </row>
    <row r="121" spans="2:5" ht="14.25" x14ac:dyDescent="0.45">
      <c r="B121" t="str">
        <f>IF(A121="","",IFERROR(VLOOKUP(A121,'SPED Student Roster'!$A:$B,2,FALSE),""))</f>
        <v/>
      </c>
      <c r="C121" t="str">
        <f>IF(A121="","",IFERROR(VLOOKUP(A121,'SPED Student Roster'!$A:$C,3,FALSE),""))</f>
        <v/>
      </c>
      <c r="D121" t="str">
        <f>IF(A121="","",IFERROR(VLOOKUP(A121,'SPED Student Roster'!$A:$D,4,FALSE),""))</f>
        <v/>
      </c>
      <c r="E121" t="str">
        <f>IF(A121="","",IFERROR(VLOOKUP(A121,'SPED Student Roster'!$A:$E,5,FALSE),""))</f>
        <v/>
      </c>
    </row>
    <row r="122" spans="2:5" ht="14.25" x14ac:dyDescent="0.45">
      <c r="B122" t="str">
        <f>IF(A122="","",IFERROR(VLOOKUP(A122,'SPED Student Roster'!$A:$B,2,FALSE),""))</f>
        <v/>
      </c>
      <c r="C122" t="str">
        <f>IF(A122="","",IFERROR(VLOOKUP(A122,'SPED Student Roster'!$A:$C,3,FALSE),""))</f>
        <v/>
      </c>
      <c r="D122" t="str">
        <f>IF(A122="","",IFERROR(VLOOKUP(A122,'SPED Student Roster'!$A:$D,4,FALSE),""))</f>
        <v/>
      </c>
      <c r="E122" t="str">
        <f>IF(A122="","",IFERROR(VLOOKUP(A122,'SPED Student Roster'!$A:$E,5,FALSE),""))</f>
        <v/>
      </c>
    </row>
    <row r="123" spans="2:5" ht="14.25" x14ac:dyDescent="0.45">
      <c r="B123" t="str">
        <f>IF(A123="","",IFERROR(VLOOKUP(A123,'SPED Student Roster'!$A:$B,2,FALSE),""))</f>
        <v/>
      </c>
      <c r="C123" t="str">
        <f>IF(A123="","",IFERROR(VLOOKUP(A123,'SPED Student Roster'!$A:$C,3,FALSE),""))</f>
        <v/>
      </c>
      <c r="D123" t="str">
        <f>IF(A123="","",IFERROR(VLOOKUP(A123,'SPED Student Roster'!$A:$D,4,FALSE),""))</f>
        <v/>
      </c>
      <c r="E123" t="str">
        <f>IF(A123="","",IFERROR(VLOOKUP(A123,'SPED Student Roster'!$A:$E,5,FALSE),""))</f>
        <v/>
      </c>
    </row>
    <row r="124" spans="2:5" ht="14.25" x14ac:dyDescent="0.45">
      <c r="B124" t="str">
        <f>IF(A124="","",IFERROR(VLOOKUP(A124,'SPED Student Roster'!$A:$B,2,FALSE),""))</f>
        <v/>
      </c>
      <c r="C124" t="str">
        <f>IF(A124="","",IFERROR(VLOOKUP(A124,'SPED Student Roster'!$A:$C,3,FALSE),""))</f>
        <v/>
      </c>
      <c r="D124" t="str">
        <f>IF(A124="","",IFERROR(VLOOKUP(A124,'SPED Student Roster'!$A:$D,4,FALSE),""))</f>
        <v/>
      </c>
      <c r="E124" t="str">
        <f>IF(A124="","",IFERROR(VLOOKUP(A124,'SPED Student Roster'!$A:$E,5,FALSE),""))</f>
        <v/>
      </c>
    </row>
    <row r="125" spans="2:5" ht="14.25" x14ac:dyDescent="0.45">
      <c r="B125" t="str">
        <f>IF(A125="","",IFERROR(VLOOKUP(A125,'SPED Student Roster'!$A:$B,2,FALSE),""))</f>
        <v/>
      </c>
      <c r="C125" t="str">
        <f>IF(A125="","",IFERROR(VLOOKUP(A125,'SPED Student Roster'!$A:$C,3,FALSE),""))</f>
        <v/>
      </c>
      <c r="D125" t="str">
        <f>IF(A125="","",IFERROR(VLOOKUP(A125,'SPED Student Roster'!$A:$D,4,FALSE),""))</f>
        <v/>
      </c>
      <c r="E125" t="str">
        <f>IF(A125="","",IFERROR(VLOOKUP(A125,'SPED Student Roster'!$A:$E,5,FALSE),""))</f>
        <v/>
      </c>
    </row>
    <row r="126" spans="2:5" ht="14.25" x14ac:dyDescent="0.45">
      <c r="B126" t="str">
        <f>IF(A126="","",IFERROR(VLOOKUP(A126,'SPED Student Roster'!$A:$B,2,FALSE),""))</f>
        <v/>
      </c>
      <c r="C126" t="str">
        <f>IF(A126="","",IFERROR(VLOOKUP(A126,'SPED Student Roster'!$A:$C,3,FALSE),""))</f>
        <v/>
      </c>
      <c r="D126" t="str">
        <f>IF(A126="","",IFERROR(VLOOKUP(A126,'SPED Student Roster'!$A:$D,4,FALSE),""))</f>
        <v/>
      </c>
      <c r="E126" t="str">
        <f>IF(A126="","",IFERROR(VLOOKUP(A126,'SPED Student Roster'!$A:$E,5,FALSE),""))</f>
        <v/>
      </c>
    </row>
    <row r="127" spans="2:5" ht="14.25" x14ac:dyDescent="0.45">
      <c r="B127" t="str">
        <f>IF(A127="","",IFERROR(VLOOKUP(A127,'SPED Student Roster'!$A:$B,2,FALSE),""))</f>
        <v/>
      </c>
      <c r="C127" t="str">
        <f>IF(A127="","",IFERROR(VLOOKUP(A127,'SPED Student Roster'!$A:$C,3,FALSE),""))</f>
        <v/>
      </c>
      <c r="D127" t="str">
        <f>IF(A127="","",IFERROR(VLOOKUP(A127,'SPED Student Roster'!$A:$D,4,FALSE),""))</f>
        <v/>
      </c>
      <c r="E127" t="str">
        <f>IF(A127="","",IFERROR(VLOOKUP(A127,'SPED Student Roster'!$A:$E,5,FALSE),""))</f>
        <v/>
      </c>
    </row>
    <row r="128" spans="2:5" ht="14.25" x14ac:dyDescent="0.45">
      <c r="B128" t="str">
        <f>IF(A128="","",IFERROR(VLOOKUP(A128,'SPED Student Roster'!$A:$B,2,FALSE),""))</f>
        <v/>
      </c>
      <c r="C128" t="str">
        <f>IF(A128="","",IFERROR(VLOOKUP(A128,'SPED Student Roster'!$A:$C,3,FALSE),""))</f>
        <v/>
      </c>
      <c r="D128" t="str">
        <f>IF(A128="","",IFERROR(VLOOKUP(A128,'SPED Student Roster'!$A:$D,4,FALSE),""))</f>
        <v/>
      </c>
      <c r="E128" t="str">
        <f>IF(A128="","",IFERROR(VLOOKUP(A128,'SPED Student Roster'!$A:$E,5,FALSE),""))</f>
        <v/>
      </c>
    </row>
    <row r="129" spans="2:5" ht="14.25" x14ac:dyDescent="0.45">
      <c r="B129" t="str">
        <f>IF(A129="","",IFERROR(VLOOKUP(A129,'SPED Student Roster'!$A:$B,2,FALSE),""))</f>
        <v/>
      </c>
      <c r="C129" t="str">
        <f>IF(A129="","",IFERROR(VLOOKUP(A129,'SPED Student Roster'!$A:$C,3,FALSE),""))</f>
        <v/>
      </c>
      <c r="D129" t="str">
        <f>IF(A129="","",IFERROR(VLOOKUP(A129,'SPED Student Roster'!$A:$D,4,FALSE),""))</f>
        <v/>
      </c>
      <c r="E129" t="str">
        <f>IF(A129="","",IFERROR(VLOOKUP(A129,'SPED Student Roster'!$A:$E,5,FALSE),""))</f>
        <v/>
      </c>
    </row>
    <row r="130" spans="2:5" ht="14.25" x14ac:dyDescent="0.45">
      <c r="B130" t="str">
        <f>IF(A130="","",IFERROR(VLOOKUP(A130,'SPED Student Roster'!$A:$B,2,FALSE),""))</f>
        <v/>
      </c>
      <c r="C130" t="str">
        <f>IF(A130="","",IFERROR(VLOOKUP(A130,'SPED Student Roster'!$A:$C,3,FALSE),""))</f>
        <v/>
      </c>
      <c r="D130" t="str">
        <f>IF(A130="","",IFERROR(VLOOKUP(A130,'SPED Student Roster'!$A:$D,4,FALSE),""))</f>
        <v/>
      </c>
      <c r="E130" t="str">
        <f>IF(A130="","",IFERROR(VLOOKUP(A130,'SPED Student Roster'!$A:$E,5,FALSE),""))</f>
        <v/>
      </c>
    </row>
    <row r="131" spans="2:5" ht="14.25" x14ac:dyDescent="0.45">
      <c r="B131" t="str">
        <f>IF(A131="","",IFERROR(VLOOKUP(A131,'SPED Student Roster'!$A:$B,2,FALSE),""))</f>
        <v/>
      </c>
      <c r="C131" t="str">
        <f>IF(A131="","",IFERROR(VLOOKUP(A131,'SPED Student Roster'!$A:$C,3,FALSE),""))</f>
        <v/>
      </c>
      <c r="D131" t="str">
        <f>IF(A131="","",IFERROR(VLOOKUP(A131,'SPED Student Roster'!$A:$D,4,FALSE),""))</f>
        <v/>
      </c>
      <c r="E131" t="str">
        <f>IF(A131="","",IFERROR(VLOOKUP(A131,'SPED Student Roster'!$A:$E,5,FALSE),""))</f>
        <v/>
      </c>
    </row>
    <row r="132" spans="2:5" ht="14.25" x14ac:dyDescent="0.45">
      <c r="B132" t="str">
        <f>IF(A132="","",IFERROR(VLOOKUP(A132,'SPED Student Roster'!$A:$B,2,FALSE),""))</f>
        <v/>
      </c>
      <c r="C132" t="str">
        <f>IF(A132="","",IFERROR(VLOOKUP(A132,'SPED Student Roster'!$A:$C,3,FALSE),""))</f>
        <v/>
      </c>
      <c r="D132" t="str">
        <f>IF(A132="","",IFERROR(VLOOKUP(A132,'SPED Student Roster'!$A:$D,4,FALSE),""))</f>
        <v/>
      </c>
      <c r="E132" t="str">
        <f>IF(A132="","",IFERROR(VLOOKUP(A132,'SPED Student Roster'!$A:$E,5,FALSE),""))</f>
        <v/>
      </c>
    </row>
    <row r="133" spans="2:5" ht="14.25" x14ac:dyDescent="0.45">
      <c r="B133" t="str">
        <f>IF(A133="","",IFERROR(VLOOKUP(A133,'SPED Student Roster'!$A:$B,2,FALSE),""))</f>
        <v/>
      </c>
      <c r="C133" t="str">
        <f>IF(A133="","",IFERROR(VLOOKUP(A133,'SPED Student Roster'!$A:$C,3,FALSE),""))</f>
        <v/>
      </c>
      <c r="D133" t="str">
        <f>IF(A133="","",IFERROR(VLOOKUP(A133,'SPED Student Roster'!$A:$D,4,FALSE),""))</f>
        <v/>
      </c>
      <c r="E133" t="str">
        <f>IF(A133="","",IFERROR(VLOOKUP(A133,'SPED Student Roster'!$A:$E,5,FALSE),""))</f>
        <v/>
      </c>
    </row>
    <row r="134" spans="2:5" ht="14.25" x14ac:dyDescent="0.45">
      <c r="B134" t="str">
        <f>IF(A134="","",IFERROR(VLOOKUP(A134,'SPED Student Roster'!$A:$B,2,FALSE),""))</f>
        <v/>
      </c>
      <c r="C134" t="str">
        <f>IF(A134="","",IFERROR(VLOOKUP(A134,'SPED Student Roster'!$A:$C,3,FALSE),""))</f>
        <v/>
      </c>
      <c r="D134" t="str">
        <f>IF(A134="","",IFERROR(VLOOKUP(A134,'SPED Student Roster'!$A:$D,4,FALSE),""))</f>
        <v/>
      </c>
      <c r="E134" t="str">
        <f>IF(A134="","",IFERROR(VLOOKUP(A134,'SPED Student Roster'!$A:$E,5,FALSE),""))</f>
        <v/>
      </c>
    </row>
    <row r="135" spans="2:5" ht="14.25" x14ac:dyDescent="0.45">
      <c r="B135" t="str">
        <f>IF(A135="","",IFERROR(VLOOKUP(A135,'SPED Student Roster'!$A:$B,2,FALSE),""))</f>
        <v/>
      </c>
      <c r="C135" t="str">
        <f>IF(A135="","",IFERROR(VLOOKUP(A135,'SPED Student Roster'!$A:$C,3,FALSE),""))</f>
        <v/>
      </c>
      <c r="D135" t="str">
        <f>IF(A135="","",IFERROR(VLOOKUP(A135,'SPED Student Roster'!$A:$D,4,FALSE),""))</f>
        <v/>
      </c>
      <c r="E135" t="str">
        <f>IF(A135="","",IFERROR(VLOOKUP(A135,'SPED Student Roster'!$A:$E,5,FALSE),""))</f>
        <v/>
      </c>
    </row>
    <row r="136" spans="2:5" ht="14.25" x14ac:dyDescent="0.45">
      <c r="B136" t="str">
        <f>IF(A136="","",IFERROR(VLOOKUP(A136,'SPED Student Roster'!$A:$B,2,FALSE),""))</f>
        <v/>
      </c>
      <c r="C136" t="str">
        <f>IF(A136="","",IFERROR(VLOOKUP(A136,'SPED Student Roster'!$A:$C,3,FALSE),""))</f>
        <v/>
      </c>
      <c r="D136" t="str">
        <f>IF(A136="","",IFERROR(VLOOKUP(A136,'SPED Student Roster'!$A:$D,4,FALSE),""))</f>
        <v/>
      </c>
      <c r="E136" t="str">
        <f>IF(A136="","",IFERROR(VLOOKUP(A136,'SPED Student Roster'!$A:$E,5,FALSE),""))</f>
        <v/>
      </c>
    </row>
    <row r="137" spans="2:5" ht="14.25" x14ac:dyDescent="0.45">
      <c r="B137" t="str">
        <f>IF(A137="","",IFERROR(VLOOKUP(A137,'SPED Student Roster'!$A:$B,2,FALSE),""))</f>
        <v/>
      </c>
      <c r="C137" t="str">
        <f>IF(A137="","",IFERROR(VLOOKUP(A137,'SPED Student Roster'!$A:$C,3,FALSE),""))</f>
        <v/>
      </c>
      <c r="D137" t="str">
        <f>IF(A137="","",IFERROR(VLOOKUP(A137,'SPED Student Roster'!$A:$D,4,FALSE),""))</f>
        <v/>
      </c>
      <c r="E137" t="str">
        <f>IF(A137="","",IFERROR(VLOOKUP(A137,'SPED Student Roster'!$A:$E,5,FALSE),""))</f>
        <v/>
      </c>
    </row>
    <row r="138" spans="2:5" ht="14.25" x14ac:dyDescent="0.45">
      <c r="B138" t="str">
        <f>IF(A138="","",IFERROR(VLOOKUP(A138,'SPED Student Roster'!$A:$B,2,FALSE),""))</f>
        <v/>
      </c>
      <c r="C138" t="str">
        <f>IF(A138="","",IFERROR(VLOOKUP(A138,'SPED Student Roster'!$A:$C,3,FALSE),""))</f>
        <v/>
      </c>
      <c r="D138" t="str">
        <f>IF(A138="","",IFERROR(VLOOKUP(A138,'SPED Student Roster'!$A:$D,4,FALSE),""))</f>
        <v/>
      </c>
      <c r="E138" t="str">
        <f>IF(A138="","",IFERROR(VLOOKUP(A138,'SPED Student Roster'!$A:$E,5,FALSE),""))</f>
        <v/>
      </c>
    </row>
    <row r="139" spans="2:5" ht="14.25" x14ac:dyDescent="0.45">
      <c r="B139" t="str">
        <f>IF(A139="","",IFERROR(VLOOKUP(A139,'SPED Student Roster'!$A:$B,2,FALSE),""))</f>
        <v/>
      </c>
      <c r="C139" t="str">
        <f>IF(A139="","",IFERROR(VLOOKUP(A139,'SPED Student Roster'!$A:$C,3,FALSE),""))</f>
        <v/>
      </c>
      <c r="D139" t="str">
        <f>IF(A139="","",IFERROR(VLOOKUP(A139,'SPED Student Roster'!$A:$D,4,FALSE),""))</f>
        <v/>
      </c>
      <c r="E139" t="str">
        <f>IF(A139="","",IFERROR(VLOOKUP(A139,'SPED Student Roster'!$A:$E,5,FALSE),""))</f>
        <v/>
      </c>
    </row>
    <row r="140" spans="2:5" ht="14.25" x14ac:dyDescent="0.45">
      <c r="B140" t="str">
        <f>IF(A140="","",IFERROR(VLOOKUP(A140,'SPED Student Roster'!$A:$B,2,FALSE),""))</f>
        <v/>
      </c>
      <c r="C140" t="str">
        <f>IF(A140="","",IFERROR(VLOOKUP(A140,'SPED Student Roster'!$A:$C,3,FALSE),""))</f>
        <v/>
      </c>
      <c r="D140" t="str">
        <f>IF(A140="","",IFERROR(VLOOKUP(A140,'SPED Student Roster'!$A:$D,4,FALSE),""))</f>
        <v/>
      </c>
      <c r="E140" t="str">
        <f>IF(A140="","",IFERROR(VLOOKUP(A140,'SPED Student Roster'!$A:$E,5,FALSE),""))</f>
        <v/>
      </c>
    </row>
    <row r="141" spans="2:5" ht="14.25" x14ac:dyDescent="0.45">
      <c r="B141" t="str">
        <f>IF(A141="","",IFERROR(VLOOKUP(A141,'SPED Student Roster'!$A:$B,2,FALSE),""))</f>
        <v/>
      </c>
      <c r="C141" t="str">
        <f>IF(A141="","",IFERROR(VLOOKUP(A141,'SPED Student Roster'!$A:$C,3,FALSE),""))</f>
        <v/>
      </c>
      <c r="D141" t="str">
        <f>IF(A141="","",IFERROR(VLOOKUP(A141,'SPED Student Roster'!$A:$D,4,FALSE),""))</f>
        <v/>
      </c>
      <c r="E141" t="str">
        <f>IF(A141="","",IFERROR(VLOOKUP(A141,'SPED Student Roster'!$A:$E,5,FALSE),""))</f>
        <v/>
      </c>
    </row>
    <row r="142" spans="2:5" ht="14.25" x14ac:dyDescent="0.45">
      <c r="B142" t="str">
        <f>IF(A142="","",IFERROR(VLOOKUP(A142,'SPED Student Roster'!$A:$B,2,FALSE),""))</f>
        <v/>
      </c>
      <c r="C142" t="str">
        <f>IF(A142="","",IFERROR(VLOOKUP(A142,'SPED Student Roster'!$A:$C,3,FALSE),""))</f>
        <v/>
      </c>
      <c r="D142" t="str">
        <f>IF(A142="","",IFERROR(VLOOKUP(A142,'SPED Student Roster'!$A:$D,4,FALSE),""))</f>
        <v/>
      </c>
      <c r="E142" t="str">
        <f>IF(A142="","",IFERROR(VLOOKUP(A142,'SPED Student Roster'!$A:$E,5,FALSE),""))</f>
        <v/>
      </c>
    </row>
    <row r="143" spans="2:5" ht="14.25" x14ac:dyDescent="0.45">
      <c r="B143" t="str">
        <f>IF(A143="","",IFERROR(VLOOKUP(A143,'SPED Student Roster'!$A:$B,2,FALSE),""))</f>
        <v/>
      </c>
      <c r="C143" t="str">
        <f>IF(A143="","",IFERROR(VLOOKUP(A143,'SPED Student Roster'!$A:$C,3,FALSE),""))</f>
        <v/>
      </c>
      <c r="D143" t="str">
        <f>IF(A143="","",IFERROR(VLOOKUP(A143,'SPED Student Roster'!$A:$D,4,FALSE),""))</f>
        <v/>
      </c>
      <c r="E143" t="str">
        <f>IF(A143="","",IFERROR(VLOOKUP(A143,'SPED Student Roster'!$A:$E,5,FALSE),""))</f>
        <v/>
      </c>
    </row>
    <row r="144" spans="2:5" ht="14.25" x14ac:dyDescent="0.45">
      <c r="B144" t="str">
        <f>IF(A144="","",IFERROR(VLOOKUP(A144,'SPED Student Roster'!$A:$B,2,FALSE),""))</f>
        <v/>
      </c>
      <c r="C144" t="str">
        <f>IF(A144="","",IFERROR(VLOOKUP(A144,'SPED Student Roster'!$A:$C,3,FALSE),""))</f>
        <v/>
      </c>
      <c r="D144" t="str">
        <f>IF(A144="","",IFERROR(VLOOKUP(A144,'SPED Student Roster'!$A:$D,4,FALSE),""))</f>
        <v/>
      </c>
      <c r="E144" t="str">
        <f>IF(A144="","",IFERROR(VLOOKUP(A144,'SPED Student Roster'!$A:$E,5,FALSE),""))</f>
        <v/>
      </c>
    </row>
    <row r="145" spans="2:5" ht="14.25" x14ac:dyDescent="0.45">
      <c r="B145" t="str">
        <f>IF(A145="","",IFERROR(VLOOKUP(A145,'SPED Student Roster'!$A:$B,2,FALSE),""))</f>
        <v/>
      </c>
      <c r="C145" t="str">
        <f>IF(A145="","",IFERROR(VLOOKUP(A145,'SPED Student Roster'!$A:$C,3,FALSE),""))</f>
        <v/>
      </c>
      <c r="D145" t="str">
        <f>IF(A145="","",IFERROR(VLOOKUP(A145,'SPED Student Roster'!$A:$D,4,FALSE),""))</f>
        <v/>
      </c>
      <c r="E145" t="str">
        <f>IF(A145="","",IFERROR(VLOOKUP(A145,'SPED Student Roster'!$A:$E,5,FALSE),""))</f>
        <v/>
      </c>
    </row>
    <row r="146" spans="2:5" ht="14.25" x14ac:dyDescent="0.45">
      <c r="B146" t="str">
        <f>IF(A146="","",IFERROR(VLOOKUP(A146,'SPED Student Roster'!$A:$B,2,FALSE),""))</f>
        <v/>
      </c>
      <c r="C146" t="str">
        <f>IF(A146="","",IFERROR(VLOOKUP(A146,'SPED Student Roster'!$A:$C,3,FALSE),""))</f>
        <v/>
      </c>
      <c r="D146" t="str">
        <f>IF(A146="","",IFERROR(VLOOKUP(A146,'SPED Student Roster'!$A:$D,4,FALSE),""))</f>
        <v/>
      </c>
      <c r="E146" t="str">
        <f>IF(A146="","",IFERROR(VLOOKUP(A146,'SPED Student Roster'!$A:$E,5,FALSE),""))</f>
        <v/>
      </c>
    </row>
    <row r="147" spans="2:5" ht="14.25" x14ac:dyDescent="0.45">
      <c r="B147" t="str">
        <f>IF(A147="","",IFERROR(VLOOKUP(A147,'SPED Student Roster'!$A:$B,2,FALSE),""))</f>
        <v/>
      </c>
      <c r="C147" t="str">
        <f>IF(A147="","",IFERROR(VLOOKUP(A147,'SPED Student Roster'!$A:$C,3,FALSE),""))</f>
        <v/>
      </c>
      <c r="D147" t="str">
        <f>IF(A147="","",IFERROR(VLOOKUP(A147,'SPED Student Roster'!$A:$D,4,FALSE),""))</f>
        <v/>
      </c>
      <c r="E147" t="str">
        <f>IF(A147="","",IFERROR(VLOOKUP(A147,'SPED Student Roster'!$A:$E,5,FALSE),""))</f>
        <v/>
      </c>
    </row>
    <row r="148" spans="2:5" ht="14.25" x14ac:dyDescent="0.45">
      <c r="B148" t="str">
        <f>IF(A148="","",IFERROR(VLOOKUP(A148,'SPED Student Roster'!$A:$B,2,FALSE),""))</f>
        <v/>
      </c>
      <c r="C148" t="str">
        <f>IF(A148="","",IFERROR(VLOOKUP(A148,'SPED Student Roster'!$A:$C,3,FALSE),""))</f>
        <v/>
      </c>
      <c r="D148" t="str">
        <f>IF(A148="","",IFERROR(VLOOKUP(A148,'SPED Student Roster'!$A:$D,4,FALSE),""))</f>
        <v/>
      </c>
      <c r="E148" t="str">
        <f>IF(A148="","",IFERROR(VLOOKUP(A148,'SPED Student Roster'!$A:$E,5,FALSE),""))</f>
        <v/>
      </c>
    </row>
    <row r="149" spans="2:5" ht="14.25" x14ac:dyDescent="0.45">
      <c r="B149" t="str">
        <f>IF(A149="","",IFERROR(VLOOKUP(A149,'SPED Student Roster'!$A:$B,2,FALSE),""))</f>
        <v/>
      </c>
      <c r="C149" t="str">
        <f>IF(A149="","",IFERROR(VLOOKUP(A149,'SPED Student Roster'!$A:$C,3,FALSE),""))</f>
        <v/>
      </c>
      <c r="D149" t="str">
        <f>IF(A149="","",IFERROR(VLOOKUP(A149,'SPED Student Roster'!$A:$D,4,FALSE),""))</f>
        <v/>
      </c>
      <c r="E149" t="str">
        <f>IF(A149="","",IFERROR(VLOOKUP(A149,'SPED Student Roster'!$A:$E,5,FALSE),""))</f>
        <v/>
      </c>
    </row>
    <row r="150" spans="2:5" ht="14.25" x14ac:dyDescent="0.45">
      <c r="B150" t="str">
        <f>IF(A150="","",IFERROR(VLOOKUP(A150,'SPED Student Roster'!$A:$B,2,FALSE),""))</f>
        <v/>
      </c>
      <c r="C150" t="str">
        <f>IF(A150="","",IFERROR(VLOOKUP(A150,'SPED Student Roster'!$A:$C,3,FALSE),""))</f>
        <v/>
      </c>
      <c r="D150" t="str">
        <f>IF(A150="","",IFERROR(VLOOKUP(A150,'SPED Student Roster'!$A:$D,4,FALSE),""))</f>
        <v/>
      </c>
      <c r="E150" t="str">
        <f>IF(A150="","",IFERROR(VLOOKUP(A150,'SPED Student Roster'!$A:$E,5,FALSE),""))</f>
        <v/>
      </c>
    </row>
    <row r="151" spans="2:5" ht="14.25" x14ac:dyDescent="0.45">
      <c r="B151" t="str">
        <f>IF(A151="","",IFERROR(VLOOKUP(A151,'SPED Student Roster'!$A:$B,2,FALSE),""))</f>
        <v/>
      </c>
      <c r="C151" t="str">
        <f>IF(A151="","",IFERROR(VLOOKUP(A151,'SPED Student Roster'!$A:$C,3,FALSE),""))</f>
        <v/>
      </c>
      <c r="D151" t="str">
        <f>IF(A151="","",IFERROR(VLOOKUP(A151,'SPED Student Roster'!$A:$D,4,FALSE),""))</f>
        <v/>
      </c>
      <c r="E151" t="str">
        <f>IF(A151="","",IFERROR(VLOOKUP(A151,'SPED Student Roster'!$A:$E,5,FALSE),""))</f>
        <v/>
      </c>
    </row>
  </sheetData>
  <mergeCells count="2">
    <mergeCell ref="A1:P1"/>
    <mergeCell ref="A2:P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lease select from the dropdown list." xr:uid="{00000000-0002-0000-0400-000000000000}">
          <x14:formula1>
            <xm:f>Lists!$F$2:$F$4</xm:f>
          </x14:formula1>
          <xm:sqref>H4:H151</xm:sqref>
        </x14:dataValidation>
        <x14:dataValidation type="list" allowBlank="1" showErrorMessage="1" errorTitle="Invalid entry" error="Please select from the dropdown list." xr:uid="{00000000-0002-0000-0400-000002000000}">
          <x14:formula1>
            <xm:f>Lists!$I$2:$I$3</xm:f>
          </x14:formula1>
          <xm:sqref>O4:O151 K4:L151 I4:I151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6"/>
  <sheetViews>
    <sheetView zoomScaleNormal="100" workbookViewId="0"/>
  </sheetViews>
  <sheetFormatPr defaultRowHeight="15" customHeight="1" x14ac:dyDescent="0.45"/>
  <cols>
    <col min="1" max="1" width="13.33203125" customWidth="1"/>
    <col min="2" max="3" width="21.6640625" customWidth="1"/>
    <col min="4" max="4" width="41.6640625" customWidth="1"/>
    <col min="5" max="5" width="30" customWidth="1"/>
    <col min="6" max="6" width="20" customWidth="1"/>
    <col min="7" max="8" width="21.6640625" customWidth="1"/>
    <col min="9" max="12" width="16.6640625" customWidth="1"/>
    <col min="13" max="13" width="20" customWidth="1"/>
    <col min="14" max="14" width="33.33203125" customWidth="1"/>
  </cols>
  <sheetData>
    <row r="1" spans="1:14" x14ac:dyDescent="0.45">
      <c r="A1" s="4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s="4" t="s">
        <v>148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45">
      <c r="A3" s="4" t="s">
        <v>149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45">
      <c r="A4" t="s">
        <v>150</v>
      </c>
      <c r="B4" t="s">
        <v>151</v>
      </c>
      <c r="C4" t="s">
        <v>152</v>
      </c>
      <c r="D4" t="s">
        <v>153</v>
      </c>
      <c r="E4" t="s">
        <v>154</v>
      </c>
      <c r="F4" t="s">
        <v>155</v>
      </c>
      <c r="G4" t="s">
        <v>156</v>
      </c>
      <c r="H4" t="s">
        <v>157</v>
      </c>
      <c r="I4" t="s">
        <v>158</v>
      </c>
      <c r="J4" t="s">
        <v>159</v>
      </c>
      <c r="K4" t="s">
        <v>160</v>
      </c>
      <c r="L4" t="s">
        <v>161</v>
      </c>
      <c r="M4" t="s">
        <v>162</v>
      </c>
      <c r="N4" t="s">
        <v>45</v>
      </c>
    </row>
    <row r="5" spans="1:14" x14ac:dyDescent="0.45">
      <c r="A5" t="s">
        <v>163</v>
      </c>
      <c r="B5" t="s">
        <v>164</v>
      </c>
      <c r="C5" t="s">
        <v>165</v>
      </c>
      <c r="D5" t="s">
        <v>166</v>
      </c>
      <c r="E5" t="s">
        <v>167</v>
      </c>
      <c r="F5" s="3">
        <v>45962</v>
      </c>
      <c r="G5" s="3">
        <v>46054</v>
      </c>
      <c r="H5" s="3">
        <v>46006</v>
      </c>
      <c r="I5">
        <f t="shared" ref="I5:I36" ca="1" si="0">IF(OR(A5="",G5=""),"",IF(K5="Closed","Done",G5-TODAY()))</f>
        <v>-163</v>
      </c>
      <c r="J5">
        <f t="shared" ref="J5:J36" ca="1" si="1">IF(OR(A5="",H5=""),"",IF(K5="Closed","Done",H5-TODAY()))</f>
        <v>-211</v>
      </c>
      <c r="K5" t="s">
        <v>142</v>
      </c>
      <c r="M5" t="s">
        <v>54</v>
      </c>
      <c r="N5" t="s">
        <v>168</v>
      </c>
    </row>
    <row r="6" spans="1:14" x14ac:dyDescent="0.45">
      <c r="I6" t="str">
        <f t="shared" ca="1" si="0"/>
        <v/>
      </c>
      <c r="J6" t="str">
        <f t="shared" ca="1" si="1"/>
        <v/>
      </c>
    </row>
    <row r="7" spans="1:14" x14ac:dyDescent="0.45">
      <c r="I7" t="str">
        <f t="shared" ca="1" si="0"/>
        <v/>
      </c>
      <c r="J7" t="str">
        <f t="shared" ca="1" si="1"/>
        <v/>
      </c>
    </row>
    <row r="8" spans="1:14" x14ac:dyDescent="0.45">
      <c r="I8" t="str">
        <f t="shared" ca="1" si="0"/>
        <v/>
      </c>
      <c r="J8" t="str">
        <f t="shared" ca="1" si="1"/>
        <v/>
      </c>
    </row>
    <row r="9" spans="1:14" x14ac:dyDescent="0.45">
      <c r="I9" t="str">
        <f t="shared" ca="1" si="0"/>
        <v/>
      </c>
      <c r="J9" t="str">
        <f t="shared" ca="1" si="1"/>
        <v/>
      </c>
    </row>
    <row r="10" spans="1:14" x14ac:dyDescent="0.45">
      <c r="I10" t="str">
        <f t="shared" ca="1" si="0"/>
        <v/>
      </c>
      <c r="J10" t="str">
        <f t="shared" ca="1" si="1"/>
        <v/>
      </c>
    </row>
    <row r="11" spans="1:14" x14ac:dyDescent="0.45">
      <c r="I11" t="str">
        <f t="shared" ca="1" si="0"/>
        <v/>
      </c>
      <c r="J11" t="str">
        <f t="shared" ca="1" si="1"/>
        <v/>
      </c>
    </row>
    <row r="12" spans="1:14" x14ac:dyDescent="0.45">
      <c r="I12" t="str">
        <f t="shared" ca="1" si="0"/>
        <v/>
      </c>
      <c r="J12" t="str">
        <f t="shared" ca="1" si="1"/>
        <v/>
      </c>
    </row>
    <row r="13" spans="1:14" x14ac:dyDescent="0.45">
      <c r="I13" t="str">
        <f t="shared" ca="1" si="0"/>
        <v/>
      </c>
      <c r="J13" t="str">
        <f t="shared" ca="1" si="1"/>
        <v/>
      </c>
    </row>
    <row r="14" spans="1:14" x14ac:dyDescent="0.45">
      <c r="I14" t="str">
        <f t="shared" ca="1" si="0"/>
        <v/>
      </c>
      <c r="J14" t="str">
        <f t="shared" ca="1" si="1"/>
        <v/>
      </c>
    </row>
    <row r="15" spans="1:14" x14ac:dyDescent="0.45">
      <c r="I15" t="str">
        <f t="shared" ca="1" si="0"/>
        <v/>
      </c>
      <c r="J15" t="str">
        <f t="shared" ca="1" si="1"/>
        <v/>
      </c>
    </row>
    <row r="16" spans="1:14" x14ac:dyDescent="0.45">
      <c r="I16" t="str">
        <f t="shared" ca="1" si="0"/>
        <v/>
      </c>
      <c r="J16" t="str">
        <f t="shared" ca="1" si="1"/>
        <v/>
      </c>
    </row>
    <row r="17" spans="9:10" x14ac:dyDescent="0.45">
      <c r="I17" t="str">
        <f t="shared" ca="1" si="0"/>
        <v/>
      </c>
      <c r="J17" t="str">
        <f t="shared" ca="1" si="1"/>
        <v/>
      </c>
    </row>
    <row r="18" spans="9:10" x14ac:dyDescent="0.45">
      <c r="I18" t="str">
        <f t="shared" ca="1" si="0"/>
        <v/>
      </c>
      <c r="J18" t="str">
        <f t="shared" ca="1" si="1"/>
        <v/>
      </c>
    </row>
    <row r="19" spans="9:10" x14ac:dyDescent="0.45">
      <c r="I19" t="str">
        <f t="shared" ca="1" si="0"/>
        <v/>
      </c>
      <c r="J19" t="str">
        <f t="shared" ca="1" si="1"/>
        <v/>
      </c>
    </row>
    <row r="20" spans="9:10" x14ac:dyDescent="0.45">
      <c r="I20" t="str">
        <f t="shared" ca="1" si="0"/>
        <v/>
      </c>
      <c r="J20" t="str">
        <f t="shared" ca="1" si="1"/>
        <v/>
      </c>
    </row>
    <row r="21" spans="9:10" x14ac:dyDescent="0.45">
      <c r="I21" t="str">
        <f t="shared" ca="1" si="0"/>
        <v/>
      </c>
      <c r="J21" t="str">
        <f t="shared" ca="1" si="1"/>
        <v/>
      </c>
    </row>
    <row r="22" spans="9:10" x14ac:dyDescent="0.45">
      <c r="I22" t="str">
        <f t="shared" ca="1" si="0"/>
        <v/>
      </c>
      <c r="J22" t="str">
        <f t="shared" ca="1" si="1"/>
        <v/>
      </c>
    </row>
    <row r="23" spans="9:10" x14ac:dyDescent="0.45">
      <c r="I23" t="str">
        <f t="shared" ca="1" si="0"/>
        <v/>
      </c>
      <c r="J23" t="str">
        <f t="shared" ca="1" si="1"/>
        <v/>
      </c>
    </row>
    <row r="24" spans="9:10" x14ac:dyDescent="0.45">
      <c r="I24" t="str">
        <f t="shared" ca="1" si="0"/>
        <v/>
      </c>
      <c r="J24" t="str">
        <f t="shared" ca="1" si="1"/>
        <v/>
      </c>
    </row>
    <row r="25" spans="9:10" x14ac:dyDescent="0.45">
      <c r="I25" t="str">
        <f t="shared" ca="1" si="0"/>
        <v/>
      </c>
      <c r="J25" t="str">
        <f t="shared" ca="1" si="1"/>
        <v/>
      </c>
    </row>
    <row r="26" spans="9:10" x14ac:dyDescent="0.45">
      <c r="I26" t="str">
        <f t="shared" ca="1" si="0"/>
        <v/>
      </c>
      <c r="J26" t="str">
        <f t="shared" ca="1" si="1"/>
        <v/>
      </c>
    </row>
    <row r="27" spans="9:10" x14ac:dyDescent="0.45">
      <c r="I27" t="str">
        <f t="shared" ca="1" si="0"/>
        <v/>
      </c>
      <c r="J27" t="str">
        <f t="shared" ca="1" si="1"/>
        <v/>
      </c>
    </row>
    <row r="28" spans="9:10" x14ac:dyDescent="0.45">
      <c r="I28" t="str">
        <f t="shared" ca="1" si="0"/>
        <v/>
      </c>
      <c r="J28" t="str">
        <f t="shared" ca="1" si="1"/>
        <v/>
      </c>
    </row>
    <row r="29" spans="9:10" x14ac:dyDescent="0.45">
      <c r="I29" t="str">
        <f t="shared" ca="1" si="0"/>
        <v/>
      </c>
      <c r="J29" t="str">
        <f t="shared" ca="1" si="1"/>
        <v/>
      </c>
    </row>
    <row r="30" spans="9:10" x14ac:dyDescent="0.45">
      <c r="I30" t="str">
        <f t="shared" ca="1" si="0"/>
        <v/>
      </c>
      <c r="J30" t="str">
        <f t="shared" ca="1" si="1"/>
        <v/>
      </c>
    </row>
    <row r="31" spans="9:10" x14ac:dyDescent="0.45">
      <c r="I31" t="str">
        <f t="shared" ca="1" si="0"/>
        <v/>
      </c>
      <c r="J31" t="str">
        <f t="shared" ca="1" si="1"/>
        <v/>
      </c>
    </row>
    <row r="32" spans="9:10" x14ac:dyDescent="0.45">
      <c r="I32" t="str">
        <f t="shared" ca="1" si="0"/>
        <v/>
      </c>
      <c r="J32" t="str">
        <f t="shared" ca="1" si="1"/>
        <v/>
      </c>
    </row>
    <row r="33" spans="9:10" x14ac:dyDescent="0.45">
      <c r="I33" t="str">
        <f t="shared" ca="1" si="0"/>
        <v/>
      </c>
      <c r="J33" t="str">
        <f t="shared" ca="1" si="1"/>
        <v/>
      </c>
    </row>
    <row r="34" spans="9:10" x14ac:dyDescent="0.45">
      <c r="I34" t="str">
        <f t="shared" ca="1" si="0"/>
        <v/>
      </c>
      <c r="J34" t="str">
        <f t="shared" ca="1" si="1"/>
        <v/>
      </c>
    </row>
    <row r="35" spans="9:10" x14ac:dyDescent="0.45">
      <c r="I35" t="str">
        <f t="shared" ca="1" si="0"/>
        <v/>
      </c>
      <c r="J35" t="str">
        <f t="shared" ca="1" si="1"/>
        <v/>
      </c>
    </row>
    <row r="36" spans="9:10" x14ac:dyDescent="0.45">
      <c r="I36" t="str">
        <f t="shared" ca="1" si="0"/>
        <v/>
      </c>
      <c r="J36" t="str">
        <f t="shared" ca="1" si="1"/>
        <v/>
      </c>
    </row>
    <row r="37" spans="9:10" x14ac:dyDescent="0.45">
      <c r="I37" t="str">
        <f t="shared" ref="I37:I54" ca="1" si="2">IF(OR(A37="",G37=""),"",IF(K37="Closed","Done",G37-TODAY()))</f>
        <v/>
      </c>
      <c r="J37" t="str">
        <f t="shared" ref="J37:J54" ca="1" si="3">IF(OR(A37="",H37=""),"",IF(K37="Closed","Done",H37-TODAY()))</f>
        <v/>
      </c>
    </row>
    <row r="38" spans="9:10" x14ac:dyDescent="0.45">
      <c r="I38" t="str">
        <f t="shared" ca="1" si="2"/>
        <v/>
      </c>
      <c r="J38" t="str">
        <f t="shared" ca="1" si="3"/>
        <v/>
      </c>
    </row>
    <row r="39" spans="9:10" x14ac:dyDescent="0.45">
      <c r="I39" t="str">
        <f t="shared" ca="1" si="2"/>
        <v/>
      </c>
      <c r="J39" t="str">
        <f t="shared" ca="1" si="3"/>
        <v/>
      </c>
    </row>
    <row r="40" spans="9:10" x14ac:dyDescent="0.45">
      <c r="I40" t="str">
        <f t="shared" ca="1" si="2"/>
        <v/>
      </c>
      <c r="J40" t="str">
        <f t="shared" ca="1" si="3"/>
        <v/>
      </c>
    </row>
    <row r="41" spans="9:10" x14ac:dyDescent="0.45">
      <c r="I41" t="str">
        <f t="shared" ca="1" si="2"/>
        <v/>
      </c>
      <c r="J41" t="str">
        <f t="shared" ca="1" si="3"/>
        <v/>
      </c>
    </row>
    <row r="42" spans="9:10" x14ac:dyDescent="0.45">
      <c r="I42" t="str">
        <f t="shared" ca="1" si="2"/>
        <v/>
      </c>
      <c r="J42" t="str">
        <f t="shared" ca="1" si="3"/>
        <v/>
      </c>
    </row>
    <row r="43" spans="9:10" x14ac:dyDescent="0.45">
      <c r="I43" t="str">
        <f t="shared" ca="1" si="2"/>
        <v/>
      </c>
      <c r="J43" t="str">
        <f t="shared" ca="1" si="3"/>
        <v/>
      </c>
    </row>
    <row r="44" spans="9:10" x14ac:dyDescent="0.45">
      <c r="I44" t="str">
        <f t="shared" ca="1" si="2"/>
        <v/>
      </c>
      <c r="J44" t="str">
        <f t="shared" ca="1" si="3"/>
        <v/>
      </c>
    </row>
    <row r="45" spans="9:10" x14ac:dyDescent="0.45">
      <c r="I45" t="str">
        <f t="shared" ca="1" si="2"/>
        <v/>
      </c>
      <c r="J45" t="str">
        <f t="shared" ca="1" si="3"/>
        <v/>
      </c>
    </row>
    <row r="46" spans="9:10" x14ac:dyDescent="0.45">
      <c r="I46" t="str">
        <f t="shared" ca="1" si="2"/>
        <v/>
      </c>
      <c r="J46" t="str">
        <f t="shared" ca="1" si="3"/>
        <v/>
      </c>
    </row>
    <row r="47" spans="9:10" x14ac:dyDescent="0.45">
      <c r="I47" t="str">
        <f t="shared" ca="1" si="2"/>
        <v/>
      </c>
      <c r="J47" t="str">
        <f t="shared" ca="1" si="3"/>
        <v/>
      </c>
    </row>
    <row r="48" spans="9:10" x14ac:dyDescent="0.45">
      <c r="I48" t="str">
        <f t="shared" ca="1" si="2"/>
        <v/>
      </c>
      <c r="J48" t="str">
        <f t="shared" ca="1" si="3"/>
        <v/>
      </c>
    </row>
    <row r="49" spans="1:14" x14ac:dyDescent="0.45">
      <c r="I49" t="str">
        <f t="shared" ca="1" si="2"/>
        <v/>
      </c>
      <c r="J49" t="str">
        <f t="shared" ca="1" si="3"/>
        <v/>
      </c>
    </row>
    <row r="50" spans="1:14" x14ac:dyDescent="0.45">
      <c r="I50" t="str">
        <f t="shared" ca="1" si="2"/>
        <v/>
      </c>
      <c r="J50" t="str">
        <f t="shared" ca="1" si="3"/>
        <v/>
      </c>
    </row>
    <row r="51" spans="1:14" x14ac:dyDescent="0.45">
      <c r="I51" t="str">
        <f t="shared" ca="1" si="2"/>
        <v/>
      </c>
      <c r="J51" t="str">
        <f t="shared" ca="1" si="3"/>
        <v/>
      </c>
    </row>
    <row r="52" spans="1:14" x14ac:dyDescent="0.45">
      <c r="I52" t="str">
        <f t="shared" ca="1" si="2"/>
        <v/>
      </c>
      <c r="J52" t="str">
        <f t="shared" ca="1" si="3"/>
        <v/>
      </c>
    </row>
    <row r="53" spans="1:14" x14ac:dyDescent="0.45">
      <c r="I53" t="str">
        <f t="shared" ca="1" si="2"/>
        <v/>
      </c>
      <c r="J53" t="str">
        <f t="shared" ca="1" si="3"/>
        <v/>
      </c>
    </row>
    <row r="54" spans="1:14" x14ac:dyDescent="0.45">
      <c r="I54" t="str">
        <f t="shared" ca="1" si="2"/>
        <v/>
      </c>
      <c r="J54" t="str">
        <f t="shared" ca="1" si="3"/>
        <v/>
      </c>
    </row>
    <row r="55" spans="1:14" x14ac:dyDescent="0.45">
      <c r="A55" s="4" t="s">
        <v>169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45">
      <c r="A56" t="s">
        <v>170</v>
      </c>
      <c r="B56" t="s">
        <v>171</v>
      </c>
      <c r="C56" t="s">
        <v>172</v>
      </c>
      <c r="D56" t="s">
        <v>173</v>
      </c>
      <c r="E56" t="s">
        <v>174</v>
      </c>
      <c r="F56" t="s">
        <v>175</v>
      </c>
      <c r="G56" t="s">
        <v>160</v>
      </c>
      <c r="H56" t="s">
        <v>176</v>
      </c>
      <c r="I56" t="s">
        <v>177</v>
      </c>
      <c r="J56" t="s">
        <v>45</v>
      </c>
    </row>
    <row r="57" spans="1:14" x14ac:dyDescent="0.45">
      <c r="A57" t="s">
        <v>178</v>
      </c>
      <c r="B57" t="s">
        <v>163</v>
      </c>
      <c r="C57" t="s">
        <v>179</v>
      </c>
      <c r="D57" t="s">
        <v>180</v>
      </c>
      <c r="E57" s="3">
        <v>46006</v>
      </c>
      <c r="F57">
        <f t="shared" ref="F57:F88" ca="1" si="4">IF(OR(A57="",E57=""),"",IF(G57="Closed","Done",E57-TODAY()))</f>
        <v>-211</v>
      </c>
      <c r="G57" t="s">
        <v>142</v>
      </c>
      <c r="I57" t="s">
        <v>181</v>
      </c>
    </row>
    <row r="58" spans="1:14" x14ac:dyDescent="0.45">
      <c r="F58" t="str">
        <f t="shared" ca="1" si="4"/>
        <v/>
      </c>
    </row>
    <row r="59" spans="1:14" x14ac:dyDescent="0.45">
      <c r="F59" t="str">
        <f t="shared" ca="1" si="4"/>
        <v/>
      </c>
    </row>
    <row r="60" spans="1:14" x14ac:dyDescent="0.45">
      <c r="F60" t="str">
        <f t="shared" ca="1" si="4"/>
        <v/>
      </c>
    </row>
    <row r="61" spans="1:14" x14ac:dyDescent="0.45">
      <c r="F61" t="str">
        <f t="shared" ca="1" si="4"/>
        <v/>
      </c>
    </row>
    <row r="62" spans="1:14" x14ac:dyDescent="0.45">
      <c r="F62" t="str">
        <f t="shared" ca="1" si="4"/>
        <v/>
      </c>
    </row>
    <row r="63" spans="1:14" x14ac:dyDescent="0.45">
      <c r="F63" t="str">
        <f t="shared" ca="1" si="4"/>
        <v/>
      </c>
    </row>
    <row r="64" spans="1:14" x14ac:dyDescent="0.45">
      <c r="F64" t="str">
        <f t="shared" ca="1" si="4"/>
        <v/>
      </c>
    </row>
    <row r="65" spans="6:6" x14ac:dyDescent="0.45">
      <c r="F65" t="str">
        <f t="shared" ca="1" si="4"/>
        <v/>
      </c>
    </row>
    <row r="66" spans="6:6" x14ac:dyDescent="0.45">
      <c r="F66" t="str">
        <f t="shared" ca="1" si="4"/>
        <v/>
      </c>
    </row>
    <row r="67" spans="6:6" x14ac:dyDescent="0.45">
      <c r="F67" t="str">
        <f t="shared" ca="1" si="4"/>
        <v/>
      </c>
    </row>
    <row r="68" spans="6:6" x14ac:dyDescent="0.45">
      <c r="F68" t="str">
        <f t="shared" ca="1" si="4"/>
        <v/>
      </c>
    </row>
    <row r="69" spans="6:6" x14ac:dyDescent="0.45">
      <c r="F69" t="str">
        <f t="shared" ca="1" si="4"/>
        <v/>
      </c>
    </row>
    <row r="70" spans="6:6" x14ac:dyDescent="0.45">
      <c r="F70" t="str">
        <f t="shared" ca="1" si="4"/>
        <v/>
      </c>
    </row>
    <row r="71" spans="6:6" x14ac:dyDescent="0.45">
      <c r="F71" t="str">
        <f t="shared" ca="1" si="4"/>
        <v/>
      </c>
    </row>
    <row r="72" spans="6:6" x14ac:dyDescent="0.45">
      <c r="F72" t="str">
        <f t="shared" ca="1" si="4"/>
        <v/>
      </c>
    </row>
    <row r="73" spans="6:6" x14ac:dyDescent="0.45">
      <c r="F73" t="str">
        <f t="shared" ca="1" si="4"/>
        <v/>
      </c>
    </row>
    <row r="74" spans="6:6" x14ac:dyDescent="0.45">
      <c r="F74" t="str">
        <f t="shared" ca="1" si="4"/>
        <v/>
      </c>
    </row>
    <row r="75" spans="6:6" x14ac:dyDescent="0.45">
      <c r="F75" t="str">
        <f t="shared" ca="1" si="4"/>
        <v/>
      </c>
    </row>
    <row r="76" spans="6:6" x14ac:dyDescent="0.45">
      <c r="F76" t="str">
        <f t="shared" ca="1" si="4"/>
        <v/>
      </c>
    </row>
    <row r="77" spans="6:6" x14ac:dyDescent="0.45">
      <c r="F77" t="str">
        <f t="shared" ca="1" si="4"/>
        <v/>
      </c>
    </row>
    <row r="78" spans="6:6" x14ac:dyDescent="0.45">
      <c r="F78" t="str">
        <f t="shared" ca="1" si="4"/>
        <v/>
      </c>
    </row>
    <row r="79" spans="6:6" x14ac:dyDescent="0.45">
      <c r="F79" t="str">
        <f t="shared" ca="1" si="4"/>
        <v/>
      </c>
    </row>
    <row r="80" spans="6:6" x14ac:dyDescent="0.45">
      <c r="F80" t="str">
        <f t="shared" ca="1" si="4"/>
        <v/>
      </c>
    </row>
    <row r="81" spans="6:6" x14ac:dyDescent="0.45">
      <c r="F81" t="str">
        <f t="shared" ca="1" si="4"/>
        <v/>
      </c>
    </row>
    <row r="82" spans="6:6" x14ac:dyDescent="0.45">
      <c r="F82" t="str">
        <f t="shared" ca="1" si="4"/>
        <v/>
      </c>
    </row>
    <row r="83" spans="6:6" x14ac:dyDescent="0.45">
      <c r="F83" t="str">
        <f t="shared" ca="1" si="4"/>
        <v/>
      </c>
    </row>
    <row r="84" spans="6:6" x14ac:dyDescent="0.45">
      <c r="F84" t="str">
        <f t="shared" ca="1" si="4"/>
        <v/>
      </c>
    </row>
    <row r="85" spans="6:6" x14ac:dyDescent="0.45">
      <c r="F85" t="str">
        <f t="shared" ca="1" si="4"/>
        <v/>
      </c>
    </row>
    <row r="86" spans="6:6" x14ac:dyDescent="0.45">
      <c r="F86" t="str">
        <f t="shared" ca="1" si="4"/>
        <v/>
      </c>
    </row>
    <row r="87" spans="6:6" x14ac:dyDescent="0.45">
      <c r="F87" t="str">
        <f t="shared" ca="1" si="4"/>
        <v/>
      </c>
    </row>
    <row r="88" spans="6:6" x14ac:dyDescent="0.45">
      <c r="F88" t="str">
        <f t="shared" ca="1" si="4"/>
        <v/>
      </c>
    </row>
    <row r="89" spans="6:6" x14ac:dyDescent="0.45">
      <c r="F89" t="str">
        <f t="shared" ref="F89:F120" ca="1" si="5">IF(OR(A89="",E89=""),"",IF(G89="Closed","Done",E89-TODAY()))</f>
        <v/>
      </c>
    </row>
    <row r="90" spans="6:6" x14ac:dyDescent="0.45">
      <c r="F90" t="str">
        <f t="shared" ca="1" si="5"/>
        <v/>
      </c>
    </row>
    <row r="91" spans="6:6" x14ac:dyDescent="0.45">
      <c r="F91" t="str">
        <f t="shared" ca="1" si="5"/>
        <v/>
      </c>
    </row>
    <row r="92" spans="6:6" x14ac:dyDescent="0.45">
      <c r="F92" t="str">
        <f t="shared" ca="1" si="5"/>
        <v/>
      </c>
    </row>
    <row r="93" spans="6:6" x14ac:dyDescent="0.45">
      <c r="F93" t="str">
        <f t="shared" ca="1" si="5"/>
        <v/>
      </c>
    </row>
    <row r="94" spans="6:6" x14ac:dyDescent="0.45">
      <c r="F94" t="str">
        <f t="shared" ca="1" si="5"/>
        <v/>
      </c>
    </row>
    <row r="95" spans="6:6" x14ac:dyDescent="0.45">
      <c r="F95" t="str">
        <f t="shared" ca="1" si="5"/>
        <v/>
      </c>
    </row>
    <row r="96" spans="6:6" x14ac:dyDescent="0.45">
      <c r="F96" t="str">
        <f t="shared" ca="1" si="5"/>
        <v/>
      </c>
    </row>
    <row r="97" spans="6:6" x14ac:dyDescent="0.45">
      <c r="F97" t="str">
        <f t="shared" ca="1" si="5"/>
        <v/>
      </c>
    </row>
    <row r="98" spans="6:6" x14ac:dyDescent="0.45">
      <c r="F98" t="str">
        <f t="shared" ca="1" si="5"/>
        <v/>
      </c>
    </row>
    <row r="99" spans="6:6" x14ac:dyDescent="0.45">
      <c r="F99" t="str">
        <f t="shared" ca="1" si="5"/>
        <v/>
      </c>
    </row>
    <row r="100" spans="6:6" x14ac:dyDescent="0.45">
      <c r="F100" t="str">
        <f t="shared" ca="1" si="5"/>
        <v/>
      </c>
    </row>
    <row r="101" spans="6:6" x14ac:dyDescent="0.45">
      <c r="F101" t="str">
        <f t="shared" ca="1" si="5"/>
        <v/>
      </c>
    </row>
    <row r="102" spans="6:6" x14ac:dyDescent="0.45">
      <c r="F102" t="str">
        <f t="shared" ca="1" si="5"/>
        <v/>
      </c>
    </row>
    <row r="103" spans="6:6" x14ac:dyDescent="0.45">
      <c r="F103" t="str">
        <f t="shared" ca="1" si="5"/>
        <v/>
      </c>
    </row>
    <row r="104" spans="6:6" x14ac:dyDescent="0.45">
      <c r="F104" t="str">
        <f t="shared" ca="1" si="5"/>
        <v/>
      </c>
    </row>
    <row r="105" spans="6:6" x14ac:dyDescent="0.45">
      <c r="F105" t="str">
        <f t="shared" ca="1" si="5"/>
        <v/>
      </c>
    </row>
    <row r="106" spans="6:6" x14ac:dyDescent="0.45">
      <c r="F106" t="str">
        <f t="shared" ca="1" si="5"/>
        <v/>
      </c>
    </row>
    <row r="107" spans="6:6" x14ac:dyDescent="0.45">
      <c r="F107" t="str">
        <f t="shared" ca="1" si="5"/>
        <v/>
      </c>
    </row>
    <row r="108" spans="6:6" x14ac:dyDescent="0.45">
      <c r="F108" t="str">
        <f t="shared" ca="1" si="5"/>
        <v/>
      </c>
    </row>
    <row r="109" spans="6:6" x14ac:dyDescent="0.45">
      <c r="F109" t="str">
        <f t="shared" ca="1" si="5"/>
        <v/>
      </c>
    </row>
    <row r="110" spans="6:6" x14ac:dyDescent="0.45">
      <c r="F110" t="str">
        <f t="shared" ca="1" si="5"/>
        <v/>
      </c>
    </row>
    <row r="111" spans="6:6" x14ac:dyDescent="0.45">
      <c r="F111" t="str">
        <f t="shared" ca="1" si="5"/>
        <v/>
      </c>
    </row>
    <row r="112" spans="6:6" x14ac:dyDescent="0.45">
      <c r="F112" t="str">
        <f t="shared" ca="1" si="5"/>
        <v/>
      </c>
    </row>
    <row r="113" spans="6:6" x14ac:dyDescent="0.45">
      <c r="F113" t="str">
        <f t="shared" ca="1" si="5"/>
        <v/>
      </c>
    </row>
    <row r="114" spans="6:6" x14ac:dyDescent="0.45">
      <c r="F114" t="str">
        <f t="shared" ca="1" si="5"/>
        <v/>
      </c>
    </row>
    <row r="115" spans="6:6" x14ac:dyDescent="0.45">
      <c r="F115" t="str">
        <f t="shared" ca="1" si="5"/>
        <v/>
      </c>
    </row>
    <row r="116" spans="6:6" x14ac:dyDescent="0.45">
      <c r="F116" t="str">
        <f t="shared" ca="1" si="5"/>
        <v/>
      </c>
    </row>
    <row r="117" spans="6:6" x14ac:dyDescent="0.45">
      <c r="F117" t="str">
        <f t="shared" ca="1" si="5"/>
        <v/>
      </c>
    </row>
    <row r="118" spans="6:6" x14ac:dyDescent="0.45">
      <c r="F118" t="str">
        <f t="shared" ca="1" si="5"/>
        <v/>
      </c>
    </row>
    <row r="119" spans="6:6" x14ac:dyDescent="0.45">
      <c r="F119" t="str">
        <f t="shared" ca="1" si="5"/>
        <v/>
      </c>
    </row>
    <row r="120" spans="6:6" x14ac:dyDescent="0.45">
      <c r="F120" t="str">
        <f t="shared" ca="1" si="5"/>
        <v/>
      </c>
    </row>
    <row r="121" spans="6:6" x14ac:dyDescent="0.45">
      <c r="F121" t="str">
        <f t="shared" ref="F121:F152" ca="1" si="6">IF(OR(A121="",E121=""),"",IF(G121="Closed","Done",E121-TODAY()))</f>
        <v/>
      </c>
    </row>
    <row r="122" spans="6:6" x14ac:dyDescent="0.45">
      <c r="F122" t="str">
        <f t="shared" ca="1" si="6"/>
        <v/>
      </c>
    </row>
    <row r="123" spans="6:6" x14ac:dyDescent="0.45">
      <c r="F123" t="str">
        <f t="shared" ca="1" si="6"/>
        <v/>
      </c>
    </row>
    <row r="124" spans="6:6" x14ac:dyDescent="0.45">
      <c r="F124" t="str">
        <f t="shared" ca="1" si="6"/>
        <v/>
      </c>
    </row>
    <row r="125" spans="6:6" x14ac:dyDescent="0.45">
      <c r="F125" t="str">
        <f t="shared" ca="1" si="6"/>
        <v/>
      </c>
    </row>
    <row r="126" spans="6:6" x14ac:dyDescent="0.45">
      <c r="F126" t="str">
        <f t="shared" ca="1" si="6"/>
        <v/>
      </c>
    </row>
    <row r="127" spans="6:6" x14ac:dyDescent="0.45">
      <c r="F127" t="str">
        <f t="shared" ca="1" si="6"/>
        <v/>
      </c>
    </row>
    <row r="128" spans="6:6" x14ac:dyDescent="0.45">
      <c r="F128" t="str">
        <f t="shared" ca="1" si="6"/>
        <v/>
      </c>
    </row>
    <row r="129" spans="6:6" x14ac:dyDescent="0.45">
      <c r="F129" t="str">
        <f t="shared" ca="1" si="6"/>
        <v/>
      </c>
    </row>
    <row r="130" spans="6:6" x14ac:dyDescent="0.45">
      <c r="F130" t="str">
        <f t="shared" ca="1" si="6"/>
        <v/>
      </c>
    </row>
    <row r="131" spans="6:6" x14ac:dyDescent="0.45">
      <c r="F131" t="str">
        <f t="shared" ca="1" si="6"/>
        <v/>
      </c>
    </row>
    <row r="132" spans="6:6" x14ac:dyDescent="0.45">
      <c r="F132" t="str">
        <f t="shared" ca="1" si="6"/>
        <v/>
      </c>
    </row>
    <row r="133" spans="6:6" x14ac:dyDescent="0.45">
      <c r="F133" t="str">
        <f t="shared" ca="1" si="6"/>
        <v/>
      </c>
    </row>
    <row r="134" spans="6:6" x14ac:dyDescent="0.45">
      <c r="F134" t="str">
        <f t="shared" ca="1" si="6"/>
        <v/>
      </c>
    </row>
    <row r="135" spans="6:6" x14ac:dyDescent="0.45">
      <c r="F135" t="str">
        <f t="shared" ca="1" si="6"/>
        <v/>
      </c>
    </row>
    <row r="136" spans="6:6" x14ac:dyDescent="0.45">
      <c r="F136" t="str">
        <f t="shared" ca="1" si="6"/>
        <v/>
      </c>
    </row>
    <row r="137" spans="6:6" x14ac:dyDescent="0.45">
      <c r="F137" t="str">
        <f t="shared" ca="1" si="6"/>
        <v/>
      </c>
    </row>
    <row r="138" spans="6:6" x14ac:dyDescent="0.45">
      <c r="F138" t="str">
        <f t="shared" ca="1" si="6"/>
        <v/>
      </c>
    </row>
    <row r="139" spans="6:6" x14ac:dyDescent="0.45">
      <c r="F139" t="str">
        <f t="shared" ca="1" si="6"/>
        <v/>
      </c>
    </row>
    <row r="140" spans="6:6" x14ac:dyDescent="0.45">
      <c r="F140" t="str">
        <f t="shared" ca="1" si="6"/>
        <v/>
      </c>
    </row>
    <row r="141" spans="6:6" x14ac:dyDescent="0.45">
      <c r="F141" t="str">
        <f t="shared" ca="1" si="6"/>
        <v/>
      </c>
    </row>
    <row r="142" spans="6:6" x14ac:dyDescent="0.45">
      <c r="F142" t="str">
        <f t="shared" ca="1" si="6"/>
        <v/>
      </c>
    </row>
    <row r="143" spans="6:6" x14ac:dyDescent="0.45">
      <c r="F143" t="str">
        <f t="shared" ca="1" si="6"/>
        <v/>
      </c>
    </row>
    <row r="144" spans="6:6" x14ac:dyDescent="0.45">
      <c r="F144" t="str">
        <f t="shared" ca="1" si="6"/>
        <v/>
      </c>
    </row>
    <row r="145" spans="6:6" x14ac:dyDescent="0.45">
      <c r="F145" t="str">
        <f t="shared" ca="1" si="6"/>
        <v/>
      </c>
    </row>
    <row r="146" spans="6:6" x14ac:dyDescent="0.45">
      <c r="F146" t="str">
        <f t="shared" ca="1" si="6"/>
        <v/>
      </c>
    </row>
    <row r="147" spans="6:6" x14ac:dyDescent="0.45">
      <c r="F147" t="str">
        <f t="shared" ca="1" si="6"/>
        <v/>
      </c>
    </row>
    <row r="148" spans="6:6" x14ac:dyDescent="0.45">
      <c r="F148" t="str">
        <f t="shared" ca="1" si="6"/>
        <v/>
      </c>
    </row>
    <row r="149" spans="6:6" x14ac:dyDescent="0.45">
      <c r="F149" t="str">
        <f t="shared" ca="1" si="6"/>
        <v/>
      </c>
    </row>
    <row r="150" spans="6:6" x14ac:dyDescent="0.45">
      <c r="F150" t="str">
        <f t="shared" ca="1" si="6"/>
        <v/>
      </c>
    </row>
    <row r="151" spans="6:6" x14ac:dyDescent="0.45">
      <c r="F151" t="str">
        <f t="shared" ca="1" si="6"/>
        <v/>
      </c>
    </row>
    <row r="152" spans="6:6" x14ac:dyDescent="0.45">
      <c r="F152" t="str">
        <f t="shared" ca="1" si="6"/>
        <v/>
      </c>
    </row>
    <row r="153" spans="6:6" x14ac:dyDescent="0.45">
      <c r="F153" t="str">
        <f t="shared" ref="F153:F156" ca="1" si="7">IF(OR(A153="",E153=""),"",IF(G153="Closed","Done",E153-TODAY()))</f>
        <v/>
      </c>
    </row>
    <row r="154" spans="6:6" x14ac:dyDescent="0.45">
      <c r="F154" t="str">
        <f t="shared" ca="1" si="7"/>
        <v/>
      </c>
    </row>
    <row r="155" spans="6:6" x14ac:dyDescent="0.45">
      <c r="F155" t="str">
        <f t="shared" ca="1" si="7"/>
        <v/>
      </c>
    </row>
    <row r="156" spans="6:6" x14ac:dyDescent="0.45">
      <c r="F156" t="str">
        <f t="shared" ca="1" si="7"/>
        <v/>
      </c>
    </row>
  </sheetData>
  <mergeCells count="4">
    <mergeCell ref="A1:N1"/>
    <mergeCell ref="A3:N3"/>
    <mergeCell ref="A2:N2"/>
    <mergeCell ref="A55:N55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entry" error="Please select from the dropdown list." xr:uid="{00000000-0002-0000-0500-000000000000}">
          <x14:formula1>
            <xm:f>Lists!$G$2:$G$5</xm:f>
          </x14:formula1>
          <xm:sqref>K5:K54 G57:G156</xm:sqref>
        </x14:dataValidation>
        <x14:dataValidation type="list" allowBlank="1" showErrorMessage="1" errorTitle="Invalid entry" error="Please select from the dropdown list." xr:uid="{00000000-0002-0000-0500-000004000000}">
          <x14:formula1>
            <xm:f>Lists!$I$2:$I$3</xm:f>
          </x14:formula1>
          <xm:sqref>M5:M54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1"/>
  <sheetViews>
    <sheetView zoomScaleNormal="100" workbookViewId="0"/>
  </sheetViews>
  <sheetFormatPr defaultRowHeight="15" customHeight="1" x14ac:dyDescent="0.45"/>
  <cols>
    <col min="1" max="1" width="15" customWidth="1"/>
    <col min="2" max="3" width="18.33203125" customWidth="1"/>
    <col min="4" max="4" width="13.33203125" customWidth="1"/>
    <col min="5" max="5" width="21.6640625" customWidth="1"/>
    <col min="6" max="6" width="16.6640625" customWidth="1"/>
    <col min="7" max="8" width="18.33203125" customWidth="1"/>
    <col min="9" max="9" width="21.6640625" customWidth="1"/>
    <col min="10" max="10" width="18.33203125" customWidth="1"/>
    <col min="11" max="11" width="26.6640625" customWidth="1"/>
    <col min="12" max="13" width="18.33203125" customWidth="1"/>
    <col min="14" max="15" width="20" customWidth="1"/>
    <col min="16" max="16" width="18.33203125" customWidth="1"/>
    <col min="17" max="17" width="21.6640625" customWidth="1"/>
    <col min="18" max="19" width="20" customWidth="1"/>
    <col min="20" max="20" width="33.33203125" customWidth="1"/>
  </cols>
  <sheetData>
    <row r="1" spans="1:20" x14ac:dyDescent="0.45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20" x14ac:dyDescent="0.45">
      <c r="A2" s="4" t="s">
        <v>183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x14ac:dyDescent="0.45">
      <c r="A3" s="4" t="s">
        <v>184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0" x14ac:dyDescent="0.45">
      <c r="A4" t="s">
        <v>32</v>
      </c>
      <c r="B4" t="s">
        <v>89</v>
      </c>
      <c r="C4" t="s">
        <v>90</v>
      </c>
      <c r="D4" t="s">
        <v>91</v>
      </c>
      <c r="E4" t="s">
        <v>92</v>
      </c>
      <c r="F4" t="s">
        <v>185</v>
      </c>
      <c r="G4" t="s">
        <v>186</v>
      </c>
      <c r="H4" t="s">
        <v>187</v>
      </c>
      <c r="I4" t="s">
        <v>188</v>
      </c>
      <c r="J4" t="s">
        <v>189</v>
      </c>
      <c r="K4" t="s">
        <v>190</v>
      </c>
      <c r="L4" t="s">
        <v>191</v>
      </c>
      <c r="M4" t="s">
        <v>192</v>
      </c>
      <c r="N4" t="s">
        <v>193</v>
      </c>
      <c r="O4" t="s">
        <v>194</v>
      </c>
      <c r="P4" t="s">
        <v>195</v>
      </c>
      <c r="Q4" t="s">
        <v>196</v>
      </c>
      <c r="R4" t="s">
        <v>197</v>
      </c>
      <c r="S4" t="s">
        <v>198</v>
      </c>
      <c r="T4" t="s">
        <v>45</v>
      </c>
    </row>
    <row r="5" spans="1:20" x14ac:dyDescent="0.45">
      <c r="A5" t="s">
        <v>74</v>
      </c>
      <c r="B5" t="str">
        <f>IF(A5="","",IFERROR(VLOOKUP(A5,'SPED Student Roster'!$A:$B,2,FALSE),""))</f>
        <v>Washington</v>
      </c>
      <c r="C5" t="str">
        <f>IF(A5="","",IFERROR(VLOOKUP(A5,'SPED Student Roster'!$A:$C,3,FALSE),""))</f>
        <v>Darius</v>
      </c>
      <c r="D5" t="str">
        <f>IF(A5="","",IFERROR(VLOOKUP(A5,'SPED Student Roster'!$A:$D,4,FALSE),""))</f>
        <v>12th Grade</v>
      </c>
      <c r="E5" t="str">
        <f>IF(A5="","",IFERROR(VLOOKUP(A5,'SPED Student Roster'!$A:$E,5,FALSE),""))</f>
        <v>Lincoln High</v>
      </c>
      <c r="F5" t="s">
        <v>199</v>
      </c>
      <c r="G5" t="s">
        <v>54</v>
      </c>
      <c r="H5" s="3">
        <v>45930</v>
      </c>
      <c r="I5" t="s">
        <v>54</v>
      </c>
      <c r="J5" s="3">
        <v>45915</v>
      </c>
      <c r="K5" t="s">
        <v>200</v>
      </c>
      <c r="L5" t="s">
        <v>54</v>
      </c>
      <c r="M5" s="3">
        <v>45930</v>
      </c>
      <c r="N5" t="s">
        <v>54</v>
      </c>
      <c r="O5" s="3">
        <v>45930</v>
      </c>
      <c r="P5" t="s">
        <v>54</v>
      </c>
      <c r="Q5" t="s">
        <v>201</v>
      </c>
      <c r="R5" s="3">
        <v>45910</v>
      </c>
      <c r="S5" t="str">
        <f t="shared" ref="S5:S36" si="0">IF(A5="","",IF(AND(G5="Yes",I5="Yes",L5="Yes",N5="Yes",P5="Yes"),"Compliant","Non-Compliant"))</f>
        <v>Compliant</v>
      </c>
      <c r="T5" t="s">
        <v>202</v>
      </c>
    </row>
    <row r="6" spans="1:20" x14ac:dyDescent="0.45">
      <c r="A6" t="s">
        <v>80</v>
      </c>
      <c r="B6" t="str">
        <f>IF(A6="","",IFERROR(VLOOKUP(A6,'SPED Student Roster'!$A:$B,2,FALSE),""))</f>
        <v>Nguyen</v>
      </c>
      <c r="C6" t="str">
        <f>IF(A6="","",IFERROR(VLOOKUP(A6,'SPED Student Roster'!$A:$C,3,FALSE),""))</f>
        <v>Mai</v>
      </c>
      <c r="D6" t="str">
        <f>IF(A6="","",IFERROR(VLOOKUP(A6,'SPED Student Roster'!$A:$D,4,FALSE),""))</f>
        <v>9th Grade</v>
      </c>
      <c r="E6" t="str">
        <f>IF(A6="","",IFERROR(VLOOKUP(A6,'SPED Student Roster'!$A:$E,5,FALSE),""))</f>
        <v>Lincoln High</v>
      </c>
      <c r="F6" t="s">
        <v>199</v>
      </c>
      <c r="G6" t="s">
        <v>54</v>
      </c>
      <c r="H6" s="3">
        <v>45950</v>
      </c>
      <c r="I6" t="s">
        <v>54</v>
      </c>
      <c r="J6" s="3">
        <v>45942</v>
      </c>
      <c r="K6" t="s">
        <v>203</v>
      </c>
      <c r="L6" t="s">
        <v>53</v>
      </c>
      <c r="N6" t="s">
        <v>54</v>
      </c>
      <c r="O6" s="3">
        <v>45950</v>
      </c>
      <c r="P6" t="s">
        <v>53</v>
      </c>
      <c r="S6" t="str">
        <f t="shared" si="0"/>
        <v>Non-Compliant</v>
      </c>
      <c r="T6" t="s">
        <v>204</v>
      </c>
    </row>
    <row r="7" spans="1:20" x14ac:dyDescent="0.45">
      <c r="B7" t="str">
        <f>IF(A7="","",IFERROR(VLOOKUP(A7,'SPED Student Roster'!$A:$B,2,FALSE),""))</f>
        <v/>
      </c>
      <c r="C7" t="str">
        <f>IF(A7="","",IFERROR(VLOOKUP(A7,'SPED Student Roster'!$A:$C,3,FALSE),""))</f>
        <v/>
      </c>
      <c r="D7" t="str">
        <f>IF(A7="","",IFERROR(VLOOKUP(A7,'SPED Student Roster'!$A:$D,4,FALSE),""))</f>
        <v/>
      </c>
      <c r="E7" t="str">
        <f>IF(A7="","",IFERROR(VLOOKUP(A7,'SPED Student Roster'!$A:$E,5,FALSE),""))</f>
        <v/>
      </c>
      <c r="S7" t="str">
        <f t="shared" si="0"/>
        <v/>
      </c>
    </row>
    <row r="8" spans="1:20" x14ac:dyDescent="0.45">
      <c r="B8" t="str">
        <f>IF(A8="","",IFERROR(VLOOKUP(A8,'SPED Student Roster'!$A:$B,2,FALSE),""))</f>
        <v/>
      </c>
      <c r="C8" t="str">
        <f>IF(A8="","",IFERROR(VLOOKUP(A8,'SPED Student Roster'!$A:$C,3,FALSE),""))</f>
        <v/>
      </c>
      <c r="D8" t="str">
        <f>IF(A8="","",IFERROR(VLOOKUP(A8,'SPED Student Roster'!$A:$D,4,FALSE),""))</f>
        <v/>
      </c>
      <c r="E8" t="str">
        <f>IF(A8="","",IFERROR(VLOOKUP(A8,'SPED Student Roster'!$A:$E,5,FALSE),""))</f>
        <v/>
      </c>
      <c r="S8" t="str">
        <f t="shared" si="0"/>
        <v/>
      </c>
    </row>
    <row r="9" spans="1:20" x14ac:dyDescent="0.45">
      <c r="B9" t="str">
        <f>IF(A9="","",IFERROR(VLOOKUP(A9,'SPED Student Roster'!$A:$B,2,FALSE),""))</f>
        <v/>
      </c>
      <c r="C9" t="str">
        <f>IF(A9="","",IFERROR(VLOOKUP(A9,'SPED Student Roster'!$A:$C,3,FALSE),""))</f>
        <v/>
      </c>
      <c r="D9" t="str">
        <f>IF(A9="","",IFERROR(VLOOKUP(A9,'SPED Student Roster'!$A:$D,4,FALSE),""))</f>
        <v/>
      </c>
      <c r="E9" t="str">
        <f>IF(A9="","",IFERROR(VLOOKUP(A9,'SPED Student Roster'!$A:$E,5,FALSE),""))</f>
        <v/>
      </c>
      <c r="S9" t="str">
        <f t="shared" si="0"/>
        <v/>
      </c>
    </row>
    <row r="10" spans="1:20" x14ac:dyDescent="0.45">
      <c r="B10" t="str">
        <f>IF(A10="","",IFERROR(VLOOKUP(A10,'SPED Student Roster'!$A:$B,2,FALSE),""))</f>
        <v/>
      </c>
      <c r="C10" t="str">
        <f>IF(A10="","",IFERROR(VLOOKUP(A10,'SPED Student Roster'!$A:$C,3,FALSE),""))</f>
        <v/>
      </c>
      <c r="D10" t="str">
        <f>IF(A10="","",IFERROR(VLOOKUP(A10,'SPED Student Roster'!$A:$D,4,FALSE),""))</f>
        <v/>
      </c>
      <c r="E10" t="str">
        <f>IF(A10="","",IFERROR(VLOOKUP(A10,'SPED Student Roster'!$A:$E,5,FALSE),""))</f>
        <v/>
      </c>
      <c r="S10" t="str">
        <f t="shared" si="0"/>
        <v/>
      </c>
    </row>
    <row r="11" spans="1:20" x14ac:dyDescent="0.45">
      <c r="B11" t="str">
        <f>IF(A11="","",IFERROR(VLOOKUP(A11,'SPED Student Roster'!$A:$B,2,FALSE),""))</f>
        <v/>
      </c>
      <c r="C11" t="str">
        <f>IF(A11="","",IFERROR(VLOOKUP(A11,'SPED Student Roster'!$A:$C,3,FALSE),""))</f>
        <v/>
      </c>
      <c r="D11" t="str">
        <f>IF(A11="","",IFERROR(VLOOKUP(A11,'SPED Student Roster'!$A:$D,4,FALSE),""))</f>
        <v/>
      </c>
      <c r="E11" t="str">
        <f>IF(A11="","",IFERROR(VLOOKUP(A11,'SPED Student Roster'!$A:$E,5,FALSE),""))</f>
        <v/>
      </c>
      <c r="S11" t="str">
        <f t="shared" si="0"/>
        <v/>
      </c>
    </row>
    <row r="12" spans="1:20" x14ac:dyDescent="0.45">
      <c r="B12" t="str">
        <f>IF(A12="","",IFERROR(VLOOKUP(A12,'SPED Student Roster'!$A:$B,2,FALSE),""))</f>
        <v/>
      </c>
      <c r="C12" t="str">
        <f>IF(A12="","",IFERROR(VLOOKUP(A12,'SPED Student Roster'!$A:$C,3,FALSE),""))</f>
        <v/>
      </c>
      <c r="D12" t="str">
        <f>IF(A12="","",IFERROR(VLOOKUP(A12,'SPED Student Roster'!$A:$D,4,FALSE),""))</f>
        <v/>
      </c>
      <c r="E12" t="str">
        <f>IF(A12="","",IFERROR(VLOOKUP(A12,'SPED Student Roster'!$A:$E,5,FALSE),""))</f>
        <v/>
      </c>
      <c r="S12" t="str">
        <f t="shared" si="0"/>
        <v/>
      </c>
    </row>
    <row r="13" spans="1:20" x14ac:dyDescent="0.45">
      <c r="B13" t="str">
        <f>IF(A13="","",IFERROR(VLOOKUP(A13,'SPED Student Roster'!$A:$B,2,FALSE),""))</f>
        <v/>
      </c>
      <c r="C13" t="str">
        <f>IF(A13="","",IFERROR(VLOOKUP(A13,'SPED Student Roster'!$A:$C,3,FALSE),""))</f>
        <v/>
      </c>
      <c r="D13" t="str">
        <f>IF(A13="","",IFERROR(VLOOKUP(A13,'SPED Student Roster'!$A:$D,4,FALSE),""))</f>
        <v/>
      </c>
      <c r="E13" t="str">
        <f>IF(A13="","",IFERROR(VLOOKUP(A13,'SPED Student Roster'!$A:$E,5,FALSE),""))</f>
        <v/>
      </c>
      <c r="S13" t="str">
        <f t="shared" si="0"/>
        <v/>
      </c>
    </row>
    <row r="14" spans="1:20" x14ac:dyDescent="0.45">
      <c r="B14" t="str">
        <f>IF(A14="","",IFERROR(VLOOKUP(A14,'SPED Student Roster'!$A:$B,2,FALSE),""))</f>
        <v/>
      </c>
      <c r="C14" t="str">
        <f>IF(A14="","",IFERROR(VLOOKUP(A14,'SPED Student Roster'!$A:$C,3,FALSE),""))</f>
        <v/>
      </c>
      <c r="D14" t="str">
        <f>IF(A14="","",IFERROR(VLOOKUP(A14,'SPED Student Roster'!$A:$D,4,FALSE),""))</f>
        <v/>
      </c>
      <c r="E14" t="str">
        <f>IF(A14="","",IFERROR(VLOOKUP(A14,'SPED Student Roster'!$A:$E,5,FALSE),""))</f>
        <v/>
      </c>
      <c r="S14" t="str">
        <f t="shared" si="0"/>
        <v/>
      </c>
    </row>
    <row r="15" spans="1:20" x14ac:dyDescent="0.45">
      <c r="B15" t="str">
        <f>IF(A15="","",IFERROR(VLOOKUP(A15,'SPED Student Roster'!$A:$B,2,FALSE),""))</f>
        <v/>
      </c>
      <c r="C15" t="str">
        <f>IF(A15="","",IFERROR(VLOOKUP(A15,'SPED Student Roster'!$A:$C,3,FALSE),""))</f>
        <v/>
      </c>
      <c r="D15" t="str">
        <f>IF(A15="","",IFERROR(VLOOKUP(A15,'SPED Student Roster'!$A:$D,4,FALSE),""))</f>
        <v/>
      </c>
      <c r="E15" t="str">
        <f>IF(A15="","",IFERROR(VLOOKUP(A15,'SPED Student Roster'!$A:$E,5,FALSE),""))</f>
        <v/>
      </c>
      <c r="S15" t="str">
        <f t="shared" si="0"/>
        <v/>
      </c>
    </row>
    <row r="16" spans="1:20" x14ac:dyDescent="0.45">
      <c r="B16" t="str">
        <f>IF(A16="","",IFERROR(VLOOKUP(A16,'SPED Student Roster'!$A:$B,2,FALSE),""))</f>
        <v/>
      </c>
      <c r="C16" t="str">
        <f>IF(A16="","",IFERROR(VLOOKUP(A16,'SPED Student Roster'!$A:$C,3,FALSE),""))</f>
        <v/>
      </c>
      <c r="D16" t="str">
        <f>IF(A16="","",IFERROR(VLOOKUP(A16,'SPED Student Roster'!$A:$D,4,FALSE),""))</f>
        <v/>
      </c>
      <c r="E16" t="str">
        <f>IF(A16="","",IFERROR(VLOOKUP(A16,'SPED Student Roster'!$A:$E,5,FALSE),""))</f>
        <v/>
      </c>
      <c r="S16" t="str">
        <f t="shared" si="0"/>
        <v/>
      </c>
    </row>
    <row r="17" spans="2:19" x14ac:dyDescent="0.45">
      <c r="B17" t="str">
        <f>IF(A17="","",IFERROR(VLOOKUP(A17,'SPED Student Roster'!$A:$B,2,FALSE),""))</f>
        <v/>
      </c>
      <c r="C17" t="str">
        <f>IF(A17="","",IFERROR(VLOOKUP(A17,'SPED Student Roster'!$A:$C,3,FALSE),""))</f>
        <v/>
      </c>
      <c r="D17" t="str">
        <f>IF(A17="","",IFERROR(VLOOKUP(A17,'SPED Student Roster'!$A:$D,4,FALSE),""))</f>
        <v/>
      </c>
      <c r="E17" t="str">
        <f>IF(A17="","",IFERROR(VLOOKUP(A17,'SPED Student Roster'!$A:$E,5,FALSE),""))</f>
        <v/>
      </c>
      <c r="S17" t="str">
        <f t="shared" si="0"/>
        <v/>
      </c>
    </row>
    <row r="18" spans="2:19" x14ac:dyDescent="0.45">
      <c r="B18" t="str">
        <f>IF(A18="","",IFERROR(VLOOKUP(A18,'SPED Student Roster'!$A:$B,2,FALSE),""))</f>
        <v/>
      </c>
      <c r="C18" t="str">
        <f>IF(A18="","",IFERROR(VLOOKUP(A18,'SPED Student Roster'!$A:$C,3,FALSE),""))</f>
        <v/>
      </c>
      <c r="D18" t="str">
        <f>IF(A18="","",IFERROR(VLOOKUP(A18,'SPED Student Roster'!$A:$D,4,FALSE),""))</f>
        <v/>
      </c>
      <c r="E18" t="str">
        <f>IF(A18="","",IFERROR(VLOOKUP(A18,'SPED Student Roster'!$A:$E,5,FALSE),""))</f>
        <v/>
      </c>
      <c r="S18" t="str">
        <f t="shared" si="0"/>
        <v/>
      </c>
    </row>
    <row r="19" spans="2:19" x14ac:dyDescent="0.45">
      <c r="B19" t="str">
        <f>IF(A19="","",IFERROR(VLOOKUP(A19,'SPED Student Roster'!$A:$B,2,FALSE),""))</f>
        <v/>
      </c>
      <c r="C19" t="str">
        <f>IF(A19="","",IFERROR(VLOOKUP(A19,'SPED Student Roster'!$A:$C,3,FALSE),""))</f>
        <v/>
      </c>
      <c r="D19" t="str">
        <f>IF(A19="","",IFERROR(VLOOKUP(A19,'SPED Student Roster'!$A:$D,4,FALSE),""))</f>
        <v/>
      </c>
      <c r="E19" t="str">
        <f>IF(A19="","",IFERROR(VLOOKUP(A19,'SPED Student Roster'!$A:$E,5,FALSE),""))</f>
        <v/>
      </c>
      <c r="S19" t="str">
        <f t="shared" si="0"/>
        <v/>
      </c>
    </row>
    <row r="20" spans="2:19" x14ac:dyDescent="0.45">
      <c r="B20" t="str">
        <f>IF(A20="","",IFERROR(VLOOKUP(A20,'SPED Student Roster'!$A:$B,2,FALSE),""))</f>
        <v/>
      </c>
      <c r="C20" t="str">
        <f>IF(A20="","",IFERROR(VLOOKUP(A20,'SPED Student Roster'!$A:$C,3,FALSE),""))</f>
        <v/>
      </c>
      <c r="D20" t="str">
        <f>IF(A20="","",IFERROR(VLOOKUP(A20,'SPED Student Roster'!$A:$D,4,FALSE),""))</f>
        <v/>
      </c>
      <c r="E20" t="str">
        <f>IF(A20="","",IFERROR(VLOOKUP(A20,'SPED Student Roster'!$A:$E,5,FALSE),""))</f>
        <v/>
      </c>
      <c r="S20" t="str">
        <f t="shared" si="0"/>
        <v/>
      </c>
    </row>
    <row r="21" spans="2:19" x14ac:dyDescent="0.45">
      <c r="B21" t="str">
        <f>IF(A21="","",IFERROR(VLOOKUP(A21,'SPED Student Roster'!$A:$B,2,FALSE),""))</f>
        <v/>
      </c>
      <c r="C21" t="str">
        <f>IF(A21="","",IFERROR(VLOOKUP(A21,'SPED Student Roster'!$A:$C,3,FALSE),""))</f>
        <v/>
      </c>
      <c r="D21" t="str">
        <f>IF(A21="","",IFERROR(VLOOKUP(A21,'SPED Student Roster'!$A:$D,4,FALSE),""))</f>
        <v/>
      </c>
      <c r="E21" t="str">
        <f>IF(A21="","",IFERROR(VLOOKUP(A21,'SPED Student Roster'!$A:$E,5,FALSE),""))</f>
        <v/>
      </c>
      <c r="S21" t="str">
        <f t="shared" si="0"/>
        <v/>
      </c>
    </row>
    <row r="22" spans="2:19" x14ac:dyDescent="0.45">
      <c r="B22" t="str">
        <f>IF(A22="","",IFERROR(VLOOKUP(A22,'SPED Student Roster'!$A:$B,2,FALSE),""))</f>
        <v/>
      </c>
      <c r="C22" t="str">
        <f>IF(A22="","",IFERROR(VLOOKUP(A22,'SPED Student Roster'!$A:$C,3,FALSE),""))</f>
        <v/>
      </c>
      <c r="D22" t="str">
        <f>IF(A22="","",IFERROR(VLOOKUP(A22,'SPED Student Roster'!$A:$D,4,FALSE),""))</f>
        <v/>
      </c>
      <c r="E22" t="str">
        <f>IF(A22="","",IFERROR(VLOOKUP(A22,'SPED Student Roster'!$A:$E,5,FALSE),""))</f>
        <v/>
      </c>
      <c r="S22" t="str">
        <f t="shared" si="0"/>
        <v/>
      </c>
    </row>
    <row r="23" spans="2:19" x14ac:dyDescent="0.45">
      <c r="B23" t="str">
        <f>IF(A23="","",IFERROR(VLOOKUP(A23,'SPED Student Roster'!$A:$B,2,FALSE),""))</f>
        <v/>
      </c>
      <c r="C23" t="str">
        <f>IF(A23="","",IFERROR(VLOOKUP(A23,'SPED Student Roster'!$A:$C,3,FALSE),""))</f>
        <v/>
      </c>
      <c r="D23" t="str">
        <f>IF(A23="","",IFERROR(VLOOKUP(A23,'SPED Student Roster'!$A:$D,4,FALSE),""))</f>
        <v/>
      </c>
      <c r="E23" t="str">
        <f>IF(A23="","",IFERROR(VLOOKUP(A23,'SPED Student Roster'!$A:$E,5,FALSE),""))</f>
        <v/>
      </c>
      <c r="S23" t="str">
        <f t="shared" si="0"/>
        <v/>
      </c>
    </row>
    <row r="24" spans="2:19" x14ac:dyDescent="0.45">
      <c r="B24" t="str">
        <f>IF(A24="","",IFERROR(VLOOKUP(A24,'SPED Student Roster'!$A:$B,2,FALSE),""))</f>
        <v/>
      </c>
      <c r="C24" t="str">
        <f>IF(A24="","",IFERROR(VLOOKUP(A24,'SPED Student Roster'!$A:$C,3,FALSE),""))</f>
        <v/>
      </c>
      <c r="D24" t="str">
        <f>IF(A24="","",IFERROR(VLOOKUP(A24,'SPED Student Roster'!$A:$D,4,FALSE),""))</f>
        <v/>
      </c>
      <c r="E24" t="str">
        <f>IF(A24="","",IFERROR(VLOOKUP(A24,'SPED Student Roster'!$A:$E,5,FALSE),""))</f>
        <v/>
      </c>
      <c r="S24" t="str">
        <f t="shared" si="0"/>
        <v/>
      </c>
    </row>
    <row r="25" spans="2:19" x14ac:dyDescent="0.45">
      <c r="B25" t="str">
        <f>IF(A25="","",IFERROR(VLOOKUP(A25,'SPED Student Roster'!$A:$B,2,FALSE),""))</f>
        <v/>
      </c>
      <c r="C25" t="str">
        <f>IF(A25="","",IFERROR(VLOOKUP(A25,'SPED Student Roster'!$A:$C,3,FALSE),""))</f>
        <v/>
      </c>
      <c r="D25" t="str">
        <f>IF(A25="","",IFERROR(VLOOKUP(A25,'SPED Student Roster'!$A:$D,4,FALSE),""))</f>
        <v/>
      </c>
      <c r="E25" t="str">
        <f>IF(A25="","",IFERROR(VLOOKUP(A25,'SPED Student Roster'!$A:$E,5,FALSE),""))</f>
        <v/>
      </c>
      <c r="S25" t="str">
        <f t="shared" si="0"/>
        <v/>
      </c>
    </row>
    <row r="26" spans="2:19" x14ac:dyDescent="0.45">
      <c r="B26" t="str">
        <f>IF(A26="","",IFERROR(VLOOKUP(A26,'SPED Student Roster'!$A:$B,2,FALSE),""))</f>
        <v/>
      </c>
      <c r="C26" t="str">
        <f>IF(A26="","",IFERROR(VLOOKUP(A26,'SPED Student Roster'!$A:$C,3,FALSE),""))</f>
        <v/>
      </c>
      <c r="D26" t="str">
        <f>IF(A26="","",IFERROR(VLOOKUP(A26,'SPED Student Roster'!$A:$D,4,FALSE),""))</f>
        <v/>
      </c>
      <c r="E26" t="str">
        <f>IF(A26="","",IFERROR(VLOOKUP(A26,'SPED Student Roster'!$A:$E,5,FALSE),""))</f>
        <v/>
      </c>
      <c r="S26" t="str">
        <f t="shared" si="0"/>
        <v/>
      </c>
    </row>
    <row r="27" spans="2:19" x14ac:dyDescent="0.45">
      <c r="B27" t="str">
        <f>IF(A27="","",IFERROR(VLOOKUP(A27,'SPED Student Roster'!$A:$B,2,FALSE),""))</f>
        <v/>
      </c>
      <c r="C27" t="str">
        <f>IF(A27="","",IFERROR(VLOOKUP(A27,'SPED Student Roster'!$A:$C,3,FALSE),""))</f>
        <v/>
      </c>
      <c r="D27" t="str">
        <f>IF(A27="","",IFERROR(VLOOKUP(A27,'SPED Student Roster'!$A:$D,4,FALSE),""))</f>
        <v/>
      </c>
      <c r="E27" t="str">
        <f>IF(A27="","",IFERROR(VLOOKUP(A27,'SPED Student Roster'!$A:$E,5,FALSE),""))</f>
        <v/>
      </c>
      <c r="S27" t="str">
        <f t="shared" si="0"/>
        <v/>
      </c>
    </row>
    <row r="28" spans="2:19" x14ac:dyDescent="0.45">
      <c r="B28" t="str">
        <f>IF(A28="","",IFERROR(VLOOKUP(A28,'SPED Student Roster'!$A:$B,2,FALSE),""))</f>
        <v/>
      </c>
      <c r="C28" t="str">
        <f>IF(A28="","",IFERROR(VLOOKUP(A28,'SPED Student Roster'!$A:$C,3,FALSE),""))</f>
        <v/>
      </c>
      <c r="D28" t="str">
        <f>IF(A28="","",IFERROR(VLOOKUP(A28,'SPED Student Roster'!$A:$D,4,FALSE),""))</f>
        <v/>
      </c>
      <c r="E28" t="str">
        <f>IF(A28="","",IFERROR(VLOOKUP(A28,'SPED Student Roster'!$A:$E,5,FALSE),""))</f>
        <v/>
      </c>
      <c r="S28" t="str">
        <f t="shared" si="0"/>
        <v/>
      </c>
    </row>
    <row r="29" spans="2:19" x14ac:dyDescent="0.45">
      <c r="B29" t="str">
        <f>IF(A29="","",IFERROR(VLOOKUP(A29,'SPED Student Roster'!$A:$B,2,FALSE),""))</f>
        <v/>
      </c>
      <c r="C29" t="str">
        <f>IF(A29="","",IFERROR(VLOOKUP(A29,'SPED Student Roster'!$A:$C,3,FALSE),""))</f>
        <v/>
      </c>
      <c r="D29" t="str">
        <f>IF(A29="","",IFERROR(VLOOKUP(A29,'SPED Student Roster'!$A:$D,4,FALSE),""))</f>
        <v/>
      </c>
      <c r="E29" t="str">
        <f>IF(A29="","",IFERROR(VLOOKUP(A29,'SPED Student Roster'!$A:$E,5,FALSE),""))</f>
        <v/>
      </c>
      <c r="S29" t="str">
        <f t="shared" si="0"/>
        <v/>
      </c>
    </row>
    <row r="30" spans="2:19" x14ac:dyDescent="0.45">
      <c r="B30" t="str">
        <f>IF(A30="","",IFERROR(VLOOKUP(A30,'SPED Student Roster'!$A:$B,2,FALSE),""))</f>
        <v/>
      </c>
      <c r="C30" t="str">
        <f>IF(A30="","",IFERROR(VLOOKUP(A30,'SPED Student Roster'!$A:$C,3,FALSE),""))</f>
        <v/>
      </c>
      <c r="D30" t="str">
        <f>IF(A30="","",IFERROR(VLOOKUP(A30,'SPED Student Roster'!$A:$D,4,FALSE),""))</f>
        <v/>
      </c>
      <c r="E30" t="str">
        <f>IF(A30="","",IFERROR(VLOOKUP(A30,'SPED Student Roster'!$A:$E,5,FALSE),""))</f>
        <v/>
      </c>
      <c r="S30" t="str">
        <f t="shared" si="0"/>
        <v/>
      </c>
    </row>
    <row r="31" spans="2:19" x14ac:dyDescent="0.45">
      <c r="B31" t="str">
        <f>IF(A31="","",IFERROR(VLOOKUP(A31,'SPED Student Roster'!$A:$B,2,FALSE),""))</f>
        <v/>
      </c>
      <c r="C31" t="str">
        <f>IF(A31="","",IFERROR(VLOOKUP(A31,'SPED Student Roster'!$A:$C,3,FALSE),""))</f>
        <v/>
      </c>
      <c r="D31" t="str">
        <f>IF(A31="","",IFERROR(VLOOKUP(A31,'SPED Student Roster'!$A:$D,4,FALSE),""))</f>
        <v/>
      </c>
      <c r="E31" t="str">
        <f>IF(A31="","",IFERROR(VLOOKUP(A31,'SPED Student Roster'!$A:$E,5,FALSE),""))</f>
        <v/>
      </c>
      <c r="S31" t="str">
        <f t="shared" si="0"/>
        <v/>
      </c>
    </row>
    <row r="32" spans="2:19" x14ac:dyDescent="0.45">
      <c r="B32" t="str">
        <f>IF(A32="","",IFERROR(VLOOKUP(A32,'SPED Student Roster'!$A:$B,2,FALSE),""))</f>
        <v/>
      </c>
      <c r="C32" t="str">
        <f>IF(A32="","",IFERROR(VLOOKUP(A32,'SPED Student Roster'!$A:$C,3,FALSE),""))</f>
        <v/>
      </c>
      <c r="D32" t="str">
        <f>IF(A32="","",IFERROR(VLOOKUP(A32,'SPED Student Roster'!$A:$D,4,FALSE),""))</f>
        <v/>
      </c>
      <c r="E32" t="str">
        <f>IF(A32="","",IFERROR(VLOOKUP(A32,'SPED Student Roster'!$A:$E,5,FALSE),""))</f>
        <v/>
      </c>
      <c r="S32" t="str">
        <f t="shared" si="0"/>
        <v/>
      </c>
    </row>
    <row r="33" spans="2:19" x14ac:dyDescent="0.45">
      <c r="B33" t="str">
        <f>IF(A33="","",IFERROR(VLOOKUP(A33,'SPED Student Roster'!$A:$B,2,FALSE),""))</f>
        <v/>
      </c>
      <c r="C33" t="str">
        <f>IF(A33="","",IFERROR(VLOOKUP(A33,'SPED Student Roster'!$A:$C,3,FALSE),""))</f>
        <v/>
      </c>
      <c r="D33" t="str">
        <f>IF(A33="","",IFERROR(VLOOKUP(A33,'SPED Student Roster'!$A:$D,4,FALSE),""))</f>
        <v/>
      </c>
      <c r="E33" t="str">
        <f>IF(A33="","",IFERROR(VLOOKUP(A33,'SPED Student Roster'!$A:$E,5,FALSE),""))</f>
        <v/>
      </c>
      <c r="S33" t="str">
        <f t="shared" si="0"/>
        <v/>
      </c>
    </row>
    <row r="34" spans="2:19" x14ac:dyDescent="0.45">
      <c r="B34" t="str">
        <f>IF(A34="","",IFERROR(VLOOKUP(A34,'SPED Student Roster'!$A:$B,2,FALSE),""))</f>
        <v/>
      </c>
      <c r="C34" t="str">
        <f>IF(A34="","",IFERROR(VLOOKUP(A34,'SPED Student Roster'!$A:$C,3,FALSE),""))</f>
        <v/>
      </c>
      <c r="D34" t="str">
        <f>IF(A34="","",IFERROR(VLOOKUP(A34,'SPED Student Roster'!$A:$D,4,FALSE),""))</f>
        <v/>
      </c>
      <c r="E34" t="str">
        <f>IF(A34="","",IFERROR(VLOOKUP(A34,'SPED Student Roster'!$A:$E,5,FALSE),""))</f>
        <v/>
      </c>
      <c r="S34" t="str">
        <f t="shared" si="0"/>
        <v/>
      </c>
    </row>
    <row r="35" spans="2:19" x14ac:dyDescent="0.45">
      <c r="B35" t="str">
        <f>IF(A35="","",IFERROR(VLOOKUP(A35,'SPED Student Roster'!$A:$B,2,FALSE),""))</f>
        <v/>
      </c>
      <c r="C35" t="str">
        <f>IF(A35="","",IFERROR(VLOOKUP(A35,'SPED Student Roster'!$A:$C,3,FALSE),""))</f>
        <v/>
      </c>
      <c r="D35" t="str">
        <f>IF(A35="","",IFERROR(VLOOKUP(A35,'SPED Student Roster'!$A:$D,4,FALSE),""))</f>
        <v/>
      </c>
      <c r="E35" t="str">
        <f>IF(A35="","",IFERROR(VLOOKUP(A35,'SPED Student Roster'!$A:$E,5,FALSE),""))</f>
        <v/>
      </c>
      <c r="S35" t="str">
        <f t="shared" si="0"/>
        <v/>
      </c>
    </row>
    <row r="36" spans="2:19" x14ac:dyDescent="0.45">
      <c r="B36" t="str">
        <f>IF(A36="","",IFERROR(VLOOKUP(A36,'SPED Student Roster'!$A:$B,2,FALSE),""))</f>
        <v/>
      </c>
      <c r="C36" t="str">
        <f>IF(A36="","",IFERROR(VLOOKUP(A36,'SPED Student Roster'!$A:$C,3,FALSE),""))</f>
        <v/>
      </c>
      <c r="D36" t="str">
        <f>IF(A36="","",IFERROR(VLOOKUP(A36,'SPED Student Roster'!$A:$D,4,FALSE),""))</f>
        <v/>
      </c>
      <c r="E36" t="str">
        <f>IF(A36="","",IFERROR(VLOOKUP(A36,'SPED Student Roster'!$A:$E,5,FALSE),""))</f>
        <v/>
      </c>
      <c r="S36" t="str">
        <f t="shared" si="0"/>
        <v/>
      </c>
    </row>
    <row r="37" spans="2:19" x14ac:dyDescent="0.45">
      <c r="B37" t="str">
        <f>IF(A37="","",IFERROR(VLOOKUP(A37,'SPED Student Roster'!$A:$B,2,FALSE),""))</f>
        <v/>
      </c>
      <c r="C37" t="str">
        <f>IF(A37="","",IFERROR(VLOOKUP(A37,'SPED Student Roster'!$A:$C,3,FALSE),""))</f>
        <v/>
      </c>
      <c r="D37" t="str">
        <f>IF(A37="","",IFERROR(VLOOKUP(A37,'SPED Student Roster'!$A:$D,4,FALSE),""))</f>
        <v/>
      </c>
      <c r="E37" t="str">
        <f>IF(A37="","",IFERROR(VLOOKUP(A37,'SPED Student Roster'!$A:$E,5,FALSE),""))</f>
        <v/>
      </c>
      <c r="S37" t="str">
        <f t="shared" ref="S37:S68" si="1">IF(A37="","",IF(AND(G37="Yes",I37="Yes",L37="Yes",N37="Yes",P37="Yes"),"Compliant","Non-Compliant"))</f>
        <v/>
      </c>
    </row>
    <row r="38" spans="2:19" x14ac:dyDescent="0.45">
      <c r="B38" t="str">
        <f>IF(A38="","",IFERROR(VLOOKUP(A38,'SPED Student Roster'!$A:$B,2,FALSE),""))</f>
        <v/>
      </c>
      <c r="C38" t="str">
        <f>IF(A38="","",IFERROR(VLOOKUP(A38,'SPED Student Roster'!$A:$C,3,FALSE),""))</f>
        <v/>
      </c>
      <c r="D38" t="str">
        <f>IF(A38="","",IFERROR(VLOOKUP(A38,'SPED Student Roster'!$A:$D,4,FALSE),""))</f>
        <v/>
      </c>
      <c r="E38" t="str">
        <f>IF(A38="","",IFERROR(VLOOKUP(A38,'SPED Student Roster'!$A:$E,5,FALSE),""))</f>
        <v/>
      </c>
      <c r="S38" t="str">
        <f t="shared" si="1"/>
        <v/>
      </c>
    </row>
    <row r="39" spans="2:19" x14ac:dyDescent="0.45">
      <c r="B39" t="str">
        <f>IF(A39="","",IFERROR(VLOOKUP(A39,'SPED Student Roster'!$A:$B,2,FALSE),""))</f>
        <v/>
      </c>
      <c r="C39" t="str">
        <f>IF(A39="","",IFERROR(VLOOKUP(A39,'SPED Student Roster'!$A:$C,3,FALSE),""))</f>
        <v/>
      </c>
      <c r="D39" t="str">
        <f>IF(A39="","",IFERROR(VLOOKUP(A39,'SPED Student Roster'!$A:$D,4,FALSE),""))</f>
        <v/>
      </c>
      <c r="E39" t="str">
        <f>IF(A39="","",IFERROR(VLOOKUP(A39,'SPED Student Roster'!$A:$E,5,FALSE),""))</f>
        <v/>
      </c>
      <c r="S39" t="str">
        <f t="shared" si="1"/>
        <v/>
      </c>
    </row>
    <row r="40" spans="2:19" x14ac:dyDescent="0.45">
      <c r="B40" t="str">
        <f>IF(A40="","",IFERROR(VLOOKUP(A40,'SPED Student Roster'!$A:$B,2,FALSE),""))</f>
        <v/>
      </c>
      <c r="C40" t="str">
        <f>IF(A40="","",IFERROR(VLOOKUP(A40,'SPED Student Roster'!$A:$C,3,FALSE),""))</f>
        <v/>
      </c>
      <c r="D40" t="str">
        <f>IF(A40="","",IFERROR(VLOOKUP(A40,'SPED Student Roster'!$A:$D,4,FALSE),""))</f>
        <v/>
      </c>
      <c r="E40" t="str">
        <f>IF(A40="","",IFERROR(VLOOKUP(A40,'SPED Student Roster'!$A:$E,5,FALSE),""))</f>
        <v/>
      </c>
      <c r="S40" t="str">
        <f t="shared" si="1"/>
        <v/>
      </c>
    </row>
    <row r="41" spans="2:19" x14ac:dyDescent="0.45">
      <c r="B41" t="str">
        <f>IF(A41="","",IFERROR(VLOOKUP(A41,'SPED Student Roster'!$A:$B,2,FALSE),""))</f>
        <v/>
      </c>
      <c r="C41" t="str">
        <f>IF(A41="","",IFERROR(VLOOKUP(A41,'SPED Student Roster'!$A:$C,3,FALSE),""))</f>
        <v/>
      </c>
      <c r="D41" t="str">
        <f>IF(A41="","",IFERROR(VLOOKUP(A41,'SPED Student Roster'!$A:$D,4,FALSE),""))</f>
        <v/>
      </c>
      <c r="E41" t="str">
        <f>IF(A41="","",IFERROR(VLOOKUP(A41,'SPED Student Roster'!$A:$E,5,FALSE),""))</f>
        <v/>
      </c>
      <c r="S41" t="str">
        <f t="shared" si="1"/>
        <v/>
      </c>
    </row>
    <row r="42" spans="2:19" x14ac:dyDescent="0.45">
      <c r="B42" t="str">
        <f>IF(A42="","",IFERROR(VLOOKUP(A42,'SPED Student Roster'!$A:$B,2,FALSE),""))</f>
        <v/>
      </c>
      <c r="C42" t="str">
        <f>IF(A42="","",IFERROR(VLOOKUP(A42,'SPED Student Roster'!$A:$C,3,FALSE),""))</f>
        <v/>
      </c>
      <c r="D42" t="str">
        <f>IF(A42="","",IFERROR(VLOOKUP(A42,'SPED Student Roster'!$A:$D,4,FALSE),""))</f>
        <v/>
      </c>
      <c r="E42" t="str">
        <f>IF(A42="","",IFERROR(VLOOKUP(A42,'SPED Student Roster'!$A:$E,5,FALSE),""))</f>
        <v/>
      </c>
      <c r="S42" t="str">
        <f t="shared" si="1"/>
        <v/>
      </c>
    </row>
    <row r="43" spans="2:19" x14ac:dyDescent="0.45">
      <c r="B43" t="str">
        <f>IF(A43="","",IFERROR(VLOOKUP(A43,'SPED Student Roster'!$A:$B,2,FALSE),""))</f>
        <v/>
      </c>
      <c r="C43" t="str">
        <f>IF(A43="","",IFERROR(VLOOKUP(A43,'SPED Student Roster'!$A:$C,3,FALSE),""))</f>
        <v/>
      </c>
      <c r="D43" t="str">
        <f>IF(A43="","",IFERROR(VLOOKUP(A43,'SPED Student Roster'!$A:$D,4,FALSE),""))</f>
        <v/>
      </c>
      <c r="E43" t="str">
        <f>IF(A43="","",IFERROR(VLOOKUP(A43,'SPED Student Roster'!$A:$E,5,FALSE),""))</f>
        <v/>
      </c>
      <c r="S43" t="str">
        <f t="shared" si="1"/>
        <v/>
      </c>
    </row>
    <row r="44" spans="2:19" x14ac:dyDescent="0.45">
      <c r="B44" t="str">
        <f>IF(A44="","",IFERROR(VLOOKUP(A44,'SPED Student Roster'!$A:$B,2,FALSE),""))</f>
        <v/>
      </c>
      <c r="C44" t="str">
        <f>IF(A44="","",IFERROR(VLOOKUP(A44,'SPED Student Roster'!$A:$C,3,FALSE),""))</f>
        <v/>
      </c>
      <c r="D44" t="str">
        <f>IF(A44="","",IFERROR(VLOOKUP(A44,'SPED Student Roster'!$A:$D,4,FALSE),""))</f>
        <v/>
      </c>
      <c r="E44" t="str">
        <f>IF(A44="","",IFERROR(VLOOKUP(A44,'SPED Student Roster'!$A:$E,5,FALSE),""))</f>
        <v/>
      </c>
      <c r="S44" t="str">
        <f t="shared" si="1"/>
        <v/>
      </c>
    </row>
    <row r="45" spans="2:19" x14ac:dyDescent="0.45">
      <c r="B45" t="str">
        <f>IF(A45="","",IFERROR(VLOOKUP(A45,'SPED Student Roster'!$A:$B,2,FALSE),""))</f>
        <v/>
      </c>
      <c r="C45" t="str">
        <f>IF(A45="","",IFERROR(VLOOKUP(A45,'SPED Student Roster'!$A:$C,3,FALSE),""))</f>
        <v/>
      </c>
      <c r="D45" t="str">
        <f>IF(A45="","",IFERROR(VLOOKUP(A45,'SPED Student Roster'!$A:$D,4,FALSE),""))</f>
        <v/>
      </c>
      <c r="E45" t="str">
        <f>IF(A45="","",IFERROR(VLOOKUP(A45,'SPED Student Roster'!$A:$E,5,FALSE),""))</f>
        <v/>
      </c>
      <c r="S45" t="str">
        <f t="shared" si="1"/>
        <v/>
      </c>
    </row>
    <row r="46" spans="2:19" x14ac:dyDescent="0.45">
      <c r="B46" t="str">
        <f>IF(A46="","",IFERROR(VLOOKUP(A46,'SPED Student Roster'!$A:$B,2,FALSE),""))</f>
        <v/>
      </c>
      <c r="C46" t="str">
        <f>IF(A46="","",IFERROR(VLOOKUP(A46,'SPED Student Roster'!$A:$C,3,FALSE),""))</f>
        <v/>
      </c>
      <c r="D46" t="str">
        <f>IF(A46="","",IFERROR(VLOOKUP(A46,'SPED Student Roster'!$A:$D,4,FALSE),""))</f>
        <v/>
      </c>
      <c r="E46" t="str">
        <f>IF(A46="","",IFERROR(VLOOKUP(A46,'SPED Student Roster'!$A:$E,5,FALSE),""))</f>
        <v/>
      </c>
      <c r="S46" t="str">
        <f t="shared" si="1"/>
        <v/>
      </c>
    </row>
    <row r="47" spans="2:19" x14ac:dyDescent="0.45">
      <c r="B47" t="str">
        <f>IF(A47="","",IFERROR(VLOOKUP(A47,'SPED Student Roster'!$A:$B,2,FALSE),""))</f>
        <v/>
      </c>
      <c r="C47" t="str">
        <f>IF(A47="","",IFERROR(VLOOKUP(A47,'SPED Student Roster'!$A:$C,3,FALSE),""))</f>
        <v/>
      </c>
      <c r="D47" t="str">
        <f>IF(A47="","",IFERROR(VLOOKUP(A47,'SPED Student Roster'!$A:$D,4,FALSE),""))</f>
        <v/>
      </c>
      <c r="E47" t="str">
        <f>IF(A47="","",IFERROR(VLOOKUP(A47,'SPED Student Roster'!$A:$E,5,FALSE),""))</f>
        <v/>
      </c>
      <c r="S47" t="str">
        <f t="shared" si="1"/>
        <v/>
      </c>
    </row>
    <row r="48" spans="2:19" x14ac:dyDescent="0.45">
      <c r="B48" t="str">
        <f>IF(A48="","",IFERROR(VLOOKUP(A48,'SPED Student Roster'!$A:$B,2,FALSE),""))</f>
        <v/>
      </c>
      <c r="C48" t="str">
        <f>IF(A48="","",IFERROR(VLOOKUP(A48,'SPED Student Roster'!$A:$C,3,FALSE),""))</f>
        <v/>
      </c>
      <c r="D48" t="str">
        <f>IF(A48="","",IFERROR(VLOOKUP(A48,'SPED Student Roster'!$A:$D,4,FALSE),""))</f>
        <v/>
      </c>
      <c r="E48" t="str">
        <f>IF(A48="","",IFERROR(VLOOKUP(A48,'SPED Student Roster'!$A:$E,5,FALSE),""))</f>
        <v/>
      </c>
      <c r="S48" t="str">
        <f t="shared" si="1"/>
        <v/>
      </c>
    </row>
    <row r="49" spans="2:19" x14ac:dyDescent="0.45">
      <c r="B49" t="str">
        <f>IF(A49="","",IFERROR(VLOOKUP(A49,'SPED Student Roster'!$A:$B,2,FALSE),""))</f>
        <v/>
      </c>
      <c r="C49" t="str">
        <f>IF(A49="","",IFERROR(VLOOKUP(A49,'SPED Student Roster'!$A:$C,3,FALSE),""))</f>
        <v/>
      </c>
      <c r="D49" t="str">
        <f>IF(A49="","",IFERROR(VLOOKUP(A49,'SPED Student Roster'!$A:$D,4,FALSE),""))</f>
        <v/>
      </c>
      <c r="E49" t="str">
        <f>IF(A49="","",IFERROR(VLOOKUP(A49,'SPED Student Roster'!$A:$E,5,FALSE),""))</f>
        <v/>
      </c>
      <c r="S49" t="str">
        <f t="shared" si="1"/>
        <v/>
      </c>
    </row>
    <row r="50" spans="2:19" x14ac:dyDescent="0.45">
      <c r="B50" t="str">
        <f>IF(A50="","",IFERROR(VLOOKUP(A50,'SPED Student Roster'!$A:$B,2,FALSE),""))</f>
        <v/>
      </c>
      <c r="C50" t="str">
        <f>IF(A50="","",IFERROR(VLOOKUP(A50,'SPED Student Roster'!$A:$C,3,FALSE),""))</f>
        <v/>
      </c>
      <c r="D50" t="str">
        <f>IF(A50="","",IFERROR(VLOOKUP(A50,'SPED Student Roster'!$A:$D,4,FALSE),""))</f>
        <v/>
      </c>
      <c r="E50" t="str">
        <f>IF(A50="","",IFERROR(VLOOKUP(A50,'SPED Student Roster'!$A:$E,5,FALSE),""))</f>
        <v/>
      </c>
      <c r="S50" t="str">
        <f t="shared" si="1"/>
        <v/>
      </c>
    </row>
    <row r="51" spans="2:19" x14ac:dyDescent="0.45">
      <c r="B51" t="str">
        <f>IF(A51="","",IFERROR(VLOOKUP(A51,'SPED Student Roster'!$A:$B,2,FALSE),""))</f>
        <v/>
      </c>
      <c r="C51" t="str">
        <f>IF(A51="","",IFERROR(VLOOKUP(A51,'SPED Student Roster'!$A:$C,3,FALSE),""))</f>
        <v/>
      </c>
      <c r="D51" t="str">
        <f>IF(A51="","",IFERROR(VLOOKUP(A51,'SPED Student Roster'!$A:$D,4,FALSE),""))</f>
        <v/>
      </c>
      <c r="E51" t="str">
        <f>IF(A51="","",IFERROR(VLOOKUP(A51,'SPED Student Roster'!$A:$E,5,FALSE),""))</f>
        <v/>
      </c>
      <c r="S51" t="str">
        <f t="shared" si="1"/>
        <v/>
      </c>
    </row>
    <row r="52" spans="2:19" x14ac:dyDescent="0.45">
      <c r="B52" t="str">
        <f>IF(A52="","",IFERROR(VLOOKUP(A52,'SPED Student Roster'!$A:$B,2,FALSE),""))</f>
        <v/>
      </c>
      <c r="C52" t="str">
        <f>IF(A52="","",IFERROR(VLOOKUP(A52,'SPED Student Roster'!$A:$C,3,FALSE),""))</f>
        <v/>
      </c>
      <c r="D52" t="str">
        <f>IF(A52="","",IFERROR(VLOOKUP(A52,'SPED Student Roster'!$A:$D,4,FALSE),""))</f>
        <v/>
      </c>
      <c r="E52" t="str">
        <f>IF(A52="","",IFERROR(VLOOKUP(A52,'SPED Student Roster'!$A:$E,5,FALSE),""))</f>
        <v/>
      </c>
      <c r="S52" t="str">
        <f t="shared" si="1"/>
        <v/>
      </c>
    </row>
    <row r="53" spans="2:19" x14ac:dyDescent="0.45">
      <c r="B53" t="str">
        <f>IF(A53="","",IFERROR(VLOOKUP(A53,'SPED Student Roster'!$A:$B,2,FALSE),""))</f>
        <v/>
      </c>
      <c r="C53" t="str">
        <f>IF(A53="","",IFERROR(VLOOKUP(A53,'SPED Student Roster'!$A:$C,3,FALSE),""))</f>
        <v/>
      </c>
      <c r="D53" t="str">
        <f>IF(A53="","",IFERROR(VLOOKUP(A53,'SPED Student Roster'!$A:$D,4,FALSE),""))</f>
        <v/>
      </c>
      <c r="E53" t="str">
        <f>IF(A53="","",IFERROR(VLOOKUP(A53,'SPED Student Roster'!$A:$E,5,FALSE),""))</f>
        <v/>
      </c>
      <c r="S53" t="str">
        <f t="shared" si="1"/>
        <v/>
      </c>
    </row>
    <row r="54" spans="2:19" x14ac:dyDescent="0.45">
      <c r="B54" t="str">
        <f>IF(A54="","",IFERROR(VLOOKUP(A54,'SPED Student Roster'!$A:$B,2,FALSE),""))</f>
        <v/>
      </c>
      <c r="C54" t="str">
        <f>IF(A54="","",IFERROR(VLOOKUP(A54,'SPED Student Roster'!$A:$C,3,FALSE),""))</f>
        <v/>
      </c>
      <c r="D54" t="str">
        <f>IF(A54="","",IFERROR(VLOOKUP(A54,'SPED Student Roster'!$A:$D,4,FALSE),""))</f>
        <v/>
      </c>
      <c r="E54" t="str">
        <f>IF(A54="","",IFERROR(VLOOKUP(A54,'SPED Student Roster'!$A:$E,5,FALSE),""))</f>
        <v/>
      </c>
      <c r="S54" t="str">
        <f t="shared" si="1"/>
        <v/>
      </c>
    </row>
    <row r="55" spans="2:19" x14ac:dyDescent="0.45">
      <c r="B55" t="str">
        <f>IF(A55="","",IFERROR(VLOOKUP(A55,'SPED Student Roster'!$A:$B,2,FALSE),""))</f>
        <v/>
      </c>
      <c r="C55" t="str">
        <f>IF(A55="","",IFERROR(VLOOKUP(A55,'SPED Student Roster'!$A:$C,3,FALSE),""))</f>
        <v/>
      </c>
      <c r="D55" t="str">
        <f>IF(A55="","",IFERROR(VLOOKUP(A55,'SPED Student Roster'!$A:$D,4,FALSE),""))</f>
        <v/>
      </c>
      <c r="E55" t="str">
        <f>IF(A55="","",IFERROR(VLOOKUP(A55,'SPED Student Roster'!$A:$E,5,FALSE),""))</f>
        <v/>
      </c>
      <c r="S55" t="str">
        <f t="shared" si="1"/>
        <v/>
      </c>
    </row>
    <row r="56" spans="2:19" x14ac:dyDescent="0.45">
      <c r="B56" t="str">
        <f>IF(A56="","",IFERROR(VLOOKUP(A56,'SPED Student Roster'!$A:$B,2,FALSE),""))</f>
        <v/>
      </c>
      <c r="C56" t="str">
        <f>IF(A56="","",IFERROR(VLOOKUP(A56,'SPED Student Roster'!$A:$C,3,FALSE),""))</f>
        <v/>
      </c>
      <c r="D56" t="str">
        <f>IF(A56="","",IFERROR(VLOOKUP(A56,'SPED Student Roster'!$A:$D,4,FALSE),""))</f>
        <v/>
      </c>
      <c r="E56" t="str">
        <f>IF(A56="","",IFERROR(VLOOKUP(A56,'SPED Student Roster'!$A:$E,5,FALSE),""))</f>
        <v/>
      </c>
      <c r="S56" t="str">
        <f t="shared" si="1"/>
        <v/>
      </c>
    </row>
    <row r="57" spans="2:19" x14ac:dyDescent="0.45">
      <c r="B57" t="str">
        <f>IF(A57="","",IFERROR(VLOOKUP(A57,'SPED Student Roster'!$A:$B,2,FALSE),""))</f>
        <v/>
      </c>
      <c r="C57" t="str">
        <f>IF(A57="","",IFERROR(VLOOKUP(A57,'SPED Student Roster'!$A:$C,3,FALSE),""))</f>
        <v/>
      </c>
      <c r="D57" t="str">
        <f>IF(A57="","",IFERROR(VLOOKUP(A57,'SPED Student Roster'!$A:$D,4,FALSE),""))</f>
        <v/>
      </c>
      <c r="E57" t="str">
        <f>IF(A57="","",IFERROR(VLOOKUP(A57,'SPED Student Roster'!$A:$E,5,FALSE),""))</f>
        <v/>
      </c>
      <c r="S57" t="str">
        <f t="shared" si="1"/>
        <v/>
      </c>
    </row>
    <row r="58" spans="2:19" x14ac:dyDescent="0.45">
      <c r="B58" t="str">
        <f>IF(A58="","",IFERROR(VLOOKUP(A58,'SPED Student Roster'!$A:$B,2,FALSE),""))</f>
        <v/>
      </c>
      <c r="C58" t="str">
        <f>IF(A58="","",IFERROR(VLOOKUP(A58,'SPED Student Roster'!$A:$C,3,FALSE),""))</f>
        <v/>
      </c>
      <c r="D58" t="str">
        <f>IF(A58="","",IFERROR(VLOOKUP(A58,'SPED Student Roster'!$A:$D,4,FALSE),""))</f>
        <v/>
      </c>
      <c r="E58" t="str">
        <f>IF(A58="","",IFERROR(VLOOKUP(A58,'SPED Student Roster'!$A:$E,5,FALSE),""))</f>
        <v/>
      </c>
      <c r="S58" t="str">
        <f t="shared" si="1"/>
        <v/>
      </c>
    </row>
    <row r="59" spans="2:19" x14ac:dyDescent="0.45">
      <c r="B59" t="str">
        <f>IF(A59="","",IFERROR(VLOOKUP(A59,'SPED Student Roster'!$A:$B,2,FALSE),""))</f>
        <v/>
      </c>
      <c r="C59" t="str">
        <f>IF(A59="","",IFERROR(VLOOKUP(A59,'SPED Student Roster'!$A:$C,3,FALSE),""))</f>
        <v/>
      </c>
      <c r="D59" t="str">
        <f>IF(A59="","",IFERROR(VLOOKUP(A59,'SPED Student Roster'!$A:$D,4,FALSE),""))</f>
        <v/>
      </c>
      <c r="E59" t="str">
        <f>IF(A59="","",IFERROR(VLOOKUP(A59,'SPED Student Roster'!$A:$E,5,FALSE),""))</f>
        <v/>
      </c>
      <c r="S59" t="str">
        <f t="shared" si="1"/>
        <v/>
      </c>
    </row>
    <row r="60" spans="2:19" x14ac:dyDescent="0.45">
      <c r="B60" t="str">
        <f>IF(A60="","",IFERROR(VLOOKUP(A60,'SPED Student Roster'!$A:$B,2,FALSE),""))</f>
        <v/>
      </c>
      <c r="C60" t="str">
        <f>IF(A60="","",IFERROR(VLOOKUP(A60,'SPED Student Roster'!$A:$C,3,FALSE),""))</f>
        <v/>
      </c>
      <c r="D60" t="str">
        <f>IF(A60="","",IFERROR(VLOOKUP(A60,'SPED Student Roster'!$A:$D,4,FALSE),""))</f>
        <v/>
      </c>
      <c r="E60" t="str">
        <f>IF(A60="","",IFERROR(VLOOKUP(A60,'SPED Student Roster'!$A:$E,5,FALSE),""))</f>
        <v/>
      </c>
      <c r="S60" t="str">
        <f t="shared" si="1"/>
        <v/>
      </c>
    </row>
    <row r="61" spans="2:19" x14ac:dyDescent="0.45">
      <c r="B61" t="str">
        <f>IF(A61="","",IFERROR(VLOOKUP(A61,'SPED Student Roster'!$A:$B,2,FALSE),""))</f>
        <v/>
      </c>
      <c r="C61" t="str">
        <f>IF(A61="","",IFERROR(VLOOKUP(A61,'SPED Student Roster'!$A:$C,3,FALSE),""))</f>
        <v/>
      </c>
      <c r="D61" t="str">
        <f>IF(A61="","",IFERROR(VLOOKUP(A61,'SPED Student Roster'!$A:$D,4,FALSE),""))</f>
        <v/>
      </c>
      <c r="E61" t="str">
        <f>IF(A61="","",IFERROR(VLOOKUP(A61,'SPED Student Roster'!$A:$E,5,FALSE),""))</f>
        <v/>
      </c>
      <c r="S61" t="str">
        <f t="shared" si="1"/>
        <v/>
      </c>
    </row>
    <row r="62" spans="2:19" x14ac:dyDescent="0.45">
      <c r="B62" t="str">
        <f>IF(A62="","",IFERROR(VLOOKUP(A62,'SPED Student Roster'!$A:$B,2,FALSE),""))</f>
        <v/>
      </c>
      <c r="C62" t="str">
        <f>IF(A62="","",IFERROR(VLOOKUP(A62,'SPED Student Roster'!$A:$C,3,FALSE),""))</f>
        <v/>
      </c>
      <c r="D62" t="str">
        <f>IF(A62="","",IFERROR(VLOOKUP(A62,'SPED Student Roster'!$A:$D,4,FALSE),""))</f>
        <v/>
      </c>
      <c r="E62" t="str">
        <f>IF(A62="","",IFERROR(VLOOKUP(A62,'SPED Student Roster'!$A:$E,5,FALSE),""))</f>
        <v/>
      </c>
      <c r="S62" t="str">
        <f t="shared" si="1"/>
        <v/>
      </c>
    </row>
    <row r="63" spans="2:19" x14ac:dyDescent="0.45">
      <c r="B63" t="str">
        <f>IF(A63="","",IFERROR(VLOOKUP(A63,'SPED Student Roster'!$A:$B,2,FALSE),""))</f>
        <v/>
      </c>
      <c r="C63" t="str">
        <f>IF(A63="","",IFERROR(VLOOKUP(A63,'SPED Student Roster'!$A:$C,3,FALSE),""))</f>
        <v/>
      </c>
      <c r="D63" t="str">
        <f>IF(A63="","",IFERROR(VLOOKUP(A63,'SPED Student Roster'!$A:$D,4,FALSE),""))</f>
        <v/>
      </c>
      <c r="E63" t="str">
        <f>IF(A63="","",IFERROR(VLOOKUP(A63,'SPED Student Roster'!$A:$E,5,FALSE),""))</f>
        <v/>
      </c>
      <c r="S63" t="str">
        <f t="shared" si="1"/>
        <v/>
      </c>
    </row>
    <row r="64" spans="2:19" x14ac:dyDescent="0.45">
      <c r="B64" t="str">
        <f>IF(A64="","",IFERROR(VLOOKUP(A64,'SPED Student Roster'!$A:$B,2,FALSE),""))</f>
        <v/>
      </c>
      <c r="C64" t="str">
        <f>IF(A64="","",IFERROR(VLOOKUP(A64,'SPED Student Roster'!$A:$C,3,FALSE),""))</f>
        <v/>
      </c>
      <c r="D64" t="str">
        <f>IF(A64="","",IFERROR(VLOOKUP(A64,'SPED Student Roster'!$A:$D,4,FALSE),""))</f>
        <v/>
      </c>
      <c r="E64" t="str">
        <f>IF(A64="","",IFERROR(VLOOKUP(A64,'SPED Student Roster'!$A:$E,5,FALSE),""))</f>
        <v/>
      </c>
      <c r="S64" t="str">
        <f t="shared" si="1"/>
        <v/>
      </c>
    </row>
    <row r="65" spans="2:19" x14ac:dyDescent="0.45">
      <c r="B65" t="str">
        <f>IF(A65="","",IFERROR(VLOOKUP(A65,'SPED Student Roster'!$A:$B,2,FALSE),""))</f>
        <v/>
      </c>
      <c r="C65" t="str">
        <f>IF(A65="","",IFERROR(VLOOKUP(A65,'SPED Student Roster'!$A:$C,3,FALSE),""))</f>
        <v/>
      </c>
      <c r="D65" t="str">
        <f>IF(A65="","",IFERROR(VLOOKUP(A65,'SPED Student Roster'!$A:$D,4,FALSE),""))</f>
        <v/>
      </c>
      <c r="E65" t="str">
        <f>IF(A65="","",IFERROR(VLOOKUP(A65,'SPED Student Roster'!$A:$E,5,FALSE),""))</f>
        <v/>
      </c>
      <c r="S65" t="str">
        <f t="shared" si="1"/>
        <v/>
      </c>
    </row>
    <row r="66" spans="2:19" x14ac:dyDescent="0.45">
      <c r="B66" t="str">
        <f>IF(A66="","",IFERROR(VLOOKUP(A66,'SPED Student Roster'!$A:$B,2,FALSE),""))</f>
        <v/>
      </c>
      <c r="C66" t="str">
        <f>IF(A66="","",IFERROR(VLOOKUP(A66,'SPED Student Roster'!$A:$C,3,FALSE),""))</f>
        <v/>
      </c>
      <c r="D66" t="str">
        <f>IF(A66="","",IFERROR(VLOOKUP(A66,'SPED Student Roster'!$A:$D,4,FALSE),""))</f>
        <v/>
      </c>
      <c r="E66" t="str">
        <f>IF(A66="","",IFERROR(VLOOKUP(A66,'SPED Student Roster'!$A:$E,5,FALSE),""))</f>
        <v/>
      </c>
      <c r="S66" t="str">
        <f t="shared" si="1"/>
        <v/>
      </c>
    </row>
    <row r="67" spans="2:19" x14ac:dyDescent="0.45">
      <c r="B67" t="str">
        <f>IF(A67="","",IFERROR(VLOOKUP(A67,'SPED Student Roster'!$A:$B,2,FALSE),""))</f>
        <v/>
      </c>
      <c r="C67" t="str">
        <f>IF(A67="","",IFERROR(VLOOKUP(A67,'SPED Student Roster'!$A:$C,3,FALSE),""))</f>
        <v/>
      </c>
      <c r="D67" t="str">
        <f>IF(A67="","",IFERROR(VLOOKUP(A67,'SPED Student Roster'!$A:$D,4,FALSE),""))</f>
        <v/>
      </c>
      <c r="E67" t="str">
        <f>IF(A67="","",IFERROR(VLOOKUP(A67,'SPED Student Roster'!$A:$E,5,FALSE),""))</f>
        <v/>
      </c>
      <c r="S67" t="str">
        <f t="shared" si="1"/>
        <v/>
      </c>
    </row>
    <row r="68" spans="2:19" x14ac:dyDescent="0.45">
      <c r="B68" t="str">
        <f>IF(A68="","",IFERROR(VLOOKUP(A68,'SPED Student Roster'!$A:$B,2,FALSE),""))</f>
        <v/>
      </c>
      <c r="C68" t="str">
        <f>IF(A68="","",IFERROR(VLOOKUP(A68,'SPED Student Roster'!$A:$C,3,FALSE),""))</f>
        <v/>
      </c>
      <c r="D68" t="str">
        <f>IF(A68="","",IFERROR(VLOOKUP(A68,'SPED Student Roster'!$A:$D,4,FALSE),""))</f>
        <v/>
      </c>
      <c r="E68" t="str">
        <f>IF(A68="","",IFERROR(VLOOKUP(A68,'SPED Student Roster'!$A:$E,5,FALSE),""))</f>
        <v/>
      </c>
      <c r="S68" t="str">
        <f t="shared" si="1"/>
        <v/>
      </c>
    </row>
    <row r="69" spans="2:19" x14ac:dyDescent="0.45">
      <c r="B69" t="str">
        <f>IF(A69="","",IFERROR(VLOOKUP(A69,'SPED Student Roster'!$A:$B,2,FALSE),""))</f>
        <v/>
      </c>
      <c r="C69" t="str">
        <f>IF(A69="","",IFERROR(VLOOKUP(A69,'SPED Student Roster'!$A:$C,3,FALSE),""))</f>
        <v/>
      </c>
      <c r="D69" t="str">
        <f>IF(A69="","",IFERROR(VLOOKUP(A69,'SPED Student Roster'!$A:$D,4,FALSE),""))</f>
        <v/>
      </c>
      <c r="E69" t="str">
        <f>IF(A69="","",IFERROR(VLOOKUP(A69,'SPED Student Roster'!$A:$E,5,FALSE),""))</f>
        <v/>
      </c>
      <c r="S69" t="str">
        <f t="shared" ref="S69:S101" si="2">IF(A69="","",IF(AND(G69="Yes",I69="Yes",L69="Yes",N69="Yes",P69="Yes"),"Compliant","Non-Compliant"))</f>
        <v/>
      </c>
    </row>
    <row r="70" spans="2:19" x14ac:dyDescent="0.45">
      <c r="B70" t="str">
        <f>IF(A70="","",IFERROR(VLOOKUP(A70,'SPED Student Roster'!$A:$B,2,FALSE),""))</f>
        <v/>
      </c>
      <c r="C70" t="str">
        <f>IF(A70="","",IFERROR(VLOOKUP(A70,'SPED Student Roster'!$A:$C,3,FALSE),""))</f>
        <v/>
      </c>
      <c r="D70" t="str">
        <f>IF(A70="","",IFERROR(VLOOKUP(A70,'SPED Student Roster'!$A:$D,4,FALSE),""))</f>
        <v/>
      </c>
      <c r="E70" t="str">
        <f>IF(A70="","",IFERROR(VLOOKUP(A70,'SPED Student Roster'!$A:$E,5,FALSE),""))</f>
        <v/>
      </c>
      <c r="S70" t="str">
        <f t="shared" si="2"/>
        <v/>
      </c>
    </row>
    <row r="71" spans="2:19" x14ac:dyDescent="0.45">
      <c r="B71" t="str">
        <f>IF(A71="","",IFERROR(VLOOKUP(A71,'SPED Student Roster'!$A:$B,2,FALSE),""))</f>
        <v/>
      </c>
      <c r="C71" t="str">
        <f>IF(A71="","",IFERROR(VLOOKUP(A71,'SPED Student Roster'!$A:$C,3,FALSE),""))</f>
        <v/>
      </c>
      <c r="D71" t="str">
        <f>IF(A71="","",IFERROR(VLOOKUP(A71,'SPED Student Roster'!$A:$D,4,FALSE),""))</f>
        <v/>
      </c>
      <c r="E71" t="str">
        <f>IF(A71="","",IFERROR(VLOOKUP(A71,'SPED Student Roster'!$A:$E,5,FALSE),""))</f>
        <v/>
      </c>
      <c r="S71" t="str">
        <f t="shared" si="2"/>
        <v/>
      </c>
    </row>
    <row r="72" spans="2:19" x14ac:dyDescent="0.45">
      <c r="B72" t="str">
        <f>IF(A72="","",IFERROR(VLOOKUP(A72,'SPED Student Roster'!$A:$B,2,FALSE),""))</f>
        <v/>
      </c>
      <c r="C72" t="str">
        <f>IF(A72="","",IFERROR(VLOOKUP(A72,'SPED Student Roster'!$A:$C,3,FALSE),""))</f>
        <v/>
      </c>
      <c r="D72" t="str">
        <f>IF(A72="","",IFERROR(VLOOKUP(A72,'SPED Student Roster'!$A:$D,4,FALSE),""))</f>
        <v/>
      </c>
      <c r="E72" t="str">
        <f>IF(A72="","",IFERROR(VLOOKUP(A72,'SPED Student Roster'!$A:$E,5,FALSE),""))</f>
        <v/>
      </c>
      <c r="S72" t="str">
        <f t="shared" si="2"/>
        <v/>
      </c>
    </row>
    <row r="73" spans="2:19" x14ac:dyDescent="0.45">
      <c r="B73" t="str">
        <f>IF(A73="","",IFERROR(VLOOKUP(A73,'SPED Student Roster'!$A:$B,2,FALSE),""))</f>
        <v/>
      </c>
      <c r="C73" t="str">
        <f>IF(A73="","",IFERROR(VLOOKUP(A73,'SPED Student Roster'!$A:$C,3,FALSE),""))</f>
        <v/>
      </c>
      <c r="D73" t="str">
        <f>IF(A73="","",IFERROR(VLOOKUP(A73,'SPED Student Roster'!$A:$D,4,FALSE),""))</f>
        <v/>
      </c>
      <c r="E73" t="str">
        <f>IF(A73="","",IFERROR(VLOOKUP(A73,'SPED Student Roster'!$A:$E,5,FALSE),""))</f>
        <v/>
      </c>
      <c r="S73" t="str">
        <f t="shared" si="2"/>
        <v/>
      </c>
    </row>
    <row r="74" spans="2:19" x14ac:dyDescent="0.45">
      <c r="B74" t="str">
        <f>IF(A74="","",IFERROR(VLOOKUP(A74,'SPED Student Roster'!$A:$B,2,FALSE),""))</f>
        <v/>
      </c>
      <c r="C74" t="str">
        <f>IF(A74="","",IFERROR(VLOOKUP(A74,'SPED Student Roster'!$A:$C,3,FALSE),""))</f>
        <v/>
      </c>
      <c r="D74" t="str">
        <f>IF(A74="","",IFERROR(VLOOKUP(A74,'SPED Student Roster'!$A:$D,4,FALSE),""))</f>
        <v/>
      </c>
      <c r="E74" t="str">
        <f>IF(A74="","",IFERROR(VLOOKUP(A74,'SPED Student Roster'!$A:$E,5,FALSE),""))</f>
        <v/>
      </c>
      <c r="S74" t="str">
        <f t="shared" si="2"/>
        <v/>
      </c>
    </row>
    <row r="75" spans="2:19" x14ac:dyDescent="0.45">
      <c r="B75" t="str">
        <f>IF(A75="","",IFERROR(VLOOKUP(A75,'SPED Student Roster'!$A:$B,2,FALSE),""))</f>
        <v/>
      </c>
      <c r="C75" t="str">
        <f>IF(A75="","",IFERROR(VLOOKUP(A75,'SPED Student Roster'!$A:$C,3,FALSE),""))</f>
        <v/>
      </c>
      <c r="D75" t="str">
        <f>IF(A75="","",IFERROR(VLOOKUP(A75,'SPED Student Roster'!$A:$D,4,FALSE),""))</f>
        <v/>
      </c>
      <c r="E75" t="str">
        <f>IF(A75="","",IFERROR(VLOOKUP(A75,'SPED Student Roster'!$A:$E,5,FALSE),""))</f>
        <v/>
      </c>
      <c r="S75" t="str">
        <f t="shared" si="2"/>
        <v/>
      </c>
    </row>
    <row r="76" spans="2:19" x14ac:dyDescent="0.45">
      <c r="B76" t="str">
        <f>IF(A76="","",IFERROR(VLOOKUP(A76,'SPED Student Roster'!$A:$B,2,FALSE),""))</f>
        <v/>
      </c>
      <c r="C76" t="str">
        <f>IF(A76="","",IFERROR(VLOOKUP(A76,'SPED Student Roster'!$A:$C,3,FALSE),""))</f>
        <v/>
      </c>
      <c r="D76" t="str">
        <f>IF(A76="","",IFERROR(VLOOKUP(A76,'SPED Student Roster'!$A:$D,4,FALSE),""))</f>
        <v/>
      </c>
      <c r="E76" t="str">
        <f>IF(A76="","",IFERROR(VLOOKUP(A76,'SPED Student Roster'!$A:$E,5,FALSE),""))</f>
        <v/>
      </c>
      <c r="S76" t="str">
        <f t="shared" si="2"/>
        <v/>
      </c>
    </row>
    <row r="77" spans="2:19" x14ac:dyDescent="0.45">
      <c r="B77" t="str">
        <f>IF(A77="","",IFERROR(VLOOKUP(A77,'SPED Student Roster'!$A:$B,2,FALSE),""))</f>
        <v/>
      </c>
      <c r="C77" t="str">
        <f>IF(A77="","",IFERROR(VLOOKUP(A77,'SPED Student Roster'!$A:$C,3,FALSE),""))</f>
        <v/>
      </c>
      <c r="D77" t="str">
        <f>IF(A77="","",IFERROR(VLOOKUP(A77,'SPED Student Roster'!$A:$D,4,FALSE),""))</f>
        <v/>
      </c>
      <c r="E77" t="str">
        <f>IF(A77="","",IFERROR(VLOOKUP(A77,'SPED Student Roster'!$A:$E,5,FALSE),""))</f>
        <v/>
      </c>
      <c r="S77" t="str">
        <f t="shared" si="2"/>
        <v/>
      </c>
    </row>
    <row r="78" spans="2:19" x14ac:dyDescent="0.45">
      <c r="B78" t="str">
        <f>IF(A78="","",IFERROR(VLOOKUP(A78,'SPED Student Roster'!$A:$B,2,FALSE),""))</f>
        <v/>
      </c>
      <c r="C78" t="str">
        <f>IF(A78="","",IFERROR(VLOOKUP(A78,'SPED Student Roster'!$A:$C,3,FALSE),""))</f>
        <v/>
      </c>
      <c r="D78" t="str">
        <f>IF(A78="","",IFERROR(VLOOKUP(A78,'SPED Student Roster'!$A:$D,4,FALSE),""))</f>
        <v/>
      </c>
      <c r="E78" t="str">
        <f>IF(A78="","",IFERROR(VLOOKUP(A78,'SPED Student Roster'!$A:$E,5,FALSE),""))</f>
        <v/>
      </c>
      <c r="S78" t="str">
        <f t="shared" si="2"/>
        <v/>
      </c>
    </row>
    <row r="79" spans="2:19" x14ac:dyDescent="0.45">
      <c r="B79" t="str">
        <f>IF(A79="","",IFERROR(VLOOKUP(A79,'SPED Student Roster'!$A:$B,2,FALSE),""))</f>
        <v/>
      </c>
      <c r="C79" t="str">
        <f>IF(A79="","",IFERROR(VLOOKUP(A79,'SPED Student Roster'!$A:$C,3,FALSE),""))</f>
        <v/>
      </c>
      <c r="D79" t="str">
        <f>IF(A79="","",IFERROR(VLOOKUP(A79,'SPED Student Roster'!$A:$D,4,FALSE),""))</f>
        <v/>
      </c>
      <c r="E79" t="str">
        <f>IF(A79="","",IFERROR(VLOOKUP(A79,'SPED Student Roster'!$A:$E,5,FALSE),""))</f>
        <v/>
      </c>
      <c r="S79" t="str">
        <f t="shared" si="2"/>
        <v/>
      </c>
    </row>
    <row r="80" spans="2:19" x14ac:dyDescent="0.45">
      <c r="B80" t="str">
        <f>IF(A80="","",IFERROR(VLOOKUP(A80,'SPED Student Roster'!$A:$B,2,FALSE),""))</f>
        <v/>
      </c>
      <c r="C80" t="str">
        <f>IF(A80="","",IFERROR(VLOOKUP(A80,'SPED Student Roster'!$A:$C,3,FALSE),""))</f>
        <v/>
      </c>
      <c r="D80" t="str">
        <f>IF(A80="","",IFERROR(VLOOKUP(A80,'SPED Student Roster'!$A:$D,4,FALSE),""))</f>
        <v/>
      </c>
      <c r="E80" t="str">
        <f>IF(A80="","",IFERROR(VLOOKUP(A80,'SPED Student Roster'!$A:$E,5,FALSE),""))</f>
        <v/>
      </c>
      <c r="S80" t="str">
        <f t="shared" si="2"/>
        <v/>
      </c>
    </row>
    <row r="81" spans="2:19" x14ac:dyDescent="0.45">
      <c r="B81" t="str">
        <f>IF(A81="","",IFERROR(VLOOKUP(A81,'SPED Student Roster'!$A:$B,2,FALSE),""))</f>
        <v/>
      </c>
      <c r="C81" t="str">
        <f>IF(A81="","",IFERROR(VLOOKUP(A81,'SPED Student Roster'!$A:$C,3,FALSE),""))</f>
        <v/>
      </c>
      <c r="D81" t="str">
        <f>IF(A81="","",IFERROR(VLOOKUP(A81,'SPED Student Roster'!$A:$D,4,FALSE),""))</f>
        <v/>
      </c>
      <c r="E81" t="str">
        <f>IF(A81="","",IFERROR(VLOOKUP(A81,'SPED Student Roster'!$A:$E,5,FALSE),""))</f>
        <v/>
      </c>
      <c r="S81" t="str">
        <f t="shared" si="2"/>
        <v/>
      </c>
    </row>
    <row r="82" spans="2:19" x14ac:dyDescent="0.45">
      <c r="B82" t="str">
        <f>IF(A82="","",IFERROR(VLOOKUP(A82,'SPED Student Roster'!$A:$B,2,FALSE),""))</f>
        <v/>
      </c>
      <c r="C82" t="str">
        <f>IF(A82="","",IFERROR(VLOOKUP(A82,'SPED Student Roster'!$A:$C,3,FALSE),""))</f>
        <v/>
      </c>
      <c r="D82" t="str">
        <f>IF(A82="","",IFERROR(VLOOKUP(A82,'SPED Student Roster'!$A:$D,4,FALSE),""))</f>
        <v/>
      </c>
      <c r="E82" t="str">
        <f>IF(A82="","",IFERROR(VLOOKUP(A82,'SPED Student Roster'!$A:$E,5,FALSE),""))</f>
        <v/>
      </c>
      <c r="S82" t="str">
        <f t="shared" si="2"/>
        <v/>
      </c>
    </row>
    <row r="83" spans="2:19" x14ac:dyDescent="0.45">
      <c r="B83" t="str">
        <f>IF(A83="","",IFERROR(VLOOKUP(A83,'SPED Student Roster'!$A:$B,2,FALSE),""))</f>
        <v/>
      </c>
      <c r="C83" t="str">
        <f>IF(A83="","",IFERROR(VLOOKUP(A83,'SPED Student Roster'!$A:$C,3,FALSE),""))</f>
        <v/>
      </c>
      <c r="D83" t="str">
        <f>IF(A83="","",IFERROR(VLOOKUP(A83,'SPED Student Roster'!$A:$D,4,FALSE),""))</f>
        <v/>
      </c>
      <c r="E83" t="str">
        <f>IF(A83="","",IFERROR(VLOOKUP(A83,'SPED Student Roster'!$A:$E,5,FALSE),""))</f>
        <v/>
      </c>
      <c r="S83" t="str">
        <f t="shared" si="2"/>
        <v/>
      </c>
    </row>
    <row r="84" spans="2:19" x14ac:dyDescent="0.45">
      <c r="B84" t="str">
        <f>IF(A84="","",IFERROR(VLOOKUP(A84,'SPED Student Roster'!$A:$B,2,FALSE),""))</f>
        <v/>
      </c>
      <c r="C84" t="str">
        <f>IF(A84="","",IFERROR(VLOOKUP(A84,'SPED Student Roster'!$A:$C,3,FALSE),""))</f>
        <v/>
      </c>
      <c r="D84" t="str">
        <f>IF(A84="","",IFERROR(VLOOKUP(A84,'SPED Student Roster'!$A:$D,4,FALSE),""))</f>
        <v/>
      </c>
      <c r="E84" t="str">
        <f>IF(A84="","",IFERROR(VLOOKUP(A84,'SPED Student Roster'!$A:$E,5,FALSE),""))</f>
        <v/>
      </c>
      <c r="S84" t="str">
        <f t="shared" si="2"/>
        <v/>
      </c>
    </row>
    <row r="85" spans="2:19" x14ac:dyDescent="0.45">
      <c r="B85" t="str">
        <f>IF(A85="","",IFERROR(VLOOKUP(A85,'SPED Student Roster'!$A:$B,2,FALSE),""))</f>
        <v/>
      </c>
      <c r="C85" t="str">
        <f>IF(A85="","",IFERROR(VLOOKUP(A85,'SPED Student Roster'!$A:$C,3,FALSE),""))</f>
        <v/>
      </c>
      <c r="D85" t="str">
        <f>IF(A85="","",IFERROR(VLOOKUP(A85,'SPED Student Roster'!$A:$D,4,FALSE),""))</f>
        <v/>
      </c>
      <c r="E85" t="str">
        <f>IF(A85="","",IFERROR(VLOOKUP(A85,'SPED Student Roster'!$A:$E,5,FALSE),""))</f>
        <v/>
      </c>
      <c r="S85" t="str">
        <f t="shared" si="2"/>
        <v/>
      </c>
    </row>
    <row r="86" spans="2:19" x14ac:dyDescent="0.45">
      <c r="B86" t="str">
        <f>IF(A86="","",IFERROR(VLOOKUP(A86,'SPED Student Roster'!$A:$B,2,FALSE),""))</f>
        <v/>
      </c>
      <c r="C86" t="str">
        <f>IF(A86="","",IFERROR(VLOOKUP(A86,'SPED Student Roster'!$A:$C,3,FALSE),""))</f>
        <v/>
      </c>
      <c r="D86" t="str">
        <f>IF(A86="","",IFERROR(VLOOKUP(A86,'SPED Student Roster'!$A:$D,4,FALSE),""))</f>
        <v/>
      </c>
      <c r="E86" t="str">
        <f>IF(A86="","",IFERROR(VLOOKUP(A86,'SPED Student Roster'!$A:$E,5,FALSE),""))</f>
        <v/>
      </c>
      <c r="S86" t="str">
        <f t="shared" si="2"/>
        <v/>
      </c>
    </row>
    <row r="87" spans="2:19" x14ac:dyDescent="0.45">
      <c r="B87" t="str">
        <f>IF(A87="","",IFERROR(VLOOKUP(A87,'SPED Student Roster'!$A:$B,2,FALSE),""))</f>
        <v/>
      </c>
      <c r="C87" t="str">
        <f>IF(A87="","",IFERROR(VLOOKUP(A87,'SPED Student Roster'!$A:$C,3,FALSE),""))</f>
        <v/>
      </c>
      <c r="D87" t="str">
        <f>IF(A87="","",IFERROR(VLOOKUP(A87,'SPED Student Roster'!$A:$D,4,FALSE),""))</f>
        <v/>
      </c>
      <c r="E87" t="str">
        <f>IF(A87="","",IFERROR(VLOOKUP(A87,'SPED Student Roster'!$A:$E,5,FALSE),""))</f>
        <v/>
      </c>
      <c r="S87" t="str">
        <f t="shared" si="2"/>
        <v/>
      </c>
    </row>
    <row r="88" spans="2:19" x14ac:dyDescent="0.45">
      <c r="B88" t="str">
        <f>IF(A88="","",IFERROR(VLOOKUP(A88,'SPED Student Roster'!$A:$B,2,FALSE),""))</f>
        <v/>
      </c>
      <c r="C88" t="str">
        <f>IF(A88="","",IFERROR(VLOOKUP(A88,'SPED Student Roster'!$A:$C,3,FALSE),""))</f>
        <v/>
      </c>
      <c r="D88" t="str">
        <f>IF(A88="","",IFERROR(VLOOKUP(A88,'SPED Student Roster'!$A:$D,4,FALSE),""))</f>
        <v/>
      </c>
      <c r="E88" t="str">
        <f>IF(A88="","",IFERROR(VLOOKUP(A88,'SPED Student Roster'!$A:$E,5,FALSE),""))</f>
        <v/>
      </c>
      <c r="S88" t="str">
        <f t="shared" si="2"/>
        <v/>
      </c>
    </row>
    <row r="89" spans="2:19" x14ac:dyDescent="0.45">
      <c r="B89" t="str">
        <f>IF(A89="","",IFERROR(VLOOKUP(A89,'SPED Student Roster'!$A:$B,2,FALSE),""))</f>
        <v/>
      </c>
      <c r="C89" t="str">
        <f>IF(A89="","",IFERROR(VLOOKUP(A89,'SPED Student Roster'!$A:$C,3,FALSE),""))</f>
        <v/>
      </c>
      <c r="D89" t="str">
        <f>IF(A89="","",IFERROR(VLOOKUP(A89,'SPED Student Roster'!$A:$D,4,FALSE),""))</f>
        <v/>
      </c>
      <c r="E89" t="str">
        <f>IF(A89="","",IFERROR(VLOOKUP(A89,'SPED Student Roster'!$A:$E,5,FALSE),""))</f>
        <v/>
      </c>
      <c r="S89" t="str">
        <f t="shared" si="2"/>
        <v/>
      </c>
    </row>
    <row r="90" spans="2:19" x14ac:dyDescent="0.45">
      <c r="B90" t="str">
        <f>IF(A90="","",IFERROR(VLOOKUP(A90,'SPED Student Roster'!$A:$B,2,FALSE),""))</f>
        <v/>
      </c>
      <c r="C90" t="str">
        <f>IF(A90="","",IFERROR(VLOOKUP(A90,'SPED Student Roster'!$A:$C,3,FALSE),""))</f>
        <v/>
      </c>
      <c r="D90" t="str">
        <f>IF(A90="","",IFERROR(VLOOKUP(A90,'SPED Student Roster'!$A:$D,4,FALSE),""))</f>
        <v/>
      </c>
      <c r="E90" t="str">
        <f>IF(A90="","",IFERROR(VLOOKUP(A90,'SPED Student Roster'!$A:$E,5,FALSE),""))</f>
        <v/>
      </c>
      <c r="S90" t="str">
        <f t="shared" si="2"/>
        <v/>
      </c>
    </row>
    <row r="91" spans="2:19" x14ac:dyDescent="0.45">
      <c r="B91" t="str">
        <f>IF(A91="","",IFERROR(VLOOKUP(A91,'SPED Student Roster'!$A:$B,2,FALSE),""))</f>
        <v/>
      </c>
      <c r="C91" t="str">
        <f>IF(A91="","",IFERROR(VLOOKUP(A91,'SPED Student Roster'!$A:$C,3,FALSE),""))</f>
        <v/>
      </c>
      <c r="D91" t="str">
        <f>IF(A91="","",IFERROR(VLOOKUP(A91,'SPED Student Roster'!$A:$D,4,FALSE),""))</f>
        <v/>
      </c>
      <c r="E91" t="str">
        <f>IF(A91="","",IFERROR(VLOOKUP(A91,'SPED Student Roster'!$A:$E,5,FALSE),""))</f>
        <v/>
      </c>
      <c r="S91" t="str">
        <f t="shared" si="2"/>
        <v/>
      </c>
    </row>
    <row r="92" spans="2:19" x14ac:dyDescent="0.45">
      <c r="B92" t="str">
        <f>IF(A92="","",IFERROR(VLOOKUP(A92,'SPED Student Roster'!$A:$B,2,FALSE),""))</f>
        <v/>
      </c>
      <c r="C92" t="str">
        <f>IF(A92="","",IFERROR(VLOOKUP(A92,'SPED Student Roster'!$A:$C,3,FALSE),""))</f>
        <v/>
      </c>
      <c r="D92" t="str">
        <f>IF(A92="","",IFERROR(VLOOKUP(A92,'SPED Student Roster'!$A:$D,4,FALSE),""))</f>
        <v/>
      </c>
      <c r="E92" t="str">
        <f>IF(A92="","",IFERROR(VLOOKUP(A92,'SPED Student Roster'!$A:$E,5,FALSE),""))</f>
        <v/>
      </c>
      <c r="S92" t="str">
        <f t="shared" si="2"/>
        <v/>
      </c>
    </row>
    <row r="93" spans="2:19" x14ac:dyDescent="0.45">
      <c r="B93" t="str">
        <f>IF(A93="","",IFERROR(VLOOKUP(A93,'SPED Student Roster'!$A:$B,2,FALSE),""))</f>
        <v/>
      </c>
      <c r="C93" t="str">
        <f>IF(A93="","",IFERROR(VLOOKUP(A93,'SPED Student Roster'!$A:$C,3,FALSE),""))</f>
        <v/>
      </c>
      <c r="D93" t="str">
        <f>IF(A93="","",IFERROR(VLOOKUP(A93,'SPED Student Roster'!$A:$D,4,FALSE),""))</f>
        <v/>
      </c>
      <c r="E93" t="str">
        <f>IF(A93="","",IFERROR(VLOOKUP(A93,'SPED Student Roster'!$A:$E,5,FALSE),""))</f>
        <v/>
      </c>
      <c r="S93" t="str">
        <f t="shared" si="2"/>
        <v/>
      </c>
    </row>
    <row r="94" spans="2:19" x14ac:dyDescent="0.45">
      <c r="B94" t="str">
        <f>IF(A94="","",IFERROR(VLOOKUP(A94,'SPED Student Roster'!$A:$B,2,FALSE),""))</f>
        <v/>
      </c>
      <c r="C94" t="str">
        <f>IF(A94="","",IFERROR(VLOOKUP(A94,'SPED Student Roster'!$A:$C,3,FALSE),""))</f>
        <v/>
      </c>
      <c r="D94" t="str">
        <f>IF(A94="","",IFERROR(VLOOKUP(A94,'SPED Student Roster'!$A:$D,4,FALSE),""))</f>
        <v/>
      </c>
      <c r="E94" t="str">
        <f>IF(A94="","",IFERROR(VLOOKUP(A94,'SPED Student Roster'!$A:$E,5,FALSE),""))</f>
        <v/>
      </c>
      <c r="S94" t="str">
        <f t="shared" si="2"/>
        <v/>
      </c>
    </row>
    <row r="95" spans="2:19" x14ac:dyDescent="0.45">
      <c r="B95" t="str">
        <f>IF(A95="","",IFERROR(VLOOKUP(A95,'SPED Student Roster'!$A:$B,2,FALSE),""))</f>
        <v/>
      </c>
      <c r="C95" t="str">
        <f>IF(A95="","",IFERROR(VLOOKUP(A95,'SPED Student Roster'!$A:$C,3,FALSE),""))</f>
        <v/>
      </c>
      <c r="D95" t="str">
        <f>IF(A95="","",IFERROR(VLOOKUP(A95,'SPED Student Roster'!$A:$D,4,FALSE),""))</f>
        <v/>
      </c>
      <c r="E95" t="str">
        <f>IF(A95="","",IFERROR(VLOOKUP(A95,'SPED Student Roster'!$A:$E,5,FALSE),""))</f>
        <v/>
      </c>
      <c r="S95" t="str">
        <f t="shared" si="2"/>
        <v/>
      </c>
    </row>
    <row r="96" spans="2:19" x14ac:dyDescent="0.45">
      <c r="B96" t="str">
        <f>IF(A96="","",IFERROR(VLOOKUP(A96,'SPED Student Roster'!$A:$B,2,FALSE),""))</f>
        <v/>
      </c>
      <c r="C96" t="str">
        <f>IF(A96="","",IFERROR(VLOOKUP(A96,'SPED Student Roster'!$A:$C,3,FALSE),""))</f>
        <v/>
      </c>
      <c r="D96" t="str">
        <f>IF(A96="","",IFERROR(VLOOKUP(A96,'SPED Student Roster'!$A:$D,4,FALSE),""))</f>
        <v/>
      </c>
      <c r="E96" t="str">
        <f>IF(A96="","",IFERROR(VLOOKUP(A96,'SPED Student Roster'!$A:$E,5,FALSE),""))</f>
        <v/>
      </c>
      <c r="S96" t="str">
        <f t="shared" si="2"/>
        <v/>
      </c>
    </row>
    <row r="97" spans="2:19" x14ac:dyDescent="0.45">
      <c r="B97" t="str">
        <f>IF(A97="","",IFERROR(VLOOKUP(A97,'SPED Student Roster'!$A:$B,2,FALSE),""))</f>
        <v/>
      </c>
      <c r="C97" t="str">
        <f>IF(A97="","",IFERROR(VLOOKUP(A97,'SPED Student Roster'!$A:$C,3,FALSE),""))</f>
        <v/>
      </c>
      <c r="D97" t="str">
        <f>IF(A97="","",IFERROR(VLOOKUP(A97,'SPED Student Roster'!$A:$D,4,FALSE),""))</f>
        <v/>
      </c>
      <c r="E97" t="str">
        <f>IF(A97="","",IFERROR(VLOOKUP(A97,'SPED Student Roster'!$A:$E,5,FALSE),""))</f>
        <v/>
      </c>
      <c r="S97" t="str">
        <f t="shared" si="2"/>
        <v/>
      </c>
    </row>
    <row r="98" spans="2:19" x14ac:dyDescent="0.45">
      <c r="B98" t="str">
        <f>IF(A98="","",IFERROR(VLOOKUP(A98,'SPED Student Roster'!$A:$B,2,FALSE),""))</f>
        <v/>
      </c>
      <c r="C98" t="str">
        <f>IF(A98="","",IFERROR(VLOOKUP(A98,'SPED Student Roster'!$A:$C,3,FALSE),""))</f>
        <v/>
      </c>
      <c r="D98" t="str">
        <f>IF(A98="","",IFERROR(VLOOKUP(A98,'SPED Student Roster'!$A:$D,4,FALSE),""))</f>
        <v/>
      </c>
      <c r="E98" t="str">
        <f>IF(A98="","",IFERROR(VLOOKUP(A98,'SPED Student Roster'!$A:$E,5,FALSE),""))</f>
        <v/>
      </c>
      <c r="S98" t="str">
        <f t="shared" si="2"/>
        <v/>
      </c>
    </row>
    <row r="99" spans="2:19" x14ac:dyDescent="0.45">
      <c r="B99" t="str">
        <f>IF(A99="","",IFERROR(VLOOKUP(A99,'SPED Student Roster'!$A:$B,2,FALSE),""))</f>
        <v/>
      </c>
      <c r="C99" t="str">
        <f>IF(A99="","",IFERROR(VLOOKUP(A99,'SPED Student Roster'!$A:$C,3,FALSE),""))</f>
        <v/>
      </c>
      <c r="D99" t="str">
        <f>IF(A99="","",IFERROR(VLOOKUP(A99,'SPED Student Roster'!$A:$D,4,FALSE),""))</f>
        <v/>
      </c>
      <c r="E99" t="str">
        <f>IF(A99="","",IFERROR(VLOOKUP(A99,'SPED Student Roster'!$A:$E,5,FALSE),""))</f>
        <v/>
      </c>
      <c r="S99" t="str">
        <f t="shared" si="2"/>
        <v/>
      </c>
    </row>
    <row r="100" spans="2:19" x14ac:dyDescent="0.45">
      <c r="B100" t="str">
        <f>IF(A100="","",IFERROR(VLOOKUP(A100,'SPED Student Roster'!$A:$B,2,FALSE),""))</f>
        <v/>
      </c>
      <c r="C100" t="str">
        <f>IF(A100="","",IFERROR(VLOOKUP(A100,'SPED Student Roster'!$A:$C,3,FALSE),""))</f>
        <v/>
      </c>
      <c r="D100" t="str">
        <f>IF(A100="","",IFERROR(VLOOKUP(A100,'SPED Student Roster'!$A:$D,4,FALSE),""))</f>
        <v/>
      </c>
      <c r="E100" t="str">
        <f>IF(A100="","",IFERROR(VLOOKUP(A100,'SPED Student Roster'!$A:$E,5,FALSE),""))</f>
        <v/>
      </c>
      <c r="S100" t="str">
        <f t="shared" si="2"/>
        <v/>
      </c>
    </row>
    <row r="101" spans="2:19" x14ac:dyDescent="0.45">
      <c r="B101" t="str">
        <f>IF(A101="","",IFERROR(VLOOKUP(A101,'SPED Student Roster'!$A:$B,2,FALSE),""))</f>
        <v/>
      </c>
      <c r="C101" t="str">
        <f>IF(A101="","",IFERROR(VLOOKUP(A101,'SPED Student Roster'!$A:$C,3,FALSE),""))</f>
        <v/>
      </c>
      <c r="D101" t="str">
        <f>IF(A101="","",IFERROR(VLOOKUP(A101,'SPED Student Roster'!$A:$D,4,FALSE),""))</f>
        <v/>
      </c>
      <c r="E101" t="str">
        <f>IF(A101="","",IFERROR(VLOOKUP(A101,'SPED Student Roster'!$A:$E,5,FALSE),""))</f>
        <v/>
      </c>
      <c r="S101" t="str">
        <f t="shared" si="2"/>
        <v/>
      </c>
    </row>
  </sheetData>
  <mergeCells count="3">
    <mergeCell ref="A3:S3"/>
    <mergeCell ref="A2:S2"/>
    <mergeCell ref="A1:S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entry" error="Please select from the dropdown list." xr:uid="{00000000-0002-0000-0600-000000000000}">
          <x14:formula1>
            <xm:f>Lists!$H$2:$H$4</xm:f>
          </x14:formula1>
          <xm:sqref>P5:P101 N5:N101 L5:L101 I5:I101 G5:G101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"/>
  <sheetViews>
    <sheetView zoomScaleNormal="100" workbookViewId="0"/>
  </sheetViews>
  <sheetFormatPr defaultRowHeight="15" customHeight="1" x14ac:dyDescent="0.45"/>
  <cols>
    <col min="1" max="1" width="43.33203125" customWidth="1"/>
    <col min="2" max="3" width="16.6640625" customWidth="1"/>
    <col min="4" max="12" width="20" customWidth="1"/>
  </cols>
  <sheetData>
    <row r="1" spans="1:12" x14ac:dyDescent="0.45">
      <c r="A1" s="4" t="s">
        <v>205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5">
      <c r="A2" s="4" t="str">
        <f ca="1">"Reflects data as of: "&amp;TEXT(TODAY(),"MM/DD/YYYY")</f>
        <v>Reflects data as of: 07/14/2026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4" spans="1:12" x14ac:dyDescent="0.45">
      <c r="A4" s="4" t="s">
        <v>206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45">
      <c r="A5" t="s">
        <v>207</v>
      </c>
      <c r="B5">
        <f>MAX(0,COUNTA('SPED Student Roster'!B:B)-2)</f>
        <v>4</v>
      </c>
    </row>
    <row r="6" spans="1:12" x14ac:dyDescent="0.45">
      <c r="A6" t="s">
        <v>208</v>
      </c>
      <c r="B6">
        <f>COUNTIF('IEP Tracker'!G:G,"Active")</f>
        <v>2</v>
      </c>
    </row>
    <row r="7" spans="1:12" x14ac:dyDescent="0.45">
      <c r="A7" t="s">
        <v>209</v>
      </c>
      <c r="B7">
        <f ca="1">COUNTIFS('IEP Tracker'!K:K,"&lt;="&amp;30,'IEP Tracker'!L:L,"&lt;&gt;Yes")</f>
        <v>3</v>
      </c>
    </row>
    <row r="8" spans="1:12" x14ac:dyDescent="0.45">
      <c r="A8" t="s">
        <v>210</v>
      </c>
      <c r="B8">
        <f ca="1">COUNTIFS('IEP Tracker'!J:J,"&lt;"&amp;TODAY(),'IEP Tracker'!L:L,"&lt;&gt;Yes")</f>
        <v>3</v>
      </c>
    </row>
    <row r="9" spans="1:12" x14ac:dyDescent="0.45">
      <c r="A9" t="s">
        <v>211</v>
      </c>
      <c r="B9">
        <f>COUNTIF('504 Plan Tracker'!G:G,"Active")</f>
        <v>1</v>
      </c>
    </row>
    <row r="10" spans="1:12" x14ac:dyDescent="0.45">
      <c r="A10" t="s">
        <v>212</v>
      </c>
      <c r="B10">
        <f ca="1">COUNTIFS('504 Plan Tracker'!K:K,"&lt;="&amp;30,'504 Plan Tracker'!L:L,"&lt;&gt;Yes")</f>
        <v>2</v>
      </c>
    </row>
    <row r="11" spans="1:12" x14ac:dyDescent="0.45">
      <c r="A11" t="s">
        <v>213</v>
      </c>
      <c r="B11">
        <f ca="1">COUNTIFS('504 Plan Tracker'!J:J,"&lt;"&amp;TODAY(),'504 Plan Tracker'!L:L,"&lt;&gt;Yes")</f>
        <v>2</v>
      </c>
    </row>
    <row r="12" spans="1:12" x14ac:dyDescent="0.45">
      <c r="A12" t="s">
        <v>214</v>
      </c>
      <c r="B12">
        <f>MAX(0,COUNTA('Dyslexia-HB 3928'!A:A)-3)</f>
        <v>2</v>
      </c>
    </row>
    <row r="13" spans="1:12" x14ac:dyDescent="0.45">
      <c r="A13" t="s">
        <v>215</v>
      </c>
      <c r="B13">
        <f>COUNTIF('Dyslexia-HB 3928'!H:H,"Pending Review")</f>
        <v>1</v>
      </c>
    </row>
    <row r="14" spans="1:12" x14ac:dyDescent="0.45">
      <c r="A14" t="s">
        <v>216</v>
      </c>
      <c r="B14">
        <f>COUNTIF('CAP Findings'!K:K,"Open")+COUNTIF('CAP Findings'!K:K,"In Progress")</f>
        <v>1</v>
      </c>
    </row>
    <row r="15" spans="1:12" x14ac:dyDescent="0.45">
      <c r="A15" t="s">
        <v>217</v>
      </c>
      <c r="B15">
        <f ca="1">COUNTIFS('CAP Findings'!G:G,"&lt;"&amp;TODAY(),'CAP Findings'!H:H,"")</f>
        <v>0</v>
      </c>
    </row>
    <row r="16" spans="1:12" x14ac:dyDescent="0.45">
      <c r="A16" t="s">
        <v>218</v>
      </c>
      <c r="B16">
        <f>COUNTIF('SPPI-13 Transition'!S:S,"✅ COMPLIANT")</f>
        <v>0</v>
      </c>
    </row>
    <row r="17" spans="1:12" x14ac:dyDescent="0.45">
      <c r="A17" t="s">
        <v>219</v>
      </c>
      <c r="B17">
        <f>COUNTIF('SPPI-13 Transition'!S:S,"❌ NOT COMPLIANT")</f>
        <v>0</v>
      </c>
    </row>
    <row r="19" spans="1:12" x14ac:dyDescent="0.45">
      <c r="A19" s="4" t="s">
        <v>220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45">
      <c r="A20" t="s">
        <v>51</v>
      </c>
      <c r="B20">
        <f>COUNTIF('SPED Student Roster'!F:F,"Eligible — Active IEP")</f>
        <v>4</v>
      </c>
    </row>
    <row r="21" spans="1:12" x14ac:dyDescent="0.45">
      <c r="A21" t="s">
        <v>221</v>
      </c>
      <c r="B21">
        <f>COUNTIF('SPED Student Roster'!F:F,"Referred — Evaluation Pending")</f>
        <v>0</v>
      </c>
    </row>
    <row r="22" spans="1:12" x14ac:dyDescent="0.45">
      <c r="A22" t="s">
        <v>222</v>
      </c>
      <c r="B22">
        <f>COUNTIF('SPED Student Roster'!F:F,"Exited SPED")</f>
        <v>0</v>
      </c>
    </row>
    <row r="23" spans="1:12" x14ac:dyDescent="0.45">
      <c r="A23" t="s">
        <v>223</v>
      </c>
      <c r="B23">
        <f>COUNTIF('SPED Student Roster'!F:F,"Not Eligible")</f>
        <v>0</v>
      </c>
    </row>
    <row r="24" spans="1:12" x14ac:dyDescent="0.45">
      <c r="A24" t="s">
        <v>70</v>
      </c>
      <c r="B24">
        <f>COUNTIF('SPED Student Roster'!F:F,"504 Only")</f>
        <v>1</v>
      </c>
    </row>
    <row r="25" spans="1:12" x14ac:dyDescent="0.45">
      <c r="A25" t="s">
        <v>224</v>
      </c>
      <c r="B25">
        <f>COUNTIF('SPED Student Roster'!F:F,"Dyslexia Only")</f>
        <v>0</v>
      </c>
    </row>
    <row r="27" spans="1:12" x14ac:dyDescent="0.45">
      <c r="A27" s="4" t="s">
        <v>225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45">
      <c r="A28" s="4" t="s">
        <v>226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45">
      <c r="A29" s="4" t="s">
        <v>227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45">
      <c r="A30" s="4" t="s">
        <v>228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2" spans="1:12" x14ac:dyDescent="0.45">
      <c r="A32" s="4" t="s">
        <v>229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mergeCells count="9">
    <mergeCell ref="A1:L1"/>
    <mergeCell ref="A28:L28"/>
    <mergeCell ref="A32:L32"/>
    <mergeCell ref="A27:L27"/>
    <mergeCell ref="A4:L4"/>
    <mergeCell ref="A30:L30"/>
    <mergeCell ref="A2:L2"/>
    <mergeCell ref="A29:L29"/>
    <mergeCell ref="A19:L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zoomScaleNormal="100" workbookViewId="0"/>
  </sheetViews>
  <sheetFormatPr defaultRowHeight="15" customHeight="1" x14ac:dyDescent="0.45"/>
  <cols>
    <col min="1" max="2" width="16.6640625" customWidth="1"/>
    <col min="3" max="3" width="23.33203125" customWidth="1"/>
    <col min="4" max="4" width="16.6640625" customWidth="1"/>
    <col min="5" max="5" width="25" customWidth="1"/>
    <col min="6" max="6" width="21.6640625" customWidth="1"/>
    <col min="7" max="7" width="20" customWidth="1"/>
    <col min="8" max="8" width="25" customWidth="1"/>
  </cols>
  <sheetData>
    <row r="1" spans="1:8" x14ac:dyDescent="0.45">
      <c r="A1" t="s">
        <v>230</v>
      </c>
    </row>
    <row r="2" spans="1:8" x14ac:dyDescent="0.45">
      <c r="A2" s="4" t="str">
        <f ca="1">"As of: "&amp;TEXT(TODAY(),"MMMM D, YYYY")</f>
        <v>As of: July 14, 2026</v>
      </c>
      <c r="B2" s="4"/>
      <c r="C2" s="4"/>
      <c r="D2" s="4"/>
      <c r="E2" s="4"/>
      <c r="F2" s="4"/>
      <c r="G2" s="4"/>
      <c r="H2" s="4"/>
    </row>
    <row r="3" spans="1:8" x14ac:dyDescent="0.45">
      <c r="A3" t="s">
        <v>231</v>
      </c>
    </row>
    <row r="5" spans="1:8" x14ac:dyDescent="0.45">
      <c r="A5" t="s">
        <v>232</v>
      </c>
    </row>
    <row r="6" spans="1:8" x14ac:dyDescent="0.45">
      <c r="A6" t="s">
        <v>88</v>
      </c>
      <c r="B6" t="s">
        <v>32</v>
      </c>
      <c r="C6" t="s">
        <v>33</v>
      </c>
      <c r="D6" t="s">
        <v>35</v>
      </c>
      <c r="E6" t="s">
        <v>36</v>
      </c>
      <c r="F6" t="s">
        <v>233</v>
      </c>
      <c r="G6" t="s">
        <v>234</v>
      </c>
      <c r="H6" t="s">
        <v>94</v>
      </c>
    </row>
    <row r="7" spans="1:8" x14ac:dyDescent="0.45">
      <c r="A7" t="str">
        <f ca="1">IF('IEP Tracker'!B4="","",IF(AND('IEP Tracker'!L4&lt;&gt;"Yes",'IEP Tracker'!J4-TODAY()&lt;=30),'IEP Tracker'!A4,""))</f>
        <v>IEP-001</v>
      </c>
      <c r="B7" t="str">
        <f ca="1">IF('IEP Tracker'!B4="","",IF(AND('IEP Tracker'!L4&lt;&gt;"Yes",'IEP Tracker'!J4-TODAY()&lt;=30),'IEP Tracker'!B4,""))</f>
        <v>MER-001</v>
      </c>
      <c r="C7" t="str">
        <f ca="1">IF('IEP Tracker'!B4="","",IF(AND('IEP Tracker'!L4&lt;&gt;"Yes",'IEP Tracker'!J4-TODAY()&lt;=30),'IEP Tracker'!C4,""))</f>
        <v>Alvarez</v>
      </c>
      <c r="D7" t="str">
        <f ca="1">IF('IEP Tracker'!B4="","",IF(AND('IEP Tracker'!L4&lt;&gt;"Yes",'IEP Tracker'!J4-TODAY()&lt;=30),'IEP Tracker'!D4,""))</f>
        <v>Elena</v>
      </c>
      <c r="E7" t="str">
        <f ca="1">IF('IEP Tracker'!B4="","",IF(AND('IEP Tracker'!L4&lt;&gt;"Yes",'IEP Tracker'!J4-TODAY()&lt;=30),'IEP Tracker'!E4,""))</f>
        <v>11th Grade</v>
      </c>
      <c r="F7">
        <f ca="1">IF('IEP Tracker'!B4="","",IF(AND('IEP Tracker'!L4&lt;&gt;"Yes",'IEP Tracker'!J4-TODAY()&lt;=30),'IEP Tracker'!J4,""))</f>
        <v>46097</v>
      </c>
      <c r="G7">
        <f ca="1">IF('IEP Tracker'!B4="","",IF(AND('IEP Tracker'!L4&lt;&gt;"Yes",'IEP Tracker'!J4-TODAY()&lt;=30),'IEP Tracker'!K4,""))</f>
        <v>-120</v>
      </c>
      <c r="H7" t="str">
        <f ca="1">IF('IEP Tracker'!B4="","",IF(AND('IEP Tracker'!L4&lt;&gt;"Yes",'IEP Tracker'!J4-TODAY()&lt;=30),'IEP Tracker'!H4,""))</f>
        <v>Ms. Garcia</v>
      </c>
    </row>
    <row r="8" spans="1:8" x14ac:dyDescent="0.45">
      <c r="A8" t="str">
        <f ca="1">IF('IEP Tracker'!B5="","",IF(AND('IEP Tracker'!L5&lt;&gt;"Yes",'IEP Tracker'!J5-TODAY()&lt;=30),'IEP Tracker'!A5,""))</f>
        <v/>
      </c>
      <c r="B8" t="str">
        <f ca="1">IF('IEP Tracker'!B5="","",IF(AND('IEP Tracker'!L5&lt;&gt;"Yes",'IEP Tracker'!J5-TODAY()&lt;=30),'IEP Tracker'!B5,""))</f>
        <v/>
      </c>
      <c r="C8" t="str">
        <f ca="1">IF('IEP Tracker'!B5="","",IF(AND('IEP Tracker'!L5&lt;&gt;"Yes",'IEP Tracker'!J5-TODAY()&lt;=30),'IEP Tracker'!C5,""))</f>
        <v/>
      </c>
      <c r="D8" t="str">
        <f ca="1">IF('IEP Tracker'!B5="","",IF(AND('IEP Tracker'!L5&lt;&gt;"Yes",'IEP Tracker'!J5-TODAY()&lt;=30),'IEP Tracker'!D5,""))</f>
        <v/>
      </c>
      <c r="E8" t="str">
        <f ca="1">IF('IEP Tracker'!B5="","",IF(AND('IEP Tracker'!L5&lt;&gt;"Yes",'IEP Tracker'!J5-TODAY()&lt;=30),'IEP Tracker'!E5,""))</f>
        <v/>
      </c>
      <c r="F8" t="str">
        <f ca="1">IF('IEP Tracker'!B5="","",IF(AND('IEP Tracker'!L5&lt;&gt;"Yes",'IEP Tracker'!J5-TODAY()&lt;=30),'IEP Tracker'!J5,""))</f>
        <v/>
      </c>
      <c r="G8" t="str">
        <f ca="1">IF('IEP Tracker'!B5="","",IF(AND('IEP Tracker'!L5&lt;&gt;"Yes",'IEP Tracker'!J5-TODAY()&lt;=30),'IEP Tracker'!K5,""))</f>
        <v/>
      </c>
      <c r="H8" t="str">
        <f ca="1">IF('IEP Tracker'!B5="","",IF(AND('IEP Tracker'!L5&lt;&gt;"Yes",'IEP Tracker'!J5-TODAY()&lt;=30),'IEP Tracker'!H5,""))</f>
        <v/>
      </c>
    </row>
    <row r="9" spans="1:8" x14ac:dyDescent="0.45">
      <c r="A9" t="str">
        <f ca="1">IF('IEP Tracker'!B6="","",IF(AND('IEP Tracker'!L6&lt;&gt;"Yes",'IEP Tracker'!J6-TODAY()&lt;=30),'IEP Tracker'!A6,""))</f>
        <v>IEP-003</v>
      </c>
      <c r="B9" t="str">
        <f ca="1">IF('IEP Tracker'!B6="","",IF(AND('IEP Tracker'!L6&lt;&gt;"Yes",'IEP Tracker'!J6-TODAY()&lt;=30),'IEP Tracker'!B6,""))</f>
        <v>MER-004</v>
      </c>
      <c r="C9" t="str">
        <f ca="1">IF('IEP Tracker'!B6="","",IF(AND('IEP Tracker'!L6&lt;&gt;"Yes",'IEP Tracker'!J6-TODAY()&lt;=30),'IEP Tracker'!C6,""))</f>
        <v>Washington</v>
      </c>
      <c r="D9" t="str">
        <f ca="1">IF('IEP Tracker'!B6="","",IF(AND('IEP Tracker'!L6&lt;&gt;"Yes",'IEP Tracker'!J6-TODAY()&lt;=30),'IEP Tracker'!D6,""))</f>
        <v>Darius</v>
      </c>
      <c r="E9" t="str">
        <f ca="1">IF('IEP Tracker'!B6="","",IF(AND('IEP Tracker'!L6&lt;&gt;"Yes",'IEP Tracker'!J6-TODAY()&lt;=30),'IEP Tracker'!E6,""))</f>
        <v>12th Grade</v>
      </c>
      <c r="F9">
        <f ca="1">IF('IEP Tracker'!B6="","",IF(AND('IEP Tracker'!L6&lt;&gt;"Yes",'IEP Tracker'!J6-TODAY()&lt;=30),'IEP Tracker'!J6,""))</f>
        <v>46144</v>
      </c>
      <c r="G9">
        <f ca="1">IF('IEP Tracker'!B6="","",IF(AND('IEP Tracker'!L6&lt;&gt;"Yes",'IEP Tracker'!J6-TODAY()&lt;=30),'IEP Tracker'!K6,""))</f>
        <v>-73</v>
      </c>
      <c r="H9" t="str">
        <f ca="1">IF('IEP Tracker'!B6="","",IF(AND('IEP Tracker'!L6&lt;&gt;"Yes",'IEP Tracker'!J6-TODAY()&lt;=30),'IEP Tracker'!H6,""))</f>
        <v>Ms. Rivera</v>
      </c>
    </row>
    <row r="10" spans="1:8" x14ac:dyDescent="0.45">
      <c r="A10" t="str">
        <f ca="1">IF('IEP Tracker'!B7="","",IF(AND('IEP Tracker'!L7&lt;&gt;"Yes",'IEP Tracker'!J7-TODAY()&lt;=30),'IEP Tracker'!A7,""))</f>
        <v>IEP-004</v>
      </c>
      <c r="B10" t="str">
        <f ca="1">IF('IEP Tracker'!B7="","",IF(AND('IEP Tracker'!L7&lt;&gt;"Yes",'IEP Tracker'!J7-TODAY()&lt;=30),'IEP Tracker'!B7,""))</f>
        <v>MER-005</v>
      </c>
      <c r="C10" t="str">
        <f ca="1">IF('IEP Tracker'!B7="","",IF(AND('IEP Tracker'!L7&lt;&gt;"Yes",'IEP Tracker'!J7-TODAY()&lt;=30),'IEP Tracker'!C7,""))</f>
        <v>Nguyen</v>
      </c>
      <c r="D10" t="str">
        <f ca="1">IF('IEP Tracker'!B7="","",IF(AND('IEP Tracker'!L7&lt;&gt;"Yes",'IEP Tracker'!J7-TODAY()&lt;=30),'IEP Tracker'!D7,""))</f>
        <v>Mai</v>
      </c>
      <c r="E10" t="str">
        <f ca="1">IF('IEP Tracker'!B7="","",IF(AND('IEP Tracker'!L7&lt;&gt;"Yes",'IEP Tracker'!J7-TODAY()&lt;=30),'IEP Tracker'!E7,""))</f>
        <v>9th Grade</v>
      </c>
      <c r="F10">
        <f ca="1">IF('IEP Tracker'!B7="","",IF(AND('IEP Tracker'!L7&lt;&gt;"Yes",'IEP Tracker'!J7-TODAY()&lt;=30),'IEP Tracker'!J7,""))</f>
        <v>46083</v>
      </c>
      <c r="G10">
        <f ca="1">IF('IEP Tracker'!B7="","",IF(AND('IEP Tracker'!L7&lt;&gt;"Yes",'IEP Tracker'!J7-TODAY()&lt;=30),'IEP Tracker'!K7,""))</f>
        <v>-134</v>
      </c>
      <c r="H10" t="str">
        <f ca="1">IF('IEP Tracker'!B7="","",IF(AND('IEP Tracker'!L7&lt;&gt;"Yes",'IEP Tracker'!J7-TODAY()&lt;=30),'IEP Tracker'!H7,""))</f>
        <v>Ms. Garcia</v>
      </c>
    </row>
    <row r="11" spans="1:8" x14ac:dyDescent="0.45">
      <c r="A11" t="str">
        <f ca="1">IF('IEP Tracker'!B8="","",IF(AND('IEP Tracker'!L8&lt;&gt;"Yes",'IEP Tracker'!J8-TODAY()&lt;=30),'IEP Tracker'!A8,""))</f>
        <v/>
      </c>
      <c r="B11" t="str">
        <f ca="1">IF('IEP Tracker'!B8="","",IF(AND('IEP Tracker'!L8&lt;&gt;"Yes",'IEP Tracker'!J8-TODAY()&lt;=30),'IEP Tracker'!B8,""))</f>
        <v/>
      </c>
      <c r="C11" t="str">
        <f ca="1">IF('IEP Tracker'!B8="","",IF(AND('IEP Tracker'!L8&lt;&gt;"Yes",'IEP Tracker'!J8-TODAY()&lt;=30),'IEP Tracker'!C8,""))</f>
        <v/>
      </c>
      <c r="D11" t="str">
        <f ca="1">IF('IEP Tracker'!B8="","",IF(AND('IEP Tracker'!L8&lt;&gt;"Yes",'IEP Tracker'!J8-TODAY()&lt;=30),'IEP Tracker'!D8,""))</f>
        <v/>
      </c>
      <c r="E11" t="str">
        <f ca="1">IF('IEP Tracker'!B8="","",IF(AND('IEP Tracker'!L8&lt;&gt;"Yes",'IEP Tracker'!J8-TODAY()&lt;=30),'IEP Tracker'!E8,""))</f>
        <v/>
      </c>
      <c r="F11" t="str">
        <f ca="1">IF('IEP Tracker'!B8="","",IF(AND('IEP Tracker'!L8&lt;&gt;"Yes",'IEP Tracker'!J8-TODAY()&lt;=30),'IEP Tracker'!J8,""))</f>
        <v/>
      </c>
      <c r="G11" t="str">
        <f ca="1">IF('IEP Tracker'!B8="","",IF(AND('IEP Tracker'!L8&lt;&gt;"Yes",'IEP Tracker'!J8-TODAY()&lt;=30),'IEP Tracker'!K8,""))</f>
        <v/>
      </c>
      <c r="H11" t="str">
        <f ca="1">IF('IEP Tracker'!B8="","",IF(AND('IEP Tracker'!L8&lt;&gt;"Yes",'IEP Tracker'!J8-TODAY()&lt;=30),'IEP Tracker'!H8,""))</f>
        <v/>
      </c>
    </row>
    <row r="12" spans="1:8" x14ac:dyDescent="0.45">
      <c r="A12" t="str">
        <f ca="1">IF('IEP Tracker'!B9="","",IF(AND('IEP Tracker'!L9&lt;&gt;"Yes",'IEP Tracker'!J9-TODAY()&lt;=30),'IEP Tracker'!A9,""))</f>
        <v/>
      </c>
      <c r="B12" t="str">
        <f ca="1">IF('IEP Tracker'!B9="","",IF(AND('IEP Tracker'!L9&lt;&gt;"Yes",'IEP Tracker'!J9-TODAY()&lt;=30),'IEP Tracker'!B9,""))</f>
        <v/>
      </c>
      <c r="C12" t="str">
        <f ca="1">IF('IEP Tracker'!B9="","",IF(AND('IEP Tracker'!L9&lt;&gt;"Yes",'IEP Tracker'!J9-TODAY()&lt;=30),'IEP Tracker'!C9,""))</f>
        <v/>
      </c>
      <c r="D12" t="str">
        <f ca="1">IF('IEP Tracker'!B9="","",IF(AND('IEP Tracker'!L9&lt;&gt;"Yes",'IEP Tracker'!J9-TODAY()&lt;=30),'IEP Tracker'!D9,""))</f>
        <v/>
      </c>
      <c r="E12" t="str">
        <f ca="1">IF('IEP Tracker'!B9="","",IF(AND('IEP Tracker'!L9&lt;&gt;"Yes",'IEP Tracker'!J9-TODAY()&lt;=30),'IEP Tracker'!E9,""))</f>
        <v/>
      </c>
      <c r="F12" t="str">
        <f ca="1">IF('IEP Tracker'!B9="","",IF(AND('IEP Tracker'!L9&lt;&gt;"Yes",'IEP Tracker'!J9-TODAY()&lt;=30),'IEP Tracker'!J9,""))</f>
        <v/>
      </c>
      <c r="G12" t="str">
        <f ca="1">IF('IEP Tracker'!B9="","",IF(AND('IEP Tracker'!L9&lt;&gt;"Yes",'IEP Tracker'!J9-TODAY()&lt;=30),'IEP Tracker'!K9,""))</f>
        <v/>
      </c>
      <c r="H12" t="str">
        <f ca="1">IF('IEP Tracker'!B9="","",IF(AND('IEP Tracker'!L9&lt;&gt;"Yes",'IEP Tracker'!J9-TODAY()&lt;=30),'IEP Tracker'!H9,""))</f>
        <v/>
      </c>
    </row>
    <row r="13" spans="1:8" x14ac:dyDescent="0.45">
      <c r="A13" t="str">
        <f ca="1">IF('IEP Tracker'!B10="","",IF(AND('IEP Tracker'!L10&lt;&gt;"Yes",'IEP Tracker'!J10-TODAY()&lt;=30),'IEP Tracker'!A10,""))</f>
        <v/>
      </c>
      <c r="B13" t="str">
        <f ca="1">IF('IEP Tracker'!B10="","",IF(AND('IEP Tracker'!L10&lt;&gt;"Yes",'IEP Tracker'!J10-TODAY()&lt;=30),'IEP Tracker'!B10,""))</f>
        <v/>
      </c>
      <c r="C13" t="str">
        <f ca="1">IF('IEP Tracker'!B10="","",IF(AND('IEP Tracker'!L10&lt;&gt;"Yes",'IEP Tracker'!J10-TODAY()&lt;=30),'IEP Tracker'!C10,""))</f>
        <v/>
      </c>
      <c r="D13" t="str">
        <f ca="1">IF('IEP Tracker'!B10="","",IF(AND('IEP Tracker'!L10&lt;&gt;"Yes",'IEP Tracker'!J10-TODAY()&lt;=30),'IEP Tracker'!D10,""))</f>
        <v/>
      </c>
      <c r="E13" t="str">
        <f ca="1">IF('IEP Tracker'!B10="","",IF(AND('IEP Tracker'!L10&lt;&gt;"Yes",'IEP Tracker'!J10-TODAY()&lt;=30),'IEP Tracker'!E10,""))</f>
        <v/>
      </c>
      <c r="F13" t="str">
        <f ca="1">IF('IEP Tracker'!B10="","",IF(AND('IEP Tracker'!L10&lt;&gt;"Yes",'IEP Tracker'!J10-TODAY()&lt;=30),'IEP Tracker'!J10,""))</f>
        <v/>
      </c>
      <c r="G13" t="str">
        <f ca="1">IF('IEP Tracker'!B10="","",IF(AND('IEP Tracker'!L10&lt;&gt;"Yes",'IEP Tracker'!J10-TODAY()&lt;=30),'IEP Tracker'!K10,""))</f>
        <v/>
      </c>
      <c r="H13" t="str">
        <f ca="1">IF('IEP Tracker'!B10="","",IF(AND('IEP Tracker'!L10&lt;&gt;"Yes",'IEP Tracker'!J10-TODAY()&lt;=30),'IEP Tracker'!H10,""))</f>
        <v/>
      </c>
    </row>
    <row r="14" spans="1:8" x14ac:dyDescent="0.45">
      <c r="A14" t="str">
        <f ca="1">IF('IEP Tracker'!B11="","",IF(AND('IEP Tracker'!L11&lt;&gt;"Yes",'IEP Tracker'!J11-TODAY()&lt;=30),'IEP Tracker'!A11,""))</f>
        <v/>
      </c>
      <c r="B14" t="str">
        <f ca="1">IF('IEP Tracker'!B11="","",IF(AND('IEP Tracker'!L11&lt;&gt;"Yes",'IEP Tracker'!J11-TODAY()&lt;=30),'IEP Tracker'!B11,""))</f>
        <v/>
      </c>
      <c r="C14" t="str">
        <f ca="1">IF('IEP Tracker'!B11="","",IF(AND('IEP Tracker'!L11&lt;&gt;"Yes",'IEP Tracker'!J11-TODAY()&lt;=30),'IEP Tracker'!C11,""))</f>
        <v/>
      </c>
      <c r="D14" t="str">
        <f ca="1">IF('IEP Tracker'!B11="","",IF(AND('IEP Tracker'!L11&lt;&gt;"Yes",'IEP Tracker'!J11-TODAY()&lt;=30),'IEP Tracker'!D11,""))</f>
        <v/>
      </c>
      <c r="E14" t="str">
        <f ca="1">IF('IEP Tracker'!B11="","",IF(AND('IEP Tracker'!L11&lt;&gt;"Yes",'IEP Tracker'!J11-TODAY()&lt;=30),'IEP Tracker'!E11,""))</f>
        <v/>
      </c>
      <c r="F14" t="str">
        <f ca="1">IF('IEP Tracker'!B11="","",IF(AND('IEP Tracker'!L11&lt;&gt;"Yes",'IEP Tracker'!J11-TODAY()&lt;=30),'IEP Tracker'!J11,""))</f>
        <v/>
      </c>
      <c r="G14" t="str">
        <f ca="1">IF('IEP Tracker'!B11="","",IF(AND('IEP Tracker'!L11&lt;&gt;"Yes",'IEP Tracker'!J11-TODAY()&lt;=30),'IEP Tracker'!K11,""))</f>
        <v/>
      </c>
      <c r="H14" t="str">
        <f ca="1">IF('IEP Tracker'!B11="","",IF(AND('IEP Tracker'!L11&lt;&gt;"Yes",'IEP Tracker'!J11-TODAY()&lt;=30),'IEP Tracker'!H11,""))</f>
        <v/>
      </c>
    </row>
    <row r="15" spans="1:8" x14ac:dyDescent="0.45">
      <c r="A15" t="str">
        <f ca="1">IF('IEP Tracker'!B12="","",IF(AND('IEP Tracker'!L12&lt;&gt;"Yes",'IEP Tracker'!J12-TODAY()&lt;=30),'IEP Tracker'!A12,""))</f>
        <v/>
      </c>
      <c r="B15" t="str">
        <f ca="1">IF('IEP Tracker'!B12="","",IF(AND('IEP Tracker'!L12&lt;&gt;"Yes",'IEP Tracker'!J12-TODAY()&lt;=30),'IEP Tracker'!B12,""))</f>
        <v/>
      </c>
      <c r="C15" t="str">
        <f ca="1">IF('IEP Tracker'!B12="","",IF(AND('IEP Tracker'!L12&lt;&gt;"Yes",'IEP Tracker'!J12-TODAY()&lt;=30),'IEP Tracker'!C12,""))</f>
        <v/>
      </c>
      <c r="D15" t="str">
        <f ca="1">IF('IEP Tracker'!B12="","",IF(AND('IEP Tracker'!L12&lt;&gt;"Yes",'IEP Tracker'!J12-TODAY()&lt;=30),'IEP Tracker'!D12,""))</f>
        <v/>
      </c>
      <c r="E15" t="str">
        <f ca="1">IF('IEP Tracker'!B12="","",IF(AND('IEP Tracker'!L12&lt;&gt;"Yes",'IEP Tracker'!J12-TODAY()&lt;=30),'IEP Tracker'!E12,""))</f>
        <v/>
      </c>
      <c r="F15" t="str">
        <f ca="1">IF('IEP Tracker'!B12="","",IF(AND('IEP Tracker'!L12&lt;&gt;"Yes",'IEP Tracker'!J12-TODAY()&lt;=30),'IEP Tracker'!J12,""))</f>
        <v/>
      </c>
      <c r="G15" t="str">
        <f ca="1">IF('IEP Tracker'!B12="","",IF(AND('IEP Tracker'!L12&lt;&gt;"Yes",'IEP Tracker'!J12-TODAY()&lt;=30),'IEP Tracker'!K12,""))</f>
        <v/>
      </c>
      <c r="H15" t="str">
        <f ca="1">IF('IEP Tracker'!B12="","",IF(AND('IEP Tracker'!L12&lt;&gt;"Yes",'IEP Tracker'!J12-TODAY()&lt;=30),'IEP Tracker'!H12,""))</f>
        <v/>
      </c>
    </row>
    <row r="16" spans="1:8" x14ac:dyDescent="0.45">
      <c r="A16" t="str">
        <f ca="1">IF('IEP Tracker'!B13="","",IF(AND('IEP Tracker'!L13&lt;&gt;"Yes",'IEP Tracker'!J13-TODAY()&lt;=30),'IEP Tracker'!A13,""))</f>
        <v/>
      </c>
      <c r="B16" t="str">
        <f ca="1">IF('IEP Tracker'!B13="","",IF(AND('IEP Tracker'!L13&lt;&gt;"Yes",'IEP Tracker'!J13-TODAY()&lt;=30),'IEP Tracker'!B13,""))</f>
        <v/>
      </c>
      <c r="C16" t="str">
        <f ca="1">IF('IEP Tracker'!B13="","",IF(AND('IEP Tracker'!L13&lt;&gt;"Yes",'IEP Tracker'!J13-TODAY()&lt;=30),'IEP Tracker'!C13,""))</f>
        <v/>
      </c>
      <c r="D16" t="str">
        <f ca="1">IF('IEP Tracker'!B13="","",IF(AND('IEP Tracker'!L13&lt;&gt;"Yes",'IEP Tracker'!J13-TODAY()&lt;=30),'IEP Tracker'!D13,""))</f>
        <v/>
      </c>
      <c r="E16" t="str">
        <f ca="1">IF('IEP Tracker'!B13="","",IF(AND('IEP Tracker'!L13&lt;&gt;"Yes",'IEP Tracker'!J13-TODAY()&lt;=30),'IEP Tracker'!E13,""))</f>
        <v/>
      </c>
      <c r="F16" t="str">
        <f ca="1">IF('IEP Tracker'!B13="","",IF(AND('IEP Tracker'!L13&lt;&gt;"Yes",'IEP Tracker'!J13-TODAY()&lt;=30),'IEP Tracker'!J13,""))</f>
        <v/>
      </c>
      <c r="G16" t="str">
        <f ca="1">IF('IEP Tracker'!B13="","",IF(AND('IEP Tracker'!L13&lt;&gt;"Yes",'IEP Tracker'!J13-TODAY()&lt;=30),'IEP Tracker'!K13,""))</f>
        <v/>
      </c>
      <c r="H16" t="str">
        <f ca="1">IF('IEP Tracker'!B13="","",IF(AND('IEP Tracker'!L13&lt;&gt;"Yes",'IEP Tracker'!J13-TODAY()&lt;=30),'IEP Tracker'!H13,""))</f>
        <v/>
      </c>
    </row>
    <row r="17" spans="1:8" x14ac:dyDescent="0.45">
      <c r="A17" t="str">
        <f ca="1">IF('IEP Tracker'!B14="","",IF(AND('IEP Tracker'!L14&lt;&gt;"Yes",'IEP Tracker'!J14-TODAY()&lt;=30),'IEP Tracker'!A14,""))</f>
        <v/>
      </c>
      <c r="B17" t="str">
        <f ca="1">IF('IEP Tracker'!B14="","",IF(AND('IEP Tracker'!L14&lt;&gt;"Yes",'IEP Tracker'!J14-TODAY()&lt;=30),'IEP Tracker'!B14,""))</f>
        <v/>
      </c>
      <c r="C17" t="str">
        <f ca="1">IF('IEP Tracker'!B14="","",IF(AND('IEP Tracker'!L14&lt;&gt;"Yes",'IEP Tracker'!J14-TODAY()&lt;=30),'IEP Tracker'!C14,""))</f>
        <v/>
      </c>
      <c r="D17" t="str">
        <f ca="1">IF('IEP Tracker'!B14="","",IF(AND('IEP Tracker'!L14&lt;&gt;"Yes",'IEP Tracker'!J14-TODAY()&lt;=30),'IEP Tracker'!D14,""))</f>
        <v/>
      </c>
      <c r="E17" t="str">
        <f ca="1">IF('IEP Tracker'!B14="","",IF(AND('IEP Tracker'!L14&lt;&gt;"Yes",'IEP Tracker'!J14-TODAY()&lt;=30),'IEP Tracker'!E14,""))</f>
        <v/>
      </c>
      <c r="F17" t="str">
        <f ca="1">IF('IEP Tracker'!B14="","",IF(AND('IEP Tracker'!L14&lt;&gt;"Yes",'IEP Tracker'!J14-TODAY()&lt;=30),'IEP Tracker'!J14,""))</f>
        <v/>
      </c>
      <c r="G17" t="str">
        <f ca="1">IF('IEP Tracker'!B14="","",IF(AND('IEP Tracker'!L14&lt;&gt;"Yes",'IEP Tracker'!J14-TODAY()&lt;=30),'IEP Tracker'!K14,""))</f>
        <v/>
      </c>
      <c r="H17" t="str">
        <f ca="1">IF('IEP Tracker'!B14="","",IF(AND('IEP Tracker'!L14&lt;&gt;"Yes",'IEP Tracker'!J14-TODAY()&lt;=30),'IEP Tracker'!H14,""))</f>
        <v/>
      </c>
    </row>
    <row r="18" spans="1:8" x14ac:dyDescent="0.45">
      <c r="A18" t="str">
        <f ca="1">IF('IEP Tracker'!B15="","",IF(AND('IEP Tracker'!L15&lt;&gt;"Yes",'IEP Tracker'!J15-TODAY()&lt;=30),'IEP Tracker'!A15,""))</f>
        <v/>
      </c>
      <c r="B18" t="str">
        <f ca="1">IF('IEP Tracker'!B15="","",IF(AND('IEP Tracker'!L15&lt;&gt;"Yes",'IEP Tracker'!J15-TODAY()&lt;=30),'IEP Tracker'!B15,""))</f>
        <v/>
      </c>
      <c r="C18" t="str">
        <f ca="1">IF('IEP Tracker'!B15="","",IF(AND('IEP Tracker'!L15&lt;&gt;"Yes",'IEP Tracker'!J15-TODAY()&lt;=30),'IEP Tracker'!C15,""))</f>
        <v/>
      </c>
      <c r="D18" t="str">
        <f ca="1">IF('IEP Tracker'!B15="","",IF(AND('IEP Tracker'!L15&lt;&gt;"Yes",'IEP Tracker'!J15-TODAY()&lt;=30),'IEP Tracker'!D15,""))</f>
        <v/>
      </c>
      <c r="E18" t="str">
        <f ca="1">IF('IEP Tracker'!B15="","",IF(AND('IEP Tracker'!L15&lt;&gt;"Yes",'IEP Tracker'!J15-TODAY()&lt;=30),'IEP Tracker'!E15,""))</f>
        <v/>
      </c>
      <c r="F18" t="str">
        <f ca="1">IF('IEP Tracker'!B15="","",IF(AND('IEP Tracker'!L15&lt;&gt;"Yes",'IEP Tracker'!J15-TODAY()&lt;=30),'IEP Tracker'!J15,""))</f>
        <v/>
      </c>
      <c r="G18" t="str">
        <f ca="1">IF('IEP Tracker'!B15="","",IF(AND('IEP Tracker'!L15&lt;&gt;"Yes",'IEP Tracker'!J15-TODAY()&lt;=30),'IEP Tracker'!K15,""))</f>
        <v/>
      </c>
      <c r="H18" t="str">
        <f ca="1">IF('IEP Tracker'!B15="","",IF(AND('IEP Tracker'!L15&lt;&gt;"Yes",'IEP Tracker'!J15-TODAY()&lt;=30),'IEP Tracker'!H15,""))</f>
        <v/>
      </c>
    </row>
    <row r="19" spans="1:8" x14ac:dyDescent="0.45">
      <c r="A19" t="str">
        <f ca="1">IF('IEP Tracker'!B16="","",IF(AND('IEP Tracker'!L16&lt;&gt;"Yes",'IEP Tracker'!J16-TODAY()&lt;=30),'IEP Tracker'!A16,""))</f>
        <v/>
      </c>
      <c r="B19" t="str">
        <f ca="1">IF('IEP Tracker'!B16="","",IF(AND('IEP Tracker'!L16&lt;&gt;"Yes",'IEP Tracker'!J16-TODAY()&lt;=30),'IEP Tracker'!B16,""))</f>
        <v/>
      </c>
      <c r="C19" t="str">
        <f ca="1">IF('IEP Tracker'!B16="","",IF(AND('IEP Tracker'!L16&lt;&gt;"Yes",'IEP Tracker'!J16-TODAY()&lt;=30),'IEP Tracker'!C16,""))</f>
        <v/>
      </c>
      <c r="D19" t="str">
        <f ca="1">IF('IEP Tracker'!B16="","",IF(AND('IEP Tracker'!L16&lt;&gt;"Yes",'IEP Tracker'!J16-TODAY()&lt;=30),'IEP Tracker'!D16,""))</f>
        <v/>
      </c>
      <c r="E19" t="str">
        <f ca="1">IF('IEP Tracker'!B16="","",IF(AND('IEP Tracker'!L16&lt;&gt;"Yes",'IEP Tracker'!J16-TODAY()&lt;=30),'IEP Tracker'!E16,""))</f>
        <v/>
      </c>
      <c r="F19" t="str">
        <f ca="1">IF('IEP Tracker'!B16="","",IF(AND('IEP Tracker'!L16&lt;&gt;"Yes",'IEP Tracker'!J16-TODAY()&lt;=30),'IEP Tracker'!J16,""))</f>
        <v/>
      </c>
      <c r="G19" t="str">
        <f ca="1">IF('IEP Tracker'!B16="","",IF(AND('IEP Tracker'!L16&lt;&gt;"Yes",'IEP Tracker'!J16-TODAY()&lt;=30),'IEP Tracker'!K16,""))</f>
        <v/>
      </c>
      <c r="H19" t="str">
        <f ca="1">IF('IEP Tracker'!B16="","",IF(AND('IEP Tracker'!L16&lt;&gt;"Yes",'IEP Tracker'!J16-TODAY()&lt;=30),'IEP Tracker'!H16,""))</f>
        <v/>
      </c>
    </row>
    <row r="20" spans="1:8" x14ac:dyDescent="0.45">
      <c r="A20" t="str">
        <f ca="1">IF('IEP Tracker'!B17="","",IF(AND('IEP Tracker'!L17&lt;&gt;"Yes",'IEP Tracker'!J17-TODAY()&lt;=30),'IEP Tracker'!A17,""))</f>
        <v/>
      </c>
      <c r="B20" t="str">
        <f ca="1">IF('IEP Tracker'!B17="","",IF(AND('IEP Tracker'!L17&lt;&gt;"Yes",'IEP Tracker'!J17-TODAY()&lt;=30),'IEP Tracker'!B17,""))</f>
        <v/>
      </c>
      <c r="C20" t="str">
        <f ca="1">IF('IEP Tracker'!B17="","",IF(AND('IEP Tracker'!L17&lt;&gt;"Yes",'IEP Tracker'!J17-TODAY()&lt;=30),'IEP Tracker'!C17,""))</f>
        <v/>
      </c>
      <c r="D20" t="str">
        <f ca="1">IF('IEP Tracker'!B17="","",IF(AND('IEP Tracker'!L17&lt;&gt;"Yes",'IEP Tracker'!J17-TODAY()&lt;=30),'IEP Tracker'!D17,""))</f>
        <v/>
      </c>
      <c r="E20" t="str">
        <f ca="1">IF('IEP Tracker'!B17="","",IF(AND('IEP Tracker'!L17&lt;&gt;"Yes",'IEP Tracker'!J17-TODAY()&lt;=30),'IEP Tracker'!E17,""))</f>
        <v/>
      </c>
      <c r="F20" t="str">
        <f ca="1">IF('IEP Tracker'!B17="","",IF(AND('IEP Tracker'!L17&lt;&gt;"Yes",'IEP Tracker'!J17-TODAY()&lt;=30),'IEP Tracker'!J17,""))</f>
        <v/>
      </c>
      <c r="G20" t="str">
        <f ca="1">IF('IEP Tracker'!B17="","",IF(AND('IEP Tracker'!L17&lt;&gt;"Yes",'IEP Tracker'!J17-TODAY()&lt;=30),'IEP Tracker'!K17,""))</f>
        <v/>
      </c>
      <c r="H20" t="str">
        <f ca="1">IF('IEP Tracker'!B17="","",IF(AND('IEP Tracker'!L17&lt;&gt;"Yes",'IEP Tracker'!J17-TODAY()&lt;=30),'IEP Tracker'!H17,""))</f>
        <v/>
      </c>
    </row>
    <row r="21" spans="1:8" x14ac:dyDescent="0.45">
      <c r="A21" t="str">
        <f ca="1">IF('IEP Tracker'!B18="","",IF(AND('IEP Tracker'!L18&lt;&gt;"Yes",'IEP Tracker'!J18-TODAY()&lt;=30),'IEP Tracker'!A18,""))</f>
        <v/>
      </c>
      <c r="B21" t="str">
        <f ca="1">IF('IEP Tracker'!B18="","",IF(AND('IEP Tracker'!L18&lt;&gt;"Yes",'IEP Tracker'!J18-TODAY()&lt;=30),'IEP Tracker'!B18,""))</f>
        <v/>
      </c>
      <c r="C21" t="str">
        <f ca="1">IF('IEP Tracker'!B18="","",IF(AND('IEP Tracker'!L18&lt;&gt;"Yes",'IEP Tracker'!J18-TODAY()&lt;=30),'IEP Tracker'!C18,""))</f>
        <v/>
      </c>
      <c r="D21" t="str">
        <f ca="1">IF('IEP Tracker'!B18="","",IF(AND('IEP Tracker'!L18&lt;&gt;"Yes",'IEP Tracker'!J18-TODAY()&lt;=30),'IEP Tracker'!D18,""))</f>
        <v/>
      </c>
      <c r="E21" t="str">
        <f ca="1">IF('IEP Tracker'!B18="","",IF(AND('IEP Tracker'!L18&lt;&gt;"Yes",'IEP Tracker'!J18-TODAY()&lt;=30),'IEP Tracker'!E18,""))</f>
        <v/>
      </c>
      <c r="F21" t="str">
        <f ca="1">IF('IEP Tracker'!B18="","",IF(AND('IEP Tracker'!L18&lt;&gt;"Yes",'IEP Tracker'!J18-TODAY()&lt;=30),'IEP Tracker'!J18,""))</f>
        <v/>
      </c>
      <c r="G21" t="str">
        <f ca="1">IF('IEP Tracker'!B18="","",IF(AND('IEP Tracker'!L18&lt;&gt;"Yes",'IEP Tracker'!J18-TODAY()&lt;=30),'IEP Tracker'!K18,""))</f>
        <v/>
      </c>
      <c r="H21" t="str">
        <f ca="1">IF('IEP Tracker'!B18="","",IF(AND('IEP Tracker'!L18&lt;&gt;"Yes",'IEP Tracker'!J18-TODAY()&lt;=30),'IEP Tracker'!H18,""))</f>
        <v/>
      </c>
    </row>
    <row r="23" spans="1:8" x14ac:dyDescent="0.45">
      <c r="A23" t="s">
        <v>235</v>
      </c>
    </row>
    <row r="24" spans="1:8" x14ac:dyDescent="0.45">
      <c r="A24" t="s">
        <v>119</v>
      </c>
      <c r="B24" t="s">
        <v>32</v>
      </c>
      <c r="C24" t="s">
        <v>33</v>
      </c>
      <c r="D24" t="s">
        <v>35</v>
      </c>
      <c r="E24" t="s">
        <v>36</v>
      </c>
      <c r="F24" t="s">
        <v>233</v>
      </c>
      <c r="G24" t="s">
        <v>234</v>
      </c>
      <c r="H24" t="s">
        <v>94</v>
      </c>
    </row>
    <row r="25" spans="1:8" x14ac:dyDescent="0.45">
      <c r="A25" t="str">
        <f ca="1">IF('504 Plan Tracker'!B4="","",IF(AND('504 Plan Tracker'!L4&lt;&gt;"Yes",'504 Plan Tracker'!J4-TODAY()&lt;=30),'504 Plan Tracker'!A4,""))</f>
        <v>504-001</v>
      </c>
      <c r="B25" t="str">
        <f ca="1">IF('504 Plan Tracker'!B4="","",IF(AND('504 Plan Tracker'!L4&lt;&gt;"Yes",'504 Plan Tracker'!J4-TODAY()&lt;=30),'504 Plan Tracker'!B4,""))</f>
        <v>MER-003</v>
      </c>
      <c r="C25" t="str">
        <f ca="1">IF('504 Plan Tracker'!B4="","",IF(AND('504 Plan Tracker'!L4&lt;&gt;"Yes",'504 Plan Tracker'!J4-TODAY()&lt;=30),'504 Plan Tracker'!C4,""))</f>
        <v>Kim</v>
      </c>
      <c r="D25" t="str">
        <f ca="1">IF('504 Plan Tracker'!B4="","",IF(AND('504 Plan Tracker'!L4&lt;&gt;"Yes",'504 Plan Tracker'!J4-TODAY()&lt;=30),'504 Plan Tracker'!D4,""))</f>
        <v>Sarah</v>
      </c>
      <c r="E25" t="str">
        <f ca="1">IF('504 Plan Tracker'!B4="","",IF(AND('504 Plan Tracker'!L4&lt;&gt;"Yes",'504 Plan Tracker'!J4-TODAY()&lt;=30),'504 Plan Tracker'!E4,""))</f>
        <v>6th Grade</v>
      </c>
      <c r="F25" t="str">
        <f ca="1">IF('504 Plan Tracker'!B4="","",IF(AND('504 Plan Tracker'!L4&lt;&gt;"Yes",'504 Plan Tracker'!J4-TODAY()&lt;=30),'504 Plan Tracker'!F4,""))</f>
        <v>Jefferson Middle</v>
      </c>
      <c r="G25">
        <f ca="1">IF('504 Plan Tracker'!B4="","",IF(AND('504 Plan Tracker'!L4&lt;&gt;"Yes",'504 Plan Tracker'!J4-TODAY()&lt;=30),'504 Plan Tracker'!K4,""))</f>
        <v>-148</v>
      </c>
      <c r="H25" t="str">
        <f ca="1">IF('504 Plan Tracker'!B4="","",IF(AND('504 Plan Tracker'!L4&lt;&gt;"Yes",'504 Plan Tracker'!J4-TODAY()&lt;=30),'504 Plan Tracker'!H4,""))</f>
        <v>Mr. Kim</v>
      </c>
    </row>
    <row r="26" spans="1:8" x14ac:dyDescent="0.45">
      <c r="A26" t="str">
        <f ca="1">IF('504 Plan Tracker'!B5="","",IF(AND('504 Plan Tracker'!L5&lt;&gt;"Yes",'504 Plan Tracker'!J5-TODAY()&lt;=30),'504 Plan Tracker'!A5,""))</f>
        <v>504-002</v>
      </c>
      <c r="B26" t="str">
        <f ca="1">IF('504 Plan Tracker'!B5="","",IF(AND('504 Plan Tracker'!L5&lt;&gt;"Yes",'504 Plan Tracker'!J5-TODAY()&lt;=30),'504 Plan Tracker'!B5,""))</f>
        <v>MER-005</v>
      </c>
      <c r="C26" t="str">
        <f ca="1">IF('504 Plan Tracker'!B5="","",IF(AND('504 Plan Tracker'!L5&lt;&gt;"Yes",'504 Plan Tracker'!J5-TODAY()&lt;=30),'504 Plan Tracker'!C5,""))</f>
        <v>Nguyen</v>
      </c>
      <c r="D26" t="str">
        <f ca="1">IF('504 Plan Tracker'!B5="","",IF(AND('504 Plan Tracker'!L5&lt;&gt;"Yes",'504 Plan Tracker'!J5-TODAY()&lt;=30),'504 Plan Tracker'!D5,""))</f>
        <v>Mai</v>
      </c>
      <c r="E26" t="str">
        <f ca="1">IF('504 Plan Tracker'!B5="","",IF(AND('504 Plan Tracker'!L5&lt;&gt;"Yes",'504 Plan Tracker'!J5-TODAY()&lt;=30),'504 Plan Tracker'!E5,""))</f>
        <v>9th Grade</v>
      </c>
      <c r="F26" t="str">
        <f ca="1">IF('504 Plan Tracker'!B5="","",IF(AND('504 Plan Tracker'!L5&lt;&gt;"Yes",'504 Plan Tracker'!J5-TODAY()&lt;=30),'504 Plan Tracker'!F5,""))</f>
        <v>Lincoln High</v>
      </c>
      <c r="G26">
        <f ca="1">IF('504 Plan Tracker'!B5="","",IF(AND('504 Plan Tracker'!L5&lt;&gt;"Yes",'504 Plan Tracker'!J5-TODAY()&lt;=30),'504 Plan Tracker'!K5,""))</f>
        <v>-94</v>
      </c>
      <c r="H26" t="str">
        <f ca="1">IF('504 Plan Tracker'!B5="","",IF(AND('504 Plan Tracker'!L5&lt;&gt;"Yes",'504 Plan Tracker'!J5-TODAY()&lt;=30),'504 Plan Tracker'!H5,""))</f>
        <v>Ms. Garcia</v>
      </c>
    </row>
    <row r="27" spans="1:8" x14ac:dyDescent="0.45">
      <c r="A27" t="str">
        <f ca="1">IF('504 Plan Tracker'!B6="","",IF(AND('504 Plan Tracker'!L6&lt;&gt;"Yes",'504 Plan Tracker'!J6-TODAY()&lt;=30),'504 Plan Tracker'!A6,""))</f>
        <v/>
      </c>
      <c r="B27" t="str">
        <f ca="1">IF('504 Plan Tracker'!B6="","",IF(AND('504 Plan Tracker'!L6&lt;&gt;"Yes",'504 Plan Tracker'!J6-TODAY()&lt;=30),'504 Plan Tracker'!B6,""))</f>
        <v/>
      </c>
      <c r="C27" t="str">
        <f ca="1">IF('504 Plan Tracker'!B6="","",IF(AND('504 Plan Tracker'!L6&lt;&gt;"Yes",'504 Plan Tracker'!J6-TODAY()&lt;=30),'504 Plan Tracker'!C6,""))</f>
        <v/>
      </c>
      <c r="D27" t="str">
        <f ca="1">IF('504 Plan Tracker'!B6="","",IF(AND('504 Plan Tracker'!L6&lt;&gt;"Yes",'504 Plan Tracker'!J6-TODAY()&lt;=30),'504 Plan Tracker'!D6,""))</f>
        <v/>
      </c>
      <c r="E27" t="str">
        <f ca="1">IF('504 Plan Tracker'!B6="","",IF(AND('504 Plan Tracker'!L6&lt;&gt;"Yes",'504 Plan Tracker'!J6-TODAY()&lt;=30),'504 Plan Tracker'!E6,""))</f>
        <v/>
      </c>
      <c r="F27" t="str">
        <f ca="1">IF('504 Plan Tracker'!B6="","",IF(AND('504 Plan Tracker'!L6&lt;&gt;"Yes",'504 Plan Tracker'!J6-TODAY()&lt;=30),'504 Plan Tracker'!F6,""))</f>
        <v/>
      </c>
      <c r="G27" t="str">
        <f ca="1">IF('504 Plan Tracker'!B6="","",IF(AND('504 Plan Tracker'!L6&lt;&gt;"Yes",'504 Plan Tracker'!J6-TODAY()&lt;=30),'504 Plan Tracker'!K6,""))</f>
        <v/>
      </c>
      <c r="H27" t="str">
        <f ca="1">IF('504 Plan Tracker'!B6="","",IF(AND('504 Plan Tracker'!L6&lt;&gt;"Yes",'504 Plan Tracker'!J6-TODAY()&lt;=30),'504 Plan Tracker'!H6,""))</f>
        <v/>
      </c>
    </row>
    <row r="28" spans="1:8" x14ac:dyDescent="0.45">
      <c r="A28" t="str">
        <f ca="1">IF('504 Plan Tracker'!B7="","",IF(AND('504 Plan Tracker'!L7&lt;&gt;"Yes",'504 Plan Tracker'!J7-TODAY()&lt;=30),'504 Plan Tracker'!A7,""))</f>
        <v/>
      </c>
      <c r="B28" t="str">
        <f ca="1">IF('504 Plan Tracker'!B7="","",IF(AND('504 Plan Tracker'!L7&lt;&gt;"Yes",'504 Plan Tracker'!J7-TODAY()&lt;=30),'504 Plan Tracker'!B7,""))</f>
        <v/>
      </c>
      <c r="C28" t="str">
        <f ca="1">IF('504 Plan Tracker'!B7="","",IF(AND('504 Plan Tracker'!L7&lt;&gt;"Yes",'504 Plan Tracker'!J7-TODAY()&lt;=30),'504 Plan Tracker'!C7,""))</f>
        <v/>
      </c>
      <c r="D28" t="str">
        <f ca="1">IF('504 Plan Tracker'!B7="","",IF(AND('504 Plan Tracker'!L7&lt;&gt;"Yes",'504 Plan Tracker'!J7-TODAY()&lt;=30),'504 Plan Tracker'!D7,""))</f>
        <v/>
      </c>
      <c r="E28" t="str">
        <f ca="1">IF('504 Plan Tracker'!B7="","",IF(AND('504 Plan Tracker'!L7&lt;&gt;"Yes",'504 Plan Tracker'!J7-TODAY()&lt;=30),'504 Plan Tracker'!E7,""))</f>
        <v/>
      </c>
      <c r="F28" t="str">
        <f ca="1">IF('504 Plan Tracker'!B7="","",IF(AND('504 Plan Tracker'!L7&lt;&gt;"Yes",'504 Plan Tracker'!J7-TODAY()&lt;=30),'504 Plan Tracker'!F7,""))</f>
        <v/>
      </c>
      <c r="G28" t="str">
        <f ca="1">IF('504 Plan Tracker'!B7="","",IF(AND('504 Plan Tracker'!L7&lt;&gt;"Yes",'504 Plan Tracker'!J7-TODAY()&lt;=30),'504 Plan Tracker'!K7,""))</f>
        <v/>
      </c>
      <c r="H28" t="str">
        <f ca="1">IF('504 Plan Tracker'!B7="","",IF(AND('504 Plan Tracker'!L7&lt;&gt;"Yes",'504 Plan Tracker'!J7-TODAY()&lt;=30),'504 Plan Tracker'!H7,""))</f>
        <v/>
      </c>
    </row>
    <row r="29" spans="1:8" x14ac:dyDescent="0.45">
      <c r="A29" t="str">
        <f ca="1">IF('504 Plan Tracker'!B8="","",IF(AND('504 Plan Tracker'!L8&lt;&gt;"Yes",'504 Plan Tracker'!J8-TODAY()&lt;=30),'504 Plan Tracker'!A8,""))</f>
        <v/>
      </c>
      <c r="B29" t="str">
        <f ca="1">IF('504 Plan Tracker'!B8="","",IF(AND('504 Plan Tracker'!L8&lt;&gt;"Yes",'504 Plan Tracker'!J8-TODAY()&lt;=30),'504 Plan Tracker'!B8,""))</f>
        <v/>
      </c>
      <c r="C29" t="str">
        <f ca="1">IF('504 Plan Tracker'!B8="","",IF(AND('504 Plan Tracker'!L8&lt;&gt;"Yes",'504 Plan Tracker'!J8-TODAY()&lt;=30),'504 Plan Tracker'!C8,""))</f>
        <v/>
      </c>
      <c r="D29" t="str">
        <f ca="1">IF('504 Plan Tracker'!B8="","",IF(AND('504 Plan Tracker'!L8&lt;&gt;"Yes",'504 Plan Tracker'!J8-TODAY()&lt;=30),'504 Plan Tracker'!D8,""))</f>
        <v/>
      </c>
      <c r="E29" t="str">
        <f ca="1">IF('504 Plan Tracker'!B8="","",IF(AND('504 Plan Tracker'!L8&lt;&gt;"Yes",'504 Plan Tracker'!J8-TODAY()&lt;=30),'504 Plan Tracker'!E8,""))</f>
        <v/>
      </c>
      <c r="F29" t="str">
        <f ca="1">IF('504 Plan Tracker'!B8="","",IF(AND('504 Plan Tracker'!L8&lt;&gt;"Yes",'504 Plan Tracker'!J8-TODAY()&lt;=30),'504 Plan Tracker'!F8,""))</f>
        <v/>
      </c>
      <c r="G29" t="str">
        <f ca="1">IF('504 Plan Tracker'!B8="","",IF(AND('504 Plan Tracker'!L8&lt;&gt;"Yes",'504 Plan Tracker'!J8-TODAY()&lt;=30),'504 Plan Tracker'!K8,""))</f>
        <v/>
      </c>
      <c r="H29" t="str">
        <f ca="1">IF('504 Plan Tracker'!B8="","",IF(AND('504 Plan Tracker'!L8&lt;&gt;"Yes",'504 Plan Tracker'!J8-TODAY()&lt;=30),'504 Plan Tracker'!H8,""))</f>
        <v/>
      </c>
    </row>
    <row r="30" spans="1:8" x14ac:dyDescent="0.45">
      <c r="A30" t="str">
        <f ca="1">IF('504 Plan Tracker'!B9="","",IF(AND('504 Plan Tracker'!L9&lt;&gt;"Yes",'504 Plan Tracker'!J9-TODAY()&lt;=30),'504 Plan Tracker'!A9,""))</f>
        <v/>
      </c>
      <c r="B30" t="str">
        <f ca="1">IF('504 Plan Tracker'!B9="","",IF(AND('504 Plan Tracker'!L9&lt;&gt;"Yes",'504 Plan Tracker'!J9-TODAY()&lt;=30),'504 Plan Tracker'!B9,""))</f>
        <v/>
      </c>
      <c r="C30" t="str">
        <f ca="1">IF('504 Plan Tracker'!B9="","",IF(AND('504 Plan Tracker'!L9&lt;&gt;"Yes",'504 Plan Tracker'!J9-TODAY()&lt;=30),'504 Plan Tracker'!C9,""))</f>
        <v/>
      </c>
      <c r="D30" t="str">
        <f ca="1">IF('504 Plan Tracker'!B9="","",IF(AND('504 Plan Tracker'!L9&lt;&gt;"Yes",'504 Plan Tracker'!J9-TODAY()&lt;=30),'504 Plan Tracker'!D9,""))</f>
        <v/>
      </c>
      <c r="E30" t="str">
        <f ca="1">IF('504 Plan Tracker'!B9="","",IF(AND('504 Plan Tracker'!L9&lt;&gt;"Yes",'504 Plan Tracker'!J9-TODAY()&lt;=30),'504 Plan Tracker'!E9,""))</f>
        <v/>
      </c>
      <c r="F30" t="str">
        <f ca="1">IF('504 Plan Tracker'!B9="","",IF(AND('504 Plan Tracker'!L9&lt;&gt;"Yes",'504 Plan Tracker'!J9-TODAY()&lt;=30),'504 Plan Tracker'!F9,""))</f>
        <v/>
      </c>
      <c r="G30" t="str">
        <f ca="1">IF('504 Plan Tracker'!B9="","",IF(AND('504 Plan Tracker'!L9&lt;&gt;"Yes",'504 Plan Tracker'!J9-TODAY()&lt;=30),'504 Plan Tracker'!K9,""))</f>
        <v/>
      </c>
      <c r="H30" t="str">
        <f ca="1">IF('504 Plan Tracker'!B9="","",IF(AND('504 Plan Tracker'!L9&lt;&gt;"Yes",'504 Plan Tracker'!J9-TODAY()&lt;=30),'504 Plan Tracker'!H9,""))</f>
        <v/>
      </c>
    </row>
    <row r="31" spans="1:8" x14ac:dyDescent="0.45">
      <c r="A31" t="str">
        <f ca="1">IF('504 Plan Tracker'!B10="","",IF(AND('504 Plan Tracker'!L10&lt;&gt;"Yes",'504 Plan Tracker'!J10-TODAY()&lt;=30),'504 Plan Tracker'!A10,""))</f>
        <v/>
      </c>
      <c r="B31" t="str">
        <f ca="1">IF('504 Plan Tracker'!B10="","",IF(AND('504 Plan Tracker'!L10&lt;&gt;"Yes",'504 Plan Tracker'!J10-TODAY()&lt;=30),'504 Plan Tracker'!B10,""))</f>
        <v/>
      </c>
      <c r="C31" t="str">
        <f ca="1">IF('504 Plan Tracker'!B10="","",IF(AND('504 Plan Tracker'!L10&lt;&gt;"Yes",'504 Plan Tracker'!J10-TODAY()&lt;=30),'504 Plan Tracker'!C10,""))</f>
        <v/>
      </c>
      <c r="D31" t="str">
        <f ca="1">IF('504 Plan Tracker'!B10="","",IF(AND('504 Plan Tracker'!L10&lt;&gt;"Yes",'504 Plan Tracker'!J10-TODAY()&lt;=30),'504 Plan Tracker'!D10,""))</f>
        <v/>
      </c>
      <c r="E31" t="str">
        <f ca="1">IF('504 Plan Tracker'!B10="","",IF(AND('504 Plan Tracker'!L10&lt;&gt;"Yes",'504 Plan Tracker'!J10-TODAY()&lt;=30),'504 Plan Tracker'!E10,""))</f>
        <v/>
      </c>
      <c r="F31" t="str">
        <f ca="1">IF('504 Plan Tracker'!B10="","",IF(AND('504 Plan Tracker'!L10&lt;&gt;"Yes",'504 Plan Tracker'!J10-TODAY()&lt;=30),'504 Plan Tracker'!F10,""))</f>
        <v/>
      </c>
      <c r="G31" t="str">
        <f ca="1">IF('504 Plan Tracker'!B10="","",IF(AND('504 Plan Tracker'!L10&lt;&gt;"Yes",'504 Plan Tracker'!J10-TODAY()&lt;=30),'504 Plan Tracker'!K10,""))</f>
        <v/>
      </c>
      <c r="H31" t="str">
        <f ca="1">IF('504 Plan Tracker'!B10="","",IF(AND('504 Plan Tracker'!L10&lt;&gt;"Yes",'504 Plan Tracker'!J10-TODAY()&lt;=30),'504 Plan Tracker'!H10,""))</f>
        <v/>
      </c>
    </row>
    <row r="32" spans="1:8" x14ac:dyDescent="0.45">
      <c r="A32" t="str">
        <f ca="1">IF('504 Plan Tracker'!B11="","",IF(AND('504 Plan Tracker'!L11&lt;&gt;"Yes",'504 Plan Tracker'!J11-TODAY()&lt;=30),'504 Plan Tracker'!A11,""))</f>
        <v/>
      </c>
      <c r="B32" t="str">
        <f ca="1">IF('504 Plan Tracker'!B11="","",IF(AND('504 Plan Tracker'!L11&lt;&gt;"Yes",'504 Plan Tracker'!J11-TODAY()&lt;=30),'504 Plan Tracker'!B11,""))</f>
        <v/>
      </c>
      <c r="C32" t="str">
        <f ca="1">IF('504 Plan Tracker'!B11="","",IF(AND('504 Plan Tracker'!L11&lt;&gt;"Yes",'504 Plan Tracker'!J11-TODAY()&lt;=30),'504 Plan Tracker'!C11,""))</f>
        <v/>
      </c>
      <c r="D32" t="str">
        <f ca="1">IF('504 Plan Tracker'!B11="","",IF(AND('504 Plan Tracker'!L11&lt;&gt;"Yes",'504 Plan Tracker'!J11-TODAY()&lt;=30),'504 Plan Tracker'!D11,""))</f>
        <v/>
      </c>
      <c r="E32" t="str">
        <f ca="1">IF('504 Plan Tracker'!B11="","",IF(AND('504 Plan Tracker'!L11&lt;&gt;"Yes",'504 Plan Tracker'!J11-TODAY()&lt;=30),'504 Plan Tracker'!E11,""))</f>
        <v/>
      </c>
      <c r="F32" t="str">
        <f ca="1">IF('504 Plan Tracker'!B11="","",IF(AND('504 Plan Tracker'!L11&lt;&gt;"Yes",'504 Plan Tracker'!J11-TODAY()&lt;=30),'504 Plan Tracker'!F11,""))</f>
        <v/>
      </c>
      <c r="G32" t="str">
        <f ca="1">IF('504 Plan Tracker'!B11="","",IF(AND('504 Plan Tracker'!L11&lt;&gt;"Yes",'504 Plan Tracker'!J11-TODAY()&lt;=30),'504 Plan Tracker'!K11,""))</f>
        <v/>
      </c>
      <c r="H32" t="str">
        <f ca="1">IF('504 Plan Tracker'!B11="","",IF(AND('504 Plan Tracker'!L11&lt;&gt;"Yes",'504 Plan Tracker'!J11-TODAY()&lt;=30),'504 Plan Tracker'!H11,""))</f>
        <v/>
      </c>
    </row>
    <row r="33" spans="1:8" x14ac:dyDescent="0.45">
      <c r="A33" t="str">
        <f ca="1">IF('504 Plan Tracker'!B12="","",IF(AND('504 Plan Tracker'!L12&lt;&gt;"Yes",'504 Plan Tracker'!J12-TODAY()&lt;=30),'504 Plan Tracker'!A12,""))</f>
        <v/>
      </c>
      <c r="B33" t="str">
        <f ca="1">IF('504 Plan Tracker'!B12="","",IF(AND('504 Plan Tracker'!L12&lt;&gt;"Yes",'504 Plan Tracker'!J12-TODAY()&lt;=30),'504 Plan Tracker'!B12,""))</f>
        <v/>
      </c>
      <c r="C33" t="str">
        <f ca="1">IF('504 Plan Tracker'!B12="","",IF(AND('504 Plan Tracker'!L12&lt;&gt;"Yes",'504 Plan Tracker'!J12-TODAY()&lt;=30),'504 Plan Tracker'!C12,""))</f>
        <v/>
      </c>
      <c r="D33" t="str">
        <f ca="1">IF('504 Plan Tracker'!B12="","",IF(AND('504 Plan Tracker'!L12&lt;&gt;"Yes",'504 Plan Tracker'!J12-TODAY()&lt;=30),'504 Plan Tracker'!D12,""))</f>
        <v/>
      </c>
      <c r="E33" t="str">
        <f ca="1">IF('504 Plan Tracker'!B12="","",IF(AND('504 Plan Tracker'!L12&lt;&gt;"Yes",'504 Plan Tracker'!J12-TODAY()&lt;=30),'504 Plan Tracker'!E12,""))</f>
        <v/>
      </c>
      <c r="F33" t="str">
        <f ca="1">IF('504 Plan Tracker'!B12="","",IF(AND('504 Plan Tracker'!L12&lt;&gt;"Yes",'504 Plan Tracker'!J12-TODAY()&lt;=30),'504 Plan Tracker'!F12,""))</f>
        <v/>
      </c>
      <c r="G33" t="str">
        <f ca="1">IF('504 Plan Tracker'!B12="","",IF(AND('504 Plan Tracker'!L12&lt;&gt;"Yes",'504 Plan Tracker'!J12-TODAY()&lt;=30),'504 Plan Tracker'!K12,""))</f>
        <v/>
      </c>
      <c r="H33" t="str">
        <f ca="1">IF('504 Plan Tracker'!B12="","",IF(AND('504 Plan Tracker'!L12&lt;&gt;"Yes",'504 Plan Tracker'!J12-TODAY()&lt;=30),'504 Plan Tracker'!H12,""))</f>
        <v/>
      </c>
    </row>
    <row r="34" spans="1:8" x14ac:dyDescent="0.45">
      <c r="A34" t="str">
        <f ca="1">IF('504 Plan Tracker'!B13="","",IF(AND('504 Plan Tracker'!L13&lt;&gt;"Yes",'504 Plan Tracker'!J13-TODAY()&lt;=30),'504 Plan Tracker'!A13,""))</f>
        <v/>
      </c>
      <c r="B34" t="str">
        <f ca="1">IF('504 Plan Tracker'!B13="","",IF(AND('504 Plan Tracker'!L13&lt;&gt;"Yes",'504 Plan Tracker'!J13-TODAY()&lt;=30),'504 Plan Tracker'!B13,""))</f>
        <v/>
      </c>
      <c r="C34" t="str">
        <f ca="1">IF('504 Plan Tracker'!B13="","",IF(AND('504 Plan Tracker'!L13&lt;&gt;"Yes",'504 Plan Tracker'!J13-TODAY()&lt;=30),'504 Plan Tracker'!C13,""))</f>
        <v/>
      </c>
      <c r="D34" t="str">
        <f ca="1">IF('504 Plan Tracker'!B13="","",IF(AND('504 Plan Tracker'!L13&lt;&gt;"Yes",'504 Plan Tracker'!J13-TODAY()&lt;=30),'504 Plan Tracker'!D13,""))</f>
        <v/>
      </c>
      <c r="E34" t="str">
        <f ca="1">IF('504 Plan Tracker'!B13="","",IF(AND('504 Plan Tracker'!L13&lt;&gt;"Yes",'504 Plan Tracker'!J13-TODAY()&lt;=30),'504 Plan Tracker'!E13,""))</f>
        <v/>
      </c>
      <c r="F34" t="str">
        <f ca="1">IF('504 Plan Tracker'!B13="","",IF(AND('504 Plan Tracker'!L13&lt;&gt;"Yes",'504 Plan Tracker'!J13-TODAY()&lt;=30),'504 Plan Tracker'!F13,""))</f>
        <v/>
      </c>
      <c r="G34" t="str">
        <f ca="1">IF('504 Plan Tracker'!B13="","",IF(AND('504 Plan Tracker'!L13&lt;&gt;"Yes",'504 Plan Tracker'!J13-TODAY()&lt;=30),'504 Plan Tracker'!K13,""))</f>
        <v/>
      </c>
      <c r="H34" t="str">
        <f ca="1">IF('504 Plan Tracker'!B13="","",IF(AND('504 Plan Tracker'!L13&lt;&gt;"Yes",'504 Plan Tracker'!J13-TODAY()&lt;=30),'504 Plan Tracker'!H13,""))</f>
        <v/>
      </c>
    </row>
    <row r="36" spans="1:8" x14ac:dyDescent="0.45">
      <c r="A36" t="s">
        <v>236</v>
      </c>
    </row>
    <row r="37" spans="1:8" x14ac:dyDescent="0.45">
      <c r="A37" t="s">
        <v>237</v>
      </c>
      <c r="B37">
        <f>MAX(0,COUNTA('IEP Tracker'!B:B)-3)</f>
        <v>2</v>
      </c>
    </row>
    <row r="38" spans="1:8" x14ac:dyDescent="0.45">
      <c r="A38" t="s">
        <v>238</v>
      </c>
      <c r="B38">
        <f ca="1">COUNTIF('IEP Tracker'!K:K,"❌*")</f>
        <v>0</v>
      </c>
    </row>
    <row r="39" spans="1:8" x14ac:dyDescent="0.45">
      <c r="A39" t="s">
        <v>239</v>
      </c>
      <c r="B39">
        <f ca="1">COUNTIF('IEP Tracker'!K:K,"🔴*")</f>
        <v>0</v>
      </c>
    </row>
    <row r="40" spans="1:8" x14ac:dyDescent="0.45">
      <c r="A40" t="s">
        <v>211</v>
      </c>
      <c r="B40">
        <f>MAX(0,COUNTA('504 Plan Tracker'!B:B)-3)</f>
        <v>0</v>
      </c>
    </row>
    <row r="41" spans="1:8" x14ac:dyDescent="0.45">
      <c r="A41" t="s">
        <v>213</v>
      </c>
      <c r="B41">
        <f ca="1">COUNTIF('504 Plan Tracker'!K:K,"❌*")</f>
        <v>0</v>
      </c>
    </row>
    <row r="42" spans="1:8" x14ac:dyDescent="0.45">
      <c r="A42" t="s">
        <v>240</v>
      </c>
      <c r="B42">
        <f>COUNTIF('Dyslexia-HB 3928'!H:H,"Pending Review")</f>
        <v>1</v>
      </c>
    </row>
    <row r="43" spans="1:8" x14ac:dyDescent="0.45">
      <c r="A43" t="s">
        <v>216</v>
      </c>
      <c r="B43">
        <f>COUNTIF('CAP Findings'!C:C,"Open")+COUNTIF('CAP Findings'!C:C,"In Progress")</f>
        <v>0</v>
      </c>
    </row>
    <row r="45" spans="1:8" x14ac:dyDescent="0.45">
      <c r="A45" s="4" t="s">
        <v>241</v>
      </c>
      <c r="B45" s="4"/>
      <c r="C45" s="4"/>
      <c r="D45" s="4"/>
      <c r="E45" s="4"/>
      <c r="F45" s="4"/>
      <c r="G45" s="4"/>
      <c r="H45" s="4"/>
    </row>
  </sheetData>
  <mergeCells count="2">
    <mergeCell ref="A2:H2"/>
    <mergeCell ref="A45:H4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2"/>
  <sheetViews>
    <sheetView zoomScaleNormal="100" workbookViewId="0"/>
  </sheetViews>
  <sheetFormatPr defaultRowHeight="15" customHeight="1" x14ac:dyDescent="0.45"/>
  <cols>
    <col min="1" max="1" width="36.6640625" customWidth="1"/>
    <col min="2" max="2" width="53.33203125" customWidth="1"/>
    <col min="3" max="3" width="33.33203125" customWidth="1"/>
    <col min="4" max="4" width="36.6640625" customWidth="1"/>
  </cols>
  <sheetData>
    <row r="1" spans="1:4" x14ac:dyDescent="0.45">
      <c r="A1" t="s">
        <v>242</v>
      </c>
    </row>
    <row r="2" spans="1:4" x14ac:dyDescent="0.45">
      <c r="A2" t="s">
        <v>243</v>
      </c>
    </row>
    <row r="4" spans="1:4" x14ac:dyDescent="0.45">
      <c r="A4" t="s">
        <v>244</v>
      </c>
    </row>
    <row r="5" spans="1:4" x14ac:dyDescent="0.45">
      <c r="A5" t="s">
        <v>245</v>
      </c>
      <c r="B5" t="s">
        <v>246</v>
      </c>
      <c r="C5" t="s">
        <v>247</v>
      </c>
      <c r="D5" t="s">
        <v>45</v>
      </c>
    </row>
    <row r="6" spans="1:4" x14ac:dyDescent="0.45">
      <c r="A6" t="s">
        <v>248</v>
      </c>
      <c r="B6" t="s">
        <v>249</v>
      </c>
      <c r="C6" t="s">
        <v>250</v>
      </c>
      <c r="D6" t="s">
        <v>251</v>
      </c>
    </row>
    <row r="7" spans="1:4" x14ac:dyDescent="0.45">
      <c r="A7" t="s">
        <v>252</v>
      </c>
      <c r="B7" t="s">
        <v>253</v>
      </c>
      <c r="C7" t="s">
        <v>254</v>
      </c>
      <c r="D7" t="s">
        <v>255</v>
      </c>
    </row>
    <row r="8" spans="1:4" x14ac:dyDescent="0.45">
      <c r="A8" t="s">
        <v>256</v>
      </c>
      <c r="B8" t="s">
        <v>257</v>
      </c>
      <c r="C8" t="s">
        <v>167</v>
      </c>
      <c r="D8" t="s">
        <v>258</v>
      </c>
    </row>
    <row r="9" spans="1:4" x14ac:dyDescent="0.45">
      <c r="A9" t="s">
        <v>259</v>
      </c>
      <c r="B9" t="s">
        <v>260</v>
      </c>
      <c r="C9" t="s">
        <v>261</v>
      </c>
      <c r="D9" t="s">
        <v>262</v>
      </c>
    </row>
    <row r="10" spans="1:4" x14ac:dyDescent="0.45">
      <c r="A10" t="s">
        <v>263</v>
      </c>
      <c r="B10" t="s">
        <v>264</v>
      </c>
      <c r="C10" t="s">
        <v>265</v>
      </c>
      <c r="D10" t="s">
        <v>266</v>
      </c>
    </row>
    <row r="11" spans="1:4" x14ac:dyDescent="0.45">
      <c r="A11" t="s">
        <v>267</v>
      </c>
      <c r="B11" t="s">
        <v>268</v>
      </c>
      <c r="C11" t="s">
        <v>269</v>
      </c>
      <c r="D11" t="s">
        <v>270</v>
      </c>
    </row>
    <row r="12" spans="1:4" x14ac:dyDescent="0.45">
      <c r="A12" t="s">
        <v>271</v>
      </c>
      <c r="B12" t="s">
        <v>272</v>
      </c>
      <c r="C12" t="s">
        <v>273</v>
      </c>
      <c r="D12" t="s">
        <v>274</v>
      </c>
    </row>
    <row r="13" spans="1:4" x14ac:dyDescent="0.45">
      <c r="A13" t="s">
        <v>275</v>
      </c>
      <c r="B13" t="s">
        <v>276</v>
      </c>
      <c r="C13" t="s">
        <v>277</v>
      </c>
      <c r="D13" t="s">
        <v>278</v>
      </c>
    </row>
    <row r="15" spans="1:4" x14ac:dyDescent="0.45">
      <c r="A15" t="s">
        <v>279</v>
      </c>
    </row>
    <row r="16" spans="1:4" x14ac:dyDescent="0.45">
      <c r="A16" t="s">
        <v>280</v>
      </c>
      <c r="B16" t="s">
        <v>153</v>
      </c>
    </row>
    <row r="17" spans="1:2" x14ac:dyDescent="0.45">
      <c r="A17" t="s">
        <v>281</v>
      </c>
      <c r="B17" t="s">
        <v>282</v>
      </c>
    </row>
    <row r="18" spans="1:2" x14ac:dyDescent="0.45">
      <c r="A18" t="s">
        <v>283</v>
      </c>
      <c r="B18" t="s">
        <v>284</v>
      </c>
    </row>
    <row r="19" spans="1:2" x14ac:dyDescent="0.45">
      <c r="A19" t="s">
        <v>285</v>
      </c>
      <c r="B19" t="s">
        <v>286</v>
      </c>
    </row>
    <row r="20" spans="1:2" x14ac:dyDescent="0.45">
      <c r="A20" t="s">
        <v>287</v>
      </c>
      <c r="B20" t="s">
        <v>288</v>
      </c>
    </row>
    <row r="21" spans="1:2" x14ac:dyDescent="0.45">
      <c r="A21" t="s">
        <v>289</v>
      </c>
      <c r="B21" t="s">
        <v>290</v>
      </c>
    </row>
    <row r="22" spans="1:2" x14ac:dyDescent="0.45">
      <c r="A22" t="s">
        <v>291</v>
      </c>
      <c r="B22" t="s">
        <v>292</v>
      </c>
    </row>
    <row r="23" spans="1:2" x14ac:dyDescent="0.45">
      <c r="A23" t="s">
        <v>293</v>
      </c>
      <c r="B23" t="s">
        <v>294</v>
      </c>
    </row>
    <row r="24" spans="1:2" x14ac:dyDescent="0.45">
      <c r="A24" t="s">
        <v>295</v>
      </c>
      <c r="B24" t="s">
        <v>296</v>
      </c>
    </row>
    <row r="25" spans="1:2" x14ac:dyDescent="0.45">
      <c r="A25" t="s">
        <v>297</v>
      </c>
      <c r="B25" t="s">
        <v>298</v>
      </c>
    </row>
    <row r="26" spans="1:2" x14ac:dyDescent="0.45">
      <c r="A26" t="s">
        <v>299</v>
      </c>
      <c r="B26" t="s">
        <v>300</v>
      </c>
    </row>
    <row r="27" spans="1:2" x14ac:dyDescent="0.45">
      <c r="A27" t="s">
        <v>301</v>
      </c>
      <c r="B27" t="s">
        <v>302</v>
      </c>
    </row>
    <row r="28" spans="1:2" x14ac:dyDescent="0.45">
      <c r="A28" t="s">
        <v>303</v>
      </c>
      <c r="B28" t="s">
        <v>304</v>
      </c>
    </row>
    <row r="29" spans="1:2" x14ac:dyDescent="0.45">
      <c r="A29" t="s">
        <v>305</v>
      </c>
      <c r="B29" t="s">
        <v>306</v>
      </c>
    </row>
    <row r="30" spans="1:2" x14ac:dyDescent="0.45">
      <c r="A30" t="s">
        <v>307</v>
      </c>
      <c r="B30" t="s">
        <v>308</v>
      </c>
    </row>
    <row r="32" spans="1:2" x14ac:dyDescent="0.45">
      <c r="A32" t="s">
        <v>309</v>
      </c>
    </row>
    <row r="33" spans="1:4" x14ac:dyDescent="0.45">
      <c r="A33" t="s">
        <v>310</v>
      </c>
      <c r="B33" t="s">
        <v>245</v>
      </c>
      <c r="C33" t="s">
        <v>247</v>
      </c>
      <c r="D33" t="s">
        <v>311</v>
      </c>
    </row>
    <row r="34" spans="1:4" x14ac:dyDescent="0.45">
      <c r="A34" t="s">
        <v>312</v>
      </c>
      <c r="B34" t="s">
        <v>313</v>
      </c>
      <c r="C34" t="s">
        <v>314</v>
      </c>
      <c r="D34" t="s">
        <v>315</v>
      </c>
    </row>
    <row r="35" spans="1:4" x14ac:dyDescent="0.45">
      <c r="A35" t="s">
        <v>316</v>
      </c>
      <c r="B35" t="s">
        <v>317</v>
      </c>
      <c r="C35" t="s">
        <v>318</v>
      </c>
      <c r="D35" t="s">
        <v>319</v>
      </c>
    </row>
    <row r="36" spans="1:4" x14ac:dyDescent="0.45">
      <c r="A36" t="s">
        <v>320</v>
      </c>
      <c r="B36" t="s">
        <v>321</v>
      </c>
      <c r="C36" t="s">
        <v>322</v>
      </c>
      <c r="D36" t="s">
        <v>323</v>
      </c>
    </row>
    <row r="37" spans="1:4" x14ac:dyDescent="0.45">
      <c r="A37" t="s">
        <v>324</v>
      </c>
      <c r="B37" t="s">
        <v>325</v>
      </c>
      <c r="C37" t="s">
        <v>326</v>
      </c>
      <c r="D37" t="s">
        <v>327</v>
      </c>
    </row>
    <row r="38" spans="1:4" x14ac:dyDescent="0.45">
      <c r="A38" t="s">
        <v>328</v>
      </c>
      <c r="B38" t="s">
        <v>329</v>
      </c>
      <c r="C38" t="s">
        <v>330</v>
      </c>
      <c r="D38" t="s">
        <v>331</v>
      </c>
    </row>
    <row r="40" spans="1:4" x14ac:dyDescent="0.45">
      <c r="A40" t="s">
        <v>332</v>
      </c>
    </row>
    <row r="41" spans="1:4" x14ac:dyDescent="0.45">
      <c r="A41" t="s">
        <v>245</v>
      </c>
      <c r="B41" t="s">
        <v>153</v>
      </c>
    </row>
    <row r="42" spans="1:4" x14ac:dyDescent="0.45">
      <c r="A42" t="s">
        <v>333</v>
      </c>
      <c r="B42" t="s">
        <v>334</v>
      </c>
    </row>
    <row r="43" spans="1:4" x14ac:dyDescent="0.45">
      <c r="A43" t="s">
        <v>335</v>
      </c>
      <c r="B43" t="s">
        <v>336</v>
      </c>
    </row>
    <row r="44" spans="1:4" x14ac:dyDescent="0.45">
      <c r="A44" t="s">
        <v>337</v>
      </c>
      <c r="B44" t="s">
        <v>338</v>
      </c>
    </row>
    <row r="45" spans="1:4" x14ac:dyDescent="0.45">
      <c r="A45" t="s">
        <v>339</v>
      </c>
      <c r="B45" t="s">
        <v>340</v>
      </c>
    </row>
    <row r="46" spans="1:4" x14ac:dyDescent="0.45">
      <c r="A46" t="s">
        <v>41</v>
      </c>
      <c r="B46" t="s">
        <v>341</v>
      </c>
    </row>
    <row r="48" spans="1:4" x14ac:dyDescent="0.45">
      <c r="A48" t="s">
        <v>342</v>
      </c>
    </row>
    <row r="49" spans="1:2" x14ac:dyDescent="0.45">
      <c r="A49" t="s">
        <v>343</v>
      </c>
      <c r="B49" t="s">
        <v>153</v>
      </c>
    </row>
    <row r="50" spans="1:2" x14ac:dyDescent="0.45">
      <c r="A50" t="s">
        <v>344</v>
      </c>
      <c r="B50" t="s">
        <v>345</v>
      </c>
    </row>
    <row r="51" spans="1:2" x14ac:dyDescent="0.45">
      <c r="A51" t="s">
        <v>346</v>
      </c>
      <c r="B51" t="s">
        <v>347</v>
      </c>
    </row>
    <row r="52" spans="1:2" x14ac:dyDescent="0.45">
      <c r="A52" t="s">
        <v>348</v>
      </c>
      <c r="B52" t="s">
        <v>349</v>
      </c>
    </row>
    <row r="53" spans="1:2" x14ac:dyDescent="0.45">
      <c r="A53" t="s">
        <v>350</v>
      </c>
      <c r="B53" t="s">
        <v>351</v>
      </c>
    </row>
    <row r="54" spans="1:2" x14ac:dyDescent="0.45">
      <c r="A54" t="s">
        <v>352</v>
      </c>
      <c r="B54" t="s">
        <v>353</v>
      </c>
    </row>
    <row r="55" spans="1:2" x14ac:dyDescent="0.45">
      <c r="A55" t="s">
        <v>354</v>
      </c>
      <c r="B55" t="s">
        <v>355</v>
      </c>
    </row>
    <row r="57" spans="1:2" x14ac:dyDescent="0.45">
      <c r="A57" t="s">
        <v>356</v>
      </c>
    </row>
    <row r="58" spans="1:2" x14ac:dyDescent="0.45">
      <c r="A58" t="s">
        <v>357</v>
      </c>
    </row>
    <row r="59" spans="1:2" x14ac:dyDescent="0.45">
      <c r="A59" t="s">
        <v>358</v>
      </c>
    </row>
    <row r="60" spans="1:2" x14ac:dyDescent="0.45">
      <c r="A60" t="s">
        <v>359</v>
      </c>
    </row>
    <row r="61" spans="1:2" x14ac:dyDescent="0.45">
      <c r="A61" t="s">
        <v>360</v>
      </c>
    </row>
    <row r="63" spans="1:2" x14ac:dyDescent="0.45">
      <c r="A63" t="s">
        <v>361</v>
      </c>
    </row>
    <row r="64" spans="1:2" x14ac:dyDescent="0.45">
      <c r="A64" t="s">
        <v>362</v>
      </c>
      <c r="B64" t="s">
        <v>363</v>
      </c>
    </row>
    <row r="65" spans="1:2" x14ac:dyDescent="0.45">
      <c r="A65" t="s">
        <v>364</v>
      </c>
      <c r="B65" t="s">
        <v>365</v>
      </c>
    </row>
    <row r="66" spans="1:2" x14ac:dyDescent="0.45">
      <c r="A66" t="s">
        <v>366</v>
      </c>
      <c r="B66" t="s">
        <v>367</v>
      </c>
    </row>
    <row r="67" spans="1:2" x14ac:dyDescent="0.45">
      <c r="A67" t="s">
        <v>368</v>
      </c>
      <c r="B67" t="s">
        <v>369</v>
      </c>
    </row>
    <row r="68" spans="1:2" x14ac:dyDescent="0.45">
      <c r="A68" t="s">
        <v>370</v>
      </c>
      <c r="B68" t="s">
        <v>371</v>
      </c>
    </row>
    <row r="69" spans="1:2" x14ac:dyDescent="0.45">
      <c r="A69" t="s">
        <v>372</v>
      </c>
      <c r="B69" t="s">
        <v>373</v>
      </c>
    </row>
    <row r="70" spans="1:2" x14ac:dyDescent="0.45">
      <c r="A70" t="s">
        <v>374</v>
      </c>
      <c r="B70" t="s">
        <v>375</v>
      </c>
    </row>
    <row r="71" spans="1:2" x14ac:dyDescent="0.45">
      <c r="A71" t="s">
        <v>376</v>
      </c>
      <c r="B71" t="s">
        <v>377</v>
      </c>
    </row>
    <row r="72" spans="1:2" x14ac:dyDescent="0.45">
      <c r="A72" t="s">
        <v>378</v>
      </c>
      <c r="B72" t="s">
        <v>379</v>
      </c>
    </row>
    <row r="73" spans="1:2" x14ac:dyDescent="0.45">
      <c r="A73" t="s">
        <v>380</v>
      </c>
      <c r="B73" t="s">
        <v>381</v>
      </c>
    </row>
    <row r="74" spans="1:2" x14ac:dyDescent="0.45">
      <c r="A74" t="s">
        <v>382</v>
      </c>
      <c r="B74" t="s">
        <v>383</v>
      </c>
    </row>
    <row r="75" spans="1:2" x14ac:dyDescent="0.45">
      <c r="A75" t="s">
        <v>384</v>
      </c>
      <c r="B75" t="s">
        <v>385</v>
      </c>
    </row>
    <row r="76" spans="1:2" x14ac:dyDescent="0.45">
      <c r="A76" t="s">
        <v>386</v>
      </c>
      <c r="B76" t="s">
        <v>387</v>
      </c>
    </row>
    <row r="77" spans="1:2" x14ac:dyDescent="0.45">
      <c r="A77" t="s">
        <v>388</v>
      </c>
      <c r="B77" t="s">
        <v>389</v>
      </c>
    </row>
    <row r="78" spans="1:2" x14ac:dyDescent="0.45">
      <c r="A78" t="s">
        <v>390</v>
      </c>
      <c r="B78" t="s">
        <v>391</v>
      </c>
    </row>
    <row r="79" spans="1:2" x14ac:dyDescent="0.45">
      <c r="A79" t="s">
        <v>392</v>
      </c>
      <c r="B79" t="s">
        <v>393</v>
      </c>
    </row>
    <row r="80" spans="1:2" x14ac:dyDescent="0.45">
      <c r="A80" t="s">
        <v>394</v>
      </c>
      <c r="B80" t="s">
        <v>395</v>
      </c>
    </row>
    <row r="82" spans="1:1" x14ac:dyDescent="0.45">
      <c r="A82" t="s">
        <v>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1"/>
  <sheetViews>
    <sheetView zoomScaleNormal="100" workbookViewId="0"/>
  </sheetViews>
  <sheetFormatPr defaultRowHeight="15" customHeight="1" x14ac:dyDescent="0.45"/>
  <cols>
    <col min="1" max="1" width="53.33203125" customWidth="1"/>
    <col min="2" max="2" width="33.33203125" customWidth="1"/>
    <col min="3" max="3" width="53.33203125" customWidth="1"/>
  </cols>
  <sheetData>
    <row r="1" spans="1:3" x14ac:dyDescent="0.45">
      <c r="A1" t="s">
        <v>397</v>
      </c>
    </row>
    <row r="2" spans="1:3" x14ac:dyDescent="0.45">
      <c r="A2" t="s">
        <v>398</v>
      </c>
    </row>
    <row r="4" spans="1:3" x14ac:dyDescent="0.45">
      <c r="A4" t="s">
        <v>399</v>
      </c>
    </row>
    <row r="5" spans="1:3" x14ac:dyDescent="0.45">
      <c r="A5" t="s">
        <v>400</v>
      </c>
    </row>
    <row r="7" spans="1:3" x14ac:dyDescent="0.45">
      <c r="A7" t="s">
        <v>401</v>
      </c>
    </row>
    <row r="8" spans="1:3" x14ac:dyDescent="0.45">
      <c r="A8" t="s">
        <v>402</v>
      </c>
      <c r="B8" t="s">
        <v>403</v>
      </c>
      <c r="C8" t="s">
        <v>404</v>
      </c>
    </row>
    <row r="9" spans="1:3" x14ac:dyDescent="0.45">
      <c r="A9" t="s">
        <v>405</v>
      </c>
      <c r="B9" t="s">
        <v>406</v>
      </c>
      <c r="C9" t="s">
        <v>407</v>
      </c>
    </row>
    <row r="10" spans="1:3" x14ac:dyDescent="0.45">
      <c r="A10" t="s">
        <v>408</v>
      </c>
      <c r="B10" t="s">
        <v>409</v>
      </c>
      <c r="C10" t="s">
        <v>410</v>
      </c>
    </row>
    <row r="11" spans="1:3" x14ac:dyDescent="0.45">
      <c r="A11" t="s">
        <v>411</v>
      </c>
      <c r="B11" t="s">
        <v>412</v>
      </c>
      <c r="C11" t="s">
        <v>413</v>
      </c>
    </row>
    <row r="12" spans="1:3" x14ac:dyDescent="0.45">
      <c r="A12" t="s">
        <v>414</v>
      </c>
      <c r="B12" t="s">
        <v>415</v>
      </c>
      <c r="C12" t="s">
        <v>416</v>
      </c>
    </row>
    <row r="13" spans="1:3" x14ac:dyDescent="0.45">
      <c r="A13" t="s">
        <v>417</v>
      </c>
      <c r="B13" t="s">
        <v>418</v>
      </c>
      <c r="C13" t="s">
        <v>419</v>
      </c>
    </row>
    <row r="14" spans="1:3" x14ac:dyDescent="0.45">
      <c r="A14" t="s">
        <v>420</v>
      </c>
      <c r="B14" t="s">
        <v>421</v>
      </c>
      <c r="C14" t="s">
        <v>422</v>
      </c>
    </row>
    <row r="15" spans="1:3" x14ac:dyDescent="0.45">
      <c r="A15" t="s">
        <v>423</v>
      </c>
      <c r="B15" t="s">
        <v>424</v>
      </c>
      <c r="C15" t="s">
        <v>425</v>
      </c>
    </row>
    <row r="16" spans="1:3" x14ac:dyDescent="0.45">
      <c r="A16" t="s">
        <v>426</v>
      </c>
      <c r="B16" t="s">
        <v>424</v>
      </c>
      <c r="C16" t="s">
        <v>427</v>
      </c>
    </row>
    <row r="17" spans="1:3" x14ac:dyDescent="0.45">
      <c r="A17" t="s">
        <v>428</v>
      </c>
      <c r="B17" t="s">
        <v>429</v>
      </c>
      <c r="C17" t="s">
        <v>430</v>
      </c>
    </row>
    <row r="18" spans="1:3" x14ac:dyDescent="0.45">
      <c r="A18" t="s">
        <v>431</v>
      </c>
      <c r="B18" t="s">
        <v>432</v>
      </c>
      <c r="C18" t="s">
        <v>433</v>
      </c>
    </row>
    <row r="19" spans="1:3" x14ac:dyDescent="0.45">
      <c r="A19" t="s">
        <v>434</v>
      </c>
      <c r="B19" t="s">
        <v>435</v>
      </c>
      <c r="C19" t="s">
        <v>436</v>
      </c>
    </row>
    <row r="20" spans="1:3" x14ac:dyDescent="0.45">
      <c r="A20" t="s">
        <v>437</v>
      </c>
      <c r="B20" t="s">
        <v>71</v>
      </c>
      <c r="C20" t="s">
        <v>438</v>
      </c>
    </row>
    <row r="21" spans="1:3" x14ac:dyDescent="0.45">
      <c r="A21" t="s">
        <v>439</v>
      </c>
      <c r="B21" t="s">
        <v>440</v>
      </c>
      <c r="C21" t="s">
        <v>441</v>
      </c>
    </row>
    <row r="23" spans="1:3" x14ac:dyDescent="0.45">
      <c r="A23" t="s">
        <v>442</v>
      </c>
    </row>
    <row r="24" spans="1:3" x14ac:dyDescent="0.45">
      <c r="A24" t="s">
        <v>443</v>
      </c>
    </row>
    <row r="25" spans="1:3" x14ac:dyDescent="0.45">
      <c r="A25" t="s">
        <v>444</v>
      </c>
    </row>
    <row r="27" spans="1:3" x14ac:dyDescent="0.45">
      <c r="A27" t="s">
        <v>445</v>
      </c>
    </row>
    <row r="28" spans="1:3" x14ac:dyDescent="0.45">
      <c r="A28" t="s">
        <v>446</v>
      </c>
    </row>
    <row r="29" spans="1:3" x14ac:dyDescent="0.45">
      <c r="A29" t="s">
        <v>447</v>
      </c>
    </row>
    <row r="31" spans="1:3" x14ac:dyDescent="0.45">
      <c r="A31" t="s">
        <v>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"/>
  <sheetViews>
    <sheetView zoomScaleNormal="100" workbookViewId="0"/>
  </sheetViews>
  <sheetFormatPr defaultRowHeight="15" customHeight="1" x14ac:dyDescent="0.45"/>
  <cols>
    <col min="1" max="1" width="23.33203125" customWidth="1"/>
    <col min="2" max="2" width="30" customWidth="1"/>
    <col min="3" max="3" width="33.33203125" customWidth="1"/>
    <col min="4" max="5" width="21.6640625" customWidth="1"/>
    <col min="6" max="6" width="23.33203125" customWidth="1"/>
    <col min="7" max="8" width="21.6640625" customWidth="1"/>
    <col min="9" max="9" width="13.33203125" customWidth="1"/>
    <col min="10" max="10" width="43.33203125" customWidth="1"/>
  </cols>
  <sheetData>
    <row r="1" spans="1:10" x14ac:dyDescent="0.45">
      <c r="A1" t="s">
        <v>449</v>
      </c>
      <c r="B1" t="s">
        <v>37</v>
      </c>
      <c r="C1" t="s">
        <v>450</v>
      </c>
      <c r="D1" t="s">
        <v>93</v>
      </c>
      <c r="E1" t="s">
        <v>451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</row>
    <row r="2" spans="1:10" x14ac:dyDescent="0.45">
      <c r="A2" t="s">
        <v>457</v>
      </c>
      <c r="B2" t="s">
        <v>51</v>
      </c>
      <c r="C2" t="s">
        <v>458</v>
      </c>
      <c r="D2" t="s">
        <v>109</v>
      </c>
      <c r="E2" t="s">
        <v>109</v>
      </c>
      <c r="F2" t="s">
        <v>72</v>
      </c>
      <c r="G2" t="s">
        <v>459</v>
      </c>
      <c r="H2" t="s">
        <v>54</v>
      </c>
      <c r="I2" t="s">
        <v>54</v>
      </c>
      <c r="J2" t="s">
        <v>357</v>
      </c>
    </row>
    <row r="3" spans="1:10" x14ac:dyDescent="0.45">
      <c r="A3" t="s">
        <v>460</v>
      </c>
      <c r="B3" t="s">
        <v>221</v>
      </c>
      <c r="C3" t="s">
        <v>461</v>
      </c>
      <c r="D3" t="s">
        <v>462</v>
      </c>
      <c r="E3" t="s">
        <v>463</v>
      </c>
      <c r="F3" t="s">
        <v>55</v>
      </c>
      <c r="G3" t="s">
        <v>142</v>
      </c>
      <c r="H3" t="s">
        <v>53</v>
      </c>
      <c r="I3" t="s">
        <v>53</v>
      </c>
      <c r="J3" t="s">
        <v>358</v>
      </c>
    </row>
    <row r="4" spans="1:10" x14ac:dyDescent="0.45">
      <c r="A4" t="s">
        <v>464</v>
      </c>
      <c r="B4" t="s">
        <v>222</v>
      </c>
      <c r="C4" t="s">
        <v>62</v>
      </c>
      <c r="D4" t="s">
        <v>105</v>
      </c>
      <c r="E4" t="s">
        <v>105</v>
      </c>
      <c r="F4" t="s">
        <v>63</v>
      </c>
      <c r="G4" t="s">
        <v>465</v>
      </c>
      <c r="H4" t="s">
        <v>466</v>
      </c>
      <c r="J4" t="s">
        <v>359</v>
      </c>
    </row>
    <row r="5" spans="1:10" x14ac:dyDescent="0.45">
      <c r="A5" t="s">
        <v>467</v>
      </c>
      <c r="B5" t="s">
        <v>223</v>
      </c>
      <c r="C5" t="s">
        <v>468</v>
      </c>
      <c r="D5" t="s">
        <v>469</v>
      </c>
      <c r="E5" t="s">
        <v>470</v>
      </c>
      <c r="G5" t="s">
        <v>471</v>
      </c>
      <c r="J5" t="s">
        <v>360</v>
      </c>
    </row>
    <row r="6" spans="1:10" x14ac:dyDescent="0.45">
      <c r="A6" t="s">
        <v>472</v>
      </c>
      <c r="B6" t="s">
        <v>70</v>
      </c>
      <c r="C6" t="s">
        <v>78</v>
      </c>
      <c r="D6" t="s">
        <v>473</v>
      </c>
      <c r="E6" t="s">
        <v>474</v>
      </c>
    </row>
    <row r="7" spans="1:10" x14ac:dyDescent="0.45">
      <c r="A7" t="s">
        <v>475</v>
      </c>
      <c r="B7" t="s">
        <v>224</v>
      </c>
      <c r="C7" t="s">
        <v>52</v>
      </c>
    </row>
    <row r="8" spans="1:10" x14ac:dyDescent="0.45">
      <c r="A8" t="s">
        <v>476</v>
      </c>
      <c r="C8" t="s">
        <v>477</v>
      </c>
    </row>
    <row r="9" spans="1:10" x14ac:dyDescent="0.45">
      <c r="A9" t="s">
        <v>68</v>
      </c>
      <c r="C9" t="s">
        <v>478</v>
      </c>
    </row>
    <row r="10" spans="1:10" x14ac:dyDescent="0.45">
      <c r="A10" t="s">
        <v>479</v>
      </c>
      <c r="C10" t="s">
        <v>84</v>
      </c>
    </row>
    <row r="11" spans="1:10" x14ac:dyDescent="0.45">
      <c r="A11" t="s">
        <v>60</v>
      </c>
      <c r="C11" t="s">
        <v>480</v>
      </c>
    </row>
    <row r="12" spans="1:10" x14ac:dyDescent="0.45">
      <c r="A12" t="s">
        <v>83</v>
      </c>
      <c r="C12" t="s">
        <v>481</v>
      </c>
    </row>
    <row r="13" spans="1:10" x14ac:dyDescent="0.45">
      <c r="A13" t="s">
        <v>482</v>
      </c>
      <c r="C13" t="s">
        <v>483</v>
      </c>
    </row>
    <row r="14" spans="1:10" x14ac:dyDescent="0.45">
      <c r="A14" t="s">
        <v>49</v>
      </c>
      <c r="C14" t="s">
        <v>484</v>
      </c>
    </row>
    <row r="15" spans="1:10" x14ac:dyDescent="0.45">
      <c r="A15" t="s">
        <v>77</v>
      </c>
    </row>
    <row r="17" spans="1:1" x14ac:dyDescent="0.45">
      <c r="A17" t="s">
        <v>485</v>
      </c>
    </row>
    <row r="18" spans="1:1" x14ac:dyDescent="0.45">
      <c r="A18" t="s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SPED Student Roster</vt:lpstr>
      <vt:lpstr>IEP Tracker</vt:lpstr>
      <vt:lpstr>504 Plan Tracker</vt:lpstr>
      <vt:lpstr>Dyslexia-HB 3928</vt:lpstr>
      <vt:lpstr>CAP Findings</vt:lpstr>
      <vt:lpstr>SPPI-13 Transition</vt:lpstr>
      <vt:lpstr>Dashboard</vt:lpstr>
      <vt:lpstr>📋 Compliance Health Board</vt:lpstr>
      <vt:lpstr>Reference</vt:lpstr>
      <vt:lpstr>↑ Upgrade to Meridian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Kim Culley</cp:lastModifiedBy>
  <dcterms:created xsi:type="dcterms:W3CDTF">2026-03-24T22:54:00Z</dcterms:created>
  <dcterms:modified xsi:type="dcterms:W3CDTF">2026-07-14T19:41:28Z</dcterms:modified>
</cp:coreProperties>
</file>