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kcul\waypoint-intelligent-design-daep-master\products\campus-leadership-system\"/>
    </mc:Choice>
  </mc:AlternateContent>
  <xr:revisionPtr revIDLastSave="0" documentId="13_ncr:1_{00C236FC-3A26-44D7-A68F-3C116479DF06}" xr6:coauthVersionLast="47" xr6:coauthVersionMax="47" xr10:uidLastSave="{00000000-0000-0000-0000-000000000000}"/>
  <bookViews>
    <workbookView xWindow="2940" yWindow="2940" windowWidth="16200" windowHeight="9982" xr2:uid="{00000000-000D-0000-FFFF-FFFF00000000}"/>
  </bookViews>
  <sheets>
    <sheet name="Cover" sheetId="1" r:id="rId1"/>
    <sheet name="Roster" sheetId="2" r:id="rId2"/>
    <sheet name="Referral Log" sheetId="3" r:id="rId3"/>
    <sheet name="ISS-OSS Placements" sheetId="4" r:id="rId4"/>
    <sheet name="Student Supports" sheetId="5" r:id="rId5"/>
    <sheet name="Risk Score Calculator" sheetId="6" r:id="rId6"/>
    <sheet name="Dashboard" sheetId="7" r:id="rId7"/>
    <sheet name="🚨 Risk Alert Board" sheetId="8" r:id="rId8"/>
    <sheet name="Reference" sheetId="9" r:id="rId9"/>
    <sheet name="↑ Upgrade to Navigator" sheetId="10" r:id="rId10"/>
    <sheet name="Lis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8" l="1"/>
  <c r="B35" i="8"/>
  <c r="B34" i="8"/>
  <c r="B33" i="8"/>
  <c r="B32" i="8"/>
  <c r="G29" i="8"/>
  <c r="F29" i="8"/>
  <c r="E29" i="8"/>
  <c r="D29" i="8"/>
  <c r="C29" i="8"/>
  <c r="B29" i="8"/>
  <c r="A29" i="8"/>
  <c r="G28" i="8"/>
  <c r="F28" i="8"/>
  <c r="E28" i="8"/>
  <c r="D28" i="8"/>
  <c r="C28" i="8"/>
  <c r="B28" i="8"/>
  <c r="A28" i="8"/>
  <c r="G27" i="8"/>
  <c r="F27" i="8"/>
  <c r="E27" i="8"/>
  <c r="D27" i="8"/>
  <c r="C27" i="8"/>
  <c r="B27" i="8"/>
  <c r="A27" i="8"/>
  <c r="G26" i="8"/>
  <c r="F26" i="8"/>
  <c r="E26" i="8"/>
  <c r="D26" i="8"/>
  <c r="C26" i="8"/>
  <c r="B26" i="8"/>
  <c r="A26" i="8"/>
  <c r="G25" i="8"/>
  <c r="F25" i="8"/>
  <c r="E25" i="8"/>
  <c r="D25" i="8"/>
  <c r="C25" i="8"/>
  <c r="B25" i="8"/>
  <c r="A25" i="8"/>
  <c r="G24" i="8"/>
  <c r="F24" i="8"/>
  <c r="E24" i="8"/>
  <c r="D24" i="8"/>
  <c r="C24" i="8"/>
  <c r="B24" i="8"/>
  <c r="A24" i="8"/>
  <c r="G23" i="8"/>
  <c r="F23" i="8"/>
  <c r="E23" i="8"/>
  <c r="D23" i="8"/>
  <c r="C23" i="8"/>
  <c r="B23" i="8"/>
  <c r="A23" i="8"/>
  <c r="G22" i="8"/>
  <c r="F22" i="8"/>
  <c r="E22" i="8"/>
  <c r="D22" i="8"/>
  <c r="C22" i="8"/>
  <c r="B22" i="8"/>
  <c r="A22" i="8"/>
  <c r="G21" i="8"/>
  <c r="F21" i="8"/>
  <c r="E21" i="8"/>
  <c r="D21" i="8"/>
  <c r="C21" i="8"/>
  <c r="B21" i="8"/>
  <c r="A21" i="8"/>
  <c r="G20" i="8"/>
  <c r="F20" i="8"/>
  <c r="E20" i="8"/>
  <c r="D20" i="8"/>
  <c r="C20" i="8"/>
  <c r="B20" i="8"/>
  <c r="A20" i="8"/>
  <c r="F16" i="8"/>
  <c r="D16" i="8"/>
  <c r="C16" i="8"/>
  <c r="B16" i="8"/>
  <c r="A16" i="8"/>
  <c r="F15" i="8"/>
  <c r="D15" i="8"/>
  <c r="C15" i="8"/>
  <c r="B15" i="8"/>
  <c r="A15" i="8"/>
  <c r="F14" i="8"/>
  <c r="D14" i="8"/>
  <c r="C14" i="8"/>
  <c r="B14" i="8"/>
  <c r="A14" i="8"/>
  <c r="F13" i="8"/>
  <c r="D13" i="8"/>
  <c r="C13" i="8"/>
  <c r="B13" i="8"/>
  <c r="A13" i="8"/>
  <c r="F12" i="8"/>
  <c r="D12" i="8"/>
  <c r="C12" i="8"/>
  <c r="B12" i="8"/>
  <c r="A12" i="8"/>
  <c r="F11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F7" i="8"/>
  <c r="D7" i="8"/>
  <c r="C7" i="8"/>
  <c r="B7" i="8"/>
  <c r="A7" i="8"/>
  <c r="A2" i="8"/>
  <c r="B48" i="7"/>
  <c r="B47" i="7"/>
  <c r="B46" i="7"/>
  <c r="B45" i="7"/>
  <c r="B44" i="7"/>
  <c r="B43" i="7"/>
  <c r="B42" i="7"/>
  <c r="B41" i="7"/>
  <c r="B40" i="7"/>
  <c r="B39" i="7"/>
  <c r="B38" i="7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3" i="7"/>
  <c r="B12" i="7"/>
  <c r="B10" i="7"/>
  <c r="B8" i="7"/>
  <c r="B7" i="7"/>
  <c r="B6" i="7"/>
  <c r="B5" i="7"/>
  <c r="A2" i="7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B14" i="7" s="1"/>
  <c r="N201" i="5"/>
  <c r="O201" i="5" s="1"/>
  <c r="E201" i="5"/>
  <c r="D201" i="5"/>
  <c r="C201" i="5"/>
  <c r="N200" i="5"/>
  <c r="O200" i="5" s="1"/>
  <c r="E200" i="5"/>
  <c r="D200" i="5"/>
  <c r="C200" i="5"/>
  <c r="N199" i="5"/>
  <c r="O199" i="5" s="1"/>
  <c r="E199" i="5"/>
  <c r="D199" i="5"/>
  <c r="C199" i="5"/>
  <c r="N198" i="5"/>
  <c r="O198" i="5" s="1"/>
  <c r="E198" i="5"/>
  <c r="D198" i="5"/>
  <c r="C198" i="5"/>
  <c r="N197" i="5"/>
  <c r="O197" i="5" s="1"/>
  <c r="E197" i="5"/>
  <c r="D197" i="5"/>
  <c r="C197" i="5"/>
  <c r="N196" i="5"/>
  <c r="O196" i="5" s="1"/>
  <c r="E196" i="5"/>
  <c r="D196" i="5"/>
  <c r="C196" i="5"/>
  <c r="N195" i="5"/>
  <c r="O195" i="5" s="1"/>
  <c r="E195" i="5"/>
  <c r="D195" i="5"/>
  <c r="C195" i="5"/>
  <c r="N194" i="5"/>
  <c r="O194" i="5" s="1"/>
  <c r="E194" i="5"/>
  <c r="D194" i="5"/>
  <c r="C194" i="5"/>
  <c r="N193" i="5"/>
  <c r="O193" i="5" s="1"/>
  <c r="E193" i="5"/>
  <c r="D193" i="5"/>
  <c r="C193" i="5"/>
  <c r="N192" i="5"/>
  <c r="O192" i="5" s="1"/>
  <c r="E192" i="5"/>
  <c r="D192" i="5"/>
  <c r="C192" i="5"/>
  <c r="N191" i="5"/>
  <c r="O191" i="5" s="1"/>
  <c r="E191" i="5"/>
  <c r="D191" i="5"/>
  <c r="C191" i="5"/>
  <c r="N190" i="5"/>
  <c r="O190" i="5" s="1"/>
  <c r="E190" i="5"/>
  <c r="D190" i="5"/>
  <c r="C190" i="5"/>
  <c r="N189" i="5"/>
  <c r="O189" i="5" s="1"/>
  <c r="E189" i="5"/>
  <c r="D189" i="5"/>
  <c r="C189" i="5"/>
  <c r="N188" i="5"/>
  <c r="O188" i="5" s="1"/>
  <c r="E188" i="5"/>
  <c r="D188" i="5"/>
  <c r="C188" i="5"/>
  <c r="N187" i="5"/>
  <c r="O187" i="5" s="1"/>
  <c r="E187" i="5"/>
  <c r="D187" i="5"/>
  <c r="C187" i="5"/>
  <c r="N186" i="5"/>
  <c r="O186" i="5" s="1"/>
  <c r="E186" i="5"/>
  <c r="D186" i="5"/>
  <c r="C186" i="5"/>
  <c r="N185" i="5"/>
  <c r="O185" i="5" s="1"/>
  <c r="E185" i="5"/>
  <c r="D185" i="5"/>
  <c r="C185" i="5"/>
  <c r="N184" i="5"/>
  <c r="O184" i="5" s="1"/>
  <c r="E184" i="5"/>
  <c r="D184" i="5"/>
  <c r="C184" i="5"/>
  <c r="N183" i="5"/>
  <c r="O183" i="5" s="1"/>
  <c r="E183" i="5"/>
  <c r="D183" i="5"/>
  <c r="C183" i="5"/>
  <c r="N182" i="5"/>
  <c r="O182" i="5" s="1"/>
  <c r="E182" i="5"/>
  <c r="D182" i="5"/>
  <c r="C182" i="5"/>
  <c r="N181" i="5"/>
  <c r="O181" i="5" s="1"/>
  <c r="E181" i="5"/>
  <c r="D181" i="5"/>
  <c r="C181" i="5"/>
  <c r="N180" i="5"/>
  <c r="O180" i="5" s="1"/>
  <c r="E180" i="5"/>
  <c r="D180" i="5"/>
  <c r="C180" i="5"/>
  <c r="N179" i="5"/>
  <c r="O179" i="5" s="1"/>
  <c r="E179" i="5"/>
  <c r="D179" i="5"/>
  <c r="C179" i="5"/>
  <c r="N178" i="5"/>
  <c r="O178" i="5" s="1"/>
  <c r="E178" i="5"/>
  <c r="D178" i="5"/>
  <c r="C178" i="5"/>
  <c r="N177" i="5"/>
  <c r="O177" i="5" s="1"/>
  <c r="E177" i="5"/>
  <c r="D177" i="5"/>
  <c r="C177" i="5"/>
  <c r="N176" i="5"/>
  <c r="O176" i="5" s="1"/>
  <c r="E176" i="5"/>
  <c r="D176" i="5"/>
  <c r="C176" i="5"/>
  <c r="N175" i="5"/>
  <c r="O175" i="5" s="1"/>
  <c r="E175" i="5"/>
  <c r="D175" i="5"/>
  <c r="C175" i="5"/>
  <c r="N174" i="5"/>
  <c r="O174" i="5" s="1"/>
  <c r="E174" i="5"/>
  <c r="D174" i="5"/>
  <c r="C174" i="5"/>
  <c r="N173" i="5"/>
  <c r="O173" i="5" s="1"/>
  <c r="E173" i="5"/>
  <c r="D173" i="5"/>
  <c r="C173" i="5"/>
  <c r="N172" i="5"/>
  <c r="O172" i="5" s="1"/>
  <c r="E172" i="5"/>
  <c r="D172" i="5"/>
  <c r="C172" i="5"/>
  <c r="N171" i="5"/>
  <c r="O171" i="5" s="1"/>
  <c r="E171" i="5"/>
  <c r="D171" i="5"/>
  <c r="C171" i="5"/>
  <c r="N170" i="5"/>
  <c r="O170" i="5" s="1"/>
  <c r="E170" i="5"/>
  <c r="D170" i="5"/>
  <c r="C170" i="5"/>
  <c r="N169" i="5"/>
  <c r="O169" i="5" s="1"/>
  <c r="E169" i="5"/>
  <c r="D169" i="5"/>
  <c r="C169" i="5"/>
  <c r="N168" i="5"/>
  <c r="O168" i="5" s="1"/>
  <c r="E168" i="5"/>
  <c r="D168" i="5"/>
  <c r="C168" i="5"/>
  <c r="N167" i="5"/>
  <c r="O167" i="5" s="1"/>
  <c r="E167" i="5"/>
  <c r="D167" i="5"/>
  <c r="C167" i="5"/>
  <c r="N166" i="5"/>
  <c r="O166" i="5" s="1"/>
  <c r="E166" i="5"/>
  <c r="D166" i="5"/>
  <c r="C166" i="5"/>
  <c r="N165" i="5"/>
  <c r="O165" i="5" s="1"/>
  <c r="E165" i="5"/>
  <c r="D165" i="5"/>
  <c r="C165" i="5"/>
  <c r="N164" i="5"/>
  <c r="O164" i="5" s="1"/>
  <c r="E164" i="5"/>
  <c r="D164" i="5"/>
  <c r="C164" i="5"/>
  <c r="N163" i="5"/>
  <c r="O163" i="5" s="1"/>
  <c r="E163" i="5"/>
  <c r="D163" i="5"/>
  <c r="C163" i="5"/>
  <c r="N162" i="5"/>
  <c r="O162" i="5" s="1"/>
  <c r="E162" i="5"/>
  <c r="D162" i="5"/>
  <c r="C162" i="5"/>
  <c r="N161" i="5"/>
  <c r="O161" i="5" s="1"/>
  <c r="E161" i="5"/>
  <c r="D161" i="5"/>
  <c r="C161" i="5"/>
  <c r="N160" i="5"/>
  <c r="O160" i="5" s="1"/>
  <c r="E160" i="5"/>
  <c r="D160" i="5"/>
  <c r="C160" i="5"/>
  <c r="N159" i="5"/>
  <c r="O159" i="5" s="1"/>
  <c r="E159" i="5"/>
  <c r="D159" i="5"/>
  <c r="C159" i="5"/>
  <c r="N158" i="5"/>
  <c r="O158" i="5" s="1"/>
  <c r="E158" i="5"/>
  <c r="D158" i="5"/>
  <c r="C158" i="5"/>
  <c r="N157" i="5"/>
  <c r="O157" i="5" s="1"/>
  <c r="E157" i="5"/>
  <c r="D157" i="5"/>
  <c r="C157" i="5"/>
  <c r="N156" i="5"/>
  <c r="O156" i="5" s="1"/>
  <c r="E156" i="5"/>
  <c r="D156" i="5"/>
  <c r="C156" i="5"/>
  <c r="N155" i="5"/>
  <c r="O155" i="5" s="1"/>
  <c r="E155" i="5"/>
  <c r="D155" i="5"/>
  <c r="C155" i="5"/>
  <c r="N154" i="5"/>
  <c r="O154" i="5" s="1"/>
  <c r="E154" i="5"/>
  <c r="D154" i="5"/>
  <c r="C154" i="5"/>
  <c r="N153" i="5"/>
  <c r="O153" i="5" s="1"/>
  <c r="E153" i="5"/>
  <c r="D153" i="5"/>
  <c r="C153" i="5"/>
  <c r="N152" i="5"/>
  <c r="O152" i="5" s="1"/>
  <c r="E152" i="5"/>
  <c r="D152" i="5"/>
  <c r="C152" i="5"/>
  <c r="N151" i="5"/>
  <c r="O151" i="5" s="1"/>
  <c r="E151" i="5"/>
  <c r="D151" i="5"/>
  <c r="C151" i="5"/>
  <c r="N150" i="5"/>
  <c r="O150" i="5" s="1"/>
  <c r="E150" i="5"/>
  <c r="D150" i="5"/>
  <c r="C150" i="5"/>
  <c r="N149" i="5"/>
  <c r="O149" i="5" s="1"/>
  <c r="E149" i="5"/>
  <c r="D149" i="5"/>
  <c r="C149" i="5"/>
  <c r="N148" i="5"/>
  <c r="O148" i="5" s="1"/>
  <c r="E148" i="5"/>
  <c r="D148" i="5"/>
  <c r="C148" i="5"/>
  <c r="N147" i="5"/>
  <c r="O147" i="5" s="1"/>
  <c r="E147" i="5"/>
  <c r="D147" i="5"/>
  <c r="C147" i="5"/>
  <c r="N146" i="5"/>
  <c r="O146" i="5" s="1"/>
  <c r="E146" i="5"/>
  <c r="D146" i="5"/>
  <c r="C146" i="5"/>
  <c r="N145" i="5"/>
  <c r="O145" i="5" s="1"/>
  <c r="E145" i="5"/>
  <c r="D145" i="5"/>
  <c r="C145" i="5"/>
  <c r="N144" i="5"/>
  <c r="O144" i="5" s="1"/>
  <c r="E144" i="5"/>
  <c r="D144" i="5"/>
  <c r="C144" i="5"/>
  <c r="N143" i="5"/>
  <c r="O143" i="5" s="1"/>
  <c r="E143" i="5"/>
  <c r="D143" i="5"/>
  <c r="C143" i="5"/>
  <c r="N142" i="5"/>
  <c r="O142" i="5" s="1"/>
  <c r="E142" i="5"/>
  <c r="D142" i="5"/>
  <c r="C142" i="5"/>
  <c r="N141" i="5"/>
  <c r="O141" i="5" s="1"/>
  <c r="E141" i="5"/>
  <c r="D141" i="5"/>
  <c r="C141" i="5"/>
  <c r="N140" i="5"/>
  <c r="O140" i="5" s="1"/>
  <c r="E140" i="5"/>
  <c r="D140" i="5"/>
  <c r="C140" i="5"/>
  <c r="N139" i="5"/>
  <c r="O139" i="5" s="1"/>
  <c r="E139" i="5"/>
  <c r="D139" i="5"/>
  <c r="C139" i="5"/>
  <c r="N138" i="5"/>
  <c r="O138" i="5" s="1"/>
  <c r="E138" i="5"/>
  <c r="D138" i="5"/>
  <c r="C138" i="5"/>
  <c r="N137" i="5"/>
  <c r="O137" i="5" s="1"/>
  <c r="E137" i="5"/>
  <c r="D137" i="5"/>
  <c r="C137" i="5"/>
  <c r="N136" i="5"/>
  <c r="O136" i="5" s="1"/>
  <c r="E136" i="5"/>
  <c r="D136" i="5"/>
  <c r="C136" i="5"/>
  <c r="N135" i="5"/>
  <c r="O135" i="5" s="1"/>
  <c r="E135" i="5"/>
  <c r="D135" i="5"/>
  <c r="C135" i="5"/>
  <c r="N134" i="5"/>
  <c r="O134" i="5" s="1"/>
  <c r="E134" i="5"/>
  <c r="D134" i="5"/>
  <c r="C134" i="5"/>
  <c r="N133" i="5"/>
  <c r="O133" i="5" s="1"/>
  <c r="E133" i="5"/>
  <c r="D133" i="5"/>
  <c r="C133" i="5"/>
  <c r="N132" i="5"/>
  <c r="O132" i="5" s="1"/>
  <c r="E132" i="5"/>
  <c r="D132" i="5"/>
  <c r="C132" i="5"/>
  <c r="N131" i="5"/>
  <c r="O131" i="5" s="1"/>
  <c r="E131" i="5"/>
  <c r="D131" i="5"/>
  <c r="C131" i="5"/>
  <c r="N130" i="5"/>
  <c r="O130" i="5" s="1"/>
  <c r="E130" i="5"/>
  <c r="D130" i="5"/>
  <c r="C130" i="5"/>
  <c r="N129" i="5"/>
  <c r="O129" i="5" s="1"/>
  <c r="E129" i="5"/>
  <c r="D129" i="5"/>
  <c r="C129" i="5"/>
  <c r="N128" i="5"/>
  <c r="O128" i="5" s="1"/>
  <c r="E128" i="5"/>
  <c r="D128" i="5"/>
  <c r="C128" i="5"/>
  <c r="N127" i="5"/>
  <c r="O127" i="5" s="1"/>
  <c r="E127" i="5"/>
  <c r="D127" i="5"/>
  <c r="C127" i="5"/>
  <c r="N126" i="5"/>
  <c r="O126" i="5" s="1"/>
  <c r="E126" i="5"/>
  <c r="D126" i="5"/>
  <c r="C126" i="5"/>
  <c r="N125" i="5"/>
  <c r="O125" i="5" s="1"/>
  <c r="E125" i="5"/>
  <c r="D125" i="5"/>
  <c r="C125" i="5"/>
  <c r="N124" i="5"/>
  <c r="O124" i="5" s="1"/>
  <c r="E124" i="5"/>
  <c r="D124" i="5"/>
  <c r="C124" i="5"/>
  <c r="N123" i="5"/>
  <c r="O123" i="5" s="1"/>
  <c r="E123" i="5"/>
  <c r="D123" i="5"/>
  <c r="C123" i="5"/>
  <c r="N122" i="5"/>
  <c r="O122" i="5" s="1"/>
  <c r="E122" i="5"/>
  <c r="D122" i="5"/>
  <c r="C122" i="5"/>
  <c r="N121" i="5"/>
  <c r="O121" i="5" s="1"/>
  <c r="E121" i="5"/>
  <c r="D121" i="5"/>
  <c r="C121" i="5"/>
  <c r="N120" i="5"/>
  <c r="O120" i="5" s="1"/>
  <c r="E120" i="5"/>
  <c r="D120" i="5"/>
  <c r="C120" i="5"/>
  <c r="N119" i="5"/>
  <c r="O119" i="5" s="1"/>
  <c r="E119" i="5"/>
  <c r="D119" i="5"/>
  <c r="C119" i="5"/>
  <c r="N118" i="5"/>
  <c r="O118" i="5" s="1"/>
  <c r="E118" i="5"/>
  <c r="D118" i="5"/>
  <c r="C118" i="5"/>
  <c r="N117" i="5"/>
  <c r="O117" i="5" s="1"/>
  <c r="E117" i="5"/>
  <c r="D117" i="5"/>
  <c r="C117" i="5"/>
  <c r="N116" i="5"/>
  <c r="O116" i="5" s="1"/>
  <c r="E116" i="5"/>
  <c r="D116" i="5"/>
  <c r="C116" i="5"/>
  <c r="N115" i="5"/>
  <c r="O115" i="5" s="1"/>
  <c r="E115" i="5"/>
  <c r="D115" i="5"/>
  <c r="C115" i="5"/>
  <c r="N114" i="5"/>
  <c r="O114" i="5" s="1"/>
  <c r="E114" i="5"/>
  <c r="D114" i="5"/>
  <c r="C114" i="5"/>
  <c r="N113" i="5"/>
  <c r="O113" i="5" s="1"/>
  <c r="E113" i="5"/>
  <c r="D113" i="5"/>
  <c r="C113" i="5"/>
  <c r="N112" i="5"/>
  <c r="O112" i="5" s="1"/>
  <c r="E112" i="5"/>
  <c r="D112" i="5"/>
  <c r="C112" i="5"/>
  <c r="N111" i="5"/>
  <c r="O111" i="5" s="1"/>
  <c r="E111" i="5"/>
  <c r="D111" i="5"/>
  <c r="C111" i="5"/>
  <c r="N110" i="5"/>
  <c r="O110" i="5" s="1"/>
  <c r="E110" i="5"/>
  <c r="D110" i="5"/>
  <c r="C110" i="5"/>
  <c r="N109" i="5"/>
  <c r="O109" i="5" s="1"/>
  <c r="E109" i="5"/>
  <c r="D109" i="5"/>
  <c r="C109" i="5"/>
  <c r="N108" i="5"/>
  <c r="O108" i="5" s="1"/>
  <c r="E108" i="5"/>
  <c r="D108" i="5"/>
  <c r="C108" i="5"/>
  <c r="N107" i="5"/>
  <c r="O107" i="5" s="1"/>
  <c r="E107" i="5"/>
  <c r="D107" i="5"/>
  <c r="C107" i="5"/>
  <c r="N106" i="5"/>
  <c r="O106" i="5" s="1"/>
  <c r="E106" i="5"/>
  <c r="D106" i="5"/>
  <c r="C106" i="5"/>
  <c r="N105" i="5"/>
  <c r="O105" i="5" s="1"/>
  <c r="E105" i="5"/>
  <c r="D105" i="5"/>
  <c r="C105" i="5"/>
  <c r="N104" i="5"/>
  <c r="O104" i="5" s="1"/>
  <c r="E104" i="5"/>
  <c r="D104" i="5"/>
  <c r="C104" i="5"/>
  <c r="N103" i="5"/>
  <c r="O103" i="5" s="1"/>
  <c r="E103" i="5"/>
  <c r="D103" i="5"/>
  <c r="C103" i="5"/>
  <c r="N102" i="5"/>
  <c r="O102" i="5" s="1"/>
  <c r="E102" i="5"/>
  <c r="D102" i="5"/>
  <c r="C102" i="5"/>
  <c r="N101" i="5"/>
  <c r="O101" i="5" s="1"/>
  <c r="E101" i="5"/>
  <c r="D101" i="5"/>
  <c r="C101" i="5"/>
  <c r="N100" i="5"/>
  <c r="O100" i="5" s="1"/>
  <c r="E100" i="5"/>
  <c r="D100" i="5"/>
  <c r="C100" i="5"/>
  <c r="N99" i="5"/>
  <c r="O99" i="5" s="1"/>
  <c r="E99" i="5"/>
  <c r="D99" i="5"/>
  <c r="C99" i="5"/>
  <c r="N98" i="5"/>
  <c r="O98" i="5" s="1"/>
  <c r="E98" i="5"/>
  <c r="D98" i="5"/>
  <c r="C98" i="5"/>
  <c r="N97" i="5"/>
  <c r="O97" i="5" s="1"/>
  <c r="E97" i="5"/>
  <c r="D97" i="5"/>
  <c r="C97" i="5"/>
  <c r="N96" i="5"/>
  <c r="O96" i="5" s="1"/>
  <c r="E96" i="5"/>
  <c r="D96" i="5"/>
  <c r="C96" i="5"/>
  <c r="N95" i="5"/>
  <c r="O95" i="5" s="1"/>
  <c r="E95" i="5"/>
  <c r="D95" i="5"/>
  <c r="C95" i="5"/>
  <c r="N94" i="5"/>
  <c r="O94" i="5" s="1"/>
  <c r="E94" i="5"/>
  <c r="D94" i="5"/>
  <c r="C94" i="5"/>
  <c r="N93" i="5"/>
  <c r="O93" i="5" s="1"/>
  <c r="E93" i="5"/>
  <c r="D93" i="5"/>
  <c r="C93" i="5"/>
  <c r="N92" i="5"/>
  <c r="O92" i="5" s="1"/>
  <c r="E92" i="5"/>
  <c r="D92" i="5"/>
  <c r="C92" i="5"/>
  <c r="N91" i="5"/>
  <c r="O91" i="5" s="1"/>
  <c r="E91" i="5"/>
  <c r="D91" i="5"/>
  <c r="C91" i="5"/>
  <c r="N90" i="5"/>
  <c r="O90" i="5" s="1"/>
  <c r="E90" i="5"/>
  <c r="D90" i="5"/>
  <c r="C90" i="5"/>
  <c r="N89" i="5"/>
  <c r="O89" i="5" s="1"/>
  <c r="E89" i="5"/>
  <c r="D89" i="5"/>
  <c r="C89" i="5"/>
  <c r="N88" i="5"/>
  <c r="O88" i="5" s="1"/>
  <c r="E88" i="5"/>
  <c r="D88" i="5"/>
  <c r="C88" i="5"/>
  <c r="N87" i="5"/>
  <c r="O87" i="5" s="1"/>
  <c r="E87" i="5"/>
  <c r="D87" i="5"/>
  <c r="C87" i="5"/>
  <c r="N86" i="5"/>
  <c r="O86" i="5" s="1"/>
  <c r="E86" i="5"/>
  <c r="D86" i="5"/>
  <c r="C86" i="5"/>
  <c r="N85" i="5"/>
  <c r="O85" i="5" s="1"/>
  <c r="E85" i="5"/>
  <c r="D85" i="5"/>
  <c r="C85" i="5"/>
  <c r="N84" i="5"/>
  <c r="O84" i="5" s="1"/>
  <c r="E84" i="5"/>
  <c r="D84" i="5"/>
  <c r="C84" i="5"/>
  <c r="N83" i="5"/>
  <c r="O83" i="5" s="1"/>
  <c r="E83" i="5"/>
  <c r="D83" i="5"/>
  <c r="C83" i="5"/>
  <c r="N82" i="5"/>
  <c r="O82" i="5" s="1"/>
  <c r="E82" i="5"/>
  <c r="D82" i="5"/>
  <c r="C82" i="5"/>
  <c r="N81" i="5"/>
  <c r="O81" i="5" s="1"/>
  <c r="E81" i="5"/>
  <c r="D81" i="5"/>
  <c r="C81" i="5"/>
  <c r="N80" i="5"/>
  <c r="O80" i="5" s="1"/>
  <c r="E80" i="5"/>
  <c r="D80" i="5"/>
  <c r="C80" i="5"/>
  <c r="N79" i="5"/>
  <c r="O79" i="5" s="1"/>
  <c r="E79" i="5"/>
  <c r="D79" i="5"/>
  <c r="C79" i="5"/>
  <c r="N78" i="5"/>
  <c r="O78" i="5" s="1"/>
  <c r="E78" i="5"/>
  <c r="D78" i="5"/>
  <c r="C78" i="5"/>
  <c r="N77" i="5"/>
  <c r="O77" i="5" s="1"/>
  <c r="E77" i="5"/>
  <c r="D77" i="5"/>
  <c r="C77" i="5"/>
  <c r="N76" i="5"/>
  <c r="O76" i="5" s="1"/>
  <c r="E76" i="5"/>
  <c r="D76" i="5"/>
  <c r="C76" i="5"/>
  <c r="N75" i="5"/>
  <c r="O75" i="5" s="1"/>
  <c r="E75" i="5"/>
  <c r="D75" i="5"/>
  <c r="C75" i="5"/>
  <c r="N74" i="5"/>
  <c r="O74" i="5" s="1"/>
  <c r="E74" i="5"/>
  <c r="D74" i="5"/>
  <c r="C74" i="5"/>
  <c r="N73" i="5"/>
  <c r="O73" i="5" s="1"/>
  <c r="E73" i="5"/>
  <c r="D73" i="5"/>
  <c r="C73" i="5"/>
  <c r="N72" i="5"/>
  <c r="O72" i="5" s="1"/>
  <c r="E72" i="5"/>
  <c r="D72" i="5"/>
  <c r="C72" i="5"/>
  <c r="N71" i="5"/>
  <c r="O71" i="5" s="1"/>
  <c r="E71" i="5"/>
  <c r="D71" i="5"/>
  <c r="C71" i="5"/>
  <c r="N70" i="5"/>
  <c r="O70" i="5" s="1"/>
  <c r="E70" i="5"/>
  <c r="D70" i="5"/>
  <c r="C70" i="5"/>
  <c r="N69" i="5"/>
  <c r="O69" i="5" s="1"/>
  <c r="E69" i="5"/>
  <c r="D69" i="5"/>
  <c r="C69" i="5"/>
  <c r="N68" i="5"/>
  <c r="O68" i="5" s="1"/>
  <c r="E68" i="5"/>
  <c r="D68" i="5"/>
  <c r="C68" i="5"/>
  <c r="N67" i="5"/>
  <c r="O67" i="5" s="1"/>
  <c r="E67" i="5"/>
  <c r="D67" i="5"/>
  <c r="C67" i="5"/>
  <c r="N66" i="5"/>
  <c r="O66" i="5" s="1"/>
  <c r="E66" i="5"/>
  <c r="D66" i="5"/>
  <c r="C66" i="5"/>
  <c r="N65" i="5"/>
  <c r="O65" i="5" s="1"/>
  <c r="E65" i="5"/>
  <c r="D65" i="5"/>
  <c r="C65" i="5"/>
  <c r="N64" i="5"/>
  <c r="O64" i="5" s="1"/>
  <c r="E64" i="5"/>
  <c r="D64" i="5"/>
  <c r="C64" i="5"/>
  <c r="N63" i="5"/>
  <c r="O63" i="5" s="1"/>
  <c r="E63" i="5"/>
  <c r="D63" i="5"/>
  <c r="C63" i="5"/>
  <c r="N62" i="5"/>
  <c r="O62" i="5" s="1"/>
  <c r="E62" i="5"/>
  <c r="D62" i="5"/>
  <c r="C62" i="5"/>
  <c r="N61" i="5"/>
  <c r="O61" i="5" s="1"/>
  <c r="E61" i="5"/>
  <c r="D61" i="5"/>
  <c r="C61" i="5"/>
  <c r="N60" i="5"/>
  <c r="O60" i="5" s="1"/>
  <c r="E60" i="5"/>
  <c r="D60" i="5"/>
  <c r="C60" i="5"/>
  <c r="N59" i="5"/>
  <c r="O59" i="5" s="1"/>
  <c r="E59" i="5"/>
  <c r="D59" i="5"/>
  <c r="C59" i="5"/>
  <c r="N58" i="5"/>
  <c r="O58" i="5" s="1"/>
  <c r="E58" i="5"/>
  <c r="D58" i="5"/>
  <c r="C58" i="5"/>
  <c r="N57" i="5"/>
  <c r="O57" i="5" s="1"/>
  <c r="E57" i="5"/>
  <c r="D57" i="5"/>
  <c r="C57" i="5"/>
  <c r="N56" i="5"/>
  <c r="O56" i="5" s="1"/>
  <c r="E56" i="5"/>
  <c r="D56" i="5"/>
  <c r="C56" i="5"/>
  <c r="N55" i="5"/>
  <c r="O55" i="5" s="1"/>
  <c r="E55" i="5"/>
  <c r="D55" i="5"/>
  <c r="C55" i="5"/>
  <c r="N54" i="5"/>
  <c r="O54" i="5" s="1"/>
  <c r="E54" i="5"/>
  <c r="D54" i="5"/>
  <c r="C54" i="5"/>
  <c r="N53" i="5"/>
  <c r="O53" i="5" s="1"/>
  <c r="E53" i="5"/>
  <c r="D53" i="5"/>
  <c r="C53" i="5"/>
  <c r="N52" i="5"/>
  <c r="O52" i="5" s="1"/>
  <c r="E52" i="5"/>
  <c r="D52" i="5"/>
  <c r="C52" i="5"/>
  <c r="N51" i="5"/>
  <c r="O51" i="5" s="1"/>
  <c r="E51" i="5"/>
  <c r="D51" i="5"/>
  <c r="C51" i="5"/>
  <c r="N50" i="5"/>
  <c r="O50" i="5" s="1"/>
  <c r="E50" i="5"/>
  <c r="D50" i="5"/>
  <c r="C50" i="5"/>
  <c r="N49" i="5"/>
  <c r="O49" i="5" s="1"/>
  <c r="E49" i="5"/>
  <c r="D49" i="5"/>
  <c r="C49" i="5"/>
  <c r="N48" i="5"/>
  <c r="O48" i="5" s="1"/>
  <c r="E48" i="5"/>
  <c r="D48" i="5"/>
  <c r="C48" i="5"/>
  <c r="N47" i="5"/>
  <c r="O47" i="5" s="1"/>
  <c r="E47" i="5"/>
  <c r="D47" i="5"/>
  <c r="C47" i="5"/>
  <c r="N46" i="5"/>
  <c r="O46" i="5" s="1"/>
  <c r="E46" i="5"/>
  <c r="D46" i="5"/>
  <c r="C46" i="5"/>
  <c r="N45" i="5"/>
  <c r="O45" i="5" s="1"/>
  <c r="E45" i="5"/>
  <c r="D45" i="5"/>
  <c r="C45" i="5"/>
  <c r="N44" i="5"/>
  <c r="O44" i="5" s="1"/>
  <c r="E44" i="5"/>
  <c r="D44" i="5"/>
  <c r="C44" i="5"/>
  <c r="N43" i="5"/>
  <c r="O43" i="5" s="1"/>
  <c r="E43" i="5"/>
  <c r="D43" i="5"/>
  <c r="C43" i="5"/>
  <c r="N42" i="5"/>
  <c r="O42" i="5" s="1"/>
  <c r="E42" i="5"/>
  <c r="D42" i="5"/>
  <c r="C42" i="5"/>
  <c r="N41" i="5"/>
  <c r="O41" i="5" s="1"/>
  <c r="E41" i="5"/>
  <c r="D41" i="5"/>
  <c r="C41" i="5"/>
  <c r="N40" i="5"/>
  <c r="O40" i="5" s="1"/>
  <c r="E40" i="5"/>
  <c r="D40" i="5"/>
  <c r="C40" i="5"/>
  <c r="N39" i="5"/>
  <c r="O39" i="5" s="1"/>
  <c r="E39" i="5"/>
  <c r="D39" i="5"/>
  <c r="C39" i="5"/>
  <c r="N38" i="5"/>
  <c r="O38" i="5" s="1"/>
  <c r="E38" i="5"/>
  <c r="D38" i="5"/>
  <c r="C38" i="5"/>
  <c r="N37" i="5"/>
  <c r="O37" i="5" s="1"/>
  <c r="E37" i="5"/>
  <c r="D37" i="5"/>
  <c r="C37" i="5"/>
  <c r="N36" i="5"/>
  <c r="O36" i="5" s="1"/>
  <c r="E36" i="5"/>
  <c r="D36" i="5"/>
  <c r="C36" i="5"/>
  <c r="N35" i="5"/>
  <c r="O35" i="5" s="1"/>
  <c r="E35" i="5"/>
  <c r="D35" i="5"/>
  <c r="C35" i="5"/>
  <c r="N34" i="5"/>
  <c r="O34" i="5" s="1"/>
  <c r="E34" i="5"/>
  <c r="D34" i="5"/>
  <c r="C34" i="5"/>
  <c r="N33" i="5"/>
  <c r="O33" i="5" s="1"/>
  <c r="E33" i="5"/>
  <c r="D33" i="5"/>
  <c r="C33" i="5"/>
  <c r="N32" i="5"/>
  <c r="O32" i="5" s="1"/>
  <c r="E32" i="5"/>
  <c r="D32" i="5"/>
  <c r="C32" i="5"/>
  <c r="N31" i="5"/>
  <c r="O31" i="5" s="1"/>
  <c r="E31" i="5"/>
  <c r="D31" i="5"/>
  <c r="C31" i="5"/>
  <c r="N30" i="5"/>
  <c r="O30" i="5" s="1"/>
  <c r="E30" i="5"/>
  <c r="D30" i="5"/>
  <c r="C30" i="5"/>
  <c r="N29" i="5"/>
  <c r="O29" i="5" s="1"/>
  <c r="E29" i="5"/>
  <c r="D29" i="5"/>
  <c r="C29" i="5"/>
  <c r="N28" i="5"/>
  <c r="O28" i="5" s="1"/>
  <c r="E28" i="5"/>
  <c r="D28" i="5"/>
  <c r="C28" i="5"/>
  <c r="N27" i="5"/>
  <c r="O27" i="5" s="1"/>
  <c r="E27" i="5"/>
  <c r="D27" i="5"/>
  <c r="C27" i="5"/>
  <c r="N26" i="5"/>
  <c r="O26" i="5" s="1"/>
  <c r="E26" i="5"/>
  <c r="D26" i="5"/>
  <c r="C26" i="5"/>
  <c r="N25" i="5"/>
  <c r="O25" i="5" s="1"/>
  <c r="E25" i="5"/>
  <c r="D25" i="5"/>
  <c r="C25" i="5"/>
  <c r="N24" i="5"/>
  <c r="O24" i="5" s="1"/>
  <c r="E24" i="5"/>
  <c r="D24" i="5"/>
  <c r="C24" i="5"/>
  <c r="N23" i="5"/>
  <c r="O23" i="5" s="1"/>
  <c r="E23" i="5"/>
  <c r="D23" i="5"/>
  <c r="C23" i="5"/>
  <c r="N22" i="5"/>
  <c r="O22" i="5" s="1"/>
  <c r="E22" i="5"/>
  <c r="D22" i="5"/>
  <c r="C22" i="5"/>
  <c r="N21" i="5"/>
  <c r="O21" i="5" s="1"/>
  <c r="E21" i="5"/>
  <c r="D21" i="5"/>
  <c r="C21" i="5"/>
  <c r="N20" i="5"/>
  <c r="O20" i="5" s="1"/>
  <c r="E20" i="5"/>
  <c r="D20" i="5"/>
  <c r="C20" i="5"/>
  <c r="N19" i="5"/>
  <c r="O19" i="5" s="1"/>
  <c r="E19" i="5"/>
  <c r="D19" i="5"/>
  <c r="C19" i="5"/>
  <c r="N18" i="5"/>
  <c r="O18" i="5" s="1"/>
  <c r="E18" i="5"/>
  <c r="D18" i="5"/>
  <c r="C18" i="5"/>
  <c r="N17" i="5"/>
  <c r="O17" i="5" s="1"/>
  <c r="E17" i="5"/>
  <c r="D17" i="5"/>
  <c r="C17" i="5"/>
  <c r="N16" i="5"/>
  <c r="O16" i="5" s="1"/>
  <c r="E16" i="5"/>
  <c r="D16" i="5"/>
  <c r="C16" i="5"/>
  <c r="N15" i="5"/>
  <c r="O15" i="5" s="1"/>
  <c r="E15" i="5"/>
  <c r="D15" i="5"/>
  <c r="C15" i="5"/>
  <c r="N14" i="5"/>
  <c r="O14" i="5" s="1"/>
  <c r="E14" i="5"/>
  <c r="D14" i="5"/>
  <c r="C14" i="5"/>
  <c r="N13" i="5"/>
  <c r="O13" i="5" s="1"/>
  <c r="E13" i="5"/>
  <c r="D13" i="5"/>
  <c r="C13" i="5"/>
  <c r="N12" i="5"/>
  <c r="O12" i="5" s="1"/>
  <c r="E12" i="5"/>
  <c r="D12" i="5"/>
  <c r="C12" i="5"/>
  <c r="N11" i="5"/>
  <c r="O11" i="5" s="1"/>
  <c r="E11" i="5"/>
  <c r="D11" i="5"/>
  <c r="C11" i="5"/>
  <c r="N10" i="5"/>
  <c r="O10" i="5" s="1"/>
  <c r="E10" i="5"/>
  <c r="D10" i="5"/>
  <c r="C10" i="5"/>
  <c r="N9" i="5"/>
  <c r="O9" i="5" s="1"/>
  <c r="E9" i="5"/>
  <c r="D9" i="5"/>
  <c r="C9" i="5"/>
  <c r="N8" i="5"/>
  <c r="O8" i="5" s="1"/>
  <c r="E8" i="5"/>
  <c r="D8" i="5"/>
  <c r="C8" i="5"/>
  <c r="N7" i="5"/>
  <c r="O7" i="5" s="1"/>
  <c r="E7" i="5"/>
  <c r="D7" i="5"/>
  <c r="C7" i="5"/>
  <c r="N6" i="5"/>
  <c r="O6" i="5" s="1"/>
  <c r="E6" i="5"/>
  <c r="D6" i="5"/>
  <c r="C6" i="5"/>
  <c r="N5" i="5"/>
  <c r="O5" i="5" s="1"/>
  <c r="E5" i="5"/>
  <c r="D5" i="5"/>
  <c r="C5" i="5"/>
  <c r="N4" i="5"/>
  <c r="O4" i="5" s="1"/>
  <c r="E4" i="5"/>
  <c r="D4" i="5"/>
  <c r="C4" i="5"/>
  <c r="N3" i="5"/>
  <c r="O3" i="5" s="1"/>
  <c r="E3" i="5"/>
  <c r="D3" i="5"/>
  <c r="C3" i="5"/>
  <c r="Q201" i="4"/>
  <c r="K201" i="4"/>
  <c r="J201" i="4"/>
  <c r="E201" i="4"/>
  <c r="D201" i="4"/>
  <c r="C201" i="4"/>
  <c r="Q200" i="4"/>
  <c r="K200" i="4"/>
  <c r="J200" i="4"/>
  <c r="E200" i="4"/>
  <c r="D200" i="4"/>
  <c r="C200" i="4"/>
  <c r="Q199" i="4"/>
  <c r="K199" i="4"/>
  <c r="J199" i="4"/>
  <c r="E199" i="4"/>
  <c r="D199" i="4"/>
  <c r="C199" i="4"/>
  <c r="Q198" i="4"/>
  <c r="K198" i="4"/>
  <c r="J198" i="4"/>
  <c r="E198" i="4"/>
  <c r="D198" i="4"/>
  <c r="C198" i="4"/>
  <c r="Q197" i="4"/>
  <c r="K197" i="4"/>
  <c r="J197" i="4"/>
  <c r="E197" i="4"/>
  <c r="D197" i="4"/>
  <c r="C197" i="4"/>
  <c r="Q196" i="4"/>
  <c r="K196" i="4"/>
  <c r="J196" i="4"/>
  <c r="E196" i="4"/>
  <c r="D196" i="4"/>
  <c r="C196" i="4"/>
  <c r="Q195" i="4"/>
  <c r="K195" i="4"/>
  <c r="J195" i="4"/>
  <c r="E195" i="4"/>
  <c r="D195" i="4"/>
  <c r="C195" i="4"/>
  <c r="Q194" i="4"/>
  <c r="K194" i="4"/>
  <c r="J194" i="4"/>
  <c r="E194" i="4"/>
  <c r="D194" i="4"/>
  <c r="C194" i="4"/>
  <c r="Q193" i="4"/>
  <c r="K193" i="4"/>
  <c r="J193" i="4"/>
  <c r="E193" i="4"/>
  <c r="D193" i="4"/>
  <c r="C193" i="4"/>
  <c r="Q192" i="4"/>
  <c r="K192" i="4"/>
  <c r="J192" i="4"/>
  <c r="E192" i="4"/>
  <c r="D192" i="4"/>
  <c r="C192" i="4"/>
  <c r="Q191" i="4"/>
  <c r="K191" i="4"/>
  <c r="J191" i="4"/>
  <c r="E191" i="4"/>
  <c r="D191" i="4"/>
  <c r="C191" i="4"/>
  <c r="Q190" i="4"/>
  <c r="K190" i="4"/>
  <c r="J190" i="4"/>
  <c r="E190" i="4"/>
  <c r="D190" i="4"/>
  <c r="C190" i="4"/>
  <c r="Q189" i="4"/>
  <c r="K189" i="4"/>
  <c r="J189" i="4"/>
  <c r="E189" i="4"/>
  <c r="D189" i="4"/>
  <c r="C189" i="4"/>
  <c r="Q188" i="4"/>
  <c r="K188" i="4"/>
  <c r="J188" i="4"/>
  <c r="E188" i="4"/>
  <c r="D188" i="4"/>
  <c r="C188" i="4"/>
  <c r="Q187" i="4"/>
  <c r="K187" i="4"/>
  <c r="J187" i="4"/>
  <c r="E187" i="4"/>
  <c r="D187" i="4"/>
  <c r="C187" i="4"/>
  <c r="Q186" i="4"/>
  <c r="K186" i="4"/>
  <c r="J186" i="4"/>
  <c r="E186" i="4"/>
  <c r="D186" i="4"/>
  <c r="C186" i="4"/>
  <c r="Q185" i="4"/>
  <c r="K185" i="4"/>
  <c r="J185" i="4"/>
  <c r="E185" i="4"/>
  <c r="D185" i="4"/>
  <c r="C185" i="4"/>
  <c r="Q184" i="4"/>
  <c r="K184" i="4"/>
  <c r="J184" i="4"/>
  <c r="E184" i="4"/>
  <c r="D184" i="4"/>
  <c r="C184" i="4"/>
  <c r="Q183" i="4"/>
  <c r="K183" i="4"/>
  <c r="J183" i="4"/>
  <c r="E183" i="4"/>
  <c r="D183" i="4"/>
  <c r="C183" i="4"/>
  <c r="Q182" i="4"/>
  <c r="K182" i="4"/>
  <c r="J182" i="4"/>
  <c r="E182" i="4"/>
  <c r="D182" i="4"/>
  <c r="C182" i="4"/>
  <c r="Q181" i="4"/>
  <c r="K181" i="4"/>
  <c r="J181" i="4"/>
  <c r="E181" i="4"/>
  <c r="D181" i="4"/>
  <c r="C181" i="4"/>
  <c r="Q180" i="4"/>
  <c r="K180" i="4"/>
  <c r="J180" i="4"/>
  <c r="E180" i="4"/>
  <c r="D180" i="4"/>
  <c r="C180" i="4"/>
  <c r="Q179" i="4"/>
  <c r="K179" i="4"/>
  <c r="J179" i="4"/>
  <c r="E179" i="4"/>
  <c r="D179" i="4"/>
  <c r="C179" i="4"/>
  <c r="Q178" i="4"/>
  <c r="K178" i="4"/>
  <c r="J178" i="4"/>
  <c r="E178" i="4"/>
  <c r="D178" i="4"/>
  <c r="C178" i="4"/>
  <c r="Q177" i="4"/>
  <c r="K177" i="4"/>
  <c r="J177" i="4"/>
  <c r="E177" i="4"/>
  <c r="D177" i="4"/>
  <c r="C177" i="4"/>
  <c r="Q176" i="4"/>
  <c r="K176" i="4"/>
  <c r="J176" i="4"/>
  <c r="E176" i="4"/>
  <c r="D176" i="4"/>
  <c r="C176" i="4"/>
  <c r="Q175" i="4"/>
  <c r="K175" i="4"/>
  <c r="J175" i="4"/>
  <c r="E175" i="4"/>
  <c r="D175" i="4"/>
  <c r="C175" i="4"/>
  <c r="Q174" i="4"/>
  <c r="K174" i="4"/>
  <c r="J174" i="4"/>
  <c r="E174" i="4"/>
  <c r="D174" i="4"/>
  <c r="C174" i="4"/>
  <c r="Q173" i="4"/>
  <c r="K173" i="4"/>
  <c r="J173" i="4"/>
  <c r="E173" i="4"/>
  <c r="D173" i="4"/>
  <c r="C173" i="4"/>
  <c r="Q172" i="4"/>
  <c r="K172" i="4"/>
  <c r="J172" i="4"/>
  <c r="E172" i="4"/>
  <c r="D172" i="4"/>
  <c r="C172" i="4"/>
  <c r="Q171" i="4"/>
  <c r="K171" i="4"/>
  <c r="J171" i="4"/>
  <c r="E171" i="4"/>
  <c r="D171" i="4"/>
  <c r="C171" i="4"/>
  <c r="Q170" i="4"/>
  <c r="K170" i="4"/>
  <c r="J170" i="4"/>
  <c r="E170" i="4"/>
  <c r="D170" i="4"/>
  <c r="C170" i="4"/>
  <c r="Q169" i="4"/>
  <c r="K169" i="4"/>
  <c r="J169" i="4"/>
  <c r="E169" i="4"/>
  <c r="D169" i="4"/>
  <c r="C169" i="4"/>
  <c r="Q168" i="4"/>
  <c r="K168" i="4"/>
  <c r="J168" i="4"/>
  <c r="E168" i="4"/>
  <c r="D168" i="4"/>
  <c r="C168" i="4"/>
  <c r="Q167" i="4"/>
  <c r="K167" i="4"/>
  <c r="J167" i="4"/>
  <c r="E167" i="4"/>
  <c r="D167" i="4"/>
  <c r="C167" i="4"/>
  <c r="Q166" i="4"/>
  <c r="K166" i="4"/>
  <c r="J166" i="4"/>
  <c r="E166" i="4"/>
  <c r="D166" i="4"/>
  <c r="C166" i="4"/>
  <c r="Q165" i="4"/>
  <c r="K165" i="4"/>
  <c r="J165" i="4"/>
  <c r="E165" i="4"/>
  <c r="D165" i="4"/>
  <c r="C165" i="4"/>
  <c r="Q164" i="4"/>
  <c r="K164" i="4"/>
  <c r="J164" i="4"/>
  <c r="E164" i="4"/>
  <c r="D164" i="4"/>
  <c r="C164" i="4"/>
  <c r="Q163" i="4"/>
  <c r="K163" i="4"/>
  <c r="J163" i="4"/>
  <c r="E163" i="4"/>
  <c r="D163" i="4"/>
  <c r="C163" i="4"/>
  <c r="Q162" i="4"/>
  <c r="K162" i="4"/>
  <c r="J162" i="4"/>
  <c r="E162" i="4"/>
  <c r="D162" i="4"/>
  <c r="C162" i="4"/>
  <c r="Q161" i="4"/>
  <c r="K161" i="4"/>
  <c r="J161" i="4"/>
  <c r="E161" i="4"/>
  <c r="D161" i="4"/>
  <c r="C161" i="4"/>
  <c r="Q160" i="4"/>
  <c r="K160" i="4"/>
  <c r="J160" i="4"/>
  <c r="E160" i="4"/>
  <c r="D160" i="4"/>
  <c r="C160" i="4"/>
  <c r="Q159" i="4"/>
  <c r="K159" i="4"/>
  <c r="J159" i="4"/>
  <c r="E159" i="4"/>
  <c r="D159" i="4"/>
  <c r="C159" i="4"/>
  <c r="Q158" i="4"/>
  <c r="K158" i="4"/>
  <c r="J158" i="4"/>
  <c r="E158" i="4"/>
  <c r="D158" i="4"/>
  <c r="C158" i="4"/>
  <c r="Q157" i="4"/>
  <c r="K157" i="4"/>
  <c r="J157" i="4"/>
  <c r="E157" i="4"/>
  <c r="D157" i="4"/>
  <c r="C157" i="4"/>
  <c r="Q156" i="4"/>
  <c r="K156" i="4"/>
  <c r="J156" i="4"/>
  <c r="E156" i="4"/>
  <c r="D156" i="4"/>
  <c r="C156" i="4"/>
  <c r="Q155" i="4"/>
  <c r="K155" i="4"/>
  <c r="J155" i="4"/>
  <c r="E155" i="4"/>
  <c r="D155" i="4"/>
  <c r="C155" i="4"/>
  <c r="Q154" i="4"/>
  <c r="K154" i="4"/>
  <c r="J154" i="4"/>
  <c r="E154" i="4"/>
  <c r="D154" i="4"/>
  <c r="C154" i="4"/>
  <c r="Q153" i="4"/>
  <c r="K153" i="4"/>
  <c r="J153" i="4"/>
  <c r="E153" i="4"/>
  <c r="D153" i="4"/>
  <c r="C153" i="4"/>
  <c r="Q152" i="4"/>
  <c r="K152" i="4"/>
  <c r="J152" i="4"/>
  <c r="E152" i="4"/>
  <c r="D152" i="4"/>
  <c r="C152" i="4"/>
  <c r="Q151" i="4"/>
  <c r="K151" i="4"/>
  <c r="J151" i="4"/>
  <c r="E151" i="4"/>
  <c r="D151" i="4"/>
  <c r="C151" i="4"/>
  <c r="Q150" i="4"/>
  <c r="K150" i="4"/>
  <c r="J150" i="4"/>
  <c r="E150" i="4"/>
  <c r="D150" i="4"/>
  <c r="C150" i="4"/>
  <c r="Q149" i="4"/>
  <c r="K149" i="4"/>
  <c r="J149" i="4"/>
  <c r="E149" i="4"/>
  <c r="D149" i="4"/>
  <c r="C149" i="4"/>
  <c r="Q148" i="4"/>
  <c r="K148" i="4"/>
  <c r="J148" i="4"/>
  <c r="E148" i="4"/>
  <c r="D148" i="4"/>
  <c r="C148" i="4"/>
  <c r="Q147" i="4"/>
  <c r="K147" i="4"/>
  <c r="J147" i="4"/>
  <c r="E147" i="4"/>
  <c r="D147" i="4"/>
  <c r="C147" i="4"/>
  <c r="Q146" i="4"/>
  <c r="K146" i="4"/>
  <c r="J146" i="4"/>
  <c r="E146" i="4"/>
  <c r="D146" i="4"/>
  <c r="C146" i="4"/>
  <c r="Q145" i="4"/>
  <c r="K145" i="4"/>
  <c r="J145" i="4"/>
  <c r="E145" i="4"/>
  <c r="D145" i="4"/>
  <c r="C145" i="4"/>
  <c r="Q144" i="4"/>
  <c r="K144" i="4"/>
  <c r="J144" i="4"/>
  <c r="E144" i="4"/>
  <c r="D144" i="4"/>
  <c r="C144" i="4"/>
  <c r="Q143" i="4"/>
  <c r="K143" i="4"/>
  <c r="J143" i="4"/>
  <c r="E143" i="4"/>
  <c r="D143" i="4"/>
  <c r="C143" i="4"/>
  <c r="Q142" i="4"/>
  <c r="K142" i="4"/>
  <c r="J142" i="4"/>
  <c r="E142" i="4"/>
  <c r="D142" i="4"/>
  <c r="C142" i="4"/>
  <c r="Q141" i="4"/>
  <c r="K141" i="4"/>
  <c r="J141" i="4"/>
  <c r="E141" i="4"/>
  <c r="D141" i="4"/>
  <c r="C141" i="4"/>
  <c r="Q140" i="4"/>
  <c r="K140" i="4"/>
  <c r="J140" i="4"/>
  <c r="E140" i="4"/>
  <c r="D140" i="4"/>
  <c r="C140" i="4"/>
  <c r="Q139" i="4"/>
  <c r="K139" i="4"/>
  <c r="J139" i="4"/>
  <c r="E139" i="4"/>
  <c r="D139" i="4"/>
  <c r="C139" i="4"/>
  <c r="Q138" i="4"/>
  <c r="K138" i="4"/>
  <c r="J138" i="4"/>
  <c r="E138" i="4"/>
  <c r="D138" i="4"/>
  <c r="C138" i="4"/>
  <c r="Q137" i="4"/>
  <c r="K137" i="4"/>
  <c r="J137" i="4"/>
  <c r="E137" i="4"/>
  <c r="D137" i="4"/>
  <c r="C137" i="4"/>
  <c r="Q136" i="4"/>
  <c r="K136" i="4"/>
  <c r="J136" i="4"/>
  <c r="E136" i="4"/>
  <c r="D136" i="4"/>
  <c r="C136" i="4"/>
  <c r="Q135" i="4"/>
  <c r="K135" i="4"/>
  <c r="J135" i="4"/>
  <c r="E135" i="4"/>
  <c r="D135" i="4"/>
  <c r="C135" i="4"/>
  <c r="Q134" i="4"/>
  <c r="K134" i="4"/>
  <c r="J134" i="4"/>
  <c r="E134" i="4"/>
  <c r="D134" i="4"/>
  <c r="C134" i="4"/>
  <c r="Q133" i="4"/>
  <c r="K133" i="4"/>
  <c r="J133" i="4"/>
  <c r="E133" i="4"/>
  <c r="D133" i="4"/>
  <c r="C133" i="4"/>
  <c r="Q132" i="4"/>
  <c r="K132" i="4"/>
  <c r="J132" i="4"/>
  <c r="E132" i="4"/>
  <c r="D132" i="4"/>
  <c r="C132" i="4"/>
  <c r="Q131" i="4"/>
  <c r="K131" i="4"/>
  <c r="J131" i="4"/>
  <c r="E131" i="4"/>
  <c r="D131" i="4"/>
  <c r="C131" i="4"/>
  <c r="Q130" i="4"/>
  <c r="K130" i="4"/>
  <c r="J130" i="4"/>
  <c r="E130" i="4"/>
  <c r="D130" i="4"/>
  <c r="C130" i="4"/>
  <c r="Q129" i="4"/>
  <c r="K129" i="4"/>
  <c r="J129" i="4"/>
  <c r="E129" i="4"/>
  <c r="D129" i="4"/>
  <c r="C129" i="4"/>
  <c r="Q128" i="4"/>
  <c r="K128" i="4"/>
  <c r="J128" i="4"/>
  <c r="E128" i="4"/>
  <c r="D128" i="4"/>
  <c r="C128" i="4"/>
  <c r="Q127" i="4"/>
  <c r="K127" i="4"/>
  <c r="J127" i="4"/>
  <c r="E127" i="4"/>
  <c r="D127" i="4"/>
  <c r="C127" i="4"/>
  <c r="Q126" i="4"/>
  <c r="K126" i="4"/>
  <c r="J126" i="4"/>
  <c r="E126" i="4"/>
  <c r="D126" i="4"/>
  <c r="C126" i="4"/>
  <c r="Q125" i="4"/>
  <c r="K125" i="4"/>
  <c r="J125" i="4"/>
  <c r="E125" i="4"/>
  <c r="D125" i="4"/>
  <c r="C125" i="4"/>
  <c r="Q124" i="4"/>
  <c r="K124" i="4"/>
  <c r="J124" i="4"/>
  <c r="E124" i="4"/>
  <c r="D124" i="4"/>
  <c r="C124" i="4"/>
  <c r="Q123" i="4"/>
  <c r="K123" i="4"/>
  <c r="J123" i="4"/>
  <c r="E123" i="4"/>
  <c r="D123" i="4"/>
  <c r="C123" i="4"/>
  <c r="Q122" i="4"/>
  <c r="K122" i="4"/>
  <c r="J122" i="4"/>
  <c r="E122" i="4"/>
  <c r="D122" i="4"/>
  <c r="C122" i="4"/>
  <c r="Q121" i="4"/>
  <c r="K121" i="4"/>
  <c r="J121" i="4"/>
  <c r="E121" i="4"/>
  <c r="D121" i="4"/>
  <c r="C121" i="4"/>
  <c r="Q120" i="4"/>
  <c r="K120" i="4"/>
  <c r="J120" i="4"/>
  <c r="E120" i="4"/>
  <c r="D120" i="4"/>
  <c r="C120" i="4"/>
  <c r="Q119" i="4"/>
  <c r="K119" i="4"/>
  <c r="J119" i="4"/>
  <c r="E119" i="4"/>
  <c r="D119" i="4"/>
  <c r="C119" i="4"/>
  <c r="Q118" i="4"/>
  <c r="K118" i="4"/>
  <c r="J118" i="4"/>
  <c r="E118" i="4"/>
  <c r="D118" i="4"/>
  <c r="C118" i="4"/>
  <c r="Q117" i="4"/>
  <c r="K117" i="4"/>
  <c r="J117" i="4"/>
  <c r="E117" i="4"/>
  <c r="D117" i="4"/>
  <c r="C117" i="4"/>
  <c r="Q116" i="4"/>
  <c r="K116" i="4"/>
  <c r="J116" i="4"/>
  <c r="E116" i="4"/>
  <c r="D116" i="4"/>
  <c r="C116" i="4"/>
  <c r="Q115" i="4"/>
  <c r="K115" i="4"/>
  <c r="J115" i="4"/>
  <c r="E115" i="4"/>
  <c r="D115" i="4"/>
  <c r="C115" i="4"/>
  <c r="Q114" i="4"/>
  <c r="K114" i="4"/>
  <c r="J114" i="4"/>
  <c r="E114" i="4"/>
  <c r="D114" i="4"/>
  <c r="C114" i="4"/>
  <c r="Q113" i="4"/>
  <c r="K113" i="4"/>
  <c r="J113" i="4"/>
  <c r="E113" i="4"/>
  <c r="D113" i="4"/>
  <c r="C113" i="4"/>
  <c r="Q112" i="4"/>
  <c r="K112" i="4"/>
  <c r="J112" i="4"/>
  <c r="E112" i="4"/>
  <c r="D112" i="4"/>
  <c r="C112" i="4"/>
  <c r="Q111" i="4"/>
  <c r="K111" i="4"/>
  <c r="J111" i="4"/>
  <c r="E111" i="4"/>
  <c r="D111" i="4"/>
  <c r="C111" i="4"/>
  <c r="Q110" i="4"/>
  <c r="K110" i="4"/>
  <c r="J110" i="4"/>
  <c r="E110" i="4"/>
  <c r="D110" i="4"/>
  <c r="C110" i="4"/>
  <c r="Q109" i="4"/>
  <c r="K109" i="4"/>
  <c r="J109" i="4"/>
  <c r="E109" i="4"/>
  <c r="D109" i="4"/>
  <c r="C109" i="4"/>
  <c r="Q108" i="4"/>
  <c r="K108" i="4"/>
  <c r="J108" i="4"/>
  <c r="E108" i="4"/>
  <c r="D108" i="4"/>
  <c r="C108" i="4"/>
  <c r="Q107" i="4"/>
  <c r="K107" i="4"/>
  <c r="J107" i="4"/>
  <c r="E107" i="4"/>
  <c r="D107" i="4"/>
  <c r="C107" i="4"/>
  <c r="Q106" i="4"/>
  <c r="K106" i="4"/>
  <c r="J106" i="4"/>
  <c r="E106" i="4"/>
  <c r="D106" i="4"/>
  <c r="C106" i="4"/>
  <c r="Q105" i="4"/>
  <c r="K105" i="4"/>
  <c r="J105" i="4"/>
  <c r="E105" i="4"/>
  <c r="D105" i="4"/>
  <c r="C105" i="4"/>
  <c r="Q104" i="4"/>
  <c r="K104" i="4"/>
  <c r="J104" i="4"/>
  <c r="E104" i="4"/>
  <c r="D104" i="4"/>
  <c r="C104" i="4"/>
  <c r="Q103" i="4"/>
  <c r="K103" i="4"/>
  <c r="J103" i="4"/>
  <c r="E103" i="4"/>
  <c r="D103" i="4"/>
  <c r="C103" i="4"/>
  <c r="Q102" i="4"/>
  <c r="K102" i="4"/>
  <c r="J102" i="4"/>
  <c r="E102" i="4"/>
  <c r="D102" i="4"/>
  <c r="C102" i="4"/>
  <c r="Q101" i="4"/>
  <c r="K101" i="4"/>
  <c r="J101" i="4"/>
  <c r="E101" i="4"/>
  <c r="D101" i="4"/>
  <c r="C101" i="4"/>
  <c r="Q100" i="4"/>
  <c r="K100" i="4"/>
  <c r="J100" i="4"/>
  <c r="E100" i="4"/>
  <c r="D100" i="4"/>
  <c r="C100" i="4"/>
  <c r="Q99" i="4"/>
  <c r="K99" i="4"/>
  <c r="J99" i="4"/>
  <c r="E99" i="4"/>
  <c r="D99" i="4"/>
  <c r="C99" i="4"/>
  <c r="Q98" i="4"/>
  <c r="K98" i="4"/>
  <c r="J98" i="4"/>
  <c r="E98" i="4"/>
  <c r="D98" i="4"/>
  <c r="C98" i="4"/>
  <c r="Q97" i="4"/>
  <c r="K97" i="4"/>
  <c r="J97" i="4"/>
  <c r="E97" i="4"/>
  <c r="D97" i="4"/>
  <c r="C97" i="4"/>
  <c r="Q96" i="4"/>
  <c r="K96" i="4"/>
  <c r="J96" i="4"/>
  <c r="E96" i="4"/>
  <c r="D96" i="4"/>
  <c r="C96" i="4"/>
  <c r="Q95" i="4"/>
  <c r="K95" i="4"/>
  <c r="J95" i="4"/>
  <c r="E95" i="4"/>
  <c r="D95" i="4"/>
  <c r="C95" i="4"/>
  <c r="Q94" i="4"/>
  <c r="K94" i="4"/>
  <c r="J94" i="4"/>
  <c r="E94" i="4"/>
  <c r="D94" i="4"/>
  <c r="C94" i="4"/>
  <c r="Q93" i="4"/>
  <c r="K93" i="4"/>
  <c r="J93" i="4"/>
  <c r="E93" i="4"/>
  <c r="D93" i="4"/>
  <c r="C93" i="4"/>
  <c r="Q92" i="4"/>
  <c r="K92" i="4"/>
  <c r="J92" i="4"/>
  <c r="E92" i="4"/>
  <c r="D92" i="4"/>
  <c r="C92" i="4"/>
  <c r="Q91" i="4"/>
  <c r="K91" i="4"/>
  <c r="J91" i="4"/>
  <c r="E91" i="4"/>
  <c r="D91" i="4"/>
  <c r="C91" i="4"/>
  <c r="Q90" i="4"/>
  <c r="K90" i="4"/>
  <c r="J90" i="4"/>
  <c r="E90" i="4"/>
  <c r="D90" i="4"/>
  <c r="C90" i="4"/>
  <c r="Q89" i="4"/>
  <c r="K89" i="4"/>
  <c r="J89" i="4"/>
  <c r="E89" i="4"/>
  <c r="D89" i="4"/>
  <c r="C89" i="4"/>
  <c r="Q88" i="4"/>
  <c r="K88" i="4"/>
  <c r="J88" i="4"/>
  <c r="E88" i="4"/>
  <c r="D88" i="4"/>
  <c r="C88" i="4"/>
  <c r="Q87" i="4"/>
  <c r="K87" i="4"/>
  <c r="J87" i="4"/>
  <c r="E87" i="4"/>
  <c r="D87" i="4"/>
  <c r="C87" i="4"/>
  <c r="Q86" i="4"/>
  <c r="K86" i="4"/>
  <c r="J86" i="4"/>
  <c r="E86" i="4"/>
  <c r="D86" i="4"/>
  <c r="C86" i="4"/>
  <c r="Q85" i="4"/>
  <c r="K85" i="4"/>
  <c r="J85" i="4"/>
  <c r="E85" i="4"/>
  <c r="D85" i="4"/>
  <c r="C85" i="4"/>
  <c r="Q84" i="4"/>
  <c r="K84" i="4"/>
  <c r="J84" i="4"/>
  <c r="E84" i="4"/>
  <c r="D84" i="4"/>
  <c r="C84" i="4"/>
  <c r="Q83" i="4"/>
  <c r="K83" i="4"/>
  <c r="J83" i="4"/>
  <c r="E83" i="4"/>
  <c r="D83" i="4"/>
  <c r="C83" i="4"/>
  <c r="Q82" i="4"/>
  <c r="K82" i="4"/>
  <c r="J82" i="4"/>
  <c r="E82" i="4"/>
  <c r="D82" i="4"/>
  <c r="C82" i="4"/>
  <c r="Q81" i="4"/>
  <c r="K81" i="4"/>
  <c r="J81" i="4"/>
  <c r="E81" i="4"/>
  <c r="D81" i="4"/>
  <c r="C81" i="4"/>
  <c r="Q80" i="4"/>
  <c r="K80" i="4"/>
  <c r="J80" i="4"/>
  <c r="E80" i="4"/>
  <c r="D80" i="4"/>
  <c r="C80" i="4"/>
  <c r="Q79" i="4"/>
  <c r="K79" i="4"/>
  <c r="J79" i="4"/>
  <c r="E79" i="4"/>
  <c r="D79" i="4"/>
  <c r="C79" i="4"/>
  <c r="Q78" i="4"/>
  <c r="K78" i="4"/>
  <c r="J78" i="4"/>
  <c r="E78" i="4"/>
  <c r="D78" i="4"/>
  <c r="C78" i="4"/>
  <c r="Q77" i="4"/>
  <c r="K77" i="4"/>
  <c r="J77" i="4"/>
  <c r="E77" i="4"/>
  <c r="D77" i="4"/>
  <c r="C77" i="4"/>
  <c r="Q76" i="4"/>
  <c r="K76" i="4"/>
  <c r="J76" i="4"/>
  <c r="E76" i="4"/>
  <c r="D76" i="4"/>
  <c r="C76" i="4"/>
  <c r="Q75" i="4"/>
  <c r="K75" i="4"/>
  <c r="J75" i="4"/>
  <c r="E75" i="4"/>
  <c r="D75" i="4"/>
  <c r="C75" i="4"/>
  <c r="Q74" i="4"/>
  <c r="K74" i="4"/>
  <c r="J74" i="4"/>
  <c r="E74" i="4"/>
  <c r="D74" i="4"/>
  <c r="C74" i="4"/>
  <c r="Q73" i="4"/>
  <c r="K73" i="4"/>
  <c r="J73" i="4"/>
  <c r="E73" i="4"/>
  <c r="D73" i="4"/>
  <c r="C73" i="4"/>
  <c r="Q72" i="4"/>
  <c r="K72" i="4"/>
  <c r="J72" i="4"/>
  <c r="E72" i="4"/>
  <c r="D72" i="4"/>
  <c r="C72" i="4"/>
  <c r="Q71" i="4"/>
  <c r="K71" i="4"/>
  <c r="J71" i="4"/>
  <c r="E71" i="4"/>
  <c r="D71" i="4"/>
  <c r="C71" i="4"/>
  <c r="Q70" i="4"/>
  <c r="K70" i="4"/>
  <c r="J70" i="4"/>
  <c r="E70" i="4"/>
  <c r="D70" i="4"/>
  <c r="C70" i="4"/>
  <c r="Q69" i="4"/>
  <c r="K69" i="4"/>
  <c r="J69" i="4"/>
  <c r="E69" i="4"/>
  <c r="D69" i="4"/>
  <c r="C69" i="4"/>
  <c r="Q68" i="4"/>
  <c r="K68" i="4"/>
  <c r="J68" i="4"/>
  <c r="E68" i="4"/>
  <c r="D68" i="4"/>
  <c r="C68" i="4"/>
  <c r="Q67" i="4"/>
  <c r="K67" i="4"/>
  <c r="J67" i="4"/>
  <c r="E67" i="4"/>
  <c r="D67" i="4"/>
  <c r="C67" i="4"/>
  <c r="Q66" i="4"/>
  <c r="K66" i="4"/>
  <c r="J66" i="4"/>
  <c r="E66" i="4"/>
  <c r="D66" i="4"/>
  <c r="C66" i="4"/>
  <c r="Q65" i="4"/>
  <c r="K65" i="4"/>
  <c r="J65" i="4"/>
  <c r="E65" i="4"/>
  <c r="D65" i="4"/>
  <c r="C65" i="4"/>
  <c r="Q64" i="4"/>
  <c r="K64" i="4"/>
  <c r="J64" i="4"/>
  <c r="E64" i="4"/>
  <c r="D64" i="4"/>
  <c r="C64" i="4"/>
  <c r="Q63" i="4"/>
  <c r="K63" i="4"/>
  <c r="J63" i="4"/>
  <c r="E63" i="4"/>
  <c r="D63" i="4"/>
  <c r="C63" i="4"/>
  <c r="Q62" i="4"/>
  <c r="K62" i="4"/>
  <c r="J62" i="4"/>
  <c r="E62" i="4"/>
  <c r="D62" i="4"/>
  <c r="C62" i="4"/>
  <c r="Q61" i="4"/>
  <c r="K61" i="4"/>
  <c r="J61" i="4"/>
  <c r="E61" i="4"/>
  <c r="D61" i="4"/>
  <c r="C61" i="4"/>
  <c r="Q60" i="4"/>
  <c r="K60" i="4"/>
  <c r="J60" i="4"/>
  <c r="E60" i="4"/>
  <c r="D60" i="4"/>
  <c r="C60" i="4"/>
  <c r="Q59" i="4"/>
  <c r="K59" i="4"/>
  <c r="J59" i="4"/>
  <c r="E59" i="4"/>
  <c r="D59" i="4"/>
  <c r="C59" i="4"/>
  <c r="Q58" i="4"/>
  <c r="K58" i="4"/>
  <c r="J58" i="4"/>
  <c r="E58" i="4"/>
  <c r="D58" i="4"/>
  <c r="C58" i="4"/>
  <c r="Q57" i="4"/>
  <c r="K57" i="4"/>
  <c r="J57" i="4"/>
  <c r="E57" i="4"/>
  <c r="D57" i="4"/>
  <c r="C57" i="4"/>
  <c r="Q56" i="4"/>
  <c r="K56" i="4"/>
  <c r="J56" i="4"/>
  <c r="E56" i="4"/>
  <c r="D56" i="4"/>
  <c r="C56" i="4"/>
  <c r="Q55" i="4"/>
  <c r="K55" i="4"/>
  <c r="J55" i="4"/>
  <c r="E55" i="4"/>
  <c r="D55" i="4"/>
  <c r="C55" i="4"/>
  <c r="Q54" i="4"/>
  <c r="K54" i="4"/>
  <c r="J54" i="4"/>
  <c r="E54" i="4"/>
  <c r="D54" i="4"/>
  <c r="C54" i="4"/>
  <c r="Q53" i="4"/>
  <c r="K53" i="4"/>
  <c r="J53" i="4"/>
  <c r="E53" i="4"/>
  <c r="D53" i="4"/>
  <c r="C53" i="4"/>
  <c r="Q52" i="4"/>
  <c r="K52" i="4"/>
  <c r="J52" i="4"/>
  <c r="E52" i="4"/>
  <c r="D52" i="4"/>
  <c r="C52" i="4"/>
  <c r="Q51" i="4"/>
  <c r="K51" i="4"/>
  <c r="J51" i="4"/>
  <c r="E51" i="4"/>
  <c r="D51" i="4"/>
  <c r="C51" i="4"/>
  <c r="Q50" i="4"/>
  <c r="K50" i="4"/>
  <c r="J50" i="4"/>
  <c r="E50" i="4"/>
  <c r="D50" i="4"/>
  <c r="C50" i="4"/>
  <c r="Q49" i="4"/>
  <c r="K49" i="4"/>
  <c r="J49" i="4"/>
  <c r="E49" i="4"/>
  <c r="D49" i="4"/>
  <c r="C49" i="4"/>
  <c r="Q48" i="4"/>
  <c r="K48" i="4"/>
  <c r="J48" i="4"/>
  <c r="E48" i="4"/>
  <c r="D48" i="4"/>
  <c r="C48" i="4"/>
  <c r="Q47" i="4"/>
  <c r="K47" i="4"/>
  <c r="J47" i="4"/>
  <c r="E47" i="4"/>
  <c r="D47" i="4"/>
  <c r="C47" i="4"/>
  <c r="Q46" i="4"/>
  <c r="K46" i="4"/>
  <c r="J46" i="4"/>
  <c r="E46" i="4"/>
  <c r="D46" i="4"/>
  <c r="C46" i="4"/>
  <c r="Q45" i="4"/>
  <c r="K45" i="4"/>
  <c r="J45" i="4"/>
  <c r="E45" i="4"/>
  <c r="D45" i="4"/>
  <c r="C45" i="4"/>
  <c r="Q44" i="4"/>
  <c r="K44" i="4"/>
  <c r="J44" i="4"/>
  <c r="E44" i="4"/>
  <c r="D44" i="4"/>
  <c r="C44" i="4"/>
  <c r="Q43" i="4"/>
  <c r="K43" i="4"/>
  <c r="J43" i="4"/>
  <c r="E43" i="4"/>
  <c r="D43" i="4"/>
  <c r="C43" i="4"/>
  <c r="Q42" i="4"/>
  <c r="K42" i="4"/>
  <c r="J42" i="4"/>
  <c r="E42" i="4"/>
  <c r="D42" i="4"/>
  <c r="C42" i="4"/>
  <c r="Q41" i="4"/>
  <c r="K41" i="4"/>
  <c r="J41" i="4"/>
  <c r="E41" i="4"/>
  <c r="D41" i="4"/>
  <c r="C41" i="4"/>
  <c r="Q40" i="4"/>
  <c r="K40" i="4"/>
  <c r="J40" i="4"/>
  <c r="E40" i="4"/>
  <c r="D40" i="4"/>
  <c r="C40" i="4"/>
  <c r="Q39" i="4"/>
  <c r="K39" i="4"/>
  <c r="J39" i="4"/>
  <c r="E39" i="4"/>
  <c r="D39" i="4"/>
  <c r="C39" i="4"/>
  <c r="Q38" i="4"/>
  <c r="K38" i="4"/>
  <c r="J38" i="4"/>
  <c r="E38" i="4"/>
  <c r="D38" i="4"/>
  <c r="C38" i="4"/>
  <c r="Q37" i="4"/>
  <c r="K37" i="4"/>
  <c r="J37" i="4"/>
  <c r="E37" i="4"/>
  <c r="D37" i="4"/>
  <c r="C37" i="4"/>
  <c r="Q36" i="4"/>
  <c r="K36" i="4"/>
  <c r="J36" i="4"/>
  <c r="E36" i="4"/>
  <c r="D36" i="4"/>
  <c r="C36" i="4"/>
  <c r="Q35" i="4"/>
  <c r="K35" i="4"/>
  <c r="J35" i="4"/>
  <c r="E35" i="4"/>
  <c r="D35" i="4"/>
  <c r="C35" i="4"/>
  <c r="Q34" i="4"/>
  <c r="K34" i="4"/>
  <c r="J34" i="4"/>
  <c r="E34" i="4"/>
  <c r="D34" i="4"/>
  <c r="C34" i="4"/>
  <c r="Q33" i="4"/>
  <c r="K33" i="4"/>
  <c r="J33" i="4"/>
  <c r="E33" i="4"/>
  <c r="D33" i="4"/>
  <c r="C33" i="4"/>
  <c r="Q32" i="4"/>
  <c r="K32" i="4"/>
  <c r="J32" i="4"/>
  <c r="E32" i="4"/>
  <c r="D32" i="4"/>
  <c r="C32" i="4"/>
  <c r="Q31" i="4"/>
  <c r="K31" i="4"/>
  <c r="J31" i="4"/>
  <c r="E31" i="4"/>
  <c r="D31" i="4"/>
  <c r="C31" i="4"/>
  <c r="Q30" i="4"/>
  <c r="K30" i="4"/>
  <c r="J30" i="4"/>
  <c r="E30" i="4"/>
  <c r="D30" i="4"/>
  <c r="C30" i="4"/>
  <c r="Q29" i="4"/>
  <c r="K29" i="4"/>
  <c r="J29" i="4"/>
  <c r="E29" i="4"/>
  <c r="D29" i="4"/>
  <c r="C29" i="4"/>
  <c r="Q28" i="4"/>
  <c r="K28" i="4"/>
  <c r="J28" i="4"/>
  <c r="E28" i="4"/>
  <c r="D28" i="4"/>
  <c r="C28" i="4"/>
  <c r="Q27" i="4"/>
  <c r="K27" i="4"/>
  <c r="J27" i="4"/>
  <c r="E27" i="4"/>
  <c r="D27" i="4"/>
  <c r="C27" i="4"/>
  <c r="Q26" i="4"/>
  <c r="K26" i="4"/>
  <c r="J26" i="4"/>
  <c r="E26" i="4"/>
  <c r="D26" i="4"/>
  <c r="C26" i="4"/>
  <c r="Q25" i="4"/>
  <c r="K25" i="4"/>
  <c r="J25" i="4"/>
  <c r="E25" i="4"/>
  <c r="D25" i="4"/>
  <c r="C25" i="4"/>
  <c r="Q24" i="4"/>
  <c r="K24" i="4"/>
  <c r="J24" i="4"/>
  <c r="E24" i="4"/>
  <c r="D24" i="4"/>
  <c r="C24" i="4"/>
  <c r="Q23" i="4"/>
  <c r="K23" i="4"/>
  <c r="J23" i="4"/>
  <c r="E23" i="4"/>
  <c r="D23" i="4"/>
  <c r="C23" i="4"/>
  <c r="Q22" i="4"/>
  <c r="K22" i="4"/>
  <c r="J22" i="4"/>
  <c r="E22" i="4"/>
  <c r="D22" i="4"/>
  <c r="C22" i="4"/>
  <c r="Q21" i="4"/>
  <c r="K21" i="4"/>
  <c r="J21" i="4"/>
  <c r="E21" i="4"/>
  <c r="D21" i="4"/>
  <c r="C21" i="4"/>
  <c r="Q20" i="4"/>
  <c r="K20" i="4"/>
  <c r="J20" i="4"/>
  <c r="E20" i="4"/>
  <c r="D20" i="4"/>
  <c r="C20" i="4"/>
  <c r="Q19" i="4"/>
  <c r="K19" i="4"/>
  <c r="J19" i="4"/>
  <c r="E19" i="4"/>
  <c r="D19" i="4"/>
  <c r="C19" i="4"/>
  <c r="Q18" i="4"/>
  <c r="K18" i="4"/>
  <c r="J18" i="4"/>
  <c r="E18" i="4"/>
  <c r="D18" i="4"/>
  <c r="C18" i="4"/>
  <c r="Q17" i="4"/>
  <c r="K17" i="4"/>
  <c r="J17" i="4"/>
  <c r="E17" i="4"/>
  <c r="D17" i="4"/>
  <c r="C17" i="4"/>
  <c r="Q16" i="4"/>
  <c r="K16" i="4"/>
  <c r="J16" i="4"/>
  <c r="E16" i="4"/>
  <c r="D16" i="4"/>
  <c r="C16" i="4"/>
  <c r="Q15" i="4"/>
  <c r="K15" i="4"/>
  <c r="J15" i="4"/>
  <c r="E15" i="4"/>
  <c r="D15" i="4"/>
  <c r="C15" i="4"/>
  <c r="Q14" i="4"/>
  <c r="K14" i="4"/>
  <c r="J14" i="4"/>
  <c r="E14" i="4"/>
  <c r="D14" i="4"/>
  <c r="C14" i="4"/>
  <c r="Q13" i="4"/>
  <c r="K13" i="4"/>
  <c r="J13" i="4"/>
  <c r="E13" i="4"/>
  <c r="D13" i="4"/>
  <c r="C13" i="4"/>
  <c r="Q12" i="4"/>
  <c r="K12" i="4"/>
  <c r="J12" i="4"/>
  <c r="E12" i="4"/>
  <c r="D12" i="4"/>
  <c r="C12" i="4"/>
  <c r="Q11" i="4"/>
  <c r="K11" i="4"/>
  <c r="J11" i="4"/>
  <c r="E11" i="4"/>
  <c r="D11" i="4"/>
  <c r="C11" i="4"/>
  <c r="Q10" i="4"/>
  <c r="K10" i="4"/>
  <c r="J10" i="4"/>
  <c r="E10" i="4"/>
  <c r="D10" i="4"/>
  <c r="C10" i="4"/>
  <c r="Q9" i="4"/>
  <c r="K9" i="4"/>
  <c r="J9" i="4"/>
  <c r="E9" i="4"/>
  <c r="D9" i="4"/>
  <c r="C9" i="4"/>
  <c r="Q8" i="4"/>
  <c r="K8" i="4"/>
  <c r="J8" i="4"/>
  <c r="E8" i="4"/>
  <c r="D8" i="4"/>
  <c r="C8" i="4"/>
  <c r="Q7" i="4"/>
  <c r="K7" i="4"/>
  <c r="J7" i="4"/>
  <c r="E7" i="4"/>
  <c r="D7" i="4"/>
  <c r="C7" i="4"/>
  <c r="Q6" i="4"/>
  <c r="F10" i="8" s="1"/>
  <c r="J6" i="4"/>
  <c r="K6" i="4" s="1"/>
  <c r="E6" i="4"/>
  <c r="D6" i="4"/>
  <c r="C6" i="4"/>
  <c r="Q5" i="4"/>
  <c r="F9" i="8" s="1"/>
  <c r="J5" i="4"/>
  <c r="K5" i="4" s="1"/>
  <c r="E5" i="4"/>
  <c r="D5" i="4"/>
  <c r="C5" i="4"/>
  <c r="Q4" i="4"/>
  <c r="J4" i="4"/>
  <c r="K4" i="4" s="1"/>
  <c r="E4" i="4"/>
  <c r="D4" i="4"/>
  <c r="C4" i="4"/>
  <c r="Q3" i="4"/>
  <c r="J3" i="4"/>
  <c r="K3" i="4" s="1"/>
  <c r="B9" i="7" s="1"/>
  <c r="E3" i="4"/>
  <c r="D3" i="4"/>
  <c r="C3" i="4"/>
  <c r="P201" i="3"/>
  <c r="G201" i="3"/>
  <c r="F201" i="3"/>
  <c r="E201" i="3"/>
  <c r="P200" i="3"/>
  <c r="G200" i="3"/>
  <c r="F200" i="3"/>
  <c r="E200" i="3"/>
  <c r="P199" i="3"/>
  <c r="G199" i="3"/>
  <c r="F199" i="3"/>
  <c r="E199" i="3"/>
  <c r="P198" i="3"/>
  <c r="G198" i="3"/>
  <c r="F198" i="3"/>
  <c r="E198" i="3"/>
  <c r="P197" i="3"/>
  <c r="G197" i="3"/>
  <c r="F197" i="3"/>
  <c r="E197" i="3"/>
  <c r="P196" i="3"/>
  <c r="G196" i="3"/>
  <c r="F196" i="3"/>
  <c r="E196" i="3"/>
  <c r="P195" i="3"/>
  <c r="G195" i="3"/>
  <c r="F195" i="3"/>
  <c r="E195" i="3"/>
  <c r="P194" i="3"/>
  <c r="G194" i="3"/>
  <c r="F194" i="3"/>
  <c r="E194" i="3"/>
  <c r="P193" i="3"/>
  <c r="G193" i="3"/>
  <c r="F193" i="3"/>
  <c r="E193" i="3"/>
  <c r="P192" i="3"/>
  <c r="G192" i="3"/>
  <c r="F192" i="3"/>
  <c r="E192" i="3"/>
  <c r="P191" i="3"/>
  <c r="G191" i="3"/>
  <c r="F191" i="3"/>
  <c r="E191" i="3"/>
  <c r="P190" i="3"/>
  <c r="G190" i="3"/>
  <c r="F190" i="3"/>
  <c r="E190" i="3"/>
  <c r="P189" i="3"/>
  <c r="G189" i="3"/>
  <c r="F189" i="3"/>
  <c r="E189" i="3"/>
  <c r="P188" i="3"/>
  <c r="G188" i="3"/>
  <c r="F188" i="3"/>
  <c r="E188" i="3"/>
  <c r="P187" i="3"/>
  <c r="G187" i="3"/>
  <c r="F187" i="3"/>
  <c r="E187" i="3"/>
  <c r="P186" i="3"/>
  <c r="G186" i="3"/>
  <c r="F186" i="3"/>
  <c r="E186" i="3"/>
  <c r="P185" i="3"/>
  <c r="G185" i="3"/>
  <c r="F185" i="3"/>
  <c r="E185" i="3"/>
  <c r="P184" i="3"/>
  <c r="G184" i="3"/>
  <c r="F184" i="3"/>
  <c r="E184" i="3"/>
  <c r="P183" i="3"/>
  <c r="G183" i="3"/>
  <c r="F183" i="3"/>
  <c r="E183" i="3"/>
  <c r="P182" i="3"/>
  <c r="G182" i="3"/>
  <c r="F182" i="3"/>
  <c r="E182" i="3"/>
  <c r="P181" i="3"/>
  <c r="G181" i="3"/>
  <c r="F181" i="3"/>
  <c r="E181" i="3"/>
  <c r="P180" i="3"/>
  <c r="G180" i="3"/>
  <c r="F180" i="3"/>
  <c r="E180" i="3"/>
  <c r="P179" i="3"/>
  <c r="G179" i="3"/>
  <c r="F179" i="3"/>
  <c r="E179" i="3"/>
  <c r="P178" i="3"/>
  <c r="G178" i="3"/>
  <c r="F178" i="3"/>
  <c r="E178" i="3"/>
  <c r="P177" i="3"/>
  <c r="G177" i="3"/>
  <c r="F177" i="3"/>
  <c r="E177" i="3"/>
  <c r="P176" i="3"/>
  <c r="G176" i="3"/>
  <c r="F176" i="3"/>
  <c r="E176" i="3"/>
  <c r="P175" i="3"/>
  <c r="G175" i="3"/>
  <c r="F175" i="3"/>
  <c r="E175" i="3"/>
  <c r="P174" i="3"/>
  <c r="G174" i="3"/>
  <c r="F174" i="3"/>
  <c r="E174" i="3"/>
  <c r="P173" i="3"/>
  <c r="G173" i="3"/>
  <c r="F173" i="3"/>
  <c r="E173" i="3"/>
  <c r="P172" i="3"/>
  <c r="G172" i="3"/>
  <c r="F172" i="3"/>
  <c r="E172" i="3"/>
  <c r="P171" i="3"/>
  <c r="G171" i="3"/>
  <c r="F171" i="3"/>
  <c r="E171" i="3"/>
  <c r="P170" i="3"/>
  <c r="G170" i="3"/>
  <c r="F170" i="3"/>
  <c r="E170" i="3"/>
  <c r="P169" i="3"/>
  <c r="G169" i="3"/>
  <c r="F169" i="3"/>
  <c r="E169" i="3"/>
  <c r="P168" i="3"/>
  <c r="G168" i="3"/>
  <c r="F168" i="3"/>
  <c r="E168" i="3"/>
  <c r="P167" i="3"/>
  <c r="G167" i="3"/>
  <c r="F167" i="3"/>
  <c r="E167" i="3"/>
  <c r="P166" i="3"/>
  <c r="G166" i="3"/>
  <c r="F166" i="3"/>
  <c r="E166" i="3"/>
  <c r="P165" i="3"/>
  <c r="G165" i="3"/>
  <c r="F165" i="3"/>
  <c r="E165" i="3"/>
  <c r="P164" i="3"/>
  <c r="G164" i="3"/>
  <c r="F164" i="3"/>
  <c r="E164" i="3"/>
  <c r="P163" i="3"/>
  <c r="G163" i="3"/>
  <c r="F163" i="3"/>
  <c r="E163" i="3"/>
  <c r="P162" i="3"/>
  <c r="G162" i="3"/>
  <c r="F162" i="3"/>
  <c r="E162" i="3"/>
  <c r="P161" i="3"/>
  <c r="G161" i="3"/>
  <c r="F161" i="3"/>
  <c r="E161" i="3"/>
  <c r="P160" i="3"/>
  <c r="G160" i="3"/>
  <c r="F160" i="3"/>
  <c r="E160" i="3"/>
  <c r="P159" i="3"/>
  <c r="G159" i="3"/>
  <c r="F159" i="3"/>
  <c r="E159" i="3"/>
  <c r="P158" i="3"/>
  <c r="G158" i="3"/>
  <c r="F158" i="3"/>
  <c r="E158" i="3"/>
  <c r="P157" i="3"/>
  <c r="G157" i="3"/>
  <c r="F157" i="3"/>
  <c r="E157" i="3"/>
  <c r="P156" i="3"/>
  <c r="G156" i="3"/>
  <c r="F156" i="3"/>
  <c r="E156" i="3"/>
  <c r="P155" i="3"/>
  <c r="G155" i="3"/>
  <c r="F155" i="3"/>
  <c r="E155" i="3"/>
  <c r="P154" i="3"/>
  <c r="G154" i="3"/>
  <c r="F154" i="3"/>
  <c r="E154" i="3"/>
  <c r="P153" i="3"/>
  <c r="G153" i="3"/>
  <c r="F153" i="3"/>
  <c r="E153" i="3"/>
  <c r="P152" i="3"/>
  <c r="G152" i="3"/>
  <c r="F152" i="3"/>
  <c r="E152" i="3"/>
  <c r="P151" i="3"/>
  <c r="G151" i="3"/>
  <c r="F151" i="3"/>
  <c r="E151" i="3"/>
  <c r="P150" i="3"/>
  <c r="G150" i="3"/>
  <c r="F150" i="3"/>
  <c r="E150" i="3"/>
  <c r="P149" i="3"/>
  <c r="G149" i="3"/>
  <c r="F149" i="3"/>
  <c r="E149" i="3"/>
  <c r="P148" i="3"/>
  <c r="G148" i="3"/>
  <c r="F148" i="3"/>
  <c r="E148" i="3"/>
  <c r="P147" i="3"/>
  <c r="G147" i="3"/>
  <c r="F147" i="3"/>
  <c r="E147" i="3"/>
  <c r="P146" i="3"/>
  <c r="G146" i="3"/>
  <c r="F146" i="3"/>
  <c r="E146" i="3"/>
  <c r="P145" i="3"/>
  <c r="G145" i="3"/>
  <c r="F145" i="3"/>
  <c r="E145" i="3"/>
  <c r="P144" i="3"/>
  <c r="G144" i="3"/>
  <c r="F144" i="3"/>
  <c r="E144" i="3"/>
  <c r="P143" i="3"/>
  <c r="G143" i="3"/>
  <c r="F143" i="3"/>
  <c r="E143" i="3"/>
  <c r="P142" i="3"/>
  <c r="G142" i="3"/>
  <c r="F142" i="3"/>
  <c r="E142" i="3"/>
  <c r="P141" i="3"/>
  <c r="G141" i="3"/>
  <c r="F141" i="3"/>
  <c r="E141" i="3"/>
  <c r="P140" i="3"/>
  <c r="G140" i="3"/>
  <c r="F140" i="3"/>
  <c r="E140" i="3"/>
  <c r="P139" i="3"/>
  <c r="G139" i="3"/>
  <c r="F139" i="3"/>
  <c r="E139" i="3"/>
  <c r="P138" i="3"/>
  <c r="G138" i="3"/>
  <c r="F138" i="3"/>
  <c r="E138" i="3"/>
  <c r="P137" i="3"/>
  <c r="G137" i="3"/>
  <c r="F137" i="3"/>
  <c r="E137" i="3"/>
  <c r="P136" i="3"/>
  <c r="G136" i="3"/>
  <c r="F136" i="3"/>
  <c r="E136" i="3"/>
  <c r="P135" i="3"/>
  <c r="G135" i="3"/>
  <c r="F135" i="3"/>
  <c r="E135" i="3"/>
  <c r="P134" i="3"/>
  <c r="G134" i="3"/>
  <c r="F134" i="3"/>
  <c r="E134" i="3"/>
  <c r="P133" i="3"/>
  <c r="G133" i="3"/>
  <c r="F133" i="3"/>
  <c r="E133" i="3"/>
  <c r="P132" i="3"/>
  <c r="G132" i="3"/>
  <c r="F132" i="3"/>
  <c r="E132" i="3"/>
  <c r="P131" i="3"/>
  <c r="G131" i="3"/>
  <c r="F131" i="3"/>
  <c r="E131" i="3"/>
  <c r="P130" i="3"/>
  <c r="G130" i="3"/>
  <c r="F130" i="3"/>
  <c r="E130" i="3"/>
  <c r="P129" i="3"/>
  <c r="G129" i="3"/>
  <c r="F129" i="3"/>
  <c r="E129" i="3"/>
  <c r="P128" i="3"/>
  <c r="G128" i="3"/>
  <c r="F128" i="3"/>
  <c r="E128" i="3"/>
  <c r="P127" i="3"/>
  <c r="G127" i="3"/>
  <c r="F127" i="3"/>
  <c r="E127" i="3"/>
  <c r="P126" i="3"/>
  <c r="G126" i="3"/>
  <c r="F126" i="3"/>
  <c r="E126" i="3"/>
  <c r="P125" i="3"/>
  <c r="G125" i="3"/>
  <c r="F125" i="3"/>
  <c r="E125" i="3"/>
  <c r="P124" i="3"/>
  <c r="G124" i="3"/>
  <c r="F124" i="3"/>
  <c r="E124" i="3"/>
  <c r="P123" i="3"/>
  <c r="G123" i="3"/>
  <c r="F123" i="3"/>
  <c r="E123" i="3"/>
  <c r="P122" i="3"/>
  <c r="G122" i="3"/>
  <c r="F122" i="3"/>
  <c r="E122" i="3"/>
  <c r="P121" i="3"/>
  <c r="G121" i="3"/>
  <c r="F121" i="3"/>
  <c r="E121" i="3"/>
  <c r="P120" i="3"/>
  <c r="G120" i="3"/>
  <c r="F120" i="3"/>
  <c r="E120" i="3"/>
  <c r="P119" i="3"/>
  <c r="G119" i="3"/>
  <c r="F119" i="3"/>
  <c r="E119" i="3"/>
  <c r="P118" i="3"/>
  <c r="G118" i="3"/>
  <c r="F118" i="3"/>
  <c r="E118" i="3"/>
  <c r="P117" i="3"/>
  <c r="G117" i="3"/>
  <c r="F117" i="3"/>
  <c r="E117" i="3"/>
  <c r="P116" i="3"/>
  <c r="G116" i="3"/>
  <c r="F116" i="3"/>
  <c r="E116" i="3"/>
  <c r="P115" i="3"/>
  <c r="G115" i="3"/>
  <c r="F115" i="3"/>
  <c r="E115" i="3"/>
  <c r="P114" i="3"/>
  <c r="G114" i="3"/>
  <c r="F114" i="3"/>
  <c r="E114" i="3"/>
  <c r="P113" i="3"/>
  <c r="G113" i="3"/>
  <c r="F113" i="3"/>
  <c r="E113" i="3"/>
  <c r="P112" i="3"/>
  <c r="G112" i="3"/>
  <c r="F112" i="3"/>
  <c r="E112" i="3"/>
  <c r="P111" i="3"/>
  <c r="G111" i="3"/>
  <c r="F111" i="3"/>
  <c r="E111" i="3"/>
  <c r="P110" i="3"/>
  <c r="G110" i="3"/>
  <c r="F110" i="3"/>
  <c r="E110" i="3"/>
  <c r="P109" i="3"/>
  <c r="G109" i="3"/>
  <c r="F109" i="3"/>
  <c r="E109" i="3"/>
  <c r="P108" i="3"/>
  <c r="G108" i="3"/>
  <c r="F108" i="3"/>
  <c r="E108" i="3"/>
  <c r="P107" i="3"/>
  <c r="G107" i="3"/>
  <c r="F107" i="3"/>
  <c r="E107" i="3"/>
  <c r="P106" i="3"/>
  <c r="G106" i="3"/>
  <c r="F106" i="3"/>
  <c r="E106" i="3"/>
  <c r="P105" i="3"/>
  <c r="G105" i="3"/>
  <c r="F105" i="3"/>
  <c r="E105" i="3"/>
  <c r="P104" i="3"/>
  <c r="G104" i="3"/>
  <c r="F104" i="3"/>
  <c r="E104" i="3"/>
  <c r="P103" i="3"/>
  <c r="G103" i="3"/>
  <c r="F103" i="3"/>
  <c r="E103" i="3"/>
  <c r="P102" i="3"/>
  <c r="G102" i="3"/>
  <c r="F102" i="3"/>
  <c r="E102" i="3"/>
  <c r="P101" i="3"/>
  <c r="G101" i="3"/>
  <c r="F101" i="3"/>
  <c r="E101" i="3"/>
  <c r="P100" i="3"/>
  <c r="G100" i="3"/>
  <c r="F100" i="3"/>
  <c r="E100" i="3"/>
  <c r="P99" i="3"/>
  <c r="G99" i="3"/>
  <c r="F99" i="3"/>
  <c r="E99" i="3"/>
  <c r="P98" i="3"/>
  <c r="G98" i="3"/>
  <c r="F98" i="3"/>
  <c r="E98" i="3"/>
  <c r="P97" i="3"/>
  <c r="G97" i="3"/>
  <c r="F97" i="3"/>
  <c r="E97" i="3"/>
  <c r="P96" i="3"/>
  <c r="G96" i="3"/>
  <c r="F96" i="3"/>
  <c r="E96" i="3"/>
  <c r="P95" i="3"/>
  <c r="G95" i="3"/>
  <c r="F95" i="3"/>
  <c r="E95" i="3"/>
  <c r="P94" i="3"/>
  <c r="G94" i="3"/>
  <c r="F94" i="3"/>
  <c r="E94" i="3"/>
  <c r="P93" i="3"/>
  <c r="G93" i="3"/>
  <c r="F93" i="3"/>
  <c r="E93" i="3"/>
  <c r="P92" i="3"/>
  <c r="G92" i="3"/>
  <c r="F92" i="3"/>
  <c r="E92" i="3"/>
  <c r="P91" i="3"/>
  <c r="G91" i="3"/>
  <c r="F91" i="3"/>
  <c r="E91" i="3"/>
  <c r="P90" i="3"/>
  <c r="G90" i="3"/>
  <c r="F90" i="3"/>
  <c r="E90" i="3"/>
  <c r="P89" i="3"/>
  <c r="G89" i="3"/>
  <c r="F89" i="3"/>
  <c r="E89" i="3"/>
  <c r="P88" i="3"/>
  <c r="G88" i="3"/>
  <c r="F88" i="3"/>
  <c r="E88" i="3"/>
  <c r="P87" i="3"/>
  <c r="G87" i="3"/>
  <c r="F87" i="3"/>
  <c r="E87" i="3"/>
  <c r="P86" i="3"/>
  <c r="G86" i="3"/>
  <c r="F86" i="3"/>
  <c r="E86" i="3"/>
  <c r="P85" i="3"/>
  <c r="G85" i="3"/>
  <c r="F85" i="3"/>
  <c r="E85" i="3"/>
  <c r="P84" i="3"/>
  <c r="G84" i="3"/>
  <c r="F84" i="3"/>
  <c r="E84" i="3"/>
  <c r="P83" i="3"/>
  <c r="G83" i="3"/>
  <c r="F83" i="3"/>
  <c r="E83" i="3"/>
  <c r="P82" i="3"/>
  <c r="G82" i="3"/>
  <c r="F82" i="3"/>
  <c r="E82" i="3"/>
  <c r="P81" i="3"/>
  <c r="G81" i="3"/>
  <c r="F81" i="3"/>
  <c r="E81" i="3"/>
  <c r="P80" i="3"/>
  <c r="G80" i="3"/>
  <c r="F80" i="3"/>
  <c r="E80" i="3"/>
  <c r="P79" i="3"/>
  <c r="G79" i="3"/>
  <c r="F79" i="3"/>
  <c r="E79" i="3"/>
  <c r="P78" i="3"/>
  <c r="G78" i="3"/>
  <c r="F78" i="3"/>
  <c r="E78" i="3"/>
  <c r="P77" i="3"/>
  <c r="G77" i="3"/>
  <c r="F77" i="3"/>
  <c r="E77" i="3"/>
  <c r="P76" i="3"/>
  <c r="G76" i="3"/>
  <c r="F76" i="3"/>
  <c r="E76" i="3"/>
  <c r="P75" i="3"/>
  <c r="G75" i="3"/>
  <c r="F75" i="3"/>
  <c r="E75" i="3"/>
  <c r="P74" i="3"/>
  <c r="G74" i="3"/>
  <c r="F74" i="3"/>
  <c r="E74" i="3"/>
  <c r="P73" i="3"/>
  <c r="G73" i="3"/>
  <c r="F73" i="3"/>
  <c r="E73" i="3"/>
  <c r="P72" i="3"/>
  <c r="G72" i="3"/>
  <c r="F72" i="3"/>
  <c r="E72" i="3"/>
  <c r="P71" i="3"/>
  <c r="G71" i="3"/>
  <c r="F71" i="3"/>
  <c r="E71" i="3"/>
  <c r="P70" i="3"/>
  <c r="G70" i="3"/>
  <c r="F70" i="3"/>
  <c r="E70" i="3"/>
  <c r="P69" i="3"/>
  <c r="G69" i="3"/>
  <c r="F69" i="3"/>
  <c r="E69" i="3"/>
  <c r="P68" i="3"/>
  <c r="G68" i="3"/>
  <c r="F68" i="3"/>
  <c r="E68" i="3"/>
  <c r="P67" i="3"/>
  <c r="G67" i="3"/>
  <c r="F67" i="3"/>
  <c r="E67" i="3"/>
  <c r="P66" i="3"/>
  <c r="G66" i="3"/>
  <c r="F66" i="3"/>
  <c r="E66" i="3"/>
  <c r="P65" i="3"/>
  <c r="G65" i="3"/>
  <c r="F65" i="3"/>
  <c r="E65" i="3"/>
  <c r="P64" i="3"/>
  <c r="G64" i="3"/>
  <c r="F64" i="3"/>
  <c r="E64" i="3"/>
  <c r="P63" i="3"/>
  <c r="G63" i="3"/>
  <c r="F63" i="3"/>
  <c r="E63" i="3"/>
  <c r="P62" i="3"/>
  <c r="G62" i="3"/>
  <c r="F62" i="3"/>
  <c r="E62" i="3"/>
  <c r="P61" i="3"/>
  <c r="G61" i="3"/>
  <c r="F61" i="3"/>
  <c r="E61" i="3"/>
  <c r="P60" i="3"/>
  <c r="G60" i="3"/>
  <c r="F60" i="3"/>
  <c r="E60" i="3"/>
  <c r="P59" i="3"/>
  <c r="G59" i="3"/>
  <c r="F59" i="3"/>
  <c r="E59" i="3"/>
  <c r="P58" i="3"/>
  <c r="G58" i="3"/>
  <c r="F58" i="3"/>
  <c r="E58" i="3"/>
  <c r="P57" i="3"/>
  <c r="G57" i="3"/>
  <c r="F57" i="3"/>
  <c r="E57" i="3"/>
  <c r="P56" i="3"/>
  <c r="G56" i="3"/>
  <c r="F56" i="3"/>
  <c r="E56" i="3"/>
  <c r="P55" i="3"/>
  <c r="G55" i="3"/>
  <c r="F55" i="3"/>
  <c r="E55" i="3"/>
  <c r="P54" i="3"/>
  <c r="G54" i="3"/>
  <c r="F54" i="3"/>
  <c r="E54" i="3"/>
  <c r="P53" i="3"/>
  <c r="G53" i="3"/>
  <c r="F53" i="3"/>
  <c r="E53" i="3"/>
  <c r="P52" i="3"/>
  <c r="G52" i="3"/>
  <c r="F52" i="3"/>
  <c r="E52" i="3"/>
  <c r="P51" i="3"/>
  <c r="G51" i="3"/>
  <c r="F51" i="3"/>
  <c r="E51" i="3"/>
  <c r="P50" i="3"/>
  <c r="G50" i="3"/>
  <c r="F50" i="3"/>
  <c r="E50" i="3"/>
  <c r="P49" i="3"/>
  <c r="G49" i="3"/>
  <c r="F49" i="3"/>
  <c r="E49" i="3"/>
  <c r="P48" i="3"/>
  <c r="G48" i="3"/>
  <c r="F48" i="3"/>
  <c r="E48" i="3"/>
  <c r="P47" i="3"/>
  <c r="G47" i="3"/>
  <c r="F47" i="3"/>
  <c r="E47" i="3"/>
  <c r="P46" i="3"/>
  <c r="G46" i="3"/>
  <c r="F46" i="3"/>
  <c r="E46" i="3"/>
  <c r="P45" i="3"/>
  <c r="G45" i="3"/>
  <c r="F45" i="3"/>
  <c r="E45" i="3"/>
  <c r="P44" i="3"/>
  <c r="G44" i="3"/>
  <c r="F44" i="3"/>
  <c r="E44" i="3"/>
  <c r="P43" i="3"/>
  <c r="G43" i="3"/>
  <c r="F43" i="3"/>
  <c r="E43" i="3"/>
  <c r="P42" i="3"/>
  <c r="G42" i="3"/>
  <c r="F42" i="3"/>
  <c r="E42" i="3"/>
  <c r="P41" i="3"/>
  <c r="G41" i="3"/>
  <c r="F41" i="3"/>
  <c r="E41" i="3"/>
  <c r="P40" i="3"/>
  <c r="G40" i="3"/>
  <c r="F40" i="3"/>
  <c r="E40" i="3"/>
  <c r="P39" i="3"/>
  <c r="G39" i="3"/>
  <c r="F39" i="3"/>
  <c r="E39" i="3"/>
  <c r="P38" i="3"/>
  <c r="G38" i="3"/>
  <c r="F38" i="3"/>
  <c r="E38" i="3"/>
  <c r="P37" i="3"/>
  <c r="G37" i="3"/>
  <c r="F37" i="3"/>
  <c r="E37" i="3"/>
  <c r="P36" i="3"/>
  <c r="G36" i="3"/>
  <c r="F36" i="3"/>
  <c r="E36" i="3"/>
  <c r="P35" i="3"/>
  <c r="G35" i="3"/>
  <c r="F35" i="3"/>
  <c r="E35" i="3"/>
  <c r="P34" i="3"/>
  <c r="G34" i="3"/>
  <c r="F34" i="3"/>
  <c r="E34" i="3"/>
  <c r="P33" i="3"/>
  <c r="G33" i="3"/>
  <c r="F33" i="3"/>
  <c r="E33" i="3"/>
  <c r="P32" i="3"/>
  <c r="G32" i="3"/>
  <c r="F32" i="3"/>
  <c r="E32" i="3"/>
  <c r="P31" i="3"/>
  <c r="G31" i="3"/>
  <c r="F31" i="3"/>
  <c r="E31" i="3"/>
  <c r="P30" i="3"/>
  <c r="G30" i="3"/>
  <c r="F30" i="3"/>
  <c r="E30" i="3"/>
  <c r="P29" i="3"/>
  <c r="G29" i="3"/>
  <c r="F29" i="3"/>
  <c r="E29" i="3"/>
  <c r="P28" i="3"/>
  <c r="G28" i="3"/>
  <c r="F28" i="3"/>
  <c r="E28" i="3"/>
  <c r="P27" i="3"/>
  <c r="G27" i="3"/>
  <c r="F27" i="3"/>
  <c r="E27" i="3"/>
  <c r="P26" i="3"/>
  <c r="G26" i="3"/>
  <c r="F26" i="3"/>
  <c r="E26" i="3"/>
  <c r="P25" i="3"/>
  <c r="G25" i="3"/>
  <c r="F25" i="3"/>
  <c r="E25" i="3"/>
  <c r="P24" i="3"/>
  <c r="G24" i="3"/>
  <c r="F24" i="3"/>
  <c r="E24" i="3"/>
  <c r="P23" i="3"/>
  <c r="G23" i="3"/>
  <c r="F23" i="3"/>
  <c r="E23" i="3"/>
  <c r="P22" i="3"/>
  <c r="G22" i="3"/>
  <c r="F22" i="3"/>
  <c r="E22" i="3"/>
  <c r="P21" i="3"/>
  <c r="G21" i="3"/>
  <c r="F21" i="3"/>
  <c r="E21" i="3"/>
  <c r="P20" i="3"/>
  <c r="G20" i="3"/>
  <c r="F20" i="3"/>
  <c r="E20" i="3"/>
  <c r="P19" i="3"/>
  <c r="G19" i="3"/>
  <c r="F19" i="3"/>
  <c r="E19" i="3"/>
  <c r="P18" i="3"/>
  <c r="G18" i="3"/>
  <c r="F18" i="3"/>
  <c r="E18" i="3"/>
  <c r="P17" i="3"/>
  <c r="G17" i="3"/>
  <c r="F17" i="3"/>
  <c r="E17" i="3"/>
  <c r="P16" i="3"/>
  <c r="G16" i="3"/>
  <c r="F16" i="3"/>
  <c r="E16" i="3"/>
  <c r="P15" i="3"/>
  <c r="G15" i="3"/>
  <c r="F15" i="3"/>
  <c r="E15" i="3"/>
  <c r="P14" i="3"/>
  <c r="G14" i="3"/>
  <c r="F14" i="3"/>
  <c r="E14" i="3"/>
  <c r="P13" i="3"/>
  <c r="G13" i="3"/>
  <c r="F13" i="3"/>
  <c r="E13" i="3"/>
  <c r="P12" i="3"/>
  <c r="G12" i="3"/>
  <c r="F12" i="3"/>
  <c r="E12" i="3"/>
  <c r="P11" i="3"/>
  <c r="G11" i="3"/>
  <c r="F11" i="3"/>
  <c r="E11" i="3"/>
  <c r="P10" i="3"/>
  <c r="G10" i="3"/>
  <c r="F10" i="3"/>
  <c r="E10" i="3"/>
  <c r="P9" i="3"/>
  <c r="G9" i="3"/>
  <c r="F9" i="3"/>
  <c r="E9" i="3"/>
  <c r="P8" i="3"/>
  <c r="G8" i="3"/>
  <c r="F8" i="3"/>
  <c r="E8" i="3"/>
  <c r="P7" i="3"/>
  <c r="G7" i="3"/>
  <c r="F7" i="3"/>
  <c r="E7" i="3"/>
  <c r="P6" i="3"/>
  <c r="G6" i="3"/>
  <c r="F6" i="3"/>
  <c r="E6" i="3"/>
  <c r="P5" i="3"/>
  <c r="G5" i="3"/>
  <c r="F5" i="3"/>
  <c r="E5" i="3"/>
  <c r="P4" i="3"/>
  <c r="G4" i="3"/>
  <c r="F4" i="3"/>
  <c r="E4" i="3"/>
  <c r="P3" i="3"/>
  <c r="G3" i="3"/>
  <c r="F3" i="3"/>
  <c r="E3" i="3"/>
  <c r="L101" i="2"/>
  <c r="K101" i="2"/>
  <c r="J101" i="2"/>
  <c r="I101" i="2"/>
  <c r="L100" i="2"/>
  <c r="K100" i="2"/>
  <c r="J100" i="2"/>
  <c r="I100" i="2"/>
  <c r="L99" i="2"/>
  <c r="K99" i="2"/>
  <c r="J99" i="2"/>
  <c r="I99" i="2"/>
  <c r="L98" i="2"/>
  <c r="K98" i="2"/>
  <c r="J98" i="2"/>
  <c r="I98" i="2"/>
  <c r="L97" i="2"/>
  <c r="K97" i="2"/>
  <c r="J97" i="2"/>
  <c r="I97" i="2"/>
  <c r="L96" i="2"/>
  <c r="K96" i="2"/>
  <c r="J96" i="2"/>
  <c r="I96" i="2"/>
  <c r="L95" i="2"/>
  <c r="K95" i="2"/>
  <c r="J95" i="2"/>
  <c r="I95" i="2"/>
  <c r="L94" i="2"/>
  <c r="K94" i="2"/>
  <c r="J94" i="2"/>
  <c r="I94" i="2"/>
  <c r="L93" i="2"/>
  <c r="K93" i="2"/>
  <c r="J93" i="2"/>
  <c r="I93" i="2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4" i="2"/>
  <c r="K84" i="2"/>
  <c r="J84" i="2"/>
  <c r="I84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L77" i="2"/>
  <c r="K77" i="2"/>
  <c r="J77" i="2"/>
  <c r="I77" i="2"/>
  <c r="L76" i="2"/>
  <c r="K76" i="2"/>
  <c r="J76" i="2"/>
  <c r="I76" i="2"/>
  <c r="L75" i="2"/>
  <c r="K75" i="2"/>
  <c r="J75" i="2"/>
  <c r="I75" i="2"/>
  <c r="L74" i="2"/>
  <c r="K74" i="2"/>
  <c r="J74" i="2"/>
  <c r="I74" i="2"/>
  <c r="L73" i="2"/>
  <c r="K73" i="2"/>
  <c r="J73" i="2"/>
  <c r="I73" i="2"/>
  <c r="L72" i="2"/>
  <c r="K72" i="2"/>
  <c r="J72" i="2"/>
  <c r="I72" i="2"/>
  <c r="L71" i="2"/>
  <c r="K71" i="2"/>
  <c r="J71" i="2"/>
  <c r="I71" i="2"/>
  <c r="L70" i="2"/>
  <c r="K70" i="2"/>
  <c r="J70" i="2"/>
  <c r="I70" i="2"/>
  <c r="L69" i="2"/>
  <c r="K69" i="2"/>
  <c r="J69" i="2"/>
  <c r="I69" i="2"/>
  <c r="L68" i="2"/>
  <c r="K68" i="2"/>
  <c r="J68" i="2"/>
  <c r="I68" i="2"/>
  <c r="L67" i="2"/>
  <c r="K67" i="2"/>
  <c r="J67" i="2"/>
  <c r="I67" i="2"/>
  <c r="L66" i="2"/>
  <c r="K66" i="2"/>
  <c r="J66" i="2"/>
  <c r="I66" i="2"/>
  <c r="L65" i="2"/>
  <c r="K65" i="2"/>
  <c r="J65" i="2"/>
  <c r="I65" i="2"/>
  <c r="L64" i="2"/>
  <c r="K64" i="2"/>
  <c r="J64" i="2"/>
  <c r="I64" i="2"/>
  <c r="L63" i="2"/>
  <c r="K63" i="2"/>
  <c r="J63" i="2"/>
  <c r="I63" i="2"/>
  <c r="L62" i="2"/>
  <c r="K62" i="2"/>
  <c r="J62" i="2"/>
  <c r="I62" i="2"/>
  <c r="L61" i="2"/>
  <c r="K61" i="2"/>
  <c r="J61" i="2"/>
  <c r="I61" i="2"/>
  <c r="L60" i="2"/>
  <c r="K60" i="2"/>
  <c r="J60" i="2"/>
  <c r="I60" i="2"/>
  <c r="L59" i="2"/>
  <c r="K59" i="2"/>
  <c r="J59" i="2"/>
  <c r="I59" i="2"/>
  <c r="L58" i="2"/>
  <c r="K58" i="2"/>
  <c r="J58" i="2"/>
  <c r="I58" i="2"/>
  <c r="L57" i="2"/>
  <c r="K57" i="2"/>
  <c r="J57" i="2"/>
  <c r="I57" i="2"/>
  <c r="L56" i="2"/>
  <c r="K56" i="2"/>
  <c r="J56" i="2"/>
  <c r="I56" i="2"/>
  <c r="L55" i="2"/>
  <c r="K55" i="2"/>
  <c r="J55" i="2"/>
  <c r="I55" i="2"/>
  <c r="L54" i="2"/>
  <c r="K54" i="2"/>
  <c r="J54" i="2"/>
  <c r="I54" i="2"/>
  <c r="L53" i="2"/>
  <c r="K53" i="2"/>
  <c r="J53" i="2"/>
  <c r="I53" i="2"/>
  <c r="L52" i="2"/>
  <c r="K52" i="2"/>
  <c r="J52" i="2"/>
  <c r="I52" i="2"/>
  <c r="L51" i="2"/>
  <c r="K51" i="2"/>
  <c r="J51" i="2"/>
  <c r="I51" i="2"/>
  <c r="L50" i="2"/>
  <c r="K50" i="2"/>
  <c r="J50" i="2"/>
  <c r="I50" i="2"/>
  <c r="L49" i="2"/>
  <c r="K49" i="2"/>
  <c r="J49" i="2"/>
  <c r="I49" i="2"/>
  <c r="L48" i="2"/>
  <c r="K48" i="2"/>
  <c r="J48" i="2"/>
  <c r="I48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1" i="2"/>
  <c r="K41" i="2"/>
  <c r="J41" i="2"/>
  <c r="I41" i="2"/>
  <c r="L40" i="2"/>
  <c r="K40" i="2"/>
  <c r="J40" i="2"/>
  <c r="I40" i="2"/>
  <c r="L39" i="2"/>
  <c r="K39" i="2"/>
  <c r="J39" i="2"/>
  <c r="I39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I3" i="2"/>
  <c r="F8" i="8" l="1"/>
  <c r="B11" i="7"/>
  <c r="B52" i="7"/>
  <c r="B51" i="7"/>
</calcChain>
</file>

<file path=xl/sharedStrings.xml><?xml version="1.0" encoding="utf-8"?>
<sst xmlns="http://schemas.openxmlformats.org/spreadsheetml/2006/main" count="732" uniqueCount="491">
  <si>
    <t>Navigator — Student Behavior &amp; Intervention Tracker</t>
  </si>
  <si>
    <t>RTI / MTSS / ISS / OSS Edition  |  Clear Path Education Group, LLC</t>
  </si>
  <si>
    <t>Built for Texas campus behavior coordinators, counselors, and assistant principals.</t>
  </si>
  <si>
    <t>Track referrals, suspensions, student supports, and intervention effectiveness — all in one place.</t>
  </si>
  <si>
    <t>─── FILL IN YOUR CAMPUS INFORMATION ─────────────────────────────</t>
  </si>
  <si>
    <t>District Name:</t>
  </si>
  <si>
    <t>Campus Name:</t>
  </si>
  <si>
    <t>School Year:</t>
  </si>
  <si>
    <t>2025-26</t>
  </si>
  <si>
    <t>Behavior Coordinator / Counselor:</t>
  </si>
  <si>
    <t>Date Updated:</t>
  </si>
  <si>
    <t>─── HOW TO USE THIS TRACKER ──────────────────────────────────────</t>
  </si>
  <si>
    <t>1.  STUDENT ROSTER — Add every student you are tracking. This tab feeds all other tabs.</t>
  </si>
  <si>
    <t>2.  REFERRAL LOG — Log each behavioral referral. One row per referral. Reference the Student ID.</t>
  </si>
  <si>
    <t>3.  ISS / OSS PLACEMENTS — Record each suspension. Auto-calculates days elapsed.</t>
  </si>
  <si>
    <t>4.  STUDENT SUPPORTS — Log every intervention assigned. Track effectiveness when completed.</t>
  </si>
  <si>
    <t>5.  RISK SCORE CALCULATOR — Manually score students using the weighted algorithm from Navigator.</t>
  </si>
  <si>
    <t>6.  DASHBOARD — Auto-summary. No data entry needed here.</t>
  </si>
  <si>
    <t>7.  REFERENCE — RTI/MTSS framework, skill gap definitions, intervention menu.</t>
  </si>
  <si>
    <t>8.  Yellow = approaching threshold. Red = escalation flag. Green = resolved/on-track.</t>
  </si>
  <si>
    <t>9.  Gray cells = auto-calculated formulas — do NOT type in them.</t>
  </si>
  <si>
    <t>10. Works in Google Sheets AND Microsoft Excel.</t>
  </si>
  <si>
    <t>11. For automated risk scoring, multi-campus tracking, and real-time alerts: see UPGRADE TO NAVIGATOR tab.</t>
  </si>
  <si>
    <t>12. Questions? Email: support@clearpathedgroup.com</t>
  </si>
  <si>
    <t>─── ESCALATION THRESHOLDS (built into Navigator's Risk Engine) ──</t>
  </si>
  <si>
    <t>3+ OSS in 90 days → High Risk escalation flag. 5+ referrals in 30 days → Referral frequency alert. 2 referrals in 14 days → Immediate review trigger. These thresholds are tracked manually in this tracker; Navigator automates them.</t>
  </si>
  <si>
    <t>© 2025 Clear Path Education Group, LLC  |  clearpathedgroup.com  |  For organizational use only — not legal advice.</t>
  </si>
  <si>
    <t>STUDENT ROSTER — Students Under Behavior Monitoring</t>
  </si>
  <si>
    <t>Student ID</t>
  </si>
  <si>
    <t>Last Name</t>
  </si>
  <si>
    <t>First Name</t>
  </si>
  <si>
    <t>Grade</t>
  </si>
  <si>
    <t>Campus</t>
  </si>
  <si>
    <t>SPED Eligible?</t>
  </si>
  <si>
    <t>504 Eligible?</t>
  </si>
  <si>
    <t>Status</t>
  </si>
  <si>
    <t>Referral Count ⚙</t>
  </si>
  <si>
    <t>ISS Count ⚙</t>
  </si>
  <si>
    <t>OSS Count ⚙</t>
  </si>
  <si>
    <t>Active Supports ⚙</t>
  </si>
  <si>
    <t>Risk Level</t>
  </si>
  <si>
    <t>Notes</t>
  </si>
  <si>
    <t>NAV-001</t>
  </si>
  <si>
    <t>Torres</t>
  </si>
  <si>
    <t>Miguel</t>
  </si>
  <si>
    <t>9th Grade</t>
  </si>
  <si>
    <t>Lincoln High</t>
  </si>
  <si>
    <t>No</t>
  </si>
  <si>
    <t>Active</t>
  </si>
  <si>
    <t>High</t>
  </si>
  <si>
    <t>3 OSS in 90 days — DAEP escalation review underway.</t>
  </si>
  <si>
    <t>NAV-002</t>
  </si>
  <si>
    <t>Chen</t>
  </si>
  <si>
    <t>Amy</t>
  </si>
  <si>
    <t>7th Grade</t>
  </si>
  <si>
    <t>Roosevelt Middle</t>
  </si>
  <si>
    <t>Medium</t>
  </si>
  <si>
    <t>CICO support active — trending down.</t>
  </si>
  <si>
    <t>NAV-003</t>
  </si>
  <si>
    <t>Jackson</t>
  </si>
  <si>
    <t>DeShawn</t>
  </si>
  <si>
    <t>10th Grade</t>
  </si>
  <si>
    <t>Yes</t>
  </si>
  <si>
    <t>BIP in place; SPED coordinator monitoring.</t>
  </si>
  <si>
    <t>NAV-004</t>
  </si>
  <si>
    <t>Martinez</t>
  </si>
  <si>
    <t>Sofia</t>
  </si>
  <si>
    <t>6th Grade</t>
  </si>
  <si>
    <t>Jefferson Middle</t>
  </si>
  <si>
    <t>Low</t>
  </si>
  <si>
    <t>First referral 3/2 — monitoring.</t>
  </si>
  <si>
    <t>NAV-005</t>
  </si>
  <si>
    <t>Patel</t>
  </si>
  <si>
    <t>Raj</t>
  </si>
  <si>
    <t>8th Grade</t>
  </si>
  <si>
    <t>Behavior contract active.</t>
  </si>
  <si>
    <t>REFERRAL LOG — One Row Per Behavioral Referral</t>
  </si>
  <si>
    <t>Referral ID</t>
  </si>
  <si>
    <t>Referral Date</t>
  </si>
  <si>
    <t>Last Name ⚙</t>
  </si>
  <si>
    <t>First Name ⚙</t>
  </si>
  <si>
    <t>Grade ⚙</t>
  </si>
  <si>
    <t>Offense Category</t>
  </si>
  <si>
    <t>Description (brief)</t>
  </si>
  <si>
    <t>Skill Gap Identified</t>
  </si>
  <si>
    <t>Reported By (Role)</t>
  </si>
  <si>
    <t>Reviewed By (Role)</t>
  </si>
  <si>
    <t>Outcome</t>
  </si>
  <si>
    <t>OSS/ISS Assigned?</t>
  </si>
  <si>
    <t>Referral # for Student ⚙</t>
  </si>
  <si>
    <t>REF-001</t>
  </si>
  <si>
    <t>Fighting</t>
  </si>
  <si>
    <t>Fight at lunch — mutual combat</t>
  </si>
  <si>
    <t>Peer Conflict Resolution</t>
  </si>
  <si>
    <t>Teacher</t>
  </si>
  <si>
    <t>Assistant Principal</t>
  </si>
  <si>
    <t>Resolved</t>
  </si>
  <si>
    <t>OSS Assigned</t>
  </si>
  <si>
    <t>REF-002</t>
  </si>
  <si>
    <t>Second fight — hallway before 3rd period</t>
  </si>
  <si>
    <t>2nd referral — escalating pattern.</t>
  </si>
  <si>
    <t>REF-003</t>
  </si>
  <si>
    <t>Defiance/Insubordination</t>
  </si>
  <si>
    <t>Refused to leave classroom; verbal outburst</t>
  </si>
  <si>
    <t>Impulse Control</t>
  </si>
  <si>
    <t>3rd incident — DAEP escalation review.</t>
  </si>
  <si>
    <t>REF-004</t>
  </si>
  <si>
    <t>Repeated class disruption</t>
  </si>
  <si>
    <t>Emotional Regulation</t>
  </si>
  <si>
    <t>Counselor</t>
  </si>
  <si>
    <t>In Progress</t>
  </si>
  <si>
    <t>Support Assigned</t>
  </si>
  <si>
    <t>CICO assigned 1/17.</t>
  </si>
  <si>
    <t>REF-005</t>
  </si>
  <si>
    <t>Other</t>
  </si>
  <si>
    <t>Skipped CICO check-in twice</t>
  </si>
  <si>
    <t>Adult Communication</t>
  </si>
  <si>
    <t>Open</t>
  </si>
  <si>
    <t>REF-006</t>
  </si>
  <si>
    <t>Shutdown/refusal during transition</t>
  </si>
  <si>
    <t>SPED Coordinator</t>
  </si>
  <si>
    <t>BIP reviewed — updated triggers.</t>
  </si>
  <si>
    <t>REF-007</t>
  </si>
  <si>
    <t>Truancy</t>
  </si>
  <si>
    <t>Left campus during lunch</t>
  </si>
  <si>
    <t>Executive Functioning</t>
  </si>
  <si>
    <t>No Action Taken</t>
  </si>
  <si>
    <t>First referral. Monitoring.</t>
  </si>
  <si>
    <t>ISS / OSS PLACEMENTS — One Row Per Suspension</t>
  </si>
  <si>
    <t>Placement ID</t>
  </si>
  <si>
    <t>Placement Type</t>
  </si>
  <si>
    <t>Start Date</t>
  </si>
  <si>
    <t>End Date (actual)</t>
  </si>
  <si>
    <t>Authorized Days</t>
  </si>
  <si>
    <t>Days Elapsed ⚙</t>
  </si>
  <si>
    <t>Days Remaining ⚙</t>
  </si>
  <si>
    <t>Referral ID (cross-ref)</t>
  </si>
  <si>
    <t>Assigned By (Role)</t>
  </si>
  <si>
    <t>Parent Notified?</t>
  </si>
  <si>
    <t>Notification Date</t>
  </si>
  <si>
    <t>Return Date</t>
  </si>
  <si>
    <t>OSS Count (90d) ⚙</t>
  </si>
  <si>
    <t>PLC-001</t>
  </si>
  <si>
    <t>OSS — Out-of-School Suspension</t>
  </si>
  <si>
    <t>PLC-002</t>
  </si>
  <si>
    <t>Second OSS — escalation warning issued.</t>
  </si>
  <si>
    <t>PLC-003</t>
  </si>
  <si>
    <t>3rd OSS in 90 days — DAEP escalation review.</t>
  </si>
  <si>
    <t>PLC-004</t>
  </si>
  <si>
    <t>ISS — In-School Suspension</t>
  </si>
  <si>
    <t>STUDENT SUPPORTS — Interventions Assigned to Students</t>
  </si>
  <si>
    <t>Support ID</t>
  </si>
  <si>
    <t>Support Type</t>
  </si>
  <si>
    <t>End Date</t>
  </si>
  <si>
    <t>Assigned To (Staff Name)</t>
  </si>
  <si>
    <t>Incidents Before (30d)</t>
  </si>
  <si>
    <t>Incidents After (30d)</t>
  </si>
  <si>
    <t>Reduction ⚙</t>
  </si>
  <si>
    <t>Effective? ⚙</t>
  </si>
  <si>
    <t>SUP-001</t>
  </si>
  <si>
    <t>CICO (Check-In / Check-Out)</t>
  </si>
  <si>
    <t>Ms. Johnson</t>
  </si>
  <si>
    <t>Daily CICO with Ms. Johnson. Showing improvement.</t>
  </si>
  <si>
    <t>SUP-002</t>
  </si>
  <si>
    <t>Social Skills Group</t>
  </si>
  <si>
    <t>Mr. Lee</t>
  </si>
  <si>
    <t>Completed</t>
  </si>
  <si>
    <t>Completed 6-week group.</t>
  </si>
  <si>
    <t>SUP-003</t>
  </si>
  <si>
    <t>Behavior Contract</t>
  </si>
  <si>
    <t>Mr. Davis</t>
  </si>
  <si>
    <t>Active contract — weekly check-ins.</t>
  </si>
  <si>
    <t>RISK SCORE CALCULATOR — Navigator Escalation Risk Engine (Manual Version)</t>
  </si>
  <si>
    <t>Enter student data below. Scores are calculated automatically. Navigator computes this in real time across all students automatically.</t>
  </si>
  <si>
    <t>HOW SCORES ARE CALCULATED</t>
  </si>
  <si>
    <t>Factor</t>
  </si>
  <si>
    <t>Points</t>
  </si>
  <si>
    <t>Referral in last 14 days</t>
  </si>
  <si>
    <t>+30</t>
  </si>
  <si>
    <t>Any referral in past 14 days</t>
  </si>
  <si>
    <t>2+ referrals in last 14 days</t>
  </si>
  <si>
    <t>+15</t>
  </si>
  <si>
    <t>Additional points for multiple recent referrals</t>
  </si>
  <si>
    <t>2+ referrals in last 30 days</t>
  </si>
  <si>
    <t>Frequency pattern indicator</t>
  </si>
  <si>
    <t>5+ referrals in last 60 days</t>
  </si>
  <si>
    <t>+10</t>
  </si>
  <si>
    <t>Chronic referral pattern</t>
  </si>
  <si>
    <t>OSS in last 30 days</t>
  </si>
  <si>
    <t>+25</t>
  </si>
  <si>
    <t>Any out-of-school suspension</t>
  </si>
  <si>
    <t>2+ OSS in last 30 days</t>
  </si>
  <si>
    <t>Additional for repeated OSS</t>
  </si>
  <si>
    <t>ISS in last 30 days</t>
  </si>
  <si>
    <t>In-school suspension</t>
  </si>
  <si>
    <t>Prior DAEP escalation (any time)</t>
  </si>
  <si>
    <t>+20</t>
  </si>
  <si>
    <t>Student has been escalated to DAEP before</t>
  </si>
  <si>
    <t>Each active support assigned</t>
  </si>
  <si>
    <t>−12</t>
  </si>
  <si>
    <t>Supports reduce risk score (protective factor)</t>
  </si>
  <si>
    <t>Score range</t>
  </si>
  <si>
    <t>0–100</t>
  </si>
  <si>
    <t>Capped: Low 0–34 | Medium 35–69 | High 70–100</t>
  </si>
  <si>
    <t>STUDENT RISK SCORING — Enter data manually for each student</t>
  </si>
  <si>
    <t>Student Name</t>
  </si>
  <si>
    <t>Refs (14d)</t>
  </si>
  <si>
    <t>Refs (30d)</t>
  </si>
  <si>
    <t>Refs (60d)</t>
  </si>
  <si>
    <t>OSS (30d)</t>
  </si>
  <si>
    <t>ISS (30d)</t>
  </si>
  <si>
    <t>Prior DAEP</t>
  </si>
  <si>
    <t>Active Supports</t>
  </si>
  <si>
    <t>Score ⚙</t>
  </si>
  <si>
    <t>Risk Level ⚙</t>
  </si>
  <si>
    <t>Miguel Torres</t>
  </si>
  <si>
    <t>Amy Chen</t>
  </si>
  <si>
    <t>Raj Patel</t>
  </si>
  <si>
    <t>DASHBOARD — Auto-Summary (No Data Entry Needed)</t>
  </si>
  <si>
    <t>KEY METRICS — CURRENT SCHOOL YEAR</t>
  </si>
  <si>
    <t>Students Being Monitored</t>
  </si>
  <si>
    <t>Total Referrals (YTD)</t>
  </si>
  <si>
    <t>Open Referrals</t>
  </si>
  <si>
    <t>Escalated to DAEP</t>
  </si>
  <si>
    <t>Active ISS Placements</t>
  </si>
  <si>
    <t>Active OSS Placements</t>
  </si>
  <si>
    <t>Students with 3+ OSS (90d)</t>
  </si>
  <si>
    <t>Supports Completed</t>
  </si>
  <si>
    <t>⚠ High Risk Students</t>
  </si>
  <si>
    <t>REFERRALS BY OFFENSE CATEGORY (YTD)</t>
  </si>
  <si>
    <t>Drugs/Alcohol</t>
  </si>
  <si>
    <t>Weapons</t>
  </si>
  <si>
    <t>Harassment/Bullying</t>
  </si>
  <si>
    <t>Theft</t>
  </si>
  <si>
    <t>Vandalism</t>
  </si>
  <si>
    <t>Sexual Offense</t>
  </si>
  <si>
    <t>Gang-Related Activity</t>
  </si>
  <si>
    <t>REFERRALS BY SKILL GAP (YTD)</t>
  </si>
  <si>
    <t>Academic Frustration Tolerance</t>
  </si>
  <si>
    <t>SUPPORTS BY TYPE (YTD)</t>
  </si>
  <si>
    <t>Counseling Referral</t>
  </si>
  <si>
    <t>Peer Mediation</t>
  </si>
  <si>
    <t>Academic Support</t>
  </si>
  <si>
    <t>Mindfulness Protocol</t>
  </si>
  <si>
    <t>Parent Conference</t>
  </si>
  <si>
    <t>Mentoring</t>
  </si>
  <si>
    <t>Restorative Circle</t>
  </si>
  <si>
    <t>SUPPORT EFFECTIVENESS SUMMARY</t>
  </si>
  <si>
    <t>Supports showing improvement (incidents decreased)</t>
  </si>
  <si>
    <t>Supports showing no improvement</t>
  </si>
  <si>
    <t>Note: Effectiveness requires Incidents Before and After to be filled in on Student Supports tab.</t>
  </si>
  <si>
    <t>© 2025 Clear Path Education Group, LLC  |  clearpathedgroup.com  |  Upgrade to Navigator for real-time, automated tracking.</t>
  </si>
  <si>
    <t>🚨 WEEKLY RISK ALERT BOARD — Navigator Behavior Tracker</t>
  </si>
  <si>
    <t>Print this tab for your Monday morning behavior briefing. All data auto-updates from your other tabs.</t>
  </si>
  <si>
    <t>🚨 OSS ESCALATION FLAGS (3+ OSS in 90 days)</t>
  </si>
  <si>
    <t>OSS Count (90d)</t>
  </si>
  <si>
    <t>Review for DAEP referral</t>
  </si>
  <si>
    <t>📋 OPEN REFERRALS (no outcome assigned yet)</t>
  </si>
  <si>
    <t>Date</t>
  </si>
  <si>
    <t>Offense</t>
  </si>
  <si>
    <t>Skill Gap</t>
  </si>
  <si>
    <t>📊 SNAPSHOT COUNTS</t>
  </si>
  <si>
    <t>Students w/ 3+ OSS (90d)</t>
  </si>
  <si>
    <t>Completed Supports</t>
  </si>
  <si>
    <t>─── Generated by Navigator — Student Behavior Tracker | Clear Path Education Group, LLC | clearpathedgroup.com ───</t>
  </si>
  <si>
    <t>REFERENCE — RTI/MTSS Framework, Behavior Intervention, and Escalation Thresholds</t>
  </si>
  <si>
    <t>Clear Path Education Group, LLC  |  clearpathedgroup.com  |  For organizational use only</t>
  </si>
  <si>
    <t>RTI / MTSS TIER FRAMEWORK</t>
  </si>
  <si>
    <t>Tier</t>
  </si>
  <si>
    <t>Description</t>
  </si>
  <si>
    <t>Student Population</t>
  </si>
  <si>
    <t>Typical Supports</t>
  </si>
  <si>
    <t>Tier 1 — Universal</t>
  </si>
  <si>
    <t>Core instruction and prevention for all students</t>
  </si>
  <si>
    <t>~80% of students</t>
  </si>
  <si>
    <t>PBIS, classroom management, social-emotional learning curriculum</t>
  </si>
  <si>
    <t>Tier 2 — Targeted</t>
  </si>
  <si>
    <t>Small-group and strategic interventions for at-risk students</t>
  </si>
  <si>
    <t>~15% of students</t>
  </si>
  <si>
    <t>CICO, social skills groups, academic support, counseling check-ins</t>
  </si>
  <si>
    <t>Tier 3 — Intensive</t>
  </si>
  <si>
    <t>Individualized, intensive support for highest-need students</t>
  </si>
  <si>
    <t>~5% of students</t>
  </si>
  <si>
    <t>Behavior contracts, individual counseling, FBA/BIP, potential SPED evaluation</t>
  </si>
  <si>
    <t>NAVIGATOR RISK SCORE — ESCALATION THRESHOLDS</t>
  </si>
  <si>
    <t>Threshold</t>
  </si>
  <si>
    <t>Score Impact</t>
  </si>
  <si>
    <t>What It Means</t>
  </si>
  <si>
    <t>Recommended Response</t>
  </si>
  <si>
    <t>Referral in past 14 days</t>
  </si>
  <si>
    <t>+30 points</t>
  </si>
  <si>
    <t>Recent behavior event</t>
  </si>
  <si>
    <t>Assign support within 3 business days</t>
  </si>
  <si>
    <t>2+ referrals in 14 days</t>
  </si>
  <si>
    <t>+15 additional</t>
  </si>
  <si>
    <t>Acute pattern emerging</t>
  </si>
  <si>
    <t>Counselor meeting within 1 business day</t>
  </si>
  <si>
    <t>2+ referrals in 30 days</t>
  </si>
  <si>
    <t>Frequency pattern</t>
  </si>
  <si>
    <t>Initiate Tier 2 intervention</t>
  </si>
  <si>
    <t>5+ referrals in 60 days</t>
  </si>
  <si>
    <t>+10 additional</t>
  </si>
  <si>
    <t>Chronic pattern</t>
  </si>
  <si>
    <t>FBA consideration, possible ARD referral</t>
  </si>
  <si>
    <t>OSS in past 30 days</t>
  </si>
  <si>
    <t>+25 points</t>
  </si>
  <si>
    <t>Suspension occurred</t>
  </si>
  <si>
    <t>Re-entry plan, SPED check if applicable</t>
  </si>
  <si>
    <t>2+ OSS in past 30 days</t>
  </si>
  <si>
    <t>Repeated suspension</t>
  </si>
  <si>
    <t>Administrator review, DAEP consideration</t>
  </si>
  <si>
    <t>ISS in past 30 days</t>
  </si>
  <si>
    <t>+10 points</t>
  </si>
  <si>
    <t>Support assignment review</t>
  </si>
  <si>
    <t>Prior DAEP escalation</t>
  </si>
  <si>
    <t>+20 points</t>
  </si>
  <si>
    <t>High-risk history</t>
  </si>
  <si>
    <t>Intensive monitoring, active support required</t>
  </si>
  <si>
    <t>Each active support</t>
  </si>
  <si>
    <t>−12 points</t>
  </si>
  <si>
    <t>Protective factor</t>
  </si>
  <si>
    <t>Maintain active supports to reduce score</t>
  </si>
  <si>
    <t>Risk Levels: Low = 0–34  |  Medium = 35–69  |  High = 70–100</t>
  </si>
  <si>
    <t>SKILL GAP DEFINITIONS</t>
  </si>
  <si>
    <t>Definition</t>
  </si>
  <si>
    <t>Behavior Indicators</t>
  </si>
  <si>
    <t>Recommended Supports</t>
  </si>
  <si>
    <t>Difficulty managing emotional responses to frustration, conflict, or perceived injustice</t>
  </si>
  <si>
    <t>Outbursts, crying, aggressive reactions to minor frustrations</t>
  </si>
  <si>
    <t>CICO, Mindfulness Protocol, Counseling Referral</t>
  </si>
  <si>
    <t>Difficulty with planning, organization, task initiation, and self-monitoring</t>
  </si>
  <si>
    <t>Incomplete work, off-task behavior, difficulty transitioning</t>
  </si>
  <si>
    <t>Academic Support, Behavior Contract, CICO</t>
  </si>
  <si>
    <t>Difficulty resolving disagreements with peers appropriately</t>
  </si>
  <si>
    <t>Fighting, verbal altercations, social exclusion behavior</t>
  </si>
  <si>
    <t>Peer Mediation, Social Skills Group, Counseling</t>
  </si>
  <si>
    <t>Low tolerance for academic difficulty; avoidance or acting out when work is hard</t>
  </si>
  <si>
    <t>Refusing assignments, tearing up work, classroom disruption during instruction</t>
  </si>
  <si>
    <t>Academic Support, Behavior Contract, Counseling</t>
  </si>
  <si>
    <t>Acting before thinking; difficulty inhibiting immediate responses</t>
  </si>
  <si>
    <t>Blurting out, leaving seat, grabbing, impulsive aggression</t>
  </si>
  <si>
    <t>CICO, Behavior Contract, Counseling Referral</t>
  </si>
  <si>
    <t>Difficulty communicating respectfully with adults; defiance or disrespect</t>
  </si>
  <si>
    <t>Arguing, talking back, refusing requests from staff</t>
  </si>
  <si>
    <t>Social Skills Group, Counseling, Parent Conference</t>
  </si>
  <si>
    <t>INTERVENTION MENU</t>
  </si>
  <si>
    <t>Intervention</t>
  </si>
  <si>
    <t>Best For</t>
  </si>
  <si>
    <t>Tier 2</t>
  </si>
  <si>
    <t>Daily check-in with a trusted adult; daily point card reviewed at end of day</t>
  </si>
  <si>
    <t>Students needing structure and adult connection</t>
  </si>
  <si>
    <t>Tier 2–3</t>
  </si>
  <si>
    <t>Structured counseling sessions addressing the underlying skill gap</t>
  </si>
  <si>
    <t>Students with emotional or relational skill deficits</t>
  </si>
  <si>
    <t>Structured conflict resolution facilitated by trained peer mediators</t>
  </si>
  <si>
    <t>Peer conflict, social skills building</t>
  </si>
  <si>
    <t>Small group instruction in specific social skills (communication, conflict resolution)</t>
  </si>
  <si>
    <t>Students with peer conflict or adult communication deficits</t>
  </si>
  <si>
    <t>Written agreement between student, staff, and family outlining behavioral expectations and rewards</t>
  </si>
  <si>
    <t>Students with persistent non-compliance or academic avoidance</t>
  </si>
  <si>
    <t>Targeted academic tutoring, re-teaching, or modified assignments</t>
  </si>
  <si>
    <t>Students acting out due to academic frustration</t>
  </si>
  <si>
    <t>Brief mindfulness exercises (breathing, grounding) used during escalation prevention</t>
  </si>
  <si>
    <t>Students with emotional regulation deficits</t>
  </si>
  <si>
    <t>Structured meeting with parent/guardian to align school and home behavioral expectations</t>
  </si>
  <si>
    <t>Any escalating pattern; SPED eligibility concern</t>
  </si>
  <si>
    <t>Facilitated conversation between student and affected parties to repair harm</t>
  </si>
  <si>
    <t>Peer conflict, community harm incidents</t>
  </si>
  <si>
    <t>Regular one-on-one meetings with a trusted adult mentor</t>
  </si>
  <si>
    <t>Students lacking adult connection and positive role models</t>
  </si>
  <si>
    <t>FBA — Functional Behavioral Assessment</t>
  </si>
  <si>
    <t>Tier 3</t>
  </si>
  <si>
    <t>Formal evaluation to determine the function of a student's behavior (SPED students)</t>
  </si>
  <si>
    <t>Students with SPED eligibility and persistent, severe behavior</t>
  </si>
  <si>
    <t>BIP — Behavior Intervention Plan</t>
  </si>
  <si>
    <t>Written plan based on FBA results with specific strategies and reinforcement</t>
  </si>
  <si>
    <t>Students with active IEP and behavior as a barrier to learning</t>
  </si>
  <si>
    <t>GLOSSARY</t>
  </si>
  <si>
    <t>Term</t>
  </si>
  <si>
    <t>CICO</t>
  </si>
  <si>
    <t>Check-In / Check-Out — a Tier 2 behavior support strategy using daily adult check-ins and point cards</t>
  </si>
  <si>
    <t>DAEP</t>
  </si>
  <si>
    <t>Disciplinary Alternative Education Program — separate program for students removed under TEC §37.006</t>
  </si>
  <si>
    <t>FBA</t>
  </si>
  <si>
    <t>Functional Behavioral Assessment — evaluation to determine the cause/function of a student's challenging behavior</t>
  </si>
  <si>
    <t>BIP</t>
  </si>
  <si>
    <t>Behavior Intervention Plan — written plan developed from FBA results for SPED students</t>
  </si>
  <si>
    <t>MTSS</t>
  </si>
  <si>
    <t>Multi-Tiered System of Supports — a framework for providing academic and behavioral support at increasing intensity</t>
  </si>
  <si>
    <t>OSS</t>
  </si>
  <si>
    <t>Out-of-School Suspension — removal from school grounds for disciplinary reasons</t>
  </si>
  <si>
    <t>ISS</t>
  </si>
  <si>
    <t>In-School Suspension — placement in a separate supervised setting within the school building</t>
  </si>
  <si>
    <t>PBIS</t>
  </si>
  <si>
    <t>Positive Behavioral Interventions and Supports — school-wide framework for teaching and reinforcing appropriate behavior</t>
  </si>
  <si>
    <t>RTI</t>
  </si>
  <si>
    <t>Response to Intervention — tiered academic and behavioral support framework; sometimes used interchangeably with MTSS</t>
  </si>
  <si>
    <t>SCOC</t>
  </si>
  <si>
    <t>Student Code of Conduct — district policy document that governs disciplinary consequences (TEC §37.001)</t>
  </si>
  <si>
    <t>CBC</t>
  </si>
  <si>
    <t>Campus Behavior Coordinator — designated role under TEC responsible for managing behavioral interventions</t>
  </si>
  <si>
    <t>© 2025 Clear Path Education Group, LLC  |  clearpathedgroup.com  |  For organizational use only</t>
  </si>
  <si>
    <t>↑ UPGRADE TO NAVIGATOR — Full Behavior &amp; RTI/MTSS Management Platform</t>
  </si>
  <si>
    <t>Clear Path Education Group, LLC  |  clearpathedgroup.com/navigator</t>
  </si>
  <si>
    <t>This tracker gives you structure. Navigator gives you automation.</t>
  </si>
  <si>
    <t>WHAT NAVIGATOR DOES THAT THIS TRACKER CANNOT</t>
  </si>
  <si>
    <t>Feature</t>
  </si>
  <si>
    <t>This Tracker</t>
  </si>
  <si>
    <t>Navigator</t>
  </si>
  <si>
    <t>Risk score calculation</t>
  </si>
  <si>
    <t>Manual entry</t>
  </si>
  <si>
    <t>Automated — recalculates daily for every student</t>
  </si>
  <si>
    <t>Escalation alerts</t>
  </si>
  <si>
    <t>Color-coded rows</t>
  </si>
  <si>
    <t>Push notifications to CBC, counselor, and admin</t>
  </si>
  <si>
    <t>Multi-campus visibility</t>
  </si>
  <si>
    <t>One file</t>
  </si>
  <si>
    <t>District-wide real-time dashboard</t>
  </si>
  <si>
    <t>Referral routing</t>
  </si>
  <si>
    <t>Notes field</t>
  </si>
  <si>
    <t>Built-in workflow: submit → review → assign → resolve</t>
  </si>
  <si>
    <t>ISS/OSS countdown</t>
  </si>
  <si>
    <t>Manual</t>
  </si>
  <si>
    <t>Automatic — flags 3+ OSS in 90 days district-wide</t>
  </si>
  <si>
    <t>Intervention effectiveness</t>
  </si>
  <si>
    <t>Manual before/after</t>
  </si>
  <si>
    <t>Auto-linked to referral data; tracks recidivism</t>
  </si>
  <si>
    <t>Skill gap analytics</t>
  </si>
  <si>
    <t>COUNTIF</t>
  </si>
  <si>
    <t>Trend analysis by campus, grade, and skill gap</t>
  </si>
  <si>
    <t>DAEP escalation handoff</t>
  </si>
  <si>
    <t>Cross-reference note</t>
  </si>
  <si>
    <t>One-click escalation to Waypoint DAEP module</t>
  </si>
  <si>
    <t>Role-based access</t>
  </si>
  <si>
    <t>File sharing</t>
  </si>
  <si>
    <t>Individual logins with CBC/counselor/admin roles</t>
  </si>
  <si>
    <t>Disproportionality analysis</t>
  </si>
  <si>
    <t>Not available</t>
  </si>
  <si>
    <t>Referral rate by campus and grade auto-calculated</t>
  </si>
  <si>
    <t>Year-over-year comparison</t>
  </si>
  <si>
    <t>Side-by-side charts: current vs prior school year</t>
  </si>
  <si>
    <t>Audit trail</t>
  </si>
  <si>
    <t>None</t>
  </si>
  <si>
    <t>Every action logged with timestamp and user</t>
  </si>
  <si>
    <t>NAVIGATOR PRICING</t>
  </si>
  <si>
    <t>Starting at $3,500/year per campus</t>
  </si>
  <si>
    <t>Bundle with Waypoint (DAEP) for district-wide behavior management at reduced rate.</t>
  </si>
  <si>
    <t>→ Book a free demo:  calendly.com/clearpatheg/navigator-demo</t>
  </si>
  <si>
    <t>→ Learn more:        clearpathedgroup.com/navigator</t>
  </si>
  <si>
    <t>→ Email:             support@clearpathedgroup.com</t>
  </si>
  <si>
    <t>© 2025 Clear Path Education Group, LLC  |  FERPA-compliant  |  Texas-built</t>
  </si>
  <si>
    <t>Grade Levels</t>
  </si>
  <si>
    <t>Offense Categories</t>
  </si>
  <si>
    <t>Skill Gaps</t>
  </si>
  <si>
    <t>Support Types</t>
  </si>
  <si>
    <t>Referral Status</t>
  </si>
  <si>
    <t>Referral Outcome</t>
  </si>
  <si>
    <t>Placement Types</t>
  </si>
  <si>
    <t>Support Status</t>
  </si>
  <si>
    <t>Staff Roles</t>
  </si>
  <si>
    <t>Roster Status</t>
  </si>
  <si>
    <t>Yes / No</t>
  </si>
  <si>
    <t>Yes / No / N/A</t>
  </si>
  <si>
    <t>Pre-K</t>
  </si>
  <si>
    <t>Administrator</t>
  </si>
  <si>
    <t>Kindergarten</t>
  </si>
  <si>
    <t>Principal</t>
  </si>
  <si>
    <t>Transferred Out</t>
  </si>
  <si>
    <t>1st Grade</t>
  </si>
  <si>
    <t>ISS Assigned</t>
  </si>
  <si>
    <t>Discontinued</t>
  </si>
  <si>
    <t>Withdrew</t>
  </si>
  <si>
    <t>N/A</t>
  </si>
  <si>
    <t>2nd Grade</t>
  </si>
  <si>
    <t>Graduated</t>
  </si>
  <si>
    <t>3rd Grade</t>
  </si>
  <si>
    <t>Exited</t>
  </si>
  <si>
    <t>4th Grade</t>
  </si>
  <si>
    <t>Parent Conference Held</t>
  </si>
  <si>
    <t>5th Grade</t>
  </si>
  <si>
    <t>Admin Conference Held</t>
  </si>
  <si>
    <t>Campus Behavior Coordinator</t>
  </si>
  <si>
    <t>Referral Withdrawn</t>
  </si>
  <si>
    <t>Student Support Specialist</t>
  </si>
  <si>
    <t>504 Coordinator</t>
  </si>
  <si>
    <t>Director of Student Affairs</t>
  </si>
  <si>
    <t>SRO</t>
  </si>
  <si>
    <t>11th Grade</t>
  </si>
  <si>
    <t>12th Grade</t>
  </si>
  <si>
    <t>HOW TO APPLY DROPDOWNS — Google Sheets: Data → Data Validation → Dropdown from range (e.g., Lists!A2:A15)</t>
  </si>
  <si>
    <t>HOW TO APPLY DROPDOWNS — Excel: Data → Data Validation → Allow: List → Source: =Lists!$A$2:$A$15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</si>
</sst>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9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zoomScaleNormal="100" workbookViewId="0">
      <selection sqref="A1:J1"/>
    </sheetView>
  </sheetViews>
  <sheetFormatPr defaultRowHeight="15" customHeight="1" x14ac:dyDescent="0.45"/>
  <cols>
    <col min="1" max="1" width="40" customWidth="1"/>
    <col min="2" max="2" width="3.33203125" customWidth="1"/>
    <col min="3" max="3" width="33.33203125" customWidth="1"/>
    <col min="4" max="5" width="25" customWidth="1"/>
    <col min="6" max="10" width="16.6640625" customWidth="1"/>
  </cols>
  <sheetData>
    <row r="1" spans="1:10" x14ac:dyDescent="0.4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4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4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x14ac:dyDescent="0.4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6" spans="1:10" x14ac:dyDescent="0.4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45">
      <c r="A7" t="s">
        <v>5</v>
      </c>
    </row>
    <row r="8" spans="1:10" x14ac:dyDescent="0.45">
      <c r="A8" t="s">
        <v>6</v>
      </c>
    </row>
    <row r="9" spans="1:10" x14ac:dyDescent="0.45">
      <c r="A9" t="s">
        <v>7</v>
      </c>
      <c r="C9" t="s">
        <v>8</v>
      </c>
    </row>
    <row r="10" spans="1:10" x14ac:dyDescent="0.45">
      <c r="A10" t="s">
        <v>9</v>
      </c>
    </row>
    <row r="11" spans="1:10" x14ac:dyDescent="0.45">
      <c r="A11" t="s">
        <v>10</v>
      </c>
    </row>
    <row r="13" spans="1:10" x14ac:dyDescent="0.45">
      <c r="A13" s="4" t="s">
        <v>11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45">
      <c r="A14" s="4" t="s">
        <v>12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45">
      <c r="A15" s="4" t="s">
        <v>13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45">
      <c r="A16" s="4" t="s">
        <v>14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5">
      <c r="A17" s="4" t="s">
        <v>15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x14ac:dyDescent="0.45">
      <c r="A18" s="4" t="s">
        <v>16</v>
      </c>
      <c r="B18" s="4"/>
      <c r="C18" s="4"/>
      <c r="D18" s="4"/>
      <c r="E18" s="4"/>
      <c r="F18" s="4"/>
      <c r="G18" s="4"/>
      <c r="H18" s="4"/>
      <c r="I18" s="4"/>
      <c r="J18" s="4"/>
    </row>
    <row r="19" spans="1:10" x14ac:dyDescent="0.45">
      <c r="A19" s="4" t="s">
        <v>17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45">
      <c r="A20" s="4" t="s">
        <v>18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45">
      <c r="A21" s="4" t="s">
        <v>19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45">
      <c r="A22" s="4" t="s">
        <v>20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45">
      <c r="A23" s="4" t="s">
        <v>21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45">
      <c r="A24" s="4" t="s">
        <v>22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45">
      <c r="A25" s="4" t="s">
        <v>23</v>
      </c>
      <c r="B25" s="4"/>
      <c r="C25" s="4"/>
      <c r="D25" s="4"/>
      <c r="E25" s="4"/>
      <c r="F25" s="4"/>
      <c r="G25" s="4"/>
      <c r="H25" s="4"/>
      <c r="I25" s="4"/>
      <c r="J25" s="4"/>
    </row>
    <row r="27" spans="1:10" x14ac:dyDescent="0.45">
      <c r="A27" s="4" t="s">
        <v>24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45">
      <c r="A28" s="4" t="s">
        <v>25</v>
      </c>
      <c r="B28" s="4"/>
      <c r="C28" s="4"/>
      <c r="D28" s="4"/>
      <c r="E28" s="4"/>
      <c r="F28" s="4"/>
      <c r="G28" s="4"/>
      <c r="H28" s="4"/>
      <c r="I28" s="4"/>
      <c r="J28" s="4"/>
    </row>
    <row r="31" spans="1:10" x14ac:dyDescent="0.45">
      <c r="A31" s="4" t="s">
        <v>26</v>
      </c>
      <c r="B31" s="4"/>
      <c r="C31" s="4"/>
      <c r="D31" s="4"/>
      <c r="E31" s="4"/>
      <c r="F31" s="4"/>
      <c r="G31" s="4"/>
      <c r="H31" s="4"/>
      <c r="I31" s="4"/>
      <c r="J31" s="4"/>
    </row>
  </sheetData>
  <mergeCells count="21">
    <mergeCell ref="A1:J1"/>
    <mergeCell ref="A6:J6"/>
    <mergeCell ref="A16:J16"/>
    <mergeCell ref="A25:J25"/>
    <mergeCell ref="A18:J18"/>
    <mergeCell ref="A3:J3"/>
    <mergeCell ref="A21:J21"/>
    <mergeCell ref="A2:J2"/>
    <mergeCell ref="A4:J4"/>
    <mergeCell ref="A28:J28"/>
    <mergeCell ref="A13:J13"/>
    <mergeCell ref="A19:J19"/>
    <mergeCell ref="A31:J31"/>
    <mergeCell ref="A15:J15"/>
    <mergeCell ref="A24:J24"/>
    <mergeCell ref="A27:J27"/>
    <mergeCell ref="A23:J23"/>
    <mergeCell ref="A14:J14"/>
    <mergeCell ref="A22:J22"/>
    <mergeCell ref="A17:J17"/>
    <mergeCell ref="A20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zoomScaleNormal="100" workbookViewId="0"/>
  </sheetViews>
  <sheetFormatPr defaultRowHeight="15" customHeight="1" x14ac:dyDescent="0.45"/>
  <cols>
    <col min="1" max="1" width="15" customWidth="1"/>
    <col min="2" max="3" width="18.33203125" customWidth="1"/>
    <col min="4" max="4" width="15" customWidth="1"/>
    <col min="5" max="5" width="21.6640625" customWidth="1"/>
    <col min="6" max="6" width="15" customWidth="1"/>
    <col min="7" max="7" width="13.33203125" customWidth="1"/>
    <col min="8" max="8" width="16.6640625" customWidth="1"/>
    <col min="9" max="9" width="15" customWidth="1"/>
    <col min="10" max="11" width="13.33203125" customWidth="1"/>
    <col min="12" max="13" width="16.6640625" customWidth="1"/>
    <col min="14" max="14" width="33.33203125" customWidth="1"/>
  </cols>
  <sheetData>
    <row r="1" spans="1:14" x14ac:dyDescent="0.45">
      <c r="A1" s="4" t="s">
        <v>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4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</row>
    <row r="3" spans="1:14" x14ac:dyDescent="0.4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47</v>
      </c>
      <c r="H3" t="s">
        <v>48</v>
      </c>
      <c r="I3">
        <f>COUNTIF('Referral Log'!D$3:D$201,A3)</f>
        <v>3</v>
      </c>
      <c r="J3">
        <f>COUNTIFS('ISS-OSS Placements'!B$3:B$201,A3,'ISS-OSS Placements'!F$3:F$201,"*ISS*")</f>
        <v>0</v>
      </c>
      <c r="K3">
        <f>COUNTIFS('ISS-OSS Placements'!B$3:B$201,A3,'ISS-OSS Placements'!F$3:F$201,"*OSS*")</f>
        <v>3</v>
      </c>
      <c r="L3">
        <f>COUNTIFS('Student Supports'!B$3:B$201,A3,'Student Supports'!K$3:K$201,"Active")</f>
        <v>0</v>
      </c>
      <c r="M3" t="s">
        <v>49</v>
      </c>
      <c r="N3" t="s">
        <v>50</v>
      </c>
    </row>
    <row r="4" spans="1:14" x14ac:dyDescent="0.4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47</v>
      </c>
      <c r="G4" t="s">
        <v>47</v>
      </c>
      <c r="H4" t="s">
        <v>48</v>
      </c>
      <c r="I4">
        <f>COUNTIF('Referral Log'!D$3:D$201,A4)</f>
        <v>2</v>
      </c>
      <c r="J4">
        <f>COUNTIFS('ISS-OSS Placements'!B$3:B$201,A4,'ISS-OSS Placements'!F$3:F$201,"*ISS*")</f>
        <v>1</v>
      </c>
      <c r="K4">
        <f>COUNTIFS('ISS-OSS Placements'!B$3:B$201,A4,'ISS-OSS Placements'!F$3:F$201,"*OSS*")</f>
        <v>0</v>
      </c>
      <c r="L4">
        <f>COUNTIFS('Student Supports'!B$3:B$201,A4,'Student Supports'!K$3:K$201,"Active")</f>
        <v>1</v>
      </c>
      <c r="M4" t="s">
        <v>56</v>
      </c>
      <c r="N4" t="s">
        <v>57</v>
      </c>
    </row>
    <row r="5" spans="1:14" x14ac:dyDescent="0.45">
      <c r="A5" t="s">
        <v>58</v>
      </c>
      <c r="B5" t="s">
        <v>59</v>
      </c>
      <c r="C5" t="s">
        <v>60</v>
      </c>
      <c r="D5" t="s">
        <v>61</v>
      </c>
      <c r="E5" t="s">
        <v>46</v>
      </c>
      <c r="F5" t="s">
        <v>62</v>
      </c>
      <c r="G5" t="s">
        <v>47</v>
      </c>
      <c r="H5" t="s">
        <v>48</v>
      </c>
      <c r="I5">
        <f>COUNTIF('Referral Log'!D$3:D$201,A5)</f>
        <v>1</v>
      </c>
      <c r="J5">
        <f>COUNTIFS('ISS-OSS Placements'!B$3:B$201,A5,'ISS-OSS Placements'!F$3:F$201,"*ISS*")</f>
        <v>0</v>
      </c>
      <c r="K5">
        <f>COUNTIFS('ISS-OSS Placements'!B$3:B$201,A5,'ISS-OSS Placements'!F$3:F$201,"*OSS*")</f>
        <v>0</v>
      </c>
      <c r="L5">
        <f>COUNTIFS('Student Supports'!B$3:B$201,A5,'Student Supports'!K$3:K$201,"Active")</f>
        <v>0</v>
      </c>
      <c r="M5" t="s">
        <v>56</v>
      </c>
      <c r="N5" t="s">
        <v>63</v>
      </c>
    </row>
    <row r="6" spans="1:14" x14ac:dyDescent="0.4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47</v>
      </c>
      <c r="G6" t="s">
        <v>62</v>
      </c>
      <c r="H6" t="s">
        <v>48</v>
      </c>
      <c r="I6">
        <f>COUNTIF('Referral Log'!D$3:D$201,A6)</f>
        <v>1</v>
      </c>
      <c r="J6">
        <f>COUNTIFS('ISS-OSS Placements'!B$3:B$201,A6,'ISS-OSS Placements'!F$3:F$201,"*ISS*")</f>
        <v>0</v>
      </c>
      <c r="K6">
        <f>COUNTIFS('ISS-OSS Placements'!B$3:B$201,A6,'ISS-OSS Placements'!F$3:F$201,"*OSS*")</f>
        <v>0</v>
      </c>
      <c r="L6">
        <f>COUNTIFS('Student Supports'!B$3:B$201,A6,'Student Supports'!K$3:K$201,"Active")</f>
        <v>0</v>
      </c>
      <c r="M6" t="s">
        <v>69</v>
      </c>
      <c r="N6" t="s">
        <v>70</v>
      </c>
    </row>
    <row r="7" spans="1:14" x14ac:dyDescent="0.45">
      <c r="A7" t="s">
        <v>71</v>
      </c>
      <c r="B7" t="s">
        <v>72</v>
      </c>
      <c r="C7" t="s">
        <v>73</v>
      </c>
      <c r="D7" t="s">
        <v>74</v>
      </c>
      <c r="E7" t="s">
        <v>55</v>
      </c>
      <c r="F7" t="s">
        <v>62</v>
      </c>
      <c r="G7" t="s">
        <v>47</v>
      </c>
      <c r="H7" t="s">
        <v>48</v>
      </c>
      <c r="I7">
        <f>COUNTIF('Referral Log'!D$3:D$201,A7)</f>
        <v>0</v>
      </c>
      <c r="J7">
        <f>COUNTIFS('ISS-OSS Placements'!B$3:B$201,A7,'ISS-OSS Placements'!F$3:F$201,"*ISS*")</f>
        <v>0</v>
      </c>
      <c r="K7">
        <f>COUNTIFS('ISS-OSS Placements'!B$3:B$201,A7,'ISS-OSS Placements'!F$3:F$201,"*OSS*")</f>
        <v>0</v>
      </c>
      <c r="L7">
        <f>COUNTIFS('Student Supports'!B$3:B$201,A7,'Student Supports'!K$3:K$201,"Active")</f>
        <v>1</v>
      </c>
      <c r="M7" t="s">
        <v>69</v>
      </c>
      <c r="N7" t="s">
        <v>75</v>
      </c>
    </row>
    <row r="8" spans="1:14" x14ac:dyDescent="0.45">
      <c r="I8">
        <f>COUNTIF('Referral Log'!D$3:D$201,A8)</f>
        <v>0</v>
      </c>
      <c r="J8">
        <f>COUNTIFS('ISS-OSS Placements'!B$3:B$201,A8,'ISS-OSS Placements'!F$3:F$201,"*ISS*")</f>
        <v>0</v>
      </c>
      <c r="K8">
        <f>COUNTIFS('ISS-OSS Placements'!B$3:B$201,A8,'ISS-OSS Placements'!F$3:F$201,"*OSS*")</f>
        <v>0</v>
      </c>
      <c r="L8">
        <f>COUNTIFS('Student Supports'!B$3:B$201,A8,'Student Supports'!K$3:K$201,"Active")</f>
        <v>0</v>
      </c>
    </row>
    <row r="9" spans="1:14" x14ac:dyDescent="0.45">
      <c r="I9">
        <f>COUNTIF('Referral Log'!D$3:D$201,A9)</f>
        <v>0</v>
      </c>
      <c r="J9">
        <f>COUNTIFS('ISS-OSS Placements'!B$3:B$201,A9,'ISS-OSS Placements'!F$3:F$201,"*ISS*")</f>
        <v>0</v>
      </c>
      <c r="K9">
        <f>COUNTIFS('ISS-OSS Placements'!B$3:B$201,A9,'ISS-OSS Placements'!F$3:F$201,"*OSS*")</f>
        <v>0</v>
      </c>
      <c r="L9">
        <f>COUNTIFS('Student Supports'!B$3:B$201,A9,'Student Supports'!K$3:K$201,"Active")</f>
        <v>0</v>
      </c>
    </row>
    <row r="10" spans="1:14" x14ac:dyDescent="0.45">
      <c r="I10">
        <f>COUNTIF('Referral Log'!D$3:D$201,A10)</f>
        <v>0</v>
      </c>
      <c r="J10">
        <f>COUNTIFS('ISS-OSS Placements'!B$3:B$201,A10,'ISS-OSS Placements'!F$3:F$201,"*ISS*")</f>
        <v>0</v>
      </c>
      <c r="K10">
        <f>COUNTIFS('ISS-OSS Placements'!B$3:B$201,A10,'ISS-OSS Placements'!F$3:F$201,"*OSS*")</f>
        <v>0</v>
      </c>
      <c r="L10">
        <f>COUNTIFS('Student Supports'!B$3:B$201,A10,'Student Supports'!K$3:K$201,"Active")</f>
        <v>0</v>
      </c>
    </row>
    <row r="11" spans="1:14" x14ac:dyDescent="0.45">
      <c r="I11">
        <f>COUNTIF('Referral Log'!D$3:D$201,A11)</f>
        <v>0</v>
      </c>
      <c r="J11">
        <f>COUNTIFS('ISS-OSS Placements'!B$3:B$201,A11,'ISS-OSS Placements'!F$3:F$201,"*ISS*")</f>
        <v>0</v>
      </c>
      <c r="K11">
        <f>COUNTIFS('ISS-OSS Placements'!B$3:B$201,A11,'ISS-OSS Placements'!F$3:F$201,"*OSS*")</f>
        <v>0</v>
      </c>
      <c r="L11">
        <f>COUNTIFS('Student Supports'!B$3:B$201,A11,'Student Supports'!K$3:K$201,"Active")</f>
        <v>0</v>
      </c>
    </row>
    <row r="12" spans="1:14" x14ac:dyDescent="0.45">
      <c r="I12">
        <f>COUNTIF('Referral Log'!D$3:D$201,A12)</f>
        <v>0</v>
      </c>
      <c r="J12">
        <f>COUNTIFS('ISS-OSS Placements'!B$3:B$201,A12,'ISS-OSS Placements'!F$3:F$201,"*ISS*")</f>
        <v>0</v>
      </c>
      <c r="K12">
        <f>COUNTIFS('ISS-OSS Placements'!B$3:B$201,A12,'ISS-OSS Placements'!F$3:F$201,"*OSS*")</f>
        <v>0</v>
      </c>
      <c r="L12">
        <f>COUNTIFS('Student Supports'!B$3:B$201,A12,'Student Supports'!K$3:K$201,"Active")</f>
        <v>0</v>
      </c>
    </row>
    <row r="13" spans="1:14" x14ac:dyDescent="0.45">
      <c r="I13">
        <f>COUNTIF('Referral Log'!D$3:D$201,A13)</f>
        <v>0</v>
      </c>
      <c r="J13">
        <f>COUNTIFS('ISS-OSS Placements'!B$3:B$201,A13,'ISS-OSS Placements'!F$3:F$201,"*ISS*")</f>
        <v>0</v>
      </c>
      <c r="K13">
        <f>COUNTIFS('ISS-OSS Placements'!B$3:B$201,A13,'ISS-OSS Placements'!F$3:F$201,"*OSS*")</f>
        <v>0</v>
      </c>
      <c r="L13">
        <f>COUNTIFS('Student Supports'!B$3:B$201,A13,'Student Supports'!K$3:K$201,"Active")</f>
        <v>0</v>
      </c>
    </row>
    <row r="14" spans="1:14" x14ac:dyDescent="0.45">
      <c r="I14">
        <f>COUNTIF('Referral Log'!D$3:D$201,A14)</f>
        <v>0</v>
      </c>
      <c r="J14">
        <f>COUNTIFS('ISS-OSS Placements'!B$3:B$201,A14,'ISS-OSS Placements'!F$3:F$201,"*ISS*")</f>
        <v>0</v>
      </c>
      <c r="K14">
        <f>COUNTIFS('ISS-OSS Placements'!B$3:B$201,A14,'ISS-OSS Placements'!F$3:F$201,"*OSS*")</f>
        <v>0</v>
      </c>
      <c r="L14">
        <f>COUNTIFS('Student Supports'!B$3:B$201,A14,'Student Supports'!K$3:K$201,"Active")</f>
        <v>0</v>
      </c>
    </row>
    <row r="15" spans="1:14" x14ac:dyDescent="0.45">
      <c r="I15">
        <f>COUNTIF('Referral Log'!D$3:D$201,A15)</f>
        <v>0</v>
      </c>
      <c r="J15">
        <f>COUNTIFS('ISS-OSS Placements'!B$3:B$201,A15,'ISS-OSS Placements'!F$3:F$201,"*ISS*")</f>
        <v>0</v>
      </c>
      <c r="K15">
        <f>COUNTIFS('ISS-OSS Placements'!B$3:B$201,A15,'ISS-OSS Placements'!F$3:F$201,"*OSS*")</f>
        <v>0</v>
      </c>
      <c r="L15">
        <f>COUNTIFS('Student Supports'!B$3:B$201,A15,'Student Supports'!K$3:K$201,"Active")</f>
        <v>0</v>
      </c>
    </row>
    <row r="16" spans="1:14" x14ac:dyDescent="0.45">
      <c r="I16">
        <f>COUNTIF('Referral Log'!D$3:D$201,A16)</f>
        <v>0</v>
      </c>
      <c r="J16">
        <f>COUNTIFS('ISS-OSS Placements'!B$3:B$201,A16,'ISS-OSS Placements'!F$3:F$201,"*ISS*")</f>
        <v>0</v>
      </c>
      <c r="K16">
        <f>COUNTIFS('ISS-OSS Placements'!B$3:B$201,A16,'ISS-OSS Placements'!F$3:F$201,"*OSS*")</f>
        <v>0</v>
      </c>
      <c r="L16">
        <f>COUNTIFS('Student Supports'!B$3:B$201,A16,'Student Supports'!K$3:K$201,"Active")</f>
        <v>0</v>
      </c>
    </row>
    <row r="17" spans="9:12" x14ac:dyDescent="0.45">
      <c r="I17">
        <f>COUNTIF('Referral Log'!D$3:D$201,A17)</f>
        <v>0</v>
      </c>
      <c r="J17">
        <f>COUNTIFS('ISS-OSS Placements'!B$3:B$201,A17,'ISS-OSS Placements'!F$3:F$201,"*ISS*")</f>
        <v>0</v>
      </c>
      <c r="K17">
        <f>COUNTIFS('ISS-OSS Placements'!B$3:B$201,A17,'ISS-OSS Placements'!F$3:F$201,"*OSS*")</f>
        <v>0</v>
      </c>
      <c r="L17">
        <f>COUNTIFS('Student Supports'!B$3:B$201,A17,'Student Supports'!K$3:K$201,"Active")</f>
        <v>0</v>
      </c>
    </row>
    <row r="18" spans="9:12" x14ac:dyDescent="0.45">
      <c r="I18">
        <f>COUNTIF('Referral Log'!D$3:D$201,A18)</f>
        <v>0</v>
      </c>
      <c r="J18">
        <f>COUNTIFS('ISS-OSS Placements'!B$3:B$201,A18,'ISS-OSS Placements'!F$3:F$201,"*ISS*")</f>
        <v>0</v>
      </c>
      <c r="K18">
        <f>COUNTIFS('ISS-OSS Placements'!B$3:B$201,A18,'ISS-OSS Placements'!F$3:F$201,"*OSS*")</f>
        <v>0</v>
      </c>
      <c r="L18">
        <f>COUNTIFS('Student Supports'!B$3:B$201,A18,'Student Supports'!K$3:K$201,"Active")</f>
        <v>0</v>
      </c>
    </row>
    <row r="19" spans="9:12" x14ac:dyDescent="0.45">
      <c r="I19">
        <f>COUNTIF('Referral Log'!D$3:D$201,A19)</f>
        <v>0</v>
      </c>
      <c r="J19">
        <f>COUNTIFS('ISS-OSS Placements'!B$3:B$201,A19,'ISS-OSS Placements'!F$3:F$201,"*ISS*")</f>
        <v>0</v>
      </c>
      <c r="K19">
        <f>COUNTIFS('ISS-OSS Placements'!B$3:B$201,A19,'ISS-OSS Placements'!F$3:F$201,"*OSS*")</f>
        <v>0</v>
      </c>
      <c r="L19">
        <f>COUNTIFS('Student Supports'!B$3:B$201,A19,'Student Supports'!K$3:K$201,"Active")</f>
        <v>0</v>
      </c>
    </row>
    <row r="20" spans="9:12" x14ac:dyDescent="0.45">
      <c r="I20">
        <f>COUNTIF('Referral Log'!D$3:D$201,A20)</f>
        <v>0</v>
      </c>
      <c r="J20">
        <f>COUNTIFS('ISS-OSS Placements'!B$3:B$201,A20,'ISS-OSS Placements'!F$3:F$201,"*ISS*")</f>
        <v>0</v>
      </c>
      <c r="K20">
        <f>COUNTIFS('ISS-OSS Placements'!B$3:B$201,A20,'ISS-OSS Placements'!F$3:F$201,"*OSS*")</f>
        <v>0</v>
      </c>
      <c r="L20">
        <f>COUNTIFS('Student Supports'!B$3:B$201,A20,'Student Supports'!K$3:K$201,"Active")</f>
        <v>0</v>
      </c>
    </row>
    <row r="21" spans="9:12" x14ac:dyDescent="0.45">
      <c r="I21">
        <f>COUNTIF('Referral Log'!D$3:D$201,A21)</f>
        <v>0</v>
      </c>
      <c r="J21">
        <f>COUNTIFS('ISS-OSS Placements'!B$3:B$201,A21,'ISS-OSS Placements'!F$3:F$201,"*ISS*")</f>
        <v>0</v>
      </c>
      <c r="K21">
        <f>COUNTIFS('ISS-OSS Placements'!B$3:B$201,A21,'ISS-OSS Placements'!F$3:F$201,"*OSS*")</f>
        <v>0</v>
      </c>
      <c r="L21">
        <f>COUNTIFS('Student Supports'!B$3:B$201,A21,'Student Supports'!K$3:K$201,"Active")</f>
        <v>0</v>
      </c>
    </row>
    <row r="22" spans="9:12" x14ac:dyDescent="0.45">
      <c r="I22">
        <f>COUNTIF('Referral Log'!D$3:D$201,A22)</f>
        <v>0</v>
      </c>
      <c r="J22">
        <f>COUNTIFS('ISS-OSS Placements'!B$3:B$201,A22,'ISS-OSS Placements'!F$3:F$201,"*ISS*")</f>
        <v>0</v>
      </c>
      <c r="K22">
        <f>COUNTIFS('ISS-OSS Placements'!B$3:B$201,A22,'ISS-OSS Placements'!F$3:F$201,"*OSS*")</f>
        <v>0</v>
      </c>
      <c r="L22">
        <f>COUNTIFS('Student Supports'!B$3:B$201,A22,'Student Supports'!K$3:K$201,"Active")</f>
        <v>0</v>
      </c>
    </row>
    <row r="23" spans="9:12" x14ac:dyDescent="0.45">
      <c r="I23">
        <f>COUNTIF('Referral Log'!D$3:D$201,A23)</f>
        <v>0</v>
      </c>
      <c r="J23">
        <f>COUNTIFS('ISS-OSS Placements'!B$3:B$201,A23,'ISS-OSS Placements'!F$3:F$201,"*ISS*")</f>
        <v>0</v>
      </c>
      <c r="K23">
        <f>COUNTIFS('ISS-OSS Placements'!B$3:B$201,A23,'ISS-OSS Placements'!F$3:F$201,"*OSS*")</f>
        <v>0</v>
      </c>
      <c r="L23">
        <f>COUNTIFS('Student Supports'!B$3:B$201,A23,'Student Supports'!K$3:K$201,"Active")</f>
        <v>0</v>
      </c>
    </row>
    <row r="24" spans="9:12" x14ac:dyDescent="0.45">
      <c r="I24">
        <f>COUNTIF('Referral Log'!D$3:D$201,A24)</f>
        <v>0</v>
      </c>
      <c r="J24">
        <f>COUNTIFS('ISS-OSS Placements'!B$3:B$201,A24,'ISS-OSS Placements'!F$3:F$201,"*ISS*")</f>
        <v>0</v>
      </c>
      <c r="K24">
        <f>COUNTIFS('ISS-OSS Placements'!B$3:B$201,A24,'ISS-OSS Placements'!F$3:F$201,"*OSS*")</f>
        <v>0</v>
      </c>
      <c r="L24">
        <f>COUNTIFS('Student Supports'!B$3:B$201,A24,'Student Supports'!K$3:K$201,"Active")</f>
        <v>0</v>
      </c>
    </row>
    <row r="25" spans="9:12" x14ac:dyDescent="0.45">
      <c r="I25">
        <f>COUNTIF('Referral Log'!D$3:D$201,A25)</f>
        <v>0</v>
      </c>
      <c r="J25">
        <f>COUNTIFS('ISS-OSS Placements'!B$3:B$201,A25,'ISS-OSS Placements'!F$3:F$201,"*ISS*")</f>
        <v>0</v>
      </c>
      <c r="K25">
        <f>COUNTIFS('ISS-OSS Placements'!B$3:B$201,A25,'ISS-OSS Placements'!F$3:F$201,"*OSS*")</f>
        <v>0</v>
      </c>
      <c r="L25">
        <f>COUNTIFS('Student Supports'!B$3:B$201,A25,'Student Supports'!K$3:K$201,"Active")</f>
        <v>0</v>
      </c>
    </row>
    <row r="26" spans="9:12" x14ac:dyDescent="0.45">
      <c r="I26">
        <f>COUNTIF('Referral Log'!D$3:D$201,A26)</f>
        <v>0</v>
      </c>
      <c r="J26">
        <f>COUNTIFS('ISS-OSS Placements'!B$3:B$201,A26,'ISS-OSS Placements'!F$3:F$201,"*ISS*")</f>
        <v>0</v>
      </c>
      <c r="K26">
        <f>COUNTIFS('ISS-OSS Placements'!B$3:B$201,A26,'ISS-OSS Placements'!F$3:F$201,"*OSS*")</f>
        <v>0</v>
      </c>
      <c r="L26">
        <f>COUNTIFS('Student Supports'!B$3:B$201,A26,'Student Supports'!K$3:K$201,"Active")</f>
        <v>0</v>
      </c>
    </row>
    <row r="27" spans="9:12" x14ac:dyDescent="0.45">
      <c r="I27">
        <f>COUNTIF('Referral Log'!D$3:D$201,A27)</f>
        <v>0</v>
      </c>
      <c r="J27">
        <f>COUNTIFS('ISS-OSS Placements'!B$3:B$201,A27,'ISS-OSS Placements'!F$3:F$201,"*ISS*")</f>
        <v>0</v>
      </c>
      <c r="K27">
        <f>COUNTIFS('ISS-OSS Placements'!B$3:B$201,A27,'ISS-OSS Placements'!F$3:F$201,"*OSS*")</f>
        <v>0</v>
      </c>
      <c r="L27">
        <f>COUNTIFS('Student Supports'!B$3:B$201,A27,'Student Supports'!K$3:K$201,"Active")</f>
        <v>0</v>
      </c>
    </row>
    <row r="28" spans="9:12" x14ac:dyDescent="0.45">
      <c r="I28">
        <f>COUNTIF('Referral Log'!D$3:D$201,A28)</f>
        <v>0</v>
      </c>
      <c r="J28">
        <f>COUNTIFS('ISS-OSS Placements'!B$3:B$201,A28,'ISS-OSS Placements'!F$3:F$201,"*ISS*")</f>
        <v>0</v>
      </c>
      <c r="K28">
        <f>COUNTIFS('ISS-OSS Placements'!B$3:B$201,A28,'ISS-OSS Placements'!F$3:F$201,"*OSS*")</f>
        <v>0</v>
      </c>
      <c r="L28">
        <f>COUNTIFS('Student Supports'!B$3:B$201,A28,'Student Supports'!K$3:K$201,"Active")</f>
        <v>0</v>
      </c>
    </row>
    <row r="29" spans="9:12" x14ac:dyDescent="0.45">
      <c r="I29">
        <f>COUNTIF('Referral Log'!D$3:D$201,A29)</f>
        <v>0</v>
      </c>
      <c r="J29">
        <f>COUNTIFS('ISS-OSS Placements'!B$3:B$201,A29,'ISS-OSS Placements'!F$3:F$201,"*ISS*")</f>
        <v>0</v>
      </c>
      <c r="K29">
        <f>COUNTIFS('ISS-OSS Placements'!B$3:B$201,A29,'ISS-OSS Placements'!F$3:F$201,"*OSS*")</f>
        <v>0</v>
      </c>
      <c r="L29">
        <f>COUNTIFS('Student Supports'!B$3:B$201,A29,'Student Supports'!K$3:K$201,"Active")</f>
        <v>0</v>
      </c>
    </row>
    <row r="30" spans="9:12" x14ac:dyDescent="0.45">
      <c r="I30">
        <f>COUNTIF('Referral Log'!D$3:D$201,A30)</f>
        <v>0</v>
      </c>
      <c r="J30">
        <f>COUNTIFS('ISS-OSS Placements'!B$3:B$201,A30,'ISS-OSS Placements'!F$3:F$201,"*ISS*")</f>
        <v>0</v>
      </c>
      <c r="K30">
        <f>COUNTIFS('ISS-OSS Placements'!B$3:B$201,A30,'ISS-OSS Placements'!F$3:F$201,"*OSS*")</f>
        <v>0</v>
      </c>
      <c r="L30">
        <f>COUNTIFS('Student Supports'!B$3:B$201,A30,'Student Supports'!K$3:K$201,"Active")</f>
        <v>0</v>
      </c>
    </row>
    <row r="31" spans="9:12" x14ac:dyDescent="0.45">
      <c r="I31">
        <f>COUNTIF('Referral Log'!D$3:D$201,A31)</f>
        <v>0</v>
      </c>
      <c r="J31">
        <f>COUNTIFS('ISS-OSS Placements'!B$3:B$201,A31,'ISS-OSS Placements'!F$3:F$201,"*ISS*")</f>
        <v>0</v>
      </c>
      <c r="K31">
        <f>COUNTIFS('ISS-OSS Placements'!B$3:B$201,A31,'ISS-OSS Placements'!F$3:F$201,"*OSS*")</f>
        <v>0</v>
      </c>
      <c r="L31">
        <f>COUNTIFS('Student Supports'!B$3:B$201,A31,'Student Supports'!K$3:K$201,"Active")</f>
        <v>0</v>
      </c>
    </row>
    <row r="32" spans="9:12" x14ac:dyDescent="0.45">
      <c r="I32">
        <f>COUNTIF('Referral Log'!D$3:D$201,A32)</f>
        <v>0</v>
      </c>
      <c r="J32">
        <f>COUNTIFS('ISS-OSS Placements'!B$3:B$201,A32,'ISS-OSS Placements'!F$3:F$201,"*ISS*")</f>
        <v>0</v>
      </c>
      <c r="K32">
        <f>COUNTIFS('ISS-OSS Placements'!B$3:B$201,A32,'ISS-OSS Placements'!F$3:F$201,"*OSS*")</f>
        <v>0</v>
      </c>
      <c r="L32">
        <f>COUNTIFS('Student Supports'!B$3:B$201,A32,'Student Supports'!K$3:K$201,"Active")</f>
        <v>0</v>
      </c>
    </row>
    <row r="33" spans="9:12" x14ac:dyDescent="0.45">
      <c r="I33">
        <f>COUNTIF('Referral Log'!D$3:D$201,A33)</f>
        <v>0</v>
      </c>
      <c r="J33">
        <f>COUNTIFS('ISS-OSS Placements'!B$3:B$201,A33,'ISS-OSS Placements'!F$3:F$201,"*ISS*")</f>
        <v>0</v>
      </c>
      <c r="K33">
        <f>COUNTIFS('ISS-OSS Placements'!B$3:B$201,A33,'ISS-OSS Placements'!F$3:F$201,"*OSS*")</f>
        <v>0</v>
      </c>
      <c r="L33">
        <f>COUNTIFS('Student Supports'!B$3:B$201,A33,'Student Supports'!K$3:K$201,"Active")</f>
        <v>0</v>
      </c>
    </row>
    <row r="34" spans="9:12" x14ac:dyDescent="0.45">
      <c r="I34">
        <f>COUNTIF('Referral Log'!D$3:D$201,A34)</f>
        <v>0</v>
      </c>
      <c r="J34">
        <f>COUNTIFS('ISS-OSS Placements'!B$3:B$201,A34,'ISS-OSS Placements'!F$3:F$201,"*ISS*")</f>
        <v>0</v>
      </c>
      <c r="K34">
        <f>COUNTIFS('ISS-OSS Placements'!B$3:B$201,A34,'ISS-OSS Placements'!F$3:F$201,"*OSS*")</f>
        <v>0</v>
      </c>
      <c r="L34">
        <f>COUNTIFS('Student Supports'!B$3:B$201,A34,'Student Supports'!K$3:K$201,"Active")</f>
        <v>0</v>
      </c>
    </row>
    <row r="35" spans="9:12" x14ac:dyDescent="0.45">
      <c r="I35">
        <f>COUNTIF('Referral Log'!D$3:D$201,A35)</f>
        <v>0</v>
      </c>
      <c r="J35">
        <f>COUNTIFS('ISS-OSS Placements'!B$3:B$201,A35,'ISS-OSS Placements'!F$3:F$201,"*ISS*")</f>
        <v>0</v>
      </c>
      <c r="K35">
        <f>COUNTIFS('ISS-OSS Placements'!B$3:B$201,A35,'ISS-OSS Placements'!F$3:F$201,"*OSS*")</f>
        <v>0</v>
      </c>
      <c r="L35">
        <f>COUNTIFS('Student Supports'!B$3:B$201,A35,'Student Supports'!K$3:K$201,"Active")</f>
        <v>0</v>
      </c>
    </row>
    <row r="36" spans="9:12" x14ac:dyDescent="0.45">
      <c r="I36">
        <f>COUNTIF('Referral Log'!D$3:D$201,A36)</f>
        <v>0</v>
      </c>
      <c r="J36">
        <f>COUNTIFS('ISS-OSS Placements'!B$3:B$201,A36,'ISS-OSS Placements'!F$3:F$201,"*ISS*")</f>
        <v>0</v>
      </c>
      <c r="K36">
        <f>COUNTIFS('ISS-OSS Placements'!B$3:B$201,A36,'ISS-OSS Placements'!F$3:F$201,"*OSS*")</f>
        <v>0</v>
      </c>
      <c r="L36">
        <f>COUNTIFS('Student Supports'!B$3:B$201,A36,'Student Supports'!K$3:K$201,"Active")</f>
        <v>0</v>
      </c>
    </row>
    <row r="37" spans="9:12" x14ac:dyDescent="0.45">
      <c r="I37">
        <f>COUNTIF('Referral Log'!D$3:D$201,A37)</f>
        <v>0</v>
      </c>
      <c r="J37">
        <f>COUNTIFS('ISS-OSS Placements'!B$3:B$201,A37,'ISS-OSS Placements'!F$3:F$201,"*ISS*")</f>
        <v>0</v>
      </c>
      <c r="K37">
        <f>COUNTIFS('ISS-OSS Placements'!B$3:B$201,A37,'ISS-OSS Placements'!F$3:F$201,"*OSS*")</f>
        <v>0</v>
      </c>
      <c r="L37">
        <f>COUNTIFS('Student Supports'!B$3:B$201,A37,'Student Supports'!K$3:K$201,"Active")</f>
        <v>0</v>
      </c>
    </row>
    <row r="38" spans="9:12" x14ac:dyDescent="0.45">
      <c r="I38">
        <f>COUNTIF('Referral Log'!D$3:D$201,A38)</f>
        <v>0</v>
      </c>
      <c r="J38">
        <f>COUNTIFS('ISS-OSS Placements'!B$3:B$201,A38,'ISS-OSS Placements'!F$3:F$201,"*ISS*")</f>
        <v>0</v>
      </c>
      <c r="K38">
        <f>COUNTIFS('ISS-OSS Placements'!B$3:B$201,A38,'ISS-OSS Placements'!F$3:F$201,"*OSS*")</f>
        <v>0</v>
      </c>
      <c r="L38">
        <f>COUNTIFS('Student Supports'!B$3:B$201,A38,'Student Supports'!K$3:K$201,"Active")</f>
        <v>0</v>
      </c>
    </row>
    <row r="39" spans="9:12" x14ac:dyDescent="0.45">
      <c r="I39">
        <f>COUNTIF('Referral Log'!D$3:D$201,A39)</f>
        <v>0</v>
      </c>
      <c r="J39">
        <f>COUNTIFS('ISS-OSS Placements'!B$3:B$201,A39,'ISS-OSS Placements'!F$3:F$201,"*ISS*")</f>
        <v>0</v>
      </c>
      <c r="K39">
        <f>COUNTIFS('ISS-OSS Placements'!B$3:B$201,A39,'ISS-OSS Placements'!F$3:F$201,"*OSS*")</f>
        <v>0</v>
      </c>
      <c r="L39">
        <f>COUNTIFS('Student Supports'!B$3:B$201,A39,'Student Supports'!K$3:K$201,"Active")</f>
        <v>0</v>
      </c>
    </row>
    <row r="40" spans="9:12" x14ac:dyDescent="0.45">
      <c r="I40">
        <f>COUNTIF('Referral Log'!D$3:D$201,A40)</f>
        <v>0</v>
      </c>
      <c r="J40">
        <f>COUNTIFS('ISS-OSS Placements'!B$3:B$201,A40,'ISS-OSS Placements'!F$3:F$201,"*ISS*")</f>
        <v>0</v>
      </c>
      <c r="K40">
        <f>COUNTIFS('ISS-OSS Placements'!B$3:B$201,A40,'ISS-OSS Placements'!F$3:F$201,"*OSS*")</f>
        <v>0</v>
      </c>
      <c r="L40">
        <f>COUNTIFS('Student Supports'!B$3:B$201,A40,'Student Supports'!K$3:K$201,"Active")</f>
        <v>0</v>
      </c>
    </row>
    <row r="41" spans="9:12" x14ac:dyDescent="0.45">
      <c r="I41">
        <f>COUNTIF('Referral Log'!D$3:D$201,A41)</f>
        <v>0</v>
      </c>
      <c r="J41">
        <f>COUNTIFS('ISS-OSS Placements'!B$3:B$201,A41,'ISS-OSS Placements'!F$3:F$201,"*ISS*")</f>
        <v>0</v>
      </c>
      <c r="K41">
        <f>COUNTIFS('ISS-OSS Placements'!B$3:B$201,A41,'ISS-OSS Placements'!F$3:F$201,"*OSS*")</f>
        <v>0</v>
      </c>
      <c r="L41">
        <f>COUNTIFS('Student Supports'!B$3:B$201,A41,'Student Supports'!K$3:K$201,"Active")</f>
        <v>0</v>
      </c>
    </row>
    <row r="42" spans="9:12" x14ac:dyDescent="0.45">
      <c r="I42">
        <f>COUNTIF('Referral Log'!D$3:D$201,A42)</f>
        <v>0</v>
      </c>
      <c r="J42">
        <f>COUNTIFS('ISS-OSS Placements'!B$3:B$201,A42,'ISS-OSS Placements'!F$3:F$201,"*ISS*")</f>
        <v>0</v>
      </c>
      <c r="K42">
        <f>COUNTIFS('ISS-OSS Placements'!B$3:B$201,A42,'ISS-OSS Placements'!F$3:F$201,"*OSS*")</f>
        <v>0</v>
      </c>
      <c r="L42">
        <f>COUNTIFS('Student Supports'!B$3:B$201,A42,'Student Supports'!K$3:K$201,"Active")</f>
        <v>0</v>
      </c>
    </row>
    <row r="43" spans="9:12" x14ac:dyDescent="0.45">
      <c r="I43">
        <f>COUNTIF('Referral Log'!D$3:D$201,A43)</f>
        <v>0</v>
      </c>
      <c r="J43">
        <f>COUNTIFS('ISS-OSS Placements'!B$3:B$201,A43,'ISS-OSS Placements'!F$3:F$201,"*ISS*")</f>
        <v>0</v>
      </c>
      <c r="K43">
        <f>COUNTIFS('ISS-OSS Placements'!B$3:B$201,A43,'ISS-OSS Placements'!F$3:F$201,"*OSS*")</f>
        <v>0</v>
      </c>
      <c r="L43">
        <f>COUNTIFS('Student Supports'!B$3:B$201,A43,'Student Supports'!K$3:K$201,"Active")</f>
        <v>0</v>
      </c>
    </row>
    <row r="44" spans="9:12" x14ac:dyDescent="0.45">
      <c r="I44">
        <f>COUNTIF('Referral Log'!D$3:D$201,A44)</f>
        <v>0</v>
      </c>
      <c r="J44">
        <f>COUNTIFS('ISS-OSS Placements'!B$3:B$201,A44,'ISS-OSS Placements'!F$3:F$201,"*ISS*")</f>
        <v>0</v>
      </c>
      <c r="K44">
        <f>COUNTIFS('ISS-OSS Placements'!B$3:B$201,A44,'ISS-OSS Placements'!F$3:F$201,"*OSS*")</f>
        <v>0</v>
      </c>
      <c r="L44">
        <f>COUNTIFS('Student Supports'!B$3:B$201,A44,'Student Supports'!K$3:K$201,"Active")</f>
        <v>0</v>
      </c>
    </row>
    <row r="45" spans="9:12" x14ac:dyDescent="0.45">
      <c r="I45">
        <f>COUNTIF('Referral Log'!D$3:D$201,A45)</f>
        <v>0</v>
      </c>
      <c r="J45">
        <f>COUNTIFS('ISS-OSS Placements'!B$3:B$201,A45,'ISS-OSS Placements'!F$3:F$201,"*ISS*")</f>
        <v>0</v>
      </c>
      <c r="K45">
        <f>COUNTIFS('ISS-OSS Placements'!B$3:B$201,A45,'ISS-OSS Placements'!F$3:F$201,"*OSS*")</f>
        <v>0</v>
      </c>
      <c r="L45">
        <f>COUNTIFS('Student Supports'!B$3:B$201,A45,'Student Supports'!K$3:K$201,"Active")</f>
        <v>0</v>
      </c>
    </row>
    <row r="46" spans="9:12" x14ac:dyDescent="0.45">
      <c r="I46">
        <f>COUNTIF('Referral Log'!D$3:D$201,A46)</f>
        <v>0</v>
      </c>
      <c r="J46">
        <f>COUNTIFS('ISS-OSS Placements'!B$3:B$201,A46,'ISS-OSS Placements'!F$3:F$201,"*ISS*")</f>
        <v>0</v>
      </c>
      <c r="K46">
        <f>COUNTIFS('ISS-OSS Placements'!B$3:B$201,A46,'ISS-OSS Placements'!F$3:F$201,"*OSS*")</f>
        <v>0</v>
      </c>
      <c r="L46">
        <f>COUNTIFS('Student Supports'!B$3:B$201,A46,'Student Supports'!K$3:K$201,"Active")</f>
        <v>0</v>
      </c>
    </row>
    <row r="47" spans="9:12" x14ac:dyDescent="0.45">
      <c r="I47">
        <f>COUNTIF('Referral Log'!D$3:D$201,A47)</f>
        <v>0</v>
      </c>
      <c r="J47">
        <f>COUNTIFS('ISS-OSS Placements'!B$3:B$201,A47,'ISS-OSS Placements'!F$3:F$201,"*ISS*")</f>
        <v>0</v>
      </c>
      <c r="K47">
        <f>COUNTIFS('ISS-OSS Placements'!B$3:B$201,A47,'ISS-OSS Placements'!F$3:F$201,"*OSS*")</f>
        <v>0</v>
      </c>
      <c r="L47">
        <f>COUNTIFS('Student Supports'!B$3:B$201,A47,'Student Supports'!K$3:K$201,"Active")</f>
        <v>0</v>
      </c>
    </row>
    <row r="48" spans="9:12" x14ac:dyDescent="0.45">
      <c r="I48">
        <f>COUNTIF('Referral Log'!D$3:D$201,A48)</f>
        <v>0</v>
      </c>
      <c r="J48">
        <f>COUNTIFS('ISS-OSS Placements'!B$3:B$201,A48,'ISS-OSS Placements'!F$3:F$201,"*ISS*")</f>
        <v>0</v>
      </c>
      <c r="K48">
        <f>COUNTIFS('ISS-OSS Placements'!B$3:B$201,A48,'ISS-OSS Placements'!F$3:F$201,"*OSS*")</f>
        <v>0</v>
      </c>
      <c r="L48">
        <f>COUNTIFS('Student Supports'!B$3:B$201,A48,'Student Supports'!K$3:K$201,"Active")</f>
        <v>0</v>
      </c>
    </row>
    <row r="49" spans="9:12" x14ac:dyDescent="0.45">
      <c r="I49">
        <f>COUNTIF('Referral Log'!D$3:D$201,A49)</f>
        <v>0</v>
      </c>
      <c r="J49">
        <f>COUNTIFS('ISS-OSS Placements'!B$3:B$201,A49,'ISS-OSS Placements'!F$3:F$201,"*ISS*")</f>
        <v>0</v>
      </c>
      <c r="K49">
        <f>COUNTIFS('ISS-OSS Placements'!B$3:B$201,A49,'ISS-OSS Placements'!F$3:F$201,"*OSS*")</f>
        <v>0</v>
      </c>
      <c r="L49">
        <f>COUNTIFS('Student Supports'!B$3:B$201,A49,'Student Supports'!K$3:K$201,"Active")</f>
        <v>0</v>
      </c>
    </row>
    <row r="50" spans="9:12" x14ac:dyDescent="0.45">
      <c r="I50">
        <f>COUNTIF('Referral Log'!D$3:D$201,A50)</f>
        <v>0</v>
      </c>
      <c r="J50">
        <f>COUNTIFS('ISS-OSS Placements'!B$3:B$201,A50,'ISS-OSS Placements'!F$3:F$201,"*ISS*")</f>
        <v>0</v>
      </c>
      <c r="K50">
        <f>COUNTIFS('ISS-OSS Placements'!B$3:B$201,A50,'ISS-OSS Placements'!F$3:F$201,"*OSS*")</f>
        <v>0</v>
      </c>
      <c r="L50">
        <f>COUNTIFS('Student Supports'!B$3:B$201,A50,'Student Supports'!K$3:K$201,"Active")</f>
        <v>0</v>
      </c>
    </row>
    <row r="51" spans="9:12" x14ac:dyDescent="0.45">
      <c r="I51">
        <f>COUNTIF('Referral Log'!D$3:D$201,A51)</f>
        <v>0</v>
      </c>
      <c r="J51">
        <f>COUNTIFS('ISS-OSS Placements'!B$3:B$201,A51,'ISS-OSS Placements'!F$3:F$201,"*ISS*")</f>
        <v>0</v>
      </c>
      <c r="K51">
        <f>COUNTIFS('ISS-OSS Placements'!B$3:B$201,A51,'ISS-OSS Placements'!F$3:F$201,"*OSS*")</f>
        <v>0</v>
      </c>
      <c r="L51">
        <f>COUNTIFS('Student Supports'!B$3:B$201,A51,'Student Supports'!K$3:K$201,"Active")</f>
        <v>0</v>
      </c>
    </row>
    <row r="52" spans="9:12" x14ac:dyDescent="0.45">
      <c r="I52">
        <f>COUNTIF('Referral Log'!D$3:D$201,A52)</f>
        <v>0</v>
      </c>
      <c r="J52">
        <f>COUNTIFS('ISS-OSS Placements'!B$3:B$201,A52,'ISS-OSS Placements'!F$3:F$201,"*ISS*")</f>
        <v>0</v>
      </c>
      <c r="K52">
        <f>COUNTIFS('ISS-OSS Placements'!B$3:B$201,A52,'ISS-OSS Placements'!F$3:F$201,"*OSS*")</f>
        <v>0</v>
      </c>
      <c r="L52">
        <f>COUNTIFS('Student Supports'!B$3:B$201,A52,'Student Supports'!K$3:K$201,"Active")</f>
        <v>0</v>
      </c>
    </row>
    <row r="53" spans="9:12" x14ac:dyDescent="0.45">
      <c r="I53">
        <f>COUNTIF('Referral Log'!D$3:D$201,A53)</f>
        <v>0</v>
      </c>
      <c r="J53">
        <f>COUNTIFS('ISS-OSS Placements'!B$3:B$201,A53,'ISS-OSS Placements'!F$3:F$201,"*ISS*")</f>
        <v>0</v>
      </c>
      <c r="K53">
        <f>COUNTIFS('ISS-OSS Placements'!B$3:B$201,A53,'ISS-OSS Placements'!F$3:F$201,"*OSS*")</f>
        <v>0</v>
      </c>
      <c r="L53">
        <f>COUNTIFS('Student Supports'!B$3:B$201,A53,'Student Supports'!K$3:K$201,"Active")</f>
        <v>0</v>
      </c>
    </row>
    <row r="54" spans="9:12" x14ac:dyDescent="0.45">
      <c r="I54">
        <f>COUNTIF('Referral Log'!D$3:D$201,A54)</f>
        <v>0</v>
      </c>
      <c r="J54">
        <f>COUNTIFS('ISS-OSS Placements'!B$3:B$201,A54,'ISS-OSS Placements'!F$3:F$201,"*ISS*")</f>
        <v>0</v>
      </c>
      <c r="K54">
        <f>COUNTIFS('ISS-OSS Placements'!B$3:B$201,A54,'ISS-OSS Placements'!F$3:F$201,"*OSS*")</f>
        <v>0</v>
      </c>
      <c r="L54">
        <f>COUNTIFS('Student Supports'!B$3:B$201,A54,'Student Supports'!K$3:K$201,"Active")</f>
        <v>0</v>
      </c>
    </row>
    <row r="55" spans="9:12" x14ac:dyDescent="0.45">
      <c r="I55">
        <f>COUNTIF('Referral Log'!D$3:D$201,A55)</f>
        <v>0</v>
      </c>
      <c r="J55">
        <f>COUNTIFS('ISS-OSS Placements'!B$3:B$201,A55,'ISS-OSS Placements'!F$3:F$201,"*ISS*")</f>
        <v>0</v>
      </c>
      <c r="K55">
        <f>COUNTIFS('ISS-OSS Placements'!B$3:B$201,A55,'ISS-OSS Placements'!F$3:F$201,"*OSS*")</f>
        <v>0</v>
      </c>
      <c r="L55">
        <f>COUNTIFS('Student Supports'!B$3:B$201,A55,'Student Supports'!K$3:K$201,"Active")</f>
        <v>0</v>
      </c>
    </row>
    <row r="56" spans="9:12" x14ac:dyDescent="0.45">
      <c r="I56">
        <f>COUNTIF('Referral Log'!D$3:D$201,A56)</f>
        <v>0</v>
      </c>
      <c r="J56">
        <f>COUNTIFS('ISS-OSS Placements'!B$3:B$201,A56,'ISS-OSS Placements'!F$3:F$201,"*ISS*")</f>
        <v>0</v>
      </c>
      <c r="K56">
        <f>COUNTIFS('ISS-OSS Placements'!B$3:B$201,A56,'ISS-OSS Placements'!F$3:F$201,"*OSS*")</f>
        <v>0</v>
      </c>
      <c r="L56">
        <f>COUNTIFS('Student Supports'!B$3:B$201,A56,'Student Supports'!K$3:K$201,"Active")</f>
        <v>0</v>
      </c>
    </row>
    <row r="57" spans="9:12" x14ac:dyDescent="0.45">
      <c r="I57">
        <f>COUNTIF('Referral Log'!D$3:D$201,A57)</f>
        <v>0</v>
      </c>
      <c r="J57">
        <f>COUNTIFS('ISS-OSS Placements'!B$3:B$201,A57,'ISS-OSS Placements'!F$3:F$201,"*ISS*")</f>
        <v>0</v>
      </c>
      <c r="K57">
        <f>COUNTIFS('ISS-OSS Placements'!B$3:B$201,A57,'ISS-OSS Placements'!F$3:F$201,"*OSS*")</f>
        <v>0</v>
      </c>
      <c r="L57">
        <f>COUNTIFS('Student Supports'!B$3:B$201,A57,'Student Supports'!K$3:K$201,"Active")</f>
        <v>0</v>
      </c>
    </row>
    <row r="58" spans="9:12" x14ac:dyDescent="0.45">
      <c r="I58">
        <f>COUNTIF('Referral Log'!D$3:D$201,A58)</f>
        <v>0</v>
      </c>
      <c r="J58">
        <f>COUNTIFS('ISS-OSS Placements'!B$3:B$201,A58,'ISS-OSS Placements'!F$3:F$201,"*ISS*")</f>
        <v>0</v>
      </c>
      <c r="K58">
        <f>COUNTIFS('ISS-OSS Placements'!B$3:B$201,A58,'ISS-OSS Placements'!F$3:F$201,"*OSS*")</f>
        <v>0</v>
      </c>
      <c r="L58">
        <f>COUNTIFS('Student Supports'!B$3:B$201,A58,'Student Supports'!K$3:K$201,"Active")</f>
        <v>0</v>
      </c>
    </row>
    <row r="59" spans="9:12" x14ac:dyDescent="0.45">
      <c r="I59">
        <f>COUNTIF('Referral Log'!D$3:D$201,A59)</f>
        <v>0</v>
      </c>
      <c r="J59">
        <f>COUNTIFS('ISS-OSS Placements'!B$3:B$201,A59,'ISS-OSS Placements'!F$3:F$201,"*ISS*")</f>
        <v>0</v>
      </c>
      <c r="K59">
        <f>COUNTIFS('ISS-OSS Placements'!B$3:B$201,A59,'ISS-OSS Placements'!F$3:F$201,"*OSS*")</f>
        <v>0</v>
      </c>
      <c r="L59">
        <f>COUNTIFS('Student Supports'!B$3:B$201,A59,'Student Supports'!K$3:K$201,"Active")</f>
        <v>0</v>
      </c>
    </row>
    <row r="60" spans="9:12" x14ac:dyDescent="0.45">
      <c r="I60">
        <f>COUNTIF('Referral Log'!D$3:D$201,A60)</f>
        <v>0</v>
      </c>
      <c r="J60">
        <f>COUNTIFS('ISS-OSS Placements'!B$3:B$201,A60,'ISS-OSS Placements'!F$3:F$201,"*ISS*")</f>
        <v>0</v>
      </c>
      <c r="K60">
        <f>COUNTIFS('ISS-OSS Placements'!B$3:B$201,A60,'ISS-OSS Placements'!F$3:F$201,"*OSS*")</f>
        <v>0</v>
      </c>
      <c r="L60">
        <f>COUNTIFS('Student Supports'!B$3:B$201,A60,'Student Supports'!K$3:K$201,"Active")</f>
        <v>0</v>
      </c>
    </row>
    <row r="61" spans="9:12" x14ac:dyDescent="0.45">
      <c r="I61">
        <f>COUNTIF('Referral Log'!D$3:D$201,A61)</f>
        <v>0</v>
      </c>
      <c r="J61">
        <f>COUNTIFS('ISS-OSS Placements'!B$3:B$201,A61,'ISS-OSS Placements'!F$3:F$201,"*ISS*")</f>
        <v>0</v>
      </c>
      <c r="K61">
        <f>COUNTIFS('ISS-OSS Placements'!B$3:B$201,A61,'ISS-OSS Placements'!F$3:F$201,"*OSS*")</f>
        <v>0</v>
      </c>
      <c r="L61">
        <f>COUNTIFS('Student Supports'!B$3:B$201,A61,'Student Supports'!K$3:K$201,"Active")</f>
        <v>0</v>
      </c>
    </row>
    <row r="62" spans="9:12" x14ac:dyDescent="0.45">
      <c r="I62">
        <f>COUNTIF('Referral Log'!D$3:D$201,A62)</f>
        <v>0</v>
      </c>
      <c r="J62">
        <f>COUNTIFS('ISS-OSS Placements'!B$3:B$201,A62,'ISS-OSS Placements'!F$3:F$201,"*ISS*")</f>
        <v>0</v>
      </c>
      <c r="K62">
        <f>COUNTIFS('ISS-OSS Placements'!B$3:B$201,A62,'ISS-OSS Placements'!F$3:F$201,"*OSS*")</f>
        <v>0</v>
      </c>
      <c r="L62">
        <f>COUNTIFS('Student Supports'!B$3:B$201,A62,'Student Supports'!K$3:K$201,"Active")</f>
        <v>0</v>
      </c>
    </row>
    <row r="63" spans="9:12" x14ac:dyDescent="0.45">
      <c r="I63">
        <f>COUNTIF('Referral Log'!D$3:D$201,A63)</f>
        <v>0</v>
      </c>
      <c r="J63">
        <f>COUNTIFS('ISS-OSS Placements'!B$3:B$201,A63,'ISS-OSS Placements'!F$3:F$201,"*ISS*")</f>
        <v>0</v>
      </c>
      <c r="K63">
        <f>COUNTIFS('ISS-OSS Placements'!B$3:B$201,A63,'ISS-OSS Placements'!F$3:F$201,"*OSS*")</f>
        <v>0</v>
      </c>
      <c r="L63">
        <f>COUNTIFS('Student Supports'!B$3:B$201,A63,'Student Supports'!K$3:K$201,"Active")</f>
        <v>0</v>
      </c>
    </row>
    <row r="64" spans="9:12" x14ac:dyDescent="0.45">
      <c r="I64">
        <f>COUNTIF('Referral Log'!D$3:D$201,A64)</f>
        <v>0</v>
      </c>
      <c r="J64">
        <f>COUNTIFS('ISS-OSS Placements'!B$3:B$201,A64,'ISS-OSS Placements'!F$3:F$201,"*ISS*")</f>
        <v>0</v>
      </c>
      <c r="K64">
        <f>COUNTIFS('ISS-OSS Placements'!B$3:B$201,A64,'ISS-OSS Placements'!F$3:F$201,"*OSS*")</f>
        <v>0</v>
      </c>
      <c r="L64">
        <f>COUNTIFS('Student Supports'!B$3:B$201,A64,'Student Supports'!K$3:K$201,"Active")</f>
        <v>0</v>
      </c>
    </row>
    <row r="65" spans="9:12" x14ac:dyDescent="0.45">
      <c r="I65">
        <f>COUNTIF('Referral Log'!D$3:D$201,A65)</f>
        <v>0</v>
      </c>
      <c r="J65">
        <f>COUNTIFS('ISS-OSS Placements'!B$3:B$201,A65,'ISS-OSS Placements'!F$3:F$201,"*ISS*")</f>
        <v>0</v>
      </c>
      <c r="K65">
        <f>COUNTIFS('ISS-OSS Placements'!B$3:B$201,A65,'ISS-OSS Placements'!F$3:F$201,"*OSS*")</f>
        <v>0</v>
      </c>
      <c r="L65">
        <f>COUNTIFS('Student Supports'!B$3:B$201,A65,'Student Supports'!K$3:K$201,"Active")</f>
        <v>0</v>
      </c>
    </row>
    <row r="66" spans="9:12" x14ac:dyDescent="0.45">
      <c r="I66">
        <f>COUNTIF('Referral Log'!D$3:D$201,A66)</f>
        <v>0</v>
      </c>
      <c r="J66">
        <f>COUNTIFS('ISS-OSS Placements'!B$3:B$201,A66,'ISS-OSS Placements'!F$3:F$201,"*ISS*")</f>
        <v>0</v>
      </c>
      <c r="K66">
        <f>COUNTIFS('ISS-OSS Placements'!B$3:B$201,A66,'ISS-OSS Placements'!F$3:F$201,"*OSS*")</f>
        <v>0</v>
      </c>
      <c r="L66">
        <f>COUNTIFS('Student Supports'!B$3:B$201,A66,'Student Supports'!K$3:K$201,"Active")</f>
        <v>0</v>
      </c>
    </row>
    <row r="67" spans="9:12" x14ac:dyDescent="0.45">
      <c r="I67">
        <f>COUNTIF('Referral Log'!D$3:D$201,A67)</f>
        <v>0</v>
      </c>
      <c r="J67">
        <f>COUNTIFS('ISS-OSS Placements'!B$3:B$201,A67,'ISS-OSS Placements'!F$3:F$201,"*ISS*")</f>
        <v>0</v>
      </c>
      <c r="K67">
        <f>COUNTIFS('ISS-OSS Placements'!B$3:B$201,A67,'ISS-OSS Placements'!F$3:F$201,"*OSS*")</f>
        <v>0</v>
      </c>
      <c r="L67">
        <f>COUNTIFS('Student Supports'!B$3:B$201,A67,'Student Supports'!K$3:K$201,"Active")</f>
        <v>0</v>
      </c>
    </row>
    <row r="68" spans="9:12" x14ac:dyDescent="0.45">
      <c r="I68">
        <f>COUNTIF('Referral Log'!D$3:D$201,A68)</f>
        <v>0</v>
      </c>
      <c r="J68">
        <f>COUNTIFS('ISS-OSS Placements'!B$3:B$201,A68,'ISS-OSS Placements'!F$3:F$201,"*ISS*")</f>
        <v>0</v>
      </c>
      <c r="K68">
        <f>COUNTIFS('ISS-OSS Placements'!B$3:B$201,A68,'ISS-OSS Placements'!F$3:F$201,"*OSS*")</f>
        <v>0</v>
      </c>
      <c r="L68">
        <f>COUNTIFS('Student Supports'!B$3:B$201,A68,'Student Supports'!K$3:K$201,"Active")</f>
        <v>0</v>
      </c>
    </row>
    <row r="69" spans="9:12" x14ac:dyDescent="0.45">
      <c r="I69">
        <f>COUNTIF('Referral Log'!D$3:D$201,A69)</f>
        <v>0</v>
      </c>
      <c r="J69">
        <f>COUNTIFS('ISS-OSS Placements'!B$3:B$201,A69,'ISS-OSS Placements'!F$3:F$201,"*ISS*")</f>
        <v>0</v>
      </c>
      <c r="K69">
        <f>COUNTIFS('ISS-OSS Placements'!B$3:B$201,A69,'ISS-OSS Placements'!F$3:F$201,"*OSS*")</f>
        <v>0</v>
      </c>
      <c r="L69">
        <f>COUNTIFS('Student Supports'!B$3:B$201,A69,'Student Supports'!K$3:K$201,"Active")</f>
        <v>0</v>
      </c>
    </row>
    <row r="70" spans="9:12" x14ac:dyDescent="0.45">
      <c r="I70">
        <f>COUNTIF('Referral Log'!D$3:D$201,A70)</f>
        <v>0</v>
      </c>
      <c r="J70">
        <f>COUNTIFS('ISS-OSS Placements'!B$3:B$201,A70,'ISS-OSS Placements'!F$3:F$201,"*ISS*")</f>
        <v>0</v>
      </c>
      <c r="K70">
        <f>COUNTIFS('ISS-OSS Placements'!B$3:B$201,A70,'ISS-OSS Placements'!F$3:F$201,"*OSS*")</f>
        <v>0</v>
      </c>
      <c r="L70">
        <f>COUNTIFS('Student Supports'!B$3:B$201,A70,'Student Supports'!K$3:K$201,"Active")</f>
        <v>0</v>
      </c>
    </row>
    <row r="71" spans="9:12" x14ac:dyDescent="0.45">
      <c r="I71">
        <f>COUNTIF('Referral Log'!D$3:D$201,A71)</f>
        <v>0</v>
      </c>
      <c r="J71">
        <f>COUNTIFS('ISS-OSS Placements'!B$3:B$201,A71,'ISS-OSS Placements'!F$3:F$201,"*ISS*")</f>
        <v>0</v>
      </c>
      <c r="K71">
        <f>COUNTIFS('ISS-OSS Placements'!B$3:B$201,A71,'ISS-OSS Placements'!F$3:F$201,"*OSS*")</f>
        <v>0</v>
      </c>
      <c r="L71">
        <f>COUNTIFS('Student Supports'!B$3:B$201,A71,'Student Supports'!K$3:K$201,"Active")</f>
        <v>0</v>
      </c>
    </row>
    <row r="72" spans="9:12" x14ac:dyDescent="0.45">
      <c r="I72">
        <f>COUNTIF('Referral Log'!D$3:D$201,A72)</f>
        <v>0</v>
      </c>
      <c r="J72">
        <f>COUNTIFS('ISS-OSS Placements'!B$3:B$201,A72,'ISS-OSS Placements'!F$3:F$201,"*ISS*")</f>
        <v>0</v>
      </c>
      <c r="K72">
        <f>COUNTIFS('ISS-OSS Placements'!B$3:B$201,A72,'ISS-OSS Placements'!F$3:F$201,"*OSS*")</f>
        <v>0</v>
      </c>
      <c r="L72">
        <f>COUNTIFS('Student Supports'!B$3:B$201,A72,'Student Supports'!K$3:K$201,"Active")</f>
        <v>0</v>
      </c>
    </row>
    <row r="73" spans="9:12" x14ac:dyDescent="0.45">
      <c r="I73">
        <f>COUNTIF('Referral Log'!D$3:D$201,A73)</f>
        <v>0</v>
      </c>
      <c r="J73">
        <f>COUNTIFS('ISS-OSS Placements'!B$3:B$201,A73,'ISS-OSS Placements'!F$3:F$201,"*ISS*")</f>
        <v>0</v>
      </c>
      <c r="K73">
        <f>COUNTIFS('ISS-OSS Placements'!B$3:B$201,A73,'ISS-OSS Placements'!F$3:F$201,"*OSS*")</f>
        <v>0</v>
      </c>
      <c r="L73">
        <f>COUNTIFS('Student Supports'!B$3:B$201,A73,'Student Supports'!K$3:K$201,"Active")</f>
        <v>0</v>
      </c>
    </row>
    <row r="74" spans="9:12" x14ac:dyDescent="0.45">
      <c r="I74">
        <f>COUNTIF('Referral Log'!D$3:D$201,A74)</f>
        <v>0</v>
      </c>
      <c r="J74">
        <f>COUNTIFS('ISS-OSS Placements'!B$3:B$201,A74,'ISS-OSS Placements'!F$3:F$201,"*ISS*")</f>
        <v>0</v>
      </c>
      <c r="K74">
        <f>COUNTIFS('ISS-OSS Placements'!B$3:B$201,A74,'ISS-OSS Placements'!F$3:F$201,"*OSS*")</f>
        <v>0</v>
      </c>
      <c r="L74">
        <f>COUNTIFS('Student Supports'!B$3:B$201,A74,'Student Supports'!K$3:K$201,"Active")</f>
        <v>0</v>
      </c>
    </row>
    <row r="75" spans="9:12" x14ac:dyDescent="0.45">
      <c r="I75">
        <f>COUNTIF('Referral Log'!D$3:D$201,A75)</f>
        <v>0</v>
      </c>
      <c r="J75">
        <f>COUNTIFS('ISS-OSS Placements'!B$3:B$201,A75,'ISS-OSS Placements'!F$3:F$201,"*ISS*")</f>
        <v>0</v>
      </c>
      <c r="K75">
        <f>COUNTIFS('ISS-OSS Placements'!B$3:B$201,A75,'ISS-OSS Placements'!F$3:F$201,"*OSS*")</f>
        <v>0</v>
      </c>
      <c r="L75">
        <f>COUNTIFS('Student Supports'!B$3:B$201,A75,'Student Supports'!K$3:K$201,"Active")</f>
        <v>0</v>
      </c>
    </row>
    <row r="76" spans="9:12" x14ac:dyDescent="0.45">
      <c r="I76">
        <f>COUNTIF('Referral Log'!D$3:D$201,A76)</f>
        <v>0</v>
      </c>
      <c r="J76">
        <f>COUNTIFS('ISS-OSS Placements'!B$3:B$201,A76,'ISS-OSS Placements'!F$3:F$201,"*ISS*")</f>
        <v>0</v>
      </c>
      <c r="K76">
        <f>COUNTIFS('ISS-OSS Placements'!B$3:B$201,A76,'ISS-OSS Placements'!F$3:F$201,"*OSS*")</f>
        <v>0</v>
      </c>
      <c r="L76">
        <f>COUNTIFS('Student Supports'!B$3:B$201,A76,'Student Supports'!K$3:K$201,"Active")</f>
        <v>0</v>
      </c>
    </row>
    <row r="77" spans="9:12" x14ac:dyDescent="0.45">
      <c r="I77">
        <f>COUNTIF('Referral Log'!D$3:D$201,A77)</f>
        <v>0</v>
      </c>
      <c r="J77">
        <f>COUNTIFS('ISS-OSS Placements'!B$3:B$201,A77,'ISS-OSS Placements'!F$3:F$201,"*ISS*")</f>
        <v>0</v>
      </c>
      <c r="K77">
        <f>COUNTIFS('ISS-OSS Placements'!B$3:B$201,A77,'ISS-OSS Placements'!F$3:F$201,"*OSS*")</f>
        <v>0</v>
      </c>
      <c r="L77">
        <f>COUNTIFS('Student Supports'!B$3:B$201,A77,'Student Supports'!K$3:K$201,"Active")</f>
        <v>0</v>
      </c>
    </row>
    <row r="78" spans="9:12" x14ac:dyDescent="0.45">
      <c r="I78">
        <f>COUNTIF('Referral Log'!D$3:D$201,A78)</f>
        <v>0</v>
      </c>
      <c r="J78">
        <f>COUNTIFS('ISS-OSS Placements'!B$3:B$201,A78,'ISS-OSS Placements'!F$3:F$201,"*ISS*")</f>
        <v>0</v>
      </c>
      <c r="K78">
        <f>COUNTIFS('ISS-OSS Placements'!B$3:B$201,A78,'ISS-OSS Placements'!F$3:F$201,"*OSS*")</f>
        <v>0</v>
      </c>
      <c r="L78">
        <f>COUNTIFS('Student Supports'!B$3:B$201,A78,'Student Supports'!K$3:K$201,"Active")</f>
        <v>0</v>
      </c>
    </row>
    <row r="79" spans="9:12" x14ac:dyDescent="0.45">
      <c r="I79">
        <f>COUNTIF('Referral Log'!D$3:D$201,A79)</f>
        <v>0</v>
      </c>
      <c r="J79">
        <f>COUNTIFS('ISS-OSS Placements'!B$3:B$201,A79,'ISS-OSS Placements'!F$3:F$201,"*ISS*")</f>
        <v>0</v>
      </c>
      <c r="K79">
        <f>COUNTIFS('ISS-OSS Placements'!B$3:B$201,A79,'ISS-OSS Placements'!F$3:F$201,"*OSS*")</f>
        <v>0</v>
      </c>
      <c r="L79">
        <f>COUNTIFS('Student Supports'!B$3:B$201,A79,'Student Supports'!K$3:K$201,"Active")</f>
        <v>0</v>
      </c>
    </row>
    <row r="80" spans="9:12" x14ac:dyDescent="0.45">
      <c r="I80">
        <f>COUNTIF('Referral Log'!D$3:D$201,A80)</f>
        <v>0</v>
      </c>
      <c r="J80">
        <f>COUNTIFS('ISS-OSS Placements'!B$3:B$201,A80,'ISS-OSS Placements'!F$3:F$201,"*ISS*")</f>
        <v>0</v>
      </c>
      <c r="K80">
        <f>COUNTIFS('ISS-OSS Placements'!B$3:B$201,A80,'ISS-OSS Placements'!F$3:F$201,"*OSS*")</f>
        <v>0</v>
      </c>
      <c r="L80">
        <f>COUNTIFS('Student Supports'!B$3:B$201,A80,'Student Supports'!K$3:K$201,"Active")</f>
        <v>0</v>
      </c>
    </row>
    <row r="81" spans="9:12" x14ac:dyDescent="0.45">
      <c r="I81">
        <f>COUNTIF('Referral Log'!D$3:D$201,A81)</f>
        <v>0</v>
      </c>
      <c r="J81">
        <f>COUNTIFS('ISS-OSS Placements'!B$3:B$201,A81,'ISS-OSS Placements'!F$3:F$201,"*ISS*")</f>
        <v>0</v>
      </c>
      <c r="K81">
        <f>COUNTIFS('ISS-OSS Placements'!B$3:B$201,A81,'ISS-OSS Placements'!F$3:F$201,"*OSS*")</f>
        <v>0</v>
      </c>
      <c r="L81">
        <f>COUNTIFS('Student Supports'!B$3:B$201,A81,'Student Supports'!K$3:K$201,"Active")</f>
        <v>0</v>
      </c>
    </row>
    <row r="82" spans="9:12" x14ac:dyDescent="0.45">
      <c r="I82">
        <f>COUNTIF('Referral Log'!D$3:D$201,A82)</f>
        <v>0</v>
      </c>
      <c r="J82">
        <f>COUNTIFS('ISS-OSS Placements'!B$3:B$201,A82,'ISS-OSS Placements'!F$3:F$201,"*ISS*")</f>
        <v>0</v>
      </c>
      <c r="K82">
        <f>COUNTIFS('ISS-OSS Placements'!B$3:B$201,A82,'ISS-OSS Placements'!F$3:F$201,"*OSS*")</f>
        <v>0</v>
      </c>
      <c r="L82">
        <f>COUNTIFS('Student Supports'!B$3:B$201,A82,'Student Supports'!K$3:K$201,"Active")</f>
        <v>0</v>
      </c>
    </row>
    <row r="83" spans="9:12" x14ac:dyDescent="0.45">
      <c r="I83">
        <f>COUNTIF('Referral Log'!D$3:D$201,A83)</f>
        <v>0</v>
      </c>
      <c r="J83">
        <f>COUNTIFS('ISS-OSS Placements'!B$3:B$201,A83,'ISS-OSS Placements'!F$3:F$201,"*ISS*")</f>
        <v>0</v>
      </c>
      <c r="K83">
        <f>COUNTIFS('ISS-OSS Placements'!B$3:B$201,A83,'ISS-OSS Placements'!F$3:F$201,"*OSS*")</f>
        <v>0</v>
      </c>
      <c r="L83">
        <f>COUNTIFS('Student Supports'!B$3:B$201,A83,'Student Supports'!K$3:K$201,"Active")</f>
        <v>0</v>
      </c>
    </row>
    <row r="84" spans="9:12" x14ac:dyDescent="0.45">
      <c r="I84">
        <f>COUNTIF('Referral Log'!D$3:D$201,A84)</f>
        <v>0</v>
      </c>
      <c r="J84">
        <f>COUNTIFS('ISS-OSS Placements'!B$3:B$201,A84,'ISS-OSS Placements'!F$3:F$201,"*ISS*")</f>
        <v>0</v>
      </c>
      <c r="K84">
        <f>COUNTIFS('ISS-OSS Placements'!B$3:B$201,A84,'ISS-OSS Placements'!F$3:F$201,"*OSS*")</f>
        <v>0</v>
      </c>
      <c r="L84">
        <f>COUNTIFS('Student Supports'!B$3:B$201,A84,'Student Supports'!K$3:K$201,"Active")</f>
        <v>0</v>
      </c>
    </row>
    <row r="85" spans="9:12" x14ac:dyDescent="0.45">
      <c r="I85">
        <f>COUNTIF('Referral Log'!D$3:D$201,A85)</f>
        <v>0</v>
      </c>
      <c r="J85">
        <f>COUNTIFS('ISS-OSS Placements'!B$3:B$201,A85,'ISS-OSS Placements'!F$3:F$201,"*ISS*")</f>
        <v>0</v>
      </c>
      <c r="K85">
        <f>COUNTIFS('ISS-OSS Placements'!B$3:B$201,A85,'ISS-OSS Placements'!F$3:F$201,"*OSS*")</f>
        <v>0</v>
      </c>
      <c r="L85">
        <f>COUNTIFS('Student Supports'!B$3:B$201,A85,'Student Supports'!K$3:K$201,"Active")</f>
        <v>0</v>
      </c>
    </row>
    <row r="86" spans="9:12" x14ac:dyDescent="0.45">
      <c r="I86">
        <f>COUNTIF('Referral Log'!D$3:D$201,A86)</f>
        <v>0</v>
      </c>
      <c r="J86">
        <f>COUNTIFS('ISS-OSS Placements'!B$3:B$201,A86,'ISS-OSS Placements'!F$3:F$201,"*ISS*")</f>
        <v>0</v>
      </c>
      <c r="K86">
        <f>COUNTIFS('ISS-OSS Placements'!B$3:B$201,A86,'ISS-OSS Placements'!F$3:F$201,"*OSS*")</f>
        <v>0</v>
      </c>
      <c r="L86">
        <f>COUNTIFS('Student Supports'!B$3:B$201,A86,'Student Supports'!K$3:K$201,"Active")</f>
        <v>0</v>
      </c>
    </row>
    <row r="87" spans="9:12" x14ac:dyDescent="0.45">
      <c r="I87">
        <f>COUNTIF('Referral Log'!D$3:D$201,A87)</f>
        <v>0</v>
      </c>
      <c r="J87">
        <f>COUNTIFS('ISS-OSS Placements'!B$3:B$201,A87,'ISS-OSS Placements'!F$3:F$201,"*ISS*")</f>
        <v>0</v>
      </c>
      <c r="K87">
        <f>COUNTIFS('ISS-OSS Placements'!B$3:B$201,A87,'ISS-OSS Placements'!F$3:F$201,"*OSS*")</f>
        <v>0</v>
      </c>
      <c r="L87">
        <f>COUNTIFS('Student Supports'!B$3:B$201,A87,'Student Supports'!K$3:K$201,"Active")</f>
        <v>0</v>
      </c>
    </row>
    <row r="88" spans="9:12" x14ac:dyDescent="0.45">
      <c r="I88">
        <f>COUNTIF('Referral Log'!D$3:D$201,A88)</f>
        <v>0</v>
      </c>
      <c r="J88">
        <f>COUNTIFS('ISS-OSS Placements'!B$3:B$201,A88,'ISS-OSS Placements'!F$3:F$201,"*ISS*")</f>
        <v>0</v>
      </c>
      <c r="K88">
        <f>COUNTIFS('ISS-OSS Placements'!B$3:B$201,A88,'ISS-OSS Placements'!F$3:F$201,"*OSS*")</f>
        <v>0</v>
      </c>
      <c r="L88">
        <f>COUNTIFS('Student Supports'!B$3:B$201,A88,'Student Supports'!K$3:K$201,"Active")</f>
        <v>0</v>
      </c>
    </row>
    <row r="89" spans="9:12" x14ac:dyDescent="0.45">
      <c r="I89">
        <f>COUNTIF('Referral Log'!D$3:D$201,A89)</f>
        <v>0</v>
      </c>
      <c r="J89">
        <f>COUNTIFS('ISS-OSS Placements'!B$3:B$201,A89,'ISS-OSS Placements'!F$3:F$201,"*ISS*")</f>
        <v>0</v>
      </c>
      <c r="K89">
        <f>COUNTIFS('ISS-OSS Placements'!B$3:B$201,A89,'ISS-OSS Placements'!F$3:F$201,"*OSS*")</f>
        <v>0</v>
      </c>
      <c r="L89">
        <f>COUNTIFS('Student Supports'!B$3:B$201,A89,'Student Supports'!K$3:K$201,"Active")</f>
        <v>0</v>
      </c>
    </row>
    <row r="90" spans="9:12" x14ac:dyDescent="0.45">
      <c r="I90">
        <f>COUNTIF('Referral Log'!D$3:D$201,A90)</f>
        <v>0</v>
      </c>
      <c r="J90">
        <f>COUNTIFS('ISS-OSS Placements'!B$3:B$201,A90,'ISS-OSS Placements'!F$3:F$201,"*ISS*")</f>
        <v>0</v>
      </c>
      <c r="K90">
        <f>COUNTIFS('ISS-OSS Placements'!B$3:B$201,A90,'ISS-OSS Placements'!F$3:F$201,"*OSS*")</f>
        <v>0</v>
      </c>
      <c r="L90">
        <f>COUNTIFS('Student Supports'!B$3:B$201,A90,'Student Supports'!K$3:K$201,"Active")</f>
        <v>0</v>
      </c>
    </row>
    <row r="91" spans="9:12" x14ac:dyDescent="0.45">
      <c r="I91">
        <f>COUNTIF('Referral Log'!D$3:D$201,A91)</f>
        <v>0</v>
      </c>
      <c r="J91">
        <f>COUNTIFS('ISS-OSS Placements'!B$3:B$201,A91,'ISS-OSS Placements'!F$3:F$201,"*ISS*")</f>
        <v>0</v>
      </c>
      <c r="K91">
        <f>COUNTIFS('ISS-OSS Placements'!B$3:B$201,A91,'ISS-OSS Placements'!F$3:F$201,"*OSS*")</f>
        <v>0</v>
      </c>
      <c r="L91">
        <f>COUNTIFS('Student Supports'!B$3:B$201,A91,'Student Supports'!K$3:K$201,"Active")</f>
        <v>0</v>
      </c>
    </row>
    <row r="92" spans="9:12" x14ac:dyDescent="0.45">
      <c r="I92">
        <f>COUNTIF('Referral Log'!D$3:D$201,A92)</f>
        <v>0</v>
      </c>
      <c r="J92">
        <f>COUNTIFS('ISS-OSS Placements'!B$3:B$201,A92,'ISS-OSS Placements'!F$3:F$201,"*ISS*")</f>
        <v>0</v>
      </c>
      <c r="K92">
        <f>COUNTIFS('ISS-OSS Placements'!B$3:B$201,A92,'ISS-OSS Placements'!F$3:F$201,"*OSS*")</f>
        <v>0</v>
      </c>
      <c r="L92">
        <f>COUNTIFS('Student Supports'!B$3:B$201,A92,'Student Supports'!K$3:K$201,"Active")</f>
        <v>0</v>
      </c>
    </row>
    <row r="93" spans="9:12" x14ac:dyDescent="0.45">
      <c r="I93">
        <f>COUNTIF('Referral Log'!D$3:D$201,A93)</f>
        <v>0</v>
      </c>
      <c r="J93">
        <f>COUNTIFS('ISS-OSS Placements'!B$3:B$201,A93,'ISS-OSS Placements'!F$3:F$201,"*ISS*")</f>
        <v>0</v>
      </c>
      <c r="K93">
        <f>COUNTIFS('ISS-OSS Placements'!B$3:B$201,A93,'ISS-OSS Placements'!F$3:F$201,"*OSS*")</f>
        <v>0</v>
      </c>
      <c r="L93">
        <f>COUNTIFS('Student Supports'!B$3:B$201,A93,'Student Supports'!K$3:K$201,"Active")</f>
        <v>0</v>
      </c>
    </row>
    <row r="94" spans="9:12" x14ac:dyDescent="0.45">
      <c r="I94">
        <f>COUNTIF('Referral Log'!D$3:D$201,A94)</f>
        <v>0</v>
      </c>
      <c r="J94">
        <f>COUNTIFS('ISS-OSS Placements'!B$3:B$201,A94,'ISS-OSS Placements'!F$3:F$201,"*ISS*")</f>
        <v>0</v>
      </c>
      <c r="K94">
        <f>COUNTIFS('ISS-OSS Placements'!B$3:B$201,A94,'ISS-OSS Placements'!F$3:F$201,"*OSS*")</f>
        <v>0</v>
      </c>
      <c r="L94">
        <f>COUNTIFS('Student Supports'!B$3:B$201,A94,'Student Supports'!K$3:K$201,"Active")</f>
        <v>0</v>
      </c>
    </row>
    <row r="95" spans="9:12" x14ac:dyDescent="0.45">
      <c r="I95">
        <f>COUNTIF('Referral Log'!D$3:D$201,A95)</f>
        <v>0</v>
      </c>
      <c r="J95">
        <f>COUNTIFS('ISS-OSS Placements'!B$3:B$201,A95,'ISS-OSS Placements'!F$3:F$201,"*ISS*")</f>
        <v>0</v>
      </c>
      <c r="K95">
        <f>COUNTIFS('ISS-OSS Placements'!B$3:B$201,A95,'ISS-OSS Placements'!F$3:F$201,"*OSS*")</f>
        <v>0</v>
      </c>
      <c r="L95">
        <f>COUNTIFS('Student Supports'!B$3:B$201,A95,'Student Supports'!K$3:K$201,"Active")</f>
        <v>0</v>
      </c>
    </row>
    <row r="96" spans="9:12" x14ac:dyDescent="0.45">
      <c r="I96">
        <f>COUNTIF('Referral Log'!D$3:D$201,A96)</f>
        <v>0</v>
      </c>
      <c r="J96">
        <f>COUNTIFS('ISS-OSS Placements'!B$3:B$201,A96,'ISS-OSS Placements'!F$3:F$201,"*ISS*")</f>
        <v>0</v>
      </c>
      <c r="K96">
        <f>COUNTIFS('ISS-OSS Placements'!B$3:B$201,A96,'ISS-OSS Placements'!F$3:F$201,"*OSS*")</f>
        <v>0</v>
      </c>
      <c r="L96">
        <f>COUNTIFS('Student Supports'!B$3:B$201,A96,'Student Supports'!K$3:K$201,"Active")</f>
        <v>0</v>
      </c>
    </row>
    <row r="97" spans="9:12" x14ac:dyDescent="0.45">
      <c r="I97">
        <f>COUNTIF('Referral Log'!D$3:D$201,A97)</f>
        <v>0</v>
      </c>
      <c r="J97">
        <f>COUNTIFS('ISS-OSS Placements'!B$3:B$201,A97,'ISS-OSS Placements'!F$3:F$201,"*ISS*")</f>
        <v>0</v>
      </c>
      <c r="K97">
        <f>COUNTIFS('ISS-OSS Placements'!B$3:B$201,A97,'ISS-OSS Placements'!F$3:F$201,"*OSS*")</f>
        <v>0</v>
      </c>
      <c r="L97">
        <f>COUNTIFS('Student Supports'!B$3:B$201,A97,'Student Supports'!K$3:K$201,"Active")</f>
        <v>0</v>
      </c>
    </row>
    <row r="98" spans="9:12" x14ac:dyDescent="0.45">
      <c r="I98">
        <f>COUNTIF('Referral Log'!D$3:D$201,A98)</f>
        <v>0</v>
      </c>
      <c r="J98">
        <f>COUNTIFS('ISS-OSS Placements'!B$3:B$201,A98,'ISS-OSS Placements'!F$3:F$201,"*ISS*")</f>
        <v>0</v>
      </c>
      <c r="K98">
        <f>COUNTIFS('ISS-OSS Placements'!B$3:B$201,A98,'ISS-OSS Placements'!F$3:F$201,"*OSS*")</f>
        <v>0</v>
      </c>
      <c r="L98">
        <f>COUNTIFS('Student Supports'!B$3:B$201,A98,'Student Supports'!K$3:K$201,"Active")</f>
        <v>0</v>
      </c>
    </row>
    <row r="99" spans="9:12" x14ac:dyDescent="0.45">
      <c r="I99">
        <f>COUNTIF('Referral Log'!D$3:D$201,A99)</f>
        <v>0</v>
      </c>
      <c r="J99">
        <f>COUNTIFS('ISS-OSS Placements'!B$3:B$201,A99,'ISS-OSS Placements'!F$3:F$201,"*ISS*")</f>
        <v>0</v>
      </c>
      <c r="K99">
        <f>COUNTIFS('ISS-OSS Placements'!B$3:B$201,A99,'ISS-OSS Placements'!F$3:F$201,"*OSS*")</f>
        <v>0</v>
      </c>
      <c r="L99">
        <f>COUNTIFS('Student Supports'!B$3:B$201,A99,'Student Supports'!K$3:K$201,"Active")</f>
        <v>0</v>
      </c>
    </row>
    <row r="100" spans="9:12" x14ac:dyDescent="0.45">
      <c r="I100">
        <f>COUNTIF('Referral Log'!D$3:D$201,A100)</f>
        <v>0</v>
      </c>
      <c r="J100">
        <f>COUNTIFS('ISS-OSS Placements'!B$3:B$201,A100,'ISS-OSS Placements'!F$3:F$201,"*ISS*")</f>
        <v>0</v>
      </c>
      <c r="K100">
        <f>COUNTIFS('ISS-OSS Placements'!B$3:B$201,A100,'ISS-OSS Placements'!F$3:F$201,"*OSS*")</f>
        <v>0</v>
      </c>
      <c r="L100">
        <f>COUNTIFS('Student Supports'!B$3:B$201,A100,'Student Supports'!K$3:K$201,"Active")</f>
        <v>0</v>
      </c>
    </row>
    <row r="101" spans="9:12" x14ac:dyDescent="0.45">
      <c r="I101">
        <f>COUNTIF('Referral Log'!D$3:D$201,A101)</f>
        <v>0</v>
      </c>
      <c r="J101">
        <f>COUNTIFS('ISS-OSS Placements'!B$3:B$201,A101,'ISS-OSS Placements'!F$3:F$201,"*ISS*")</f>
        <v>0</v>
      </c>
      <c r="K101">
        <f>COUNTIFS('ISS-OSS Placements'!B$3:B$201,A101,'ISS-OSS Placements'!F$3:F$201,"*OSS*")</f>
        <v>0</v>
      </c>
      <c r="L101">
        <f>COUNTIFS('Student Supports'!B$3:B$201,A101,'Student Supports'!K$3:K$201,"Active")</f>
        <v>0</v>
      </c>
    </row>
  </sheetData>
  <mergeCells count="1">
    <mergeCell ref="A1:N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from the dropdown list." xr:uid="{00000000-0002-0000-0100-000000000000}">
          <x14:formula1>
            <xm:f>Lists!$A$2:$A$15</xm:f>
          </x14:formula1>
          <xm:sqref>D3:D101</xm:sqref>
        </x14:dataValidation>
        <x14:dataValidation type="list" allowBlank="1" showErrorMessage="1" errorTitle="Invalid Entry" error="Please select from the dropdown list." xr:uid="{00000000-0002-0000-0100-000002000000}">
          <x14:formula1>
            <xm:f>Lists!$K$2:$K$3</xm:f>
          </x14:formula1>
          <xm:sqref>F3:G101</xm:sqref>
        </x14:dataValidation>
        <x14:dataValidation type="list" allowBlank="1" showErrorMessage="1" errorTitle="Invalid Entry" error="Please select from the dropdown list." xr:uid="{00000000-0002-0000-0100-000004000000}">
          <x14:formula1>
            <xm:f>Lists!$J$2:$J$7</xm:f>
          </x14:formula1>
          <xm:sqref>H3:H101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1"/>
  <sheetViews>
    <sheetView zoomScaleNormal="100" workbookViewId="0"/>
  </sheetViews>
  <sheetFormatPr defaultRowHeight="15" customHeight="1" x14ac:dyDescent="0.45"/>
  <cols>
    <col min="1" max="1" width="15" customWidth="1"/>
    <col min="2" max="2" width="16.6640625" customWidth="1"/>
    <col min="3" max="3" width="21.6640625" customWidth="1"/>
    <col min="4" max="4" width="15" customWidth="1"/>
    <col min="5" max="6" width="18.33203125" customWidth="1"/>
    <col min="7" max="7" width="13.33203125" customWidth="1"/>
    <col min="8" max="8" width="21.6640625" customWidth="1"/>
    <col min="9" max="9" width="36.6640625" customWidth="1"/>
    <col min="10" max="10" width="26.6640625" customWidth="1"/>
    <col min="11" max="12" width="21.6640625" customWidth="1"/>
    <col min="13" max="13" width="16.6640625" customWidth="1"/>
    <col min="14" max="14" width="26.6640625" customWidth="1"/>
    <col min="15" max="15" width="18.33203125" customWidth="1"/>
    <col min="16" max="16" width="15" customWidth="1"/>
    <col min="17" max="17" width="33.33203125" customWidth="1"/>
  </cols>
  <sheetData>
    <row r="1" spans="1:17" ht="14.25" x14ac:dyDescent="0.45">
      <c r="A1" s="4" t="s">
        <v>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4.25" x14ac:dyDescent="0.45">
      <c r="A2" t="s">
        <v>77</v>
      </c>
      <c r="B2" t="s">
        <v>78</v>
      </c>
      <c r="C2" t="s">
        <v>32</v>
      </c>
      <c r="D2" t="s">
        <v>28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35</v>
      </c>
      <c r="N2" t="s">
        <v>87</v>
      </c>
      <c r="O2" t="s">
        <v>88</v>
      </c>
      <c r="P2" t="s">
        <v>89</v>
      </c>
      <c r="Q2" t="s">
        <v>41</v>
      </c>
    </row>
    <row r="3" spans="1:17" ht="15" customHeight="1" x14ac:dyDescent="0.5">
      <c r="A3" t="s">
        <v>90</v>
      </c>
      <c r="B3" s="1">
        <v>46031</v>
      </c>
      <c r="C3" t="s">
        <v>46</v>
      </c>
      <c r="D3" t="s">
        <v>42</v>
      </c>
      <c r="E3" t="str">
        <f>IFERROR(VLOOKUP(D3,Roster!$A$3:$N$101,2,FALSE),"")</f>
        <v>Torres</v>
      </c>
      <c r="F3" t="str">
        <f>IFERROR(VLOOKUP(D3,Roster!$A$3:$N$101,3,FALSE),"")</f>
        <v>Miguel</v>
      </c>
      <c r="G3" t="str">
        <f>IFERROR(VLOOKUP(D3,Roster!$A$3:$N$101,4,FALSE),"")</f>
        <v>9th Grade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62</v>
      </c>
      <c r="P3">
        <f>IF(D3="","",COUNTIF(D$3:D3,D3))</f>
        <v>1</v>
      </c>
    </row>
    <row r="4" spans="1:17" ht="15" customHeight="1" x14ac:dyDescent="0.5">
      <c r="A4" t="s">
        <v>98</v>
      </c>
      <c r="B4" s="1">
        <v>46045</v>
      </c>
      <c r="C4" t="s">
        <v>46</v>
      </c>
      <c r="D4" t="s">
        <v>42</v>
      </c>
      <c r="E4" t="str">
        <f>IFERROR(VLOOKUP(D4,Roster!$A$3:$N$101,2,FALSE),"")</f>
        <v>Torres</v>
      </c>
      <c r="F4" t="str">
        <f>IFERROR(VLOOKUP(D4,Roster!$A$3:$N$101,3,FALSE),"")</f>
        <v>Miguel</v>
      </c>
      <c r="G4" t="str">
        <f>IFERROR(VLOOKUP(D4,Roster!$A$3:$N$101,4,FALSE),"")</f>
        <v>9th Grade</v>
      </c>
      <c r="H4" t="s">
        <v>91</v>
      </c>
      <c r="I4" t="s">
        <v>99</v>
      </c>
      <c r="J4" t="s">
        <v>93</v>
      </c>
      <c r="K4" t="s">
        <v>94</v>
      </c>
      <c r="L4" t="s">
        <v>95</v>
      </c>
      <c r="M4" t="s">
        <v>96</v>
      </c>
      <c r="N4" t="s">
        <v>97</v>
      </c>
      <c r="O4" t="s">
        <v>62</v>
      </c>
      <c r="P4">
        <f>IF(D4="","",COUNTIF(D$3:D4,D4))</f>
        <v>2</v>
      </c>
      <c r="Q4" t="s">
        <v>100</v>
      </c>
    </row>
    <row r="5" spans="1:17" ht="15" customHeight="1" x14ac:dyDescent="0.5">
      <c r="A5" t="s">
        <v>101</v>
      </c>
      <c r="B5" s="1">
        <v>46064</v>
      </c>
      <c r="C5" t="s">
        <v>46</v>
      </c>
      <c r="D5" t="s">
        <v>42</v>
      </c>
      <c r="E5" t="str">
        <f>IFERROR(VLOOKUP(D5,Roster!$A$3:$N$101,2,FALSE),"")</f>
        <v>Torres</v>
      </c>
      <c r="F5" t="str">
        <f>IFERROR(VLOOKUP(D5,Roster!$A$3:$N$101,3,FALSE),"")</f>
        <v>Miguel</v>
      </c>
      <c r="G5" t="str">
        <f>IFERROR(VLOOKUP(D5,Roster!$A$3:$N$101,4,FALSE),"")</f>
        <v>9th Grade</v>
      </c>
      <c r="H5" t="s">
        <v>102</v>
      </c>
      <c r="I5" t="s">
        <v>103</v>
      </c>
      <c r="J5" t="s">
        <v>104</v>
      </c>
      <c r="K5" t="s">
        <v>94</v>
      </c>
      <c r="L5" t="s">
        <v>95</v>
      </c>
      <c r="M5" t="s">
        <v>96</v>
      </c>
      <c r="N5" t="s">
        <v>97</v>
      </c>
      <c r="O5" t="s">
        <v>62</v>
      </c>
      <c r="P5">
        <f>IF(D5="","",COUNTIF(D$3:D5,D5))</f>
        <v>3</v>
      </c>
      <c r="Q5" t="s">
        <v>105</v>
      </c>
    </row>
    <row r="6" spans="1:17" ht="15" customHeight="1" x14ac:dyDescent="0.5">
      <c r="A6" t="s">
        <v>106</v>
      </c>
      <c r="B6" s="1">
        <v>46038</v>
      </c>
      <c r="C6" t="s">
        <v>55</v>
      </c>
      <c r="D6" t="s">
        <v>51</v>
      </c>
      <c r="E6" t="str">
        <f>IFERROR(VLOOKUP(D6,Roster!$A$3:$N$101,2,FALSE),"")</f>
        <v>Chen</v>
      </c>
      <c r="F6" t="str">
        <f>IFERROR(VLOOKUP(D6,Roster!$A$3:$N$101,3,FALSE),"")</f>
        <v>Amy</v>
      </c>
      <c r="G6" t="str">
        <f>IFERROR(VLOOKUP(D6,Roster!$A$3:$N$101,4,FALSE),"")</f>
        <v>7th Grade</v>
      </c>
      <c r="H6" t="s">
        <v>102</v>
      </c>
      <c r="I6" t="s">
        <v>107</v>
      </c>
      <c r="J6" t="s">
        <v>108</v>
      </c>
      <c r="K6" t="s">
        <v>94</v>
      </c>
      <c r="L6" t="s">
        <v>109</v>
      </c>
      <c r="M6" t="s">
        <v>110</v>
      </c>
      <c r="N6" t="s">
        <v>111</v>
      </c>
      <c r="O6" t="s">
        <v>47</v>
      </c>
      <c r="P6">
        <f>IF(D6="","",COUNTIF(D$3:D6,D6))</f>
        <v>1</v>
      </c>
      <c r="Q6" t="s">
        <v>112</v>
      </c>
    </row>
    <row r="7" spans="1:17" ht="15" customHeight="1" x14ac:dyDescent="0.5">
      <c r="A7" t="s">
        <v>113</v>
      </c>
      <c r="B7" s="1">
        <v>46059</v>
      </c>
      <c r="C7" t="s">
        <v>55</v>
      </c>
      <c r="D7" t="s">
        <v>51</v>
      </c>
      <c r="E7" t="str">
        <f>IFERROR(VLOOKUP(D7,Roster!$A$3:$N$101,2,FALSE),"")</f>
        <v>Chen</v>
      </c>
      <c r="F7" t="str">
        <f>IFERROR(VLOOKUP(D7,Roster!$A$3:$N$101,3,FALSE),"")</f>
        <v>Amy</v>
      </c>
      <c r="G7" t="str">
        <f>IFERROR(VLOOKUP(D7,Roster!$A$3:$N$101,4,FALSE),"")</f>
        <v>7th Grade</v>
      </c>
      <c r="H7" t="s">
        <v>114</v>
      </c>
      <c r="I7" t="s">
        <v>115</v>
      </c>
      <c r="J7" t="s">
        <v>116</v>
      </c>
      <c r="K7" t="s">
        <v>109</v>
      </c>
      <c r="L7" t="s">
        <v>109</v>
      </c>
      <c r="M7" t="s">
        <v>117</v>
      </c>
      <c r="N7" t="s">
        <v>111</v>
      </c>
      <c r="O7" t="s">
        <v>47</v>
      </c>
      <c r="P7">
        <f>IF(D7="","",COUNTIF(D$3:D7,D7))</f>
        <v>2</v>
      </c>
    </row>
    <row r="8" spans="1:17" ht="15" customHeight="1" x14ac:dyDescent="0.5">
      <c r="A8" t="s">
        <v>118</v>
      </c>
      <c r="B8" s="1">
        <v>46033</v>
      </c>
      <c r="C8" t="s">
        <v>46</v>
      </c>
      <c r="D8" t="s">
        <v>58</v>
      </c>
      <c r="E8" t="str">
        <f>IFERROR(VLOOKUP(D8,Roster!$A$3:$N$101,2,FALSE),"")</f>
        <v>Jackson</v>
      </c>
      <c r="F8" t="str">
        <f>IFERROR(VLOOKUP(D8,Roster!$A$3:$N$101,3,FALSE),"")</f>
        <v>DeShawn</v>
      </c>
      <c r="G8" t="str">
        <f>IFERROR(VLOOKUP(D8,Roster!$A$3:$N$101,4,FALSE),"")</f>
        <v>10th Grade</v>
      </c>
      <c r="H8" t="s">
        <v>102</v>
      </c>
      <c r="I8" t="s">
        <v>119</v>
      </c>
      <c r="J8" t="s">
        <v>108</v>
      </c>
      <c r="K8" t="s">
        <v>94</v>
      </c>
      <c r="L8" t="s">
        <v>120</v>
      </c>
      <c r="M8" t="s">
        <v>96</v>
      </c>
      <c r="N8" t="s">
        <v>111</v>
      </c>
      <c r="O8" t="s">
        <v>47</v>
      </c>
      <c r="P8">
        <f>IF(D8="","",COUNTIF(D$3:D8,D8))</f>
        <v>1</v>
      </c>
      <c r="Q8" t="s">
        <v>121</v>
      </c>
    </row>
    <row r="9" spans="1:17" ht="15" customHeight="1" x14ac:dyDescent="0.5">
      <c r="A9" t="s">
        <v>122</v>
      </c>
      <c r="B9" s="1">
        <v>46083</v>
      </c>
      <c r="C9" t="s">
        <v>68</v>
      </c>
      <c r="D9" t="s">
        <v>64</v>
      </c>
      <c r="E9" t="str">
        <f>IFERROR(VLOOKUP(D9,Roster!$A$3:$N$101,2,FALSE),"")</f>
        <v>Martinez</v>
      </c>
      <c r="F9" t="str">
        <f>IFERROR(VLOOKUP(D9,Roster!$A$3:$N$101,3,FALSE),"")</f>
        <v>Sofia</v>
      </c>
      <c r="G9" t="str">
        <f>IFERROR(VLOOKUP(D9,Roster!$A$3:$N$101,4,FALSE),"")</f>
        <v>6th Grade</v>
      </c>
      <c r="H9" t="s">
        <v>123</v>
      </c>
      <c r="I9" t="s">
        <v>124</v>
      </c>
      <c r="J9" t="s">
        <v>125</v>
      </c>
      <c r="K9" t="s">
        <v>94</v>
      </c>
      <c r="L9" t="s">
        <v>109</v>
      </c>
      <c r="M9" t="s">
        <v>117</v>
      </c>
      <c r="N9" t="s">
        <v>126</v>
      </c>
      <c r="O9" t="s">
        <v>47</v>
      </c>
      <c r="P9">
        <f>IF(D9="","",COUNTIF(D$3:D9,D9))</f>
        <v>1</v>
      </c>
      <c r="Q9" t="s">
        <v>127</v>
      </c>
    </row>
    <row r="10" spans="1:17" x14ac:dyDescent="0.45">
      <c r="E10" t="str">
        <f>IFERROR(VLOOKUP(D10,Roster!$A$3:$N$101,2,FALSE),"")</f>
        <v/>
      </c>
      <c r="F10" t="str">
        <f>IFERROR(VLOOKUP(D10,Roster!$A$3:$N$101,3,FALSE),"")</f>
        <v/>
      </c>
      <c r="G10" t="str">
        <f>IFERROR(VLOOKUP(D10,Roster!$A$3:$N$101,4,FALSE),"")</f>
        <v/>
      </c>
      <c r="P10" t="str">
        <f>IF(D10="","",COUNTIF(D$3:D10,D10))</f>
        <v/>
      </c>
    </row>
    <row r="11" spans="1:17" x14ac:dyDescent="0.45">
      <c r="E11" t="str">
        <f>IFERROR(VLOOKUP(D11,Roster!$A$3:$N$101,2,FALSE),"")</f>
        <v/>
      </c>
      <c r="F11" t="str">
        <f>IFERROR(VLOOKUP(D11,Roster!$A$3:$N$101,3,FALSE),"")</f>
        <v/>
      </c>
      <c r="G11" t="str">
        <f>IFERROR(VLOOKUP(D11,Roster!$A$3:$N$101,4,FALSE),"")</f>
        <v/>
      </c>
      <c r="P11" t="str">
        <f>IF(D11="","",COUNTIF(D$3:D11,D11))</f>
        <v/>
      </c>
    </row>
    <row r="12" spans="1:17" x14ac:dyDescent="0.45">
      <c r="E12" t="str">
        <f>IFERROR(VLOOKUP(D12,Roster!$A$3:$N$101,2,FALSE),"")</f>
        <v/>
      </c>
      <c r="F12" t="str">
        <f>IFERROR(VLOOKUP(D12,Roster!$A$3:$N$101,3,FALSE),"")</f>
        <v/>
      </c>
      <c r="G12" t="str">
        <f>IFERROR(VLOOKUP(D12,Roster!$A$3:$N$101,4,FALSE),"")</f>
        <v/>
      </c>
      <c r="P12" t="str">
        <f>IF(D12="","",COUNTIF(D$3:D12,D12))</f>
        <v/>
      </c>
    </row>
    <row r="13" spans="1:17" x14ac:dyDescent="0.45">
      <c r="E13" t="str">
        <f>IFERROR(VLOOKUP(D13,Roster!$A$3:$N$101,2,FALSE),"")</f>
        <v/>
      </c>
      <c r="F13" t="str">
        <f>IFERROR(VLOOKUP(D13,Roster!$A$3:$N$101,3,FALSE),"")</f>
        <v/>
      </c>
      <c r="G13" t="str">
        <f>IFERROR(VLOOKUP(D13,Roster!$A$3:$N$101,4,FALSE),"")</f>
        <v/>
      </c>
      <c r="P13" t="str">
        <f>IF(D13="","",COUNTIF(D$3:D13,D13))</f>
        <v/>
      </c>
    </row>
    <row r="14" spans="1:17" x14ac:dyDescent="0.45">
      <c r="E14" t="str">
        <f>IFERROR(VLOOKUP(D14,Roster!$A$3:$N$101,2,FALSE),"")</f>
        <v/>
      </c>
      <c r="F14" t="str">
        <f>IFERROR(VLOOKUP(D14,Roster!$A$3:$N$101,3,FALSE),"")</f>
        <v/>
      </c>
      <c r="G14" t="str">
        <f>IFERROR(VLOOKUP(D14,Roster!$A$3:$N$101,4,FALSE),"")</f>
        <v/>
      </c>
      <c r="P14" t="str">
        <f>IF(D14="","",COUNTIF(D$3:D14,D14))</f>
        <v/>
      </c>
    </row>
    <row r="15" spans="1:17" x14ac:dyDescent="0.45">
      <c r="E15" t="str">
        <f>IFERROR(VLOOKUP(D15,Roster!$A$3:$N$101,2,FALSE),"")</f>
        <v/>
      </c>
      <c r="F15" t="str">
        <f>IFERROR(VLOOKUP(D15,Roster!$A$3:$N$101,3,FALSE),"")</f>
        <v/>
      </c>
      <c r="G15" t="str">
        <f>IFERROR(VLOOKUP(D15,Roster!$A$3:$N$101,4,FALSE),"")</f>
        <v/>
      </c>
      <c r="P15" t="str">
        <f>IF(D15="","",COUNTIF(D$3:D15,D15))</f>
        <v/>
      </c>
    </row>
    <row r="16" spans="1:17" x14ac:dyDescent="0.45">
      <c r="E16" t="str">
        <f>IFERROR(VLOOKUP(D16,Roster!$A$3:$N$101,2,FALSE),"")</f>
        <v/>
      </c>
      <c r="F16" t="str">
        <f>IFERROR(VLOOKUP(D16,Roster!$A$3:$N$101,3,FALSE),"")</f>
        <v/>
      </c>
      <c r="G16" t="str">
        <f>IFERROR(VLOOKUP(D16,Roster!$A$3:$N$101,4,FALSE),"")</f>
        <v/>
      </c>
      <c r="P16" t="str">
        <f>IF(D16="","",COUNTIF(D$3:D16,D16))</f>
        <v/>
      </c>
    </row>
    <row r="17" spans="5:16" x14ac:dyDescent="0.45">
      <c r="E17" t="str">
        <f>IFERROR(VLOOKUP(D17,Roster!$A$3:$N$101,2,FALSE),"")</f>
        <v/>
      </c>
      <c r="F17" t="str">
        <f>IFERROR(VLOOKUP(D17,Roster!$A$3:$N$101,3,FALSE),"")</f>
        <v/>
      </c>
      <c r="G17" t="str">
        <f>IFERROR(VLOOKUP(D17,Roster!$A$3:$N$101,4,FALSE),"")</f>
        <v/>
      </c>
      <c r="P17" t="str">
        <f>IF(D17="","",COUNTIF(D$3:D17,D17))</f>
        <v/>
      </c>
    </row>
    <row r="18" spans="5:16" x14ac:dyDescent="0.45">
      <c r="E18" t="str">
        <f>IFERROR(VLOOKUP(D18,Roster!$A$3:$N$101,2,FALSE),"")</f>
        <v/>
      </c>
      <c r="F18" t="str">
        <f>IFERROR(VLOOKUP(D18,Roster!$A$3:$N$101,3,FALSE),"")</f>
        <v/>
      </c>
      <c r="G18" t="str">
        <f>IFERROR(VLOOKUP(D18,Roster!$A$3:$N$101,4,FALSE),"")</f>
        <v/>
      </c>
      <c r="P18" t="str">
        <f>IF(D18="","",COUNTIF(D$3:D18,D18))</f>
        <v/>
      </c>
    </row>
    <row r="19" spans="5:16" x14ac:dyDescent="0.45">
      <c r="E19" t="str">
        <f>IFERROR(VLOOKUP(D19,Roster!$A$3:$N$101,2,FALSE),"")</f>
        <v/>
      </c>
      <c r="F19" t="str">
        <f>IFERROR(VLOOKUP(D19,Roster!$A$3:$N$101,3,FALSE),"")</f>
        <v/>
      </c>
      <c r="G19" t="str">
        <f>IFERROR(VLOOKUP(D19,Roster!$A$3:$N$101,4,FALSE),"")</f>
        <v/>
      </c>
      <c r="P19" t="str">
        <f>IF(D19="","",COUNTIF(D$3:D19,D19))</f>
        <v/>
      </c>
    </row>
    <row r="20" spans="5:16" x14ac:dyDescent="0.45">
      <c r="E20" t="str">
        <f>IFERROR(VLOOKUP(D20,Roster!$A$3:$N$101,2,FALSE),"")</f>
        <v/>
      </c>
      <c r="F20" t="str">
        <f>IFERROR(VLOOKUP(D20,Roster!$A$3:$N$101,3,FALSE),"")</f>
        <v/>
      </c>
      <c r="G20" t="str">
        <f>IFERROR(VLOOKUP(D20,Roster!$A$3:$N$101,4,FALSE),"")</f>
        <v/>
      </c>
      <c r="P20" t="str">
        <f>IF(D20="","",COUNTIF(D$3:D20,D20))</f>
        <v/>
      </c>
    </row>
    <row r="21" spans="5:16" x14ac:dyDescent="0.45">
      <c r="E21" t="str">
        <f>IFERROR(VLOOKUP(D21,Roster!$A$3:$N$101,2,FALSE),"")</f>
        <v/>
      </c>
      <c r="F21" t="str">
        <f>IFERROR(VLOOKUP(D21,Roster!$A$3:$N$101,3,FALSE),"")</f>
        <v/>
      </c>
      <c r="G21" t="str">
        <f>IFERROR(VLOOKUP(D21,Roster!$A$3:$N$101,4,FALSE),"")</f>
        <v/>
      </c>
      <c r="P21" t="str">
        <f>IF(D21="","",COUNTIF(D$3:D21,D21))</f>
        <v/>
      </c>
    </row>
    <row r="22" spans="5:16" x14ac:dyDescent="0.45">
      <c r="E22" t="str">
        <f>IFERROR(VLOOKUP(D22,Roster!$A$3:$N$101,2,FALSE),"")</f>
        <v/>
      </c>
      <c r="F22" t="str">
        <f>IFERROR(VLOOKUP(D22,Roster!$A$3:$N$101,3,FALSE),"")</f>
        <v/>
      </c>
      <c r="G22" t="str">
        <f>IFERROR(VLOOKUP(D22,Roster!$A$3:$N$101,4,FALSE),"")</f>
        <v/>
      </c>
      <c r="P22" t="str">
        <f>IF(D22="","",COUNTIF(D$3:D22,D22))</f>
        <v/>
      </c>
    </row>
    <row r="23" spans="5:16" x14ac:dyDescent="0.45">
      <c r="E23" t="str">
        <f>IFERROR(VLOOKUP(D23,Roster!$A$3:$N$101,2,FALSE),"")</f>
        <v/>
      </c>
      <c r="F23" t="str">
        <f>IFERROR(VLOOKUP(D23,Roster!$A$3:$N$101,3,FALSE),"")</f>
        <v/>
      </c>
      <c r="G23" t="str">
        <f>IFERROR(VLOOKUP(D23,Roster!$A$3:$N$101,4,FALSE),"")</f>
        <v/>
      </c>
      <c r="P23" t="str">
        <f>IF(D23="","",COUNTIF(D$3:D23,D23))</f>
        <v/>
      </c>
    </row>
    <row r="24" spans="5:16" x14ac:dyDescent="0.45">
      <c r="E24" t="str">
        <f>IFERROR(VLOOKUP(D24,Roster!$A$3:$N$101,2,FALSE),"")</f>
        <v/>
      </c>
      <c r="F24" t="str">
        <f>IFERROR(VLOOKUP(D24,Roster!$A$3:$N$101,3,FALSE),"")</f>
        <v/>
      </c>
      <c r="G24" t="str">
        <f>IFERROR(VLOOKUP(D24,Roster!$A$3:$N$101,4,FALSE),"")</f>
        <v/>
      </c>
      <c r="P24" t="str">
        <f>IF(D24="","",COUNTIF(D$3:D24,D24))</f>
        <v/>
      </c>
    </row>
    <row r="25" spans="5:16" x14ac:dyDescent="0.45">
      <c r="E25" t="str">
        <f>IFERROR(VLOOKUP(D25,Roster!$A$3:$N$101,2,FALSE),"")</f>
        <v/>
      </c>
      <c r="F25" t="str">
        <f>IFERROR(VLOOKUP(D25,Roster!$A$3:$N$101,3,FALSE),"")</f>
        <v/>
      </c>
      <c r="G25" t="str">
        <f>IFERROR(VLOOKUP(D25,Roster!$A$3:$N$101,4,FALSE),"")</f>
        <v/>
      </c>
      <c r="P25" t="str">
        <f>IF(D25="","",COUNTIF(D$3:D25,D25))</f>
        <v/>
      </c>
    </row>
    <row r="26" spans="5:16" x14ac:dyDescent="0.45">
      <c r="E26" t="str">
        <f>IFERROR(VLOOKUP(D26,Roster!$A$3:$N$101,2,FALSE),"")</f>
        <v/>
      </c>
      <c r="F26" t="str">
        <f>IFERROR(VLOOKUP(D26,Roster!$A$3:$N$101,3,FALSE),"")</f>
        <v/>
      </c>
      <c r="G26" t="str">
        <f>IFERROR(VLOOKUP(D26,Roster!$A$3:$N$101,4,FALSE),"")</f>
        <v/>
      </c>
      <c r="P26" t="str">
        <f>IF(D26="","",COUNTIF(D$3:D26,D26))</f>
        <v/>
      </c>
    </row>
    <row r="27" spans="5:16" x14ac:dyDescent="0.45">
      <c r="E27" t="str">
        <f>IFERROR(VLOOKUP(D27,Roster!$A$3:$N$101,2,FALSE),"")</f>
        <v/>
      </c>
      <c r="F27" t="str">
        <f>IFERROR(VLOOKUP(D27,Roster!$A$3:$N$101,3,FALSE),"")</f>
        <v/>
      </c>
      <c r="G27" t="str">
        <f>IFERROR(VLOOKUP(D27,Roster!$A$3:$N$101,4,FALSE),"")</f>
        <v/>
      </c>
      <c r="P27" t="str">
        <f>IF(D27="","",COUNTIF(D$3:D27,D27))</f>
        <v/>
      </c>
    </row>
    <row r="28" spans="5:16" x14ac:dyDescent="0.45">
      <c r="E28" t="str">
        <f>IFERROR(VLOOKUP(D28,Roster!$A$3:$N$101,2,FALSE),"")</f>
        <v/>
      </c>
      <c r="F28" t="str">
        <f>IFERROR(VLOOKUP(D28,Roster!$A$3:$N$101,3,FALSE),"")</f>
        <v/>
      </c>
      <c r="G28" t="str">
        <f>IFERROR(VLOOKUP(D28,Roster!$A$3:$N$101,4,FALSE),"")</f>
        <v/>
      </c>
      <c r="P28" t="str">
        <f>IF(D28="","",COUNTIF(D$3:D28,D28))</f>
        <v/>
      </c>
    </row>
    <row r="29" spans="5:16" ht="14.25" x14ac:dyDescent="0.45">
      <c r="E29" t="str">
        <f>IFERROR(VLOOKUP(D29,Roster!$A$3:$N$101,2,FALSE),"")</f>
        <v/>
      </c>
      <c r="F29" t="str">
        <f>IFERROR(VLOOKUP(D29,Roster!$A$3:$N$101,3,FALSE),"")</f>
        <v/>
      </c>
      <c r="G29" t="str">
        <f>IFERROR(VLOOKUP(D29,Roster!$A$3:$N$101,4,FALSE),"")</f>
        <v/>
      </c>
      <c r="P29" t="str">
        <f>IF(D29="","",COUNTIF(D$3:D29,D29))</f>
        <v/>
      </c>
    </row>
    <row r="30" spans="5:16" ht="14.25" x14ac:dyDescent="0.45">
      <c r="E30" t="str">
        <f>IFERROR(VLOOKUP(D30,Roster!$A$3:$N$101,2,FALSE),"")</f>
        <v/>
      </c>
      <c r="F30" t="str">
        <f>IFERROR(VLOOKUP(D30,Roster!$A$3:$N$101,3,FALSE),"")</f>
        <v/>
      </c>
      <c r="G30" t="str">
        <f>IFERROR(VLOOKUP(D30,Roster!$A$3:$N$101,4,FALSE),"")</f>
        <v/>
      </c>
      <c r="P30" t="str">
        <f>IF(D30="","",COUNTIF(D$3:D30,D30))</f>
        <v/>
      </c>
    </row>
    <row r="31" spans="5:16" ht="14.25" x14ac:dyDescent="0.45">
      <c r="E31" t="str">
        <f>IFERROR(VLOOKUP(D31,Roster!$A$3:$N$101,2,FALSE),"")</f>
        <v/>
      </c>
      <c r="F31" t="str">
        <f>IFERROR(VLOOKUP(D31,Roster!$A$3:$N$101,3,FALSE),"")</f>
        <v/>
      </c>
      <c r="G31" t="str">
        <f>IFERROR(VLOOKUP(D31,Roster!$A$3:$N$101,4,FALSE),"")</f>
        <v/>
      </c>
      <c r="P31" t="str">
        <f>IF(D31="","",COUNTIF(D$3:D31,D31))</f>
        <v/>
      </c>
    </row>
    <row r="32" spans="5:16" ht="14.25" x14ac:dyDescent="0.45">
      <c r="E32" t="str">
        <f>IFERROR(VLOOKUP(D32,Roster!$A$3:$N$101,2,FALSE),"")</f>
        <v/>
      </c>
      <c r="F32" t="str">
        <f>IFERROR(VLOOKUP(D32,Roster!$A$3:$N$101,3,FALSE),"")</f>
        <v/>
      </c>
      <c r="G32" t="str">
        <f>IFERROR(VLOOKUP(D32,Roster!$A$3:$N$101,4,FALSE),"")</f>
        <v/>
      </c>
      <c r="P32" t="str">
        <f>IF(D32="","",COUNTIF(D$3:D32,D32))</f>
        <v/>
      </c>
    </row>
    <row r="33" spans="5:16" ht="14.25" x14ac:dyDescent="0.45">
      <c r="E33" t="str">
        <f>IFERROR(VLOOKUP(D33,Roster!$A$3:$N$101,2,FALSE),"")</f>
        <v/>
      </c>
      <c r="F33" t="str">
        <f>IFERROR(VLOOKUP(D33,Roster!$A$3:$N$101,3,FALSE),"")</f>
        <v/>
      </c>
      <c r="G33" t="str">
        <f>IFERROR(VLOOKUP(D33,Roster!$A$3:$N$101,4,FALSE),"")</f>
        <v/>
      </c>
      <c r="P33" t="str">
        <f>IF(D33="","",COUNTIF(D$3:D33,D33))</f>
        <v/>
      </c>
    </row>
    <row r="34" spans="5:16" ht="14.25" x14ac:dyDescent="0.45">
      <c r="E34" t="str">
        <f>IFERROR(VLOOKUP(D34,Roster!$A$3:$N$101,2,FALSE),"")</f>
        <v/>
      </c>
      <c r="F34" t="str">
        <f>IFERROR(VLOOKUP(D34,Roster!$A$3:$N$101,3,FALSE),"")</f>
        <v/>
      </c>
      <c r="G34" t="str">
        <f>IFERROR(VLOOKUP(D34,Roster!$A$3:$N$101,4,FALSE),"")</f>
        <v/>
      </c>
      <c r="P34" t="str">
        <f>IF(D34="","",COUNTIF(D$3:D34,D34))</f>
        <v/>
      </c>
    </row>
    <row r="35" spans="5:16" ht="14.25" x14ac:dyDescent="0.45">
      <c r="E35" t="str">
        <f>IFERROR(VLOOKUP(D35,Roster!$A$3:$N$101,2,FALSE),"")</f>
        <v/>
      </c>
      <c r="F35" t="str">
        <f>IFERROR(VLOOKUP(D35,Roster!$A$3:$N$101,3,FALSE),"")</f>
        <v/>
      </c>
      <c r="G35" t="str">
        <f>IFERROR(VLOOKUP(D35,Roster!$A$3:$N$101,4,FALSE),"")</f>
        <v/>
      </c>
      <c r="P35" t="str">
        <f>IF(D35="","",COUNTIF(D$3:D35,D35))</f>
        <v/>
      </c>
    </row>
    <row r="36" spans="5:16" ht="14.25" x14ac:dyDescent="0.45">
      <c r="E36" t="str">
        <f>IFERROR(VLOOKUP(D36,Roster!$A$3:$N$101,2,FALSE),"")</f>
        <v/>
      </c>
      <c r="F36" t="str">
        <f>IFERROR(VLOOKUP(D36,Roster!$A$3:$N$101,3,FALSE),"")</f>
        <v/>
      </c>
      <c r="G36" t="str">
        <f>IFERROR(VLOOKUP(D36,Roster!$A$3:$N$101,4,FALSE),"")</f>
        <v/>
      </c>
      <c r="P36" t="str">
        <f>IF(D36="","",COUNTIF(D$3:D36,D36))</f>
        <v/>
      </c>
    </row>
    <row r="37" spans="5:16" ht="14.25" x14ac:dyDescent="0.45">
      <c r="E37" t="str">
        <f>IFERROR(VLOOKUP(D37,Roster!$A$3:$N$101,2,FALSE),"")</f>
        <v/>
      </c>
      <c r="F37" t="str">
        <f>IFERROR(VLOOKUP(D37,Roster!$A$3:$N$101,3,FALSE),"")</f>
        <v/>
      </c>
      <c r="G37" t="str">
        <f>IFERROR(VLOOKUP(D37,Roster!$A$3:$N$101,4,FALSE),"")</f>
        <v/>
      </c>
      <c r="P37" t="str">
        <f>IF(D37="","",COUNTIF(D$3:D37,D37))</f>
        <v/>
      </c>
    </row>
    <row r="38" spans="5:16" ht="14.25" x14ac:dyDescent="0.45">
      <c r="E38" t="str">
        <f>IFERROR(VLOOKUP(D38,Roster!$A$3:$N$101,2,FALSE),"")</f>
        <v/>
      </c>
      <c r="F38" t="str">
        <f>IFERROR(VLOOKUP(D38,Roster!$A$3:$N$101,3,FALSE),"")</f>
        <v/>
      </c>
      <c r="G38" t="str">
        <f>IFERROR(VLOOKUP(D38,Roster!$A$3:$N$101,4,FALSE),"")</f>
        <v/>
      </c>
      <c r="P38" t="str">
        <f>IF(D38="","",COUNTIF(D$3:D38,D38))</f>
        <v/>
      </c>
    </row>
    <row r="39" spans="5:16" ht="14.25" x14ac:dyDescent="0.45">
      <c r="E39" t="str">
        <f>IFERROR(VLOOKUP(D39,Roster!$A$3:$N$101,2,FALSE),"")</f>
        <v/>
      </c>
      <c r="F39" t="str">
        <f>IFERROR(VLOOKUP(D39,Roster!$A$3:$N$101,3,FALSE),"")</f>
        <v/>
      </c>
      <c r="G39" t="str">
        <f>IFERROR(VLOOKUP(D39,Roster!$A$3:$N$101,4,FALSE),"")</f>
        <v/>
      </c>
      <c r="P39" t="str">
        <f>IF(D39="","",COUNTIF(D$3:D39,D39))</f>
        <v/>
      </c>
    </row>
    <row r="40" spans="5:16" ht="14.25" x14ac:dyDescent="0.45">
      <c r="E40" t="str">
        <f>IFERROR(VLOOKUP(D40,Roster!$A$3:$N$101,2,FALSE),"")</f>
        <v/>
      </c>
      <c r="F40" t="str">
        <f>IFERROR(VLOOKUP(D40,Roster!$A$3:$N$101,3,FALSE),"")</f>
        <v/>
      </c>
      <c r="G40" t="str">
        <f>IFERROR(VLOOKUP(D40,Roster!$A$3:$N$101,4,FALSE),"")</f>
        <v/>
      </c>
      <c r="P40" t="str">
        <f>IF(D40="","",COUNTIF(D$3:D40,D40))</f>
        <v/>
      </c>
    </row>
    <row r="41" spans="5:16" ht="14.25" x14ac:dyDescent="0.45">
      <c r="E41" t="str">
        <f>IFERROR(VLOOKUP(D41,Roster!$A$3:$N$101,2,FALSE),"")</f>
        <v/>
      </c>
      <c r="F41" t="str">
        <f>IFERROR(VLOOKUP(D41,Roster!$A$3:$N$101,3,FALSE),"")</f>
        <v/>
      </c>
      <c r="G41" t="str">
        <f>IFERROR(VLOOKUP(D41,Roster!$A$3:$N$101,4,FALSE),"")</f>
        <v/>
      </c>
      <c r="P41" t="str">
        <f>IF(D41="","",COUNTIF(D$3:D41,D41))</f>
        <v/>
      </c>
    </row>
    <row r="42" spans="5:16" ht="14.25" x14ac:dyDescent="0.45">
      <c r="E42" t="str">
        <f>IFERROR(VLOOKUP(D42,Roster!$A$3:$N$101,2,FALSE),"")</f>
        <v/>
      </c>
      <c r="F42" t="str">
        <f>IFERROR(VLOOKUP(D42,Roster!$A$3:$N$101,3,FALSE),"")</f>
        <v/>
      </c>
      <c r="G42" t="str">
        <f>IFERROR(VLOOKUP(D42,Roster!$A$3:$N$101,4,FALSE),"")</f>
        <v/>
      </c>
      <c r="P42" t="str">
        <f>IF(D42="","",COUNTIF(D$3:D42,D42))</f>
        <v/>
      </c>
    </row>
    <row r="43" spans="5:16" ht="14.25" x14ac:dyDescent="0.45">
      <c r="E43" t="str">
        <f>IFERROR(VLOOKUP(D43,Roster!$A$3:$N$101,2,FALSE),"")</f>
        <v/>
      </c>
      <c r="F43" t="str">
        <f>IFERROR(VLOOKUP(D43,Roster!$A$3:$N$101,3,FALSE),"")</f>
        <v/>
      </c>
      <c r="G43" t="str">
        <f>IFERROR(VLOOKUP(D43,Roster!$A$3:$N$101,4,FALSE),"")</f>
        <v/>
      </c>
      <c r="P43" t="str">
        <f>IF(D43="","",COUNTIF(D$3:D43,D43))</f>
        <v/>
      </c>
    </row>
    <row r="44" spans="5:16" ht="14.25" x14ac:dyDescent="0.45">
      <c r="E44" t="str">
        <f>IFERROR(VLOOKUP(D44,Roster!$A$3:$N$101,2,FALSE),"")</f>
        <v/>
      </c>
      <c r="F44" t="str">
        <f>IFERROR(VLOOKUP(D44,Roster!$A$3:$N$101,3,FALSE),"")</f>
        <v/>
      </c>
      <c r="G44" t="str">
        <f>IFERROR(VLOOKUP(D44,Roster!$A$3:$N$101,4,FALSE),"")</f>
        <v/>
      </c>
      <c r="P44" t="str">
        <f>IF(D44="","",COUNTIF(D$3:D44,D44))</f>
        <v/>
      </c>
    </row>
    <row r="45" spans="5:16" ht="14.25" x14ac:dyDescent="0.45">
      <c r="E45" t="str">
        <f>IFERROR(VLOOKUP(D45,Roster!$A$3:$N$101,2,FALSE),"")</f>
        <v/>
      </c>
      <c r="F45" t="str">
        <f>IFERROR(VLOOKUP(D45,Roster!$A$3:$N$101,3,FALSE),"")</f>
        <v/>
      </c>
      <c r="G45" t="str">
        <f>IFERROR(VLOOKUP(D45,Roster!$A$3:$N$101,4,FALSE),"")</f>
        <v/>
      </c>
      <c r="P45" t="str">
        <f>IF(D45="","",COUNTIF(D$3:D45,D45))</f>
        <v/>
      </c>
    </row>
    <row r="46" spans="5:16" ht="14.25" x14ac:dyDescent="0.45">
      <c r="E46" t="str">
        <f>IFERROR(VLOOKUP(D46,Roster!$A$3:$N$101,2,FALSE),"")</f>
        <v/>
      </c>
      <c r="F46" t="str">
        <f>IFERROR(VLOOKUP(D46,Roster!$A$3:$N$101,3,FALSE),"")</f>
        <v/>
      </c>
      <c r="G46" t="str">
        <f>IFERROR(VLOOKUP(D46,Roster!$A$3:$N$101,4,FALSE),"")</f>
        <v/>
      </c>
      <c r="P46" t="str">
        <f>IF(D46="","",COUNTIF(D$3:D46,D46))</f>
        <v/>
      </c>
    </row>
    <row r="47" spans="5:16" ht="14.25" x14ac:dyDescent="0.45">
      <c r="E47" t="str">
        <f>IFERROR(VLOOKUP(D47,Roster!$A$3:$N$101,2,FALSE),"")</f>
        <v/>
      </c>
      <c r="F47" t="str">
        <f>IFERROR(VLOOKUP(D47,Roster!$A$3:$N$101,3,FALSE),"")</f>
        <v/>
      </c>
      <c r="G47" t="str">
        <f>IFERROR(VLOOKUP(D47,Roster!$A$3:$N$101,4,FALSE),"")</f>
        <v/>
      </c>
      <c r="P47" t="str">
        <f>IF(D47="","",COUNTIF(D$3:D47,D47))</f>
        <v/>
      </c>
    </row>
    <row r="48" spans="5:16" ht="14.25" x14ac:dyDescent="0.45">
      <c r="E48" t="str">
        <f>IFERROR(VLOOKUP(D48,Roster!$A$3:$N$101,2,FALSE),"")</f>
        <v/>
      </c>
      <c r="F48" t="str">
        <f>IFERROR(VLOOKUP(D48,Roster!$A$3:$N$101,3,FALSE),"")</f>
        <v/>
      </c>
      <c r="G48" t="str">
        <f>IFERROR(VLOOKUP(D48,Roster!$A$3:$N$101,4,FALSE),"")</f>
        <v/>
      </c>
      <c r="P48" t="str">
        <f>IF(D48="","",COUNTIF(D$3:D48,D48))</f>
        <v/>
      </c>
    </row>
    <row r="49" spans="5:16" ht="14.25" x14ac:dyDescent="0.45">
      <c r="E49" t="str">
        <f>IFERROR(VLOOKUP(D49,Roster!$A$3:$N$101,2,FALSE),"")</f>
        <v/>
      </c>
      <c r="F49" t="str">
        <f>IFERROR(VLOOKUP(D49,Roster!$A$3:$N$101,3,FALSE),"")</f>
        <v/>
      </c>
      <c r="G49" t="str">
        <f>IFERROR(VLOOKUP(D49,Roster!$A$3:$N$101,4,FALSE),"")</f>
        <v/>
      </c>
      <c r="P49" t="str">
        <f>IF(D49="","",COUNTIF(D$3:D49,D49))</f>
        <v/>
      </c>
    </row>
    <row r="50" spans="5:16" ht="14.25" x14ac:dyDescent="0.45">
      <c r="E50" t="str">
        <f>IFERROR(VLOOKUP(D50,Roster!$A$3:$N$101,2,FALSE),"")</f>
        <v/>
      </c>
      <c r="F50" t="str">
        <f>IFERROR(VLOOKUP(D50,Roster!$A$3:$N$101,3,FALSE),"")</f>
        <v/>
      </c>
      <c r="G50" t="str">
        <f>IFERROR(VLOOKUP(D50,Roster!$A$3:$N$101,4,FALSE),"")</f>
        <v/>
      </c>
      <c r="P50" t="str">
        <f>IF(D50="","",COUNTIF(D$3:D50,D50))</f>
        <v/>
      </c>
    </row>
    <row r="51" spans="5:16" ht="14.25" x14ac:dyDescent="0.45">
      <c r="E51" t="str">
        <f>IFERROR(VLOOKUP(D51,Roster!$A$3:$N$101,2,FALSE),"")</f>
        <v/>
      </c>
      <c r="F51" t="str">
        <f>IFERROR(VLOOKUP(D51,Roster!$A$3:$N$101,3,FALSE),"")</f>
        <v/>
      </c>
      <c r="G51" t="str">
        <f>IFERROR(VLOOKUP(D51,Roster!$A$3:$N$101,4,FALSE),"")</f>
        <v/>
      </c>
      <c r="P51" t="str">
        <f>IF(D51="","",COUNTIF(D$3:D51,D51))</f>
        <v/>
      </c>
    </row>
    <row r="52" spans="5:16" ht="14.25" x14ac:dyDescent="0.45">
      <c r="E52" t="str">
        <f>IFERROR(VLOOKUP(D52,Roster!$A$3:$N$101,2,FALSE),"")</f>
        <v/>
      </c>
      <c r="F52" t="str">
        <f>IFERROR(VLOOKUP(D52,Roster!$A$3:$N$101,3,FALSE),"")</f>
        <v/>
      </c>
      <c r="G52" t="str">
        <f>IFERROR(VLOOKUP(D52,Roster!$A$3:$N$101,4,FALSE),"")</f>
        <v/>
      </c>
      <c r="P52" t="str">
        <f>IF(D52="","",COUNTIF(D$3:D52,D52))</f>
        <v/>
      </c>
    </row>
    <row r="53" spans="5:16" ht="14.25" x14ac:dyDescent="0.45">
      <c r="E53" t="str">
        <f>IFERROR(VLOOKUP(D53,Roster!$A$3:$N$101,2,FALSE),"")</f>
        <v/>
      </c>
      <c r="F53" t="str">
        <f>IFERROR(VLOOKUP(D53,Roster!$A$3:$N$101,3,FALSE),"")</f>
        <v/>
      </c>
      <c r="G53" t="str">
        <f>IFERROR(VLOOKUP(D53,Roster!$A$3:$N$101,4,FALSE),"")</f>
        <v/>
      </c>
      <c r="P53" t="str">
        <f>IF(D53="","",COUNTIF(D$3:D53,D53))</f>
        <v/>
      </c>
    </row>
    <row r="54" spans="5:16" ht="14.25" x14ac:dyDescent="0.45">
      <c r="E54" t="str">
        <f>IFERROR(VLOOKUP(D54,Roster!$A$3:$N$101,2,FALSE),"")</f>
        <v/>
      </c>
      <c r="F54" t="str">
        <f>IFERROR(VLOOKUP(D54,Roster!$A$3:$N$101,3,FALSE),"")</f>
        <v/>
      </c>
      <c r="G54" t="str">
        <f>IFERROR(VLOOKUP(D54,Roster!$A$3:$N$101,4,FALSE),"")</f>
        <v/>
      </c>
      <c r="P54" t="str">
        <f>IF(D54="","",COUNTIF(D$3:D54,D54))</f>
        <v/>
      </c>
    </row>
    <row r="55" spans="5:16" ht="14.25" x14ac:dyDescent="0.45">
      <c r="E55" t="str">
        <f>IFERROR(VLOOKUP(D55,Roster!$A$3:$N$101,2,FALSE),"")</f>
        <v/>
      </c>
      <c r="F55" t="str">
        <f>IFERROR(VLOOKUP(D55,Roster!$A$3:$N$101,3,FALSE),"")</f>
        <v/>
      </c>
      <c r="G55" t="str">
        <f>IFERROR(VLOOKUP(D55,Roster!$A$3:$N$101,4,FALSE),"")</f>
        <v/>
      </c>
      <c r="P55" t="str">
        <f>IF(D55="","",COUNTIF(D$3:D55,D55))</f>
        <v/>
      </c>
    </row>
    <row r="56" spans="5:16" ht="14.25" x14ac:dyDescent="0.45">
      <c r="E56" t="str">
        <f>IFERROR(VLOOKUP(D56,Roster!$A$3:$N$101,2,FALSE),"")</f>
        <v/>
      </c>
      <c r="F56" t="str">
        <f>IFERROR(VLOOKUP(D56,Roster!$A$3:$N$101,3,FALSE),"")</f>
        <v/>
      </c>
      <c r="G56" t="str">
        <f>IFERROR(VLOOKUP(D56,Roster!$A$3:$N$101,4,FALSE),"")</f>
        <v/>
      </c>
      <c r="P56" t="str">
        <f>IF(D56="","",COUNTIF(D$3:D56,D56))</f>
        <v/>
      </c>
    </row>
    <row r="57" spans="5:16" ht="14.25" x14ac:dyDescent="0.45">
      <c r="E57" t="str">
        <f>IFERROR(VLOOKUP(D57,Roster!$A$3:$N$101,2,FALSE),"")</f>
        <v/>
      </c>
      <c r="F57" t="str">
        <f>IFERROR(VLOOKUP(D57,Roster!$A$3:$N$101,3,FALSE),"")</f>
        <v/>
      </c>
      <c r="G57" t="str">
        <f>IFERROR(VLOOKUP(D57,Roster!$A$3:$N$101,4,FALSE),"")</f>
        <v/>
      </c>
      <c r="P57" t="str">
        <f>IF(D57="","",COUNTIF(D$3:D57,D57))</f>
        <v/>
      </c>
    </row>
    <row r="58" spans="5:16" ht="14.25" x14ac:dyDescent="0.45">
      <c r="E58" t="str">
        <f>IFERROR(VLOOKUP(D58,Roster!$A$3:$N$101,2,FALSE),"")</f>
        <v/>
      </c>
      <c r="F58" t="str">
        <f>IFERROR(VLOOKUP(D58,Roster!$A$3:$N$101,3,FALSE),"")</f>
        <v/>
      </c>
      <c r="G58" t="str">
        <f>IFERROR(VLOOKUP(D58,Roster!$A$3:$N$101,4,FALSE),"")</f>
        <v/>
      </c>
      <c r="P58" t="str">
        <f>IF(D58="","",COUNTIF(D$3:D58,D58))</f>
        <v/>
      </c>
    </row>
    <row r="59" spans="5:16" ht="14.25" x14ac:dyDescent="0.45">
      <c r="E59" t="str">
        <f>IFERROR(VLOOKUP(D59,Roster!$A$3:$N$101,2,FALSE),"")</f>
        <v/>
      </c>
      <c r="F59" t="str">
        <f>IFERROR(VLOOKUP(D59,Roster!$A$3:$N$101,3,FALSE),"")</f>
        <v/>
      </c>
      <c r="G59" t="str">
        <f>IFERROR(VLOOKUP(D59,Roster!$A$3:$N$101,4,FALSE),"")</f>
        <v/>
      </c>
      <c r="P59" t="str">
        <f>IF(D59="","",COUNTIF(D$3:D59,D59))</f>
        <v/>
      </c>
    </row>
    <row r="60" spans="5:16" ht="14.25" x14ac:dyDescent="0.45">
      <c r="E60" t="str">
        <f>IFERROR(VLOOKUP(D60,Roster!$A$3:$N$101,2,FALSE),"")</f>
        <v/>
      </c>
      <c r="F60" t="str">
        <f>IFERROR(VLOOKUP(D60,Roster!$A$3:$N$101,3,FALSE),"")</f>
        <v/>
      </c>
      <c r="G60" t="str">
        <f>IFERROR(VLOOKUP(D60,Roster!$A$3:$N$101,4,FALSE),"")</f>
        <v/>
      </c>
      <c r="P60" t="str">
        <f>IF(D60="","",COUNTIF(D$3:D60,D60))</f>
        <v/>
      </c>
    </row>
    <row r="61" spans="5:16" ht="14.25" x14ac:dyDescent="0.45">
      <c r="E61" t="str">
        <f>IFERROR(VLOOKUP(D61,Roster!$A$3:$N$101,2,FALSE),"")</f>
        <v/>
      </c>
      <c r="F61" t="str">
        <f>IFERROR(VLOOKUP(D61,Roster!$A$3:$N$101,3,FALSE),"")</f>
        <v/>
      </c>
      <c r="G61" t="str">
        <f>IFERROR(VLOOKUP(D61,Roster!$A$3:$N$101,4,FALSE),"")</f>
        <v/>
      </c>
      <c r="P61" t="str">
        <f>IF(D61="","",COUNTIF(D$3:D61,D61))</f>
        <v/>
      </c>
    </row>
    <row r="62" spans="5:16" ht="14.25" x14ac:dyDescent="0.45">
      <c r="E62" t="str">
        <f>IFERROR(VLOOKUP(D62,Roster!$A$3:$N$101,2,FALSE),"")</f>
        <v/>
      </c>
      <c r="F62" t="str">
        <f>IFERROR(VLOOKUP(D62,Roster!$A$3:$N$101,3,FALSE),"")</f>
        <v/>
      </c>
      <c r="G62" t="str">
        <f>IFERROR(VLOOKUP(D62,Roster!$A$3:$N$101,4,FALSE),"")</f>
        <v/>
      </c>
      <c r="P62" t="str">
        <f>IF(D62="","",COUNTIF(D$3:D62,D62))</f>
        <v/>
      </c>
    </row>
    <row r="63" spans="5:16" ht="14.25" x14ac:dyDescent="0.45">
      <c r="E63" t="str">
        <f>IFERROR(VLOOKUP(D63,Roster!$A$3:$N$101,2,FALSE),"")</f>
        <v/>
      </c>
      <c r="F63" t="str">
        <f>IFERROR(VLOOKUP(D63,Roster!$A$3:$N$101,3,FALSE),"")</f>
        <v/>
      </c>
      <c r="G63" t="str">
        <f>IFERROR(VLOOKUP(D63,Roster!$A$3:$N$101,4,FALSE),"")</f>
        <v/>
      </c>
      <c r="P63" t="str">
        <f>IF(D63="","",COUNTIF(D$3:D63,D63))</f>
        <v/>
      </c>
    </row>
    <row r="64" spans="5:16" ht="14.25" x14ac:dyDescent="0.45">
      <c r="E64" t="str">
        <f>IFERROR(VLOOKUP(D64,Roster!$A$3:$N$101,2,FALSE),"")</f>
        <v/>
      </c>
      <c r="F64" t="str">
        <f>IFERROR(VLOOKUP(D64,Roster!$A$3:$N$101,3,FALSE),"")</f>
        <v/>
      </c>
      <c r="G64" t="str">
        <f>IFERROR(VLOOKUP(D64,Roster!$A$3:$N$101,4,FALSE),"")</f>
        <v/>
      </c>
      <c r="P64" t="str">
        <f>IF(D64="","",COUNTIF(D$3:D64,D64))</f>
        <v/>
      </c>
    </row>
    <row r="65" spans="5:16" ht="14.25" x14ac:dyDescent="0.45">
      <c r="E65" t="str">
        <f>IFERROR(VLOOKUP(D65,Roster!$A$3:$N$101,2,FALSE),"")</f>
        <v/>
      </c>
      <c r="F65" t="str">
        <f>IFERROR(VLOOKUP(D65,Roster!$A$3:$N$101,3,FALSE),"")</f>
        <v/>
      </c>
      <c r="G65" t="str">
        <f>IFERROR(VLOOKUP(D65,Roster!$A$3:$N$101,4,FALSE),"")</f>
        <v/>
      </c>
      <c r="P65" t="str">
        <f>IF(D65="","",COUNTIF(D$3:D65,D65))</f>
        <v/>
      </c>
    </row>
    <row r="66" spans="5:16" ht="14.25" x14ac:dyDescent="0.45">
      <c r="E66" t="str">
        <f>IFERROR(VLOOKUP(D66,Roster!$A$3:$N$101,2,FALSE),"")</f>
        <v/>
      </c>
      <c r="F66" t="str">
        <f>IFERROR(VLOOKUP(D66,Roster!$A$3:$N$101,3,FALSE),"")</f>
        <v/>
      </c>
      <c r="G66" t="str">
        <f>IFERROR(VLOOKUP(D66,Roster!$A$3:$N$101,4,FALSE),"")</f>
        <v/>
      </c>
      <c r="P66" t="str">
        <f>IF(D66="","",COUNTIF(D$3:D66,D66))</f>
        <v/>
      </c>
    </row>
    <row r="67" spans="5:16" ht="14.25" x14ac:dyDescent="0.45">
      <c r="E67" t="str">
        <f>IFERROR(VLOOKUP(D67,Roster!$A$3:$N$101,2,FALSE),"")</f>
        <v/>
      </c>
      <c r="F67" t="str">
        <f>IFERROR(VLOOKUP(D67,Roster!$A$3:$N$101,3,FALSE),"")</f>
        <v/>
      </c>
      <c r="G67" t="str">
        <f>IFERROR(VLOOKUP(D67,Roster!$A$3:$N$101,4,FALSE),"")</f>
        <v/>
      </c>
      <c r="P67" t="str">
        <f>IF(D67="","",COUNTIF(D$3:D67,D67))</f>
        <v/>
      </c>
    </row>
    <row r="68" spans="5:16" ht="14.25" x14ac:dyDescent="0.45">
      <c r="E68" t="str">
        <f>IFERROR(VLOOKUP(D68,Roster!$A$3:$N$101,2,FALSE),"")</f>
        <v/>
      </c>
      <c r="F68" t="str">
        <f>IFERROR(VLOOKUP(D68,Roster!$A$3:$N$101,3,FALSE),"")</f>
        <v/>
      </c>
      <c r="G68" t="str">
        <f>IFERROR(VLOOKUP(D68,Roster!$A$3:$N$101,4,FALSE),"")</f>
        <v/>
      </c>
      <c r="P68" t="str">
        <f>IF(D68="","",COUNTIF(D$3:D68,D68))</f>
        <v/>
      </c>
    </row>
    <row r="69" spans="5:16" ht="14.25" x14ac:dyDescent="0.45">
      <c r="E69" t="str">
        <f>IFERROR(VLOOKUP(D69,Roster!$A$3:$N$101,2,FALSE),"")</f>
        <v/>
      </c>
      <c r="F69" t="str">
        <f>IFERROR(VLOOKUP(D69,Roster!$A$3:$N$101,3,FALSE),"")</f>
        <v/>
      </c>
      <c r="G69" t="str">
        <f>IFERROR(VLOOKUP(D69,Roster!$A$3:$N$101,4,FALSE),"")</f>
        <v/>
      </c>
      <c r="P69" t="str">
        <f>IF(D69="","",COUNTIF(D$3:D69,D69))</f>
        <v/>
      </c>
    </row>
    <row r="70" spans="5:16" ht="14.25" x14ac:dyDescent="0.45">
      <c r="E70" t="str">
        <f>IFERROR(VLOOKUP(D70,Roster!$A$3:$N$101,2,FALSE),"")</f>
        <v/>
      </c>
      <c r="F70" t="str">
        <f>IFERROR(VLOOKUP(D70,Roster!$A$3:$N$101,3,FALSE),"")</f>
        <v/>
      </c>
      <c r="G70" t="str">
        <f>IFERROR(VLOOKUP(D70,Roster!$A$3:$N$101,4,FALSE),"")</f>
        <v/>
      </c>
      <c r="P70" t="str">
        <f>IF(D70="","",COUNTIF(D$3:D70,D70))</f>
        <v/>
      </c>
    </row>
    <row r="71" spans="5:16" ht="14.25" x14ac:dyDescent="0.45">
      <c r="E71" t="str">
        <f>IFERROR(VLOOKUP(D71,Roster!$A$3:$N$101,2,FALSE),"")</f>
        <v/>
      </c>
      <c r="F71" t="str">
        <f>IFERROR(VLOOKUP(D71,Roster!$A$3:$N$101,3,FALSE),"")</f>
        <v/>
      </c>
      <c r="G71" t="str">
        <f>IFERROR(VLOOKUP(D71,Roster!$A$3:$N$101,4,FALSE),"")</f>
        <v/>
      </c>
      <c r="P71" t="str">
        <f>IF(D71="","",COUNTIF(D$3:D71,D71))</f>
        <v/>
      </c>
    </row>
    <row r="72" spans="5:16" ht="14.25" x14ac:dyDescent="0.45">
      <c r="E72" t="str">
        <f>IFERROR(VLOOKUP(D72,Roster!$A$3:$N$101,2,FALSE),"")</f>
        <v/>
      </c>
      <c r="F72" t="str">
        <f>IFERROR(VLOOKUP(D72,Roster!$A$3:$N$101,3,FALSE),"")</f>
        <v/>
      </c>
      <c r="G72" t="str">
        <f>IFERROR(VLOOKUP(D72,Roster!$A$3:$N$101,4,FALSE),"")</f>
        <v/>
      </c>
      <c r="P72" t="str">
        <f>IF(D72="","",COUNTIF(D$3:D72,D72))</f>
        <v/>
      </c>
    </row>
    <row r="73" spans="5:16" ht="14.25" x14ac:dyDescent="0.45">
      <c r="E73" t="str">
        <f>IFERROR(VLOOKUP(D73,Roster!$A$3:$N$101,2,FALSE),"")</f>
        <v/>
      </c>
      <c r="F73" t="str">
        <f>IFERROR(VLOOKUP(D73,Roster!$A$3:$N$101,3,FALSE),"")</f>
        <v/>
      </c>
      <c r="G73" t="str">
        <f>IFERROR(VLOOKUP(D73,Roster!$A$3:$N$101,4,FALSE),"")</f>
        <v/>
      </c>
      <c r="P73" t="str">
        <f>IF(D73="","",COUNTIF(D$3:D73,D73))</f>
        <v/>
      </c>
    </row>
    <row r="74" spans="5:16" ht="14.25" x14ac:dyDescent="0.45">
      <c r="E74" t="str">
        <f>IFERROR(VLOOKUP(D74,Roster!$A$3:$N$101,2,FALSE),"")</f>
        <v/>
      </c>
      <c r="F74" t="str">
        <f>IFERROR(VLOOKUP(D74,Roster!$A$3:$N$101,3,FALSE),"")</f>
        <v/>
      </c>
      <c r="G74" t="str">
        <f>IFERROR(VLOOKUP(D74,Roster!$A$3:$N$101,4,FALSE),"")</f>
        <v/>
      </c>
      <c r="P74" t="str">
        <f>IF(D74="","",COUNTIF(D$3:D74,D74))</f>
        <v/>
      </c>
    </row>
    <row r="75" spans="5:16" ht="14.25" x14ac:dyDescent="0.45">
      <c r="E75" t="str">
        <f>IFERROR(VLOOKUP(D75,Roster!$A$3:$N$101,2,FALSE),"")</f>
        <v/>
      </c>
      <c r="F75" t="str">
        <f>IFERROR(VLOOKUP(D75,Roster!$A$3:$N$101,3,FALSE),"")</f>
        <v/>
      </c>
      <c r="G75" t="str">
        <f>IFERROR(VLOOKUP(D75,Roster!$A$3:$N$101,4,FALSE),"")</f>
        <v/>
      </c>
      <c r="P75" t="str">
        <f>IF(D75="","",COUNTIF(D$3:D75,D75))</f>
        <v/>
      </c>
    </row>
    <row r="76" spans="5:16" ht="14.25" x14ac:dyDescent="0.45">
      <c r="E76" t="str">
        <f>IFERROR(VLOOKUP(D76,Roster!$A$3:$N$101,2,FALSE),"")</f>
        <v/>
      </c>
      <c r="F76" t="str">
        <f>IFERROR(VLOOKUP(D76,Roster!$A$3:$N$101,3,FALSE),"")</f>
        <v/>
      </c>
      <c r="G76" t="str">
        <f>IFERROR(VLOOKUP(D76,Roster!$A$3:$N$101,4,FALSE),"")</f>
        <v/>
      </c>
      <c r="P76" t="str">
        <f>IF(D76="","",COUNTIF(D$3:D76,D76))</f>
        <v/>
      </c>
    </row>
    <row r="77" spans="5:16" ht="14.25" x14ac:dyDescent="0.45">
      <c r="E77" t="str">
        <f>IFERROR(VLOOKUP(D77,Roster!$A$3:$N$101,2,FALSE),"")</f>
        <v/>
      </c>
      <c r="F77" t="str">
        <f>IFERROR(VLOOKUP(D77,Roster!$A$3:$N$101,3,FALSE),"")</f>
        <v/>
      </c>
      <c r="G77" t="str">
        <f>IFERROR(VLOOKUP(D77,Roster!$A$3:$N$101,4,FALSE),"")</f>
        <v/>
      </c>
      <c r="P77" t="str">
        <f>IF(D77="","",COUNTIF(D$3:D77,D77))</f>
        <v/>
      </c>
    </row>
    <row r="78" spans="5:16" ht="14.25" x14ac:dyDescent="0.45">
      <c r="E78" t="str">
        <f>IFERROR(VLOOKUP(D78,Roster!$A$3:$N$101,2,FALSE),"")</f>
        <v/>
      </c>
      <c r="F78" t="str">
        <f>IFERROR(VLOOKUP(D78,Roster!$A$3:$N$101,3,FALSE),"")</f>
        <v/>
      </c>
      <c r="G78" t="str">
        <f>IFERROR(VLOOKUP(D78,Roster!$A$3:$N$101,4,FALSE),"")</f>
        <v/>
      </c>
      <c r="P78" t="str">
        <f>IF(D78="","",COUNTIF(D$3:D78,D78))</f>
        <v/>
      </c>
    </row>
    <row r="79" spans="5:16" ht="14.25" x14ac:dyDescent="0.45">
      <c r="E79" t="str">
        <f>IFERROR(VLOOKUP(D79,Roster!$A$3:$N$101,2,FALSE),"")</f>
        <v/>
      </c>
      <c r="F79" t="str">
        <f>IFERROR(VLOOKUP(D79,Roster!$A$3:$N$101,3,FALSE),"")</f>
        <v/>
      </c>
      <c r="G79" t="str">
        <f>IFERROR(VLOOKUP(D79,Roster!$A$3:$N$101,4,FALSE),"")</f>
        <v/>
      </c>
      <c r="P79" t="str">
        <f>IF(D79="","",COUNTIF(D$3:D79,D79))</f>
        <v/>
      </c>
    </row>
    <row r="80" spans="5:16" ht="14.25" x14ac:dyDescent="0.45">
      <c r="E80" t="str">
        <f>IFERROR(VLOOKUP(D80,Roster!$A$3:$N$101,2,FALSE),"")</f>
        <v/>
      </c>
      <c r="F80" t="str">
        <f>IFERROR(VLOOKUP(D80,Roster!$A$3:$N$101,3,FALSE),"")</f>
        <v/>
      </c>
      <c r="G80" t="str">
        <f>IFERROR(VLOOKUP(D80,Roster!$A$3:$N$101,4,FALSE),"")</f>
        <v/>
      </c>
      <c r="P80" t="str">
        <f>IF(D80="","",COUNTIF(D$3:D80,D80))</f>
        <v/>
      </c>
    </row>
    <row r="81" spans="5:16" ht="14.25" x14ac:dyDescent="0.45">
      <c r="E81" t="str">
        <f>IFERROR(VLOOKUP(D81,Roster!$A$3:$N$101,2,FALSE),"")</f>
        <v/>
      </c>
      <c r="F81" t="str">
        <f>IFERROR(VLOOKUP(D81,Roster!$A$3:$N$101,3,FALSE),"")</f>
        <v/>
      </c>
      <c r="G81" t="str">
        <f>IFERROR(VLOOKUP(D81,Roster!$A$3:$N$101,4,FALSE),"")</f>
        <v/>
      </c>
      <c r="P81" t="str">
        <f>IF(D81="","",COUNTIF(D$3:D81,D81))</f>
        <v/>
      </c>
    </row>
    <row r="82" spans="5:16" ht="14.25" x14ac:dyDescent="0.45">
      <c r="E82" t="str">
        <f>IFERROR(VLOOKUP(D82,Roster!$A$3:$N$101,2,FALSE),"")</f>
        <v/>
      </c>
      <c r="F82" t="str">
        <f>IFERROR(VLOOKUP(D82,Roster!$A$3:$N$101,3,FALSE),"")</f>
        <v/>
      </c>
      <c r="G82" t="str">
        <f>IFERROR(VLOOKUP(D82,Roster!$A$3:$N$101,4,FALSE),"")</f>
        <v/>
      </c>
      <c r="P82" t="str">
        <f>IF(D82="","",COUNTIF(D$3:D82,D82))</f>
        <v/>
      </c>
    </row>
    <row r="83" spans="5:16" ht="14.25" x14ac:dyDescent="0.45">
      <c r="E83" t="str">
        <f>IFERROR(VLOOKUP(D83,Roster!$A$3:$N$101,2,FALSE),"")</f>
        <v/>
      </c>
      <c r="F83" t="str">
        <f>IFERROR(VLOOKUP(D83,Roster!$A$3:$N$101,3,FALSE),"")</f>
        <v/>
      </c>
      <c r="G83" t="str">
        <f>IFERROR(VLOOKUP(D83,Roster!$A$3:$N$101,4,FALSE),"")</f>
        <v/>
      </c>
      <c r="P83" t="str">
        <f>IF(D83="","",COUNTIF(D$3:D83,D83))</f>
        <v/>
      </c>
    </row>
    <row r="84" spans="5:16" ht="14.25" x14ac:dyDescent="0.45">
      <c r="E84" t="str">
        <f>IFERROR(VLOOKUP(D84,Roster!$A$3:$N$101,2,FALSE),"")</f>
        <v/>
      </c>
      <c r="F84" t="str">
        <f>IFERROR(VLOOKUP(D84,Roster!$A$3:$N$101,3,FALSE),"")</f>
        <v/>
      </c>
      <c r="G84" t="str">
        <f>IFERROR(VLOOKUP(D84,Roster!$A$3:$N$101,4,FALSE),"")</f>
        <v/>
      </c>
      <c r="P84" t="str">
        <f>IF(D84="","",COUNTIF(D$3:D84,D84))</f>
        <v/>
      </c>
    </row>
    <row r="85" spans="5:16" ht="14.25" x14ac:dyDescent="0.45">
      <c r="E85" t="str">
        <f>IFERROR(VLOOKUP(D85,Roster!$A$3:$N$101,2,FALSE),"")</f>
        <v/>
      </c>
      <c r="F85" t="str">
        <f>IFERROR(VLOOKUP(D85,Roster!$A$3:$N$101,3,FALSE),"")</f>
        <v/>
      </c>
      <c r="G85" t="str">
        <f>IFERROR(VLOOKUP(D85,Roster!$A$3:$N$101,4,FALSE),"")</f>
        <v/>
      </c>
      <c r="P85" t="str">
        <f>IF(D85="","",COUNTIF(D$3:D85,D85))</f>
        <v/>
      </c>
    </row>
    <row r="86" spans="5:16" ht="14.25" x14ac:dyDescent="0.45">
      <c r="E86" t="str">
        <f>IFERROR(VLOOKUP(D86,Roster!$A$3:$N$101,2,FALSE),"")</f>
        <v/>
      </c>
      <c r="F86" t="str">
        <f>IFERROR(VLOOKUP(D86,Roster!$A$3:$N$101,3,FALSE),"")</f>
        <v/>
      </c>
      <c r="G86" t="str">
        <f>IFERROR(VLOOKUP(D86,Roster!$A$3:$N$101,4,FALSE),"")</f>
        <v/>
      </c>
      <c r="P86" t="str">
        <f>IF(D86="","",COUNTIF(D$3:D86,D86))</f>
        <v/>
      </c>
    </row>
    <row r="87" spans="5:16" ht="14.25" x14ac:dyDescent="0.45">
      <c r="E87" t="str">
        <f>IFERROR(VLOOKUP(D87,Roster!$A$3:$N$101,2,FALSE),"")</f>
        <v/>
      </c>
      <c r="F87" t="str">
        <f>IFERROR(VLOOKUP(D87,Roster!$A$3:$N$101,3,FALSE),"")</f>
        <v/>
      </c>
      <c r="G87" t="str">
        <f>IFERROR(VLOOKUP(D87,Roster!$A$3:$N$101,4,FALSE),"")</f>
        <v/>
      </c>
      <c r="P87" t="str">
        <f>IF(D87="","",COUNTIF(D$3:D87,D87))</f>
        <v/>
      </c>
    </row>
    <row r="88" spans="5:16" ht="14.25" x14ac:dyDescent="0.45">
      <c r="E88" t="str">
        <f>IFERROR(VLOOKUP(D88,Roster!$A$3:$N$101,2,FALSE),"")</f>
        <v/>
      </c>
      <c r="F88" t="str">
        <f>IFERROR(VLOOKUP(D88,Roster!$A$3:$N$101,3,FALSE),"")</f>
        <v/>
      </c>
      <c r="G88" t="str">
        <f>IFERROR(VLOOKUP(D88,Roster!$A$3:$N$101,4,FALSE),"")</f>
        <v/>
      </c>
      <c r="P88" t="str">
        <f>IF(D88="","",COUNTIF(D$3:D88,D88))</f>
        <v/>
      </c>
    </row>
    <row r="89" spans="5:16" ht="14.25" x14ac:dyDescent="0.45">
      <c r="E89" t="str">
        <f>IFERROR(VLOOKUP(D89,Roster!$A$3:$N$101,2,FALSE),"")</f>
        <v/>
      </c>
      <c r="F89" t="str">
        <f>IFERROR(VLOOKUP(D89,Roster!$A$3:$N$101,3,FALSE),"")</f>
        <v/>
      </c>
      <c r="G89" t="str">
        <f>IFERROR(VLOOKUP(D89,Roster!$A$3:$N$101,4,FALSE),"")</f>
        <v/>
      </c>
      <c r="P89" t="str">
        <f>IF(D89="","",COUNTIF(D$3:D89,D89))</f>
        <v/>
      </c>
    </row>
    <row r="90" spans="5:16" ht="14.25" x14ac:dyDescent="0.45">
      <c r="E90" t="str">
        <f>IFERROR(VLOOKUP(D90,Roster!$A$3:$N$101,2,FALSE),"")</f>
        <v/>
      </c>
      <c r="F90" t="str">
        <f>IFERROR(VLOOKUP(D90,Roster!$A$3:$N$101,3,FALSE),"")</f>
        <v/>
      </c>
      <c r="G90" t="str">
        <f>IFERROR(VLOOKUP(D90,Roster!$A$3:$N$101,4,FALSE),"")</f>
        <v/>
      </c>
      <c r="P90" t="str">
        <f>IF(D90="","",COUNTIF(D$3:D90,D90))</f>
        <v/>
      </c>
    </row>
    <row r="91" spans="5:16" ht="14.25" x14ac:dyDescent="0.45">
      <c r="E91" t="str">
        <f>IFERROR(VLOOKUP(D91,Roster!$A$3:$N$101,2,FALSE),"")</f>
        <v/>
      </c>
      <c r="F91" t="str">
        <f>IFERROR(VLOOKUP(D91,Roster!$A$3:$N$101,3,FALSE),"")</f>
        <v/>
      </c>
      <c r="G91" t="str">
        <f>IFERROR(VLOOKUP(D91,Roster!$A$3:$N$101,4,FALSE),"")</f>
        <v/>
      </c>
      <c r="P91" t="str">
        <f>IF(D91="","",COUNTIF(D$3:D91,D91))</f>
        <v/>
      </c>
    </row>
    <row r="92" spans="5:16" ht="14.25" x14ac:dyDescent="0.45">
      <c r="E92" t="str">
        <f>IFERROR(VLOOKUP(D92,Roster!$A$3:$N$101,2,FALSE),"")</f>
        <v/>
      </c>
      <c r="F92" t="str">
        <f>IFERROR(VLOOKUP(D92,Roster!$A$3:$N$101,3,FALSE),"")</f>
        <v/>
      </c>
      <c r="G92" t="str">
        <f>IFERROR(VLOOKUP(D92,Roster!$A$3:$N$101,4,FALSE),"")</f>
        <v/>
      </c>
      <c r="P92" t="str">
        <f>IF(D92="","",COUNTIF(D$3:D92,D92))</f>
        <v/>
      </c>
    </row>
    <row r="93" spans="5:16" ht="14.25" x14ac:dyDescent="0.45">
      <c r="E93" t="str">
        <f>IFERROR(VLOOKUP(D93,Roster!$A$3:$N$101,2,FALSE),"")</f>
        <v/>
      </c>
      <c r="F93" t="str">
        <f>IFERROR(VLOOKUP(D93,Roster!$A$3:$N$101,3,FALSE),"")</f>
        <v/>
      </c>
      <c r="G93" t="str">
        <f>IFERROR(VLOOKUP(D93,Roster!$A$3:$N$101,4,FALSE),"")</f>
        <v/>
      </c>
      <c r="P93" t="str">
        <f>IF(D93="","",COUNTIF(D$3:D93,D93))</f>
        <v/>
      </c>
    </row>
    <row r="94" spans="5:16" ht="14.25" x14ac:dyDescent="0.45">
      <c r="E94" t="str">
        <f>IFERROR(VLOOKUP(D94,Roster!$A$3:$N$101,2,FALSE),"")</f>
        <v/>
      </c>
      <c r="F94" t="str">
        <f>IFERROR(VLOOKUP(D94,Roster!$A$3:$N$101,3,FALSE),"")</f>
        <v/>
      </c>
      <c r="G94" t="str">
        <f>IFERROR(VLOOKUP(D94,Roster!$A$3:$N$101,4,FALSE),"")</f>
        <v/>
      </c>
      <c r="P94" t="str">
        <f>IF(D94="","",COUNTIF(D$3:D94,D94))</f>
        <v/>
      </c>
    </row>
    <row r="95" spans="5:16" ht="14.25" x14ac:dyDescent="0.45">
      <c r="E95" t="str">
        <f>IFERROR(VLOOKUP(D95,Roster!$A$3:$N$101,2,FALSE),"")</f>
        <v/>
      </c>
      <c r="F95" t="str">
        <f>IFERROR(VLOOKUP(D95,Roster!$A$3:$N$101,3,FALSE),"")</f>
        <v/>
      </c>
      <c r="G95" t="str">
        <f>IFERROR(VLOOKUP(D95,Roster!$A$3:$N$101,4,FALSE),"")</f>
        <v/>
      </c>
      <c r="P95" t="str">
        <f>IF(D95="","",COUNTIF(D$3:D95,D95))</f>
        <v/>
      </c>
    </row>
    <row r="96" spans="5:16" ht="14.25" x14ac:dyDescent="0.45">
      <c r="E96" t="str">
        <f>IFERROR(VLOOKUP(D96,Roster!$A$3:$N$101,2,FALSE),"")</f>
        <v/>
      </c>
      <c r="F96" t="str">
        <f>IFERROR(VLOOKUP(D96,Roster!$A$3:$N$101,3,FALSE),"")</f>
        <v/>
      </c>
      <c r="G96" t="str">
        <f>IFERROR(VLOOKUP(D96,Roster!$A$3:$N$101,4,FALSE),"")</f>
        <v/>
      </c>
      <c r="P96" t="str">
        <f>IF(D96="","",COUNTIF(D$3:D96,D96))</f>
        <v/>
      </c>
    </row>
    <row r="97" spans="5:16" ht="14.25" x14ac:dyDescent="0.45">
      <c r="E97" t="str">
        <f>IFERROR(VLOOKUP(D97,Roster!$A$3:$N$101,2,FALSE),"")</f>
        <v/>
      </c>
      <c r="F97" t="str">
        <f>IFERROR(VLOOKUP(D97,Roster!$A$3:$N$101,3,FALSE),"")</f>
        <v/>
      </c>
      <c r="G97" t="str">
        <f>IFERROR(VLOOKUP(D97,Roster!$A$3:$N$101,4,FALSE),"")</f>
        <v/>
      </c>
      <c r="P97" t="str">
        <f>IF(D97="","",COUNTIF(D$3:D97,D97))</f>
        <v/>
      </c>
    </row>
    <row r="98" spans="5:16" ht="14.25" x14ac:dyDescent="0.45">
      <c r="E98" t="str">
        <f>IFERROR(VLOOKUP(D98,Roster!$A$3:$N$101,2,FALSE),"")</f>
        <v/>
      </c>
      <c r="F98" t="str">
        <f>IFERROR(VLOOKUP(D98,Roster!$A$3:$N$101,3,FALSE),"")</f>
        <v/>
      </c>
      <c r="G98" t="str">
        <f>IFERROR(VLOOKUP(D98,Roster!$A$3:$N$101,4,FALSE),"")</f>
        <v/>
      </c>
      <c r="P98" t="str">
        <f>IF(D98="","",COUNTIF(D$3:D98,D98))</f>
        <v/>
      </c>
    </row>
    <row r="99" spans="5:16" ht="14.25" x14ac:dyDescent="0.45">
      <c r="E99" t="str">
        <f>IFERROR(VLOOKUP(D99,Roster!$A$3:$N$101,2,FALSE),"")</f>
        <v/>
      </c>
      <c r="F99" t="str">
        <f>IFERROR(VLOOKUP(D99,Roster!$A$3:$N$101,3,FALSE),"")</f>
        <v/>
      </c>
      <c r="G99" t="str">
        <f>IFERROR(VLOOKUP(D99,Roster!$A$3:$N$101,4,FALSE),"")</f>
        <v/>
      </c>
      <c r="P99" t="str">
        <f>IF(D99="","",COUNTIF(D$3:D99,D99))</f>
        <v/>
      </c>
    </row>
    <row r="100" spans="5:16" ht="14.25" x14ac:dyDescent="0.45">
      <c r="E100" t="str">
        <f>IFERROR(VLOOKUP(D100,Roster!$A$3:$N$101,2,FALSE),"")</f>
        <v/>
      </c>
      <c r="F100" t="str">
        <f>IFERROR(VLOOKUP(D100,Roster!$A$3:$N$101,3,FALSE),"")</f>
        <v/>
      </c>
      <c r="G100" t="str">
        <f>IFERROR(VLOOKUP(D100,Roster!$A$3:$N$101,4,FALSE),"")</f>
        <v/>
      </c>
      <c r="P100" t="str">
        <f>IF(D100="","",COUNTIF(D$3:D100,D100))</f>
        <v/>
      </c>
    </row>
    <row r="101" spans="5:16" ht="14.25" x14ac:dyDescent="0.45">
      <c r="E101" t="str">
        <f>IFERROR(VLOOKUP(D101,Roster!$A$3:$N$101,2,FALSE),"")</f>
        <v/>
      </c>
      <c r="F101" t="str">
        <f>IFERROR(VLOOKUP(D101,Roster!$A$3:$N$101,3,FALSE),"")</f>
        <v/>
      </c>
      <c r="G101" t="str">
        <f>IFERROR(VLOOKUP(D101,Roster!$A$3:$N$101,4,FALSE),"")</f>
        <v/>
      </c>
      <c r="P101" t="str">
        <f>IF(D101="","",COUNTIF(D$3:D101,D101))</f>
        <v/>
      </c>
    </row>
    <row r="102" spans="5:16" ht="14.25" x14ac:dyDescent="0.45">
      <c r="E102" t="str">
        <f>IFERROR(VLOOKUP(D102,Roster!$A$3:$N$101,2,FALSE),"")</f>
        <v/>
      </c>
      <c r="F102" t="str">
        <f>IFERROR(VLOOKUP(D102,Roster!$A$3:$N$101,3,FALSE),"")</f>
        <v/>
      </c>
      <c r="G102" t="str">
        <f>IFERROR(VLOOKUP(D102,Roster!$A$3:$N$101,4,FALSE),"")</f>
        <v/>
      </c>
      <c r="P102" t="str">
        <f>IF(D102="","",COUNTIF(D$3:D102,D102))</f>
        <v/>
      </c>
    </row>
    <row r="103" spans="5:16" ht="14.25" x14ac:dyDescent="0.45">
      <c r="E103" t="str">
        <f>IFERROR(VLOOKUP(D103,Roster!$A$3:$N$101,2,FALSE),"")</f>
        <v/>
      </c>
      <c r="F103" t="str">
        <f>IFERROR(VLOOKUP(D103,Roster!$A$3:$N$101,3,FALSE),"")</f>
        <v/>
      </c>
      <c r="G103" t="str">
        <f>IFERROR(VLOOKUP(D103,Roster!$A$3:$N$101,4,FALSE),"")</f>
        <v/>
      </c>
      <c r="P103" t="str">
        <f>IF(D103="","",COUNTIF(D$3:D103,D103))</f>
        <v/>
      </c>
    </row>
    <row r="104" spans="5:16" ht="14.25" x14ac:dyDescent="0.45">
      <c r="E104" t="str">
        <f>IFERROR(VLOOKUP(D104,Roster!$A$3:$N$101,2,FALSE),"")</f>
        <v/>
      </c>
      <c r="F104" t="str">
        <f>IFERROR(VLOOKUP(D104,Roster!$A$3:$N$101,3,FALSE),"")</f>
        <v/>
      </c>
      <c r="G104" t="str">
        <f>IFERROR(VLOOKUP(D104,Roster!$A$3:$N$101,4,FALSE),"")</f>
        <v/>
      </c>
      <c r="P104" t="str">
        <f>IF(D104="","",COUNTIF(D$3:D104,D104))</f>
        <v/>
      </c>
    </row>
    <row r="105" spans="5:16" ht="14.25" x14ac:dyDescent="0.45">
      <c r="E105" t="str">
        <f>IFERROR(VLOOKUP(D105,Roster!$A$3:$N$101,2,FALSE),"")</f>
        <v/>
      </c>
      <c r="F105" t="str">
        <f>IFERROR(VLOOKUP(D105,Roster!$A$3:$N$101,3,FALSE),"")</f>
        <v/>
      </c>
      <c r="G105" t="str">
        <f>IFERROR(VLOOKUP(D105,Roster!$A$3:$N$101,4,FALSE),"")</f>
        <v/>
      </c>
      <c r="P105" t="str">
        <f>IF(D105="","",COUNTIF(D$3:D105,D105))</f>
        <v/>
      </c>
    </row>
    <row r="106" spans="5:16" ht="14.25" x14ac:dyDescent="0.45">
      <c r="E106" t="str">
        <f>IFERROR(VLOOKUP(D106,Roster!$A$3:$N$101,2,FALSE),"")</f>
        <v/>
      </c>
      <c r="F106" t="str">
        <f>IFERROR(VLOOKUP(D106,Roster!$A$3:$N$101,3,FALSE),"")</f>
        <v/>
      </c>
      <c r="G106" t="str">
        <f>IFERROR(VLOOKUP(D106,Roster!$A$3:$N$101,4,FALSE),"")</f>
        <v/>
      </c>
      <c r="P106" t="str">
        <f>IF(D106="","",COUNTIF(D$3:D106,D106))</f>
        <v/>
      </c>
    </row>
    <row r="107" spans="5:16" ht="14.25" x14ac:dyDescent="0.45">
      <c r="E107" t="str">
        <f>IFERROR(VLOOKUP(D107,Roster!$A$3:$N$101,2,FALSE),"")</f>
        <v/>
      </c>
      <c r="F107" t="str">
        <f>IFERROR(VLOOKUP(D107,Roster!$A$3:$N$101,3,FALSE),"")</f>
        <v/>
      </c>
      <c r="G107" t="str">
        <f>IFERROR(VLOOKUP(D107,Roster!$A$3:$N$101,4,FALSE),"")</f>
        <v/>
      </c>
      <c r="P107" t="str">
        <f>IF(D107="","",COUNTIF(D$3:D107,D107))</f>
        <v/>
      </c>
    </row>
    <row r="108" spans="5:16" ht="14.25" x14ac:dyDescent="0.45">
      <c r="E108" t="str">
        <f>IFERROR(VLOOKUP(D108,Roster!$A$3:$N$101,2,FALSE),"")</f>
        <v/>
      </c>
      <c r="F108" t="str">
        <f>IFERROR(VLOOKUP(D108,Roster!$A$3:$N$101,3,FALSE),"")</f>
        <v/>
      </c>
      <c r="G108" t="str">
        <f>IFERROR(VLOOKUP(D108,Roster!$A$3:$N$101,4,FALSE),"")</f>
        <v/>
      </c>
      <c r="P108" t="str">
        <f>IF(D108="","",COUNTIF(D$3:D108,D108))</f>
        <v/>
      </c>
    </row>
    <row r="109" spans="5:16" ht="14.25" x14ac:dyDescent="0.45">
      <c r="E109" t="str">
        <f>IFERROR(VLOOKUP(D109,Roster!$A$3:$N$101,2,FALSE),"")</f>
        <v/>
      </c>
      <c r="F109" t="str">
        <f>IFERROR(VLOOKUP(D109,Roster!$A$3:$N$101,3,FALSE),"")</f>
        <v/>
      </c>
      <c r="G109" t="str">
        <f>IFERROR(VLOOKUP(D109,Roster!$A$3:$N$101,4,FALSE),"")</f>
        <v/>
      </c>
      <c r="P109" t="str">
        <f>IF(D109="","",COUNTIF(D$3:D109,D109))</f>
        <v/>
      </c>
    </row>
    <row r="110" spans="5:16" ht="14.25" x14ac:dyDescent="0.45">
      <c r="E110" t="str">
        <f>IFERROR(VLOOKUP(D110,Roster!$A$3:$N$101,2,FALSE),"")</f>
        <v/>
      </c>
      <c r="F110" t="str">
        <f>IFERROR(VLOOKUP(D110,Roster!$A$3:$N$101,3,FALSE),"")</f>
        <v/>
      </c>
      <c r="G110" t="str">
        <f>IFERROR(VLOOKUP(D110,Roster!$A$3:$N$101,4,FALSE),"")</f>
        <v/>
      </c>
      <c r="P110" t="str">
        <f>IF(D110="","",COUNTIF(D$3:D110,D110))</f>
        <v/>
      </c>
    </row>
    <row r="111" spans="5:16" ht="14.25" x14ac:dyDescent="0.45">
      <c r="E111" t="str">
        <f>IFERROR(VLOOKUP(D111,Roster!$A$3:$N$101,2,FALSE),"")</f>
        <v/>
      </c>
      <c r="F111" t="str">
        <f>IFERROR(VLOOKUP(D111,Roster!$A$3:$N$101,3,FALSE),"")</f>
        <v/>
      </c>
      <c r="G111" t="str">
        <f>IFERROR(VLOOKUP(D111,Roster!$A$3:$N$101,4,FALSE),"")</f>
        <v/>
      </c>
      <c r="P111" t="str">
        <f>IF(D111="","",COUNTIF(D$3:D111,D111))</f>
        <v/>
      </c>
    </row>
    <row r="112" spans="5:16" ht="14.25" x14ac:dyDescent="0.45">
      <c r="E112" t="str">
        <f>IFERROR(VLOOKUP(D112,Roster!$A$3:$N$101,2,FALSE),"")</f>
        <v/>
      </c>
      <c r="F112" t="str">
        <f>IFERROR(VLOOKUP(D112,Roster!$A$3:$N$101,3,FALSE),"")</f>
        <v/>
      </c>
      <c r="G112" t="str">
        <f>IFERROR(VLOOKUP(D112,Roster!$A$3:$N$101,4,FALSE),"")</f>
        <v/>
      </c>
      <c r="P112" t="str">
        <f>IF(D112="","",COUNTIF(D$3:D112,D112))</f>
        <v/>
      </c>
    </row>
    <row r="113" spans="5:16" ht="14.25" x14ac:dyDescent="0.45">
      <c r="E113" t="str">
        <f>IFERROR(VLOOKUP(D113,Roster!$A$3:$N$101,2,FALSE),"")</f>
        <v/>
      </c>
      <c r="F113" t="str">
        <f>IFERROR(VLOOKUP(D113,Roster!$A$3:$N$101,3,FALSE),"")</f>
        <v/>
      </c>
      <c r="G113" t="str">
        <f>IFERROR(VLOOKUP(D113,Roster!$A$3:$N$101,4,FALSE),"")</f>
        <v/>
      </c>
      <c r="P113" t="str">
        <f>IF(D113="","",COUNTIF(D$3:D113,D113))</f>
        <v/>
      </c>
    </row>
    <row r="114" spans="5:16" ht="14.25" x14ac:dyDescent="0.45">
      <c r="E114" t="str">
        <f>IFERROR(VLOOKUP(D114,Roster!$A$3:$N$101,2,FALSE),"")</f>
        <v/>
      </c>
      <c r="F114" t="str">
        <f>IFERROR(VLOOKUP(D114,Roster!$A$3:$N$101,3,FALSE),"")</f>
        <v/>
      </c>
      <c r="G114" t="str">
        <f>IFERROR(VLOOKUP(D114,Roster!$A$3:$N$101,4,FALSE),"")</f>
        <v/>
      </c>
      <c r="P114" t="str">
        <f>IF(D114="","",COUNTIF(D$3:D114,D114))</f>
        <v/>
      </c>
    </row>
    <row r="115" spans="5:16" ht="14.25" x14ac:dyDescent="0.45">
      <c r="E115" t="str">
        <f>IFERROR(VLOOKUP(D115,Roster!$A$3:$N$101,2,FALSE),"")</f>
        <v/>
      </c>
      <c r="F115" t="str">
        <f>IFERROR(VLOOKUP(D115,Roster!$A$3:$N$101,3,FALSE),"")</f>
        <v/>
      </c>
      <c r="G115" t="str">
        <f>IFERROR(VLOOKUP(D115,Roster!$A$3:$N$101,4,FALSE),"")</f>
        <v/>
      </c>
      <c r="P115" t="str">
        <f>IF(D115="","",COUNTIF(D$3:D115,D115))</f>
        <v/>
      </c>
    </row>
    <row r="116" spans="5:16" ht="14.25" x14ac:dyDescent="0.45">
      <c r="E116" t="str">
        <f>IFERROR(VLOOKUP(D116,Roster!$A$3:$N$101,2,FALSE),"")</f>
        <v/>
      </c>
      <c r="F116" t="str">
        <f>IFERROR(VLOOKUP(D116,Roster!$A$3:$N$101,3,FALSE),"")</f>
        <v/>
      </c>
      <c r="G116" t="str">
        <f>IFERROR(VLOOKUP(D116,Roster!$A$3:$N$101,4,FALSE),"")</f>
        <v/>
      </c>
      <c r="P116" t="str">
        <f>IF(D116="","",COUNTIF(D$3:D116,D116))</f>
        <v/>
      </c>
    </row>
    <row r="117" spans="5:16" ht="14.25" x14ac:dyDescent="0.45">
      <c r="E117" t="str">
        <f>IFERROR(VLOOKUP(D117,Roster!$A$3:$N$101,2,FALSE),"")</f>
        <v/>
      </c>
      <c r="F117" t="str">
        <f>IFERROR(VLOOKUP(D117,Roster!$A$3:$N$101,3,FALSE),"")</f>
        <v/>
      </c>
      <c r="G117" t="str">
        <f>IFERROR(VLOOKUP(D117,Roster!$A$3:$N$101,4,FALSE),"")</f>
        <v/>
      </c>
      <c r="P117" t="str">
        <f>IF(D117="","",COUNTIF(D$3:D117,D117))</f>
        <v/>
      </c>
    </row>
    <row r="118" spans="5:16" ht="14.25" x14ac:dyDescent="0.45">
      <c r="E118" t="str">
        <f>IFERROR(VLOOKUP(D118,Roster!$A$3:$N$101,2,FALSE),"")</f>
        <v/>
      </c>
      <c r="F118" t="str">
        <f>IFERROR(VLOOKUP(D118,Roster!$A$3:$N$101,3,FALSE),"")</f>
        <v/>
      </c>
      <c r="G118" t="str">
        <f>IFERROR(VLOOKUP(D118,Roster!$A$3:$N$101,4,FALSE),"")</f>
        <v/>
      </c>
      <c r="P118" t="str">
        <f>IF(D118="","",COUNTIF(D$3:D118,D118))</f>
        <v/>
      </c>
    </row>
    <row r="119" spans="5:16" ht="14.25" x14ac:dyDescent="0.45">
      <c r="E119" t="str">
        <f>IFERROR(VLOOKUP(D119,Roster!$A$3:$N$101,2,FALSE),"")</f>
        <v/>
      </c>
      <c r="F119" t="str">
        <f>IFERROR(VLOOKUP(D119,Roster!$A$3:$N$101,3,FALSE),"")</f>
        <v/>
      </c>
      <c r="G119" t="str">
        <f>IFERROR(VLOOKUP(D119,Roster!$A$3:$N$101,4,FALSE),"")</f>
        <v/>
      </c>
      <c r="P119" t="str">
        <f>IF(D119="","",COUNTIF(D$3:D119,D119))</f>
        <v/>
      </c>
    </row>
    <row r="120" spans="5:16" ht="14.25" x14ac:dyDescent="0.45">
      <c r="E120" t="str">
        <f>IFERROR(VLOOKUP(D120,Roster!$A$3:$N$101,2,FALSE),"")</f>
        <v/>
      </c>
      <c r="F120" t="str">
        <f>IFERROR(VLOOKUP(D120,Roster!$A$3:$N$101,3,FALSE),"")</f>
        <v/>
      </c>
      <c r="G120" t="str">
        <f>IFERROR(VLOOKUP(D120,Roster!$A$3:$N$101,4,FALSE),"")</f>
        <v/>
      </c>
      <c r="P120" t="str">
        <f>IF(D120="","",COUNTIF(D$3:D120,D120))</f>
        <v/>
      </c>
    </row>
    <row r="121" spans="5:16" ht="14.25" x14ac:dyDescent="0.45">
      <c r="E121" t="str">
        <f>IFERROR(VLOOKUP(D121,Roster!$A$3:$N$101,2,FALSE),"")</f>
        <v/>
      </c>
      <c r="F121" t="str">
        <f>IFERROR(VLOOKUP(D121,Roster!$A$3:$N$101,3,FALSE),"")</f>
        <v/>
      </c>
      <c r="G121" t="str">
        <f>IFERROR(VLOOKUP(D121,Roster!$A$3:$N$101,4,FALSE),"")</f>
        <v/>
      </c>
      <c r="P121" t="str">
        <f>IF(D121="","",COUNTIF(D$3:D121,D121))</f>
        <v/>
      </c>
    </row>
    <row r="122" spans="5:16" ht="14.25" x14ac:dyDescent="0.45">
      <c r="E122" t="str">
        <f>IFERROR(VLOOKUP(D122,Roster!$A$3:$N$101,2,FALSE),"")</f>
        <v/>
      </c>
      <c r="F122" t="str">
        <f>IFERROR(VLOOKUP(D122,Roster!$A$3:$N$101,3,FALSE),"")</f>
        <v/>
      </c>
      <c r="G122" t="str">
        <f>IFERROR(VLOOKUP(D122,Roster!$A$3:$N$101,4,FALSE),"")</f>
        <v/>
      </c>
      <c r="P122" t="str">
        <f>IF(D122="","",COUNTIF(D$3:D122,D122))</f>
        <v/>
      </c>
    </row>
    <row r="123" spans="5:16" ht="14.25" x14ac:dyDescent="0.45">
      <c r="E123" t="str">
        <f>IFERROR(VLOOKUP(D123,Roster!$A$3:$N$101,2,FALSE),"")</f>
        <v/>
      </c>
      <c r="F123" t="str">
        <f>IFERROR(VLOOKUP(D123,Roster!$A$3:$N$101,3,FALSE),"")</f>
        <v/>
      </c>
      <c r="G123" t="str">
        <f>IFERROR(VLOOKUP(D123,Roster!$A$3:$N$101,4,FALSE),"")</f>
        <v/>
      </c>
      <c r="P123" t="str">
        <f>IF(D123="","",COUNTIF(D$3:D123,D123))</f>
        <v/>
      </c>
    </row>
    <row r="124" spans="5:16" ht="14.25" x14ac:dyDescent="0.45">
      <c r="E124" t="str">
        <f>IFERROR(VLOOKUP(D124,Roster!$A$3:$N$101,2,FALSE),"")</f>
        <v/>
      </c>
      <c r="F124" t="str">
        <f>IFERROR(VLOOKUP(D124,Roster!$A$3:$N$101,3,FALSE),"")</f>
        <v/>
      </c>
      <c r="G124" t="str">
        <f>IFERROR(VLOOKUP(D124,Roster!$A$3:$N$101,4,FALSE),"")</f>
        <v/>
      </c>
      <c r="P124" t="str">
        <f>IF(D124="","",COUNTIF(D$3:D124,D124))</f>
        <v/>
      </c>
    </row>
    <row r="125" spans="5:16" ht="14.25" x14ac:dyDescent="0.45">
      <c r="E125" t="str">
        <f>IFERROR(VLOOKUP(D125,Roster!$A$3:$N$101,2,FALSE),"")</f>
        <v/>
      </c>
      <c r="F125" t="str">
        <f>IFERROR(VLOOKUP(D125,Roster!$A$3:$N$101,3,FALSE),"")</f>
        <v/>
      </c>
      <c r="G125" t="str">
        <f>IFERROR(VLOOKUP(D125,Roster!$A$3:$N$101,4,FALSE),"")</f>
        <v/>
      </c>
      <c r="P125" t="str">
        <f>IF(D125="","",COUNTIF(D$3:D125,D125))</f>
        <v/>
      </c>
    </row>
    <row r="126" spans="5:16" ht="14.25" x14ac:dyDescent="0.45">
      <c r="E126" t="str">
        <f>IFERROR(VLOOKUP(D126,Roster!$A$3:$N$101,2,FALSE),"")</f>
        <v/>
      </c>
      <c r="F126" t="str">
        <f>IFERROR(VLOOKUP(D126,Roster!$A$3:$N$101,3,FALSE),"")</f>
        <v/>
      </c>
      <c r="G126" t="str">
        <f>IFERROR(VLOOKUP(D126,Roster!$A$3:$N$101,4,FALSE),"")</f>
        <v/>
      </c>
      <c r="P126" t="str">
        <f>IF(D126="","",COUNTIF(D$3:D126,D126))</f>
        <v/>
      </c>
    </row>
    <row r="127" spans="5:16" ht="14.25" x14ac:dyDescent="0.45">
      <c r="E127" t="str">
        <f>IFERROR(VLOOKUP(D127,Roster!$A$3:$N$101,2,FALSE),"")</f>
        <v/>
      </c>
      <c r="F127" t="str">
        <f>IFERROR(VLOOKUP(D127,Roster!$A$3:$N$101,3,FALSE),"")</f>
        <v/>
      </c>
      <c r="G127" t="str">
        <f>IFERROR(VLOOKUP(D127,Roster!$A$3:$N$101,4,FALSE),"")</f>
        <v/>
      </c>
      <c r="P127" t="str">
        <f>IF(D127="","",COUNTIF(D$3:D127,D127))</f>
        <v/>
      </c>
    </row>
    <row r="128" spans="5:16" ht="14.25" x14ac:dyDescent="0.45">
      <c r="E128" t="str">
        <f>IFERROR(VLOOKUP(D128,Roster!$A$3:$N$101,2,FALSE),"")</f>
        <v/>
      </c>
      <c r="F128" t="str">
        <f>IFERROR(VLOOKUP(D128,Roster!$A$3:$N$101,3,FALSE),"")</f>
        <v/>
      </c>
      <c r="G128" t="str">
        <f>IFERROR(VLOOKUP(D128,Roster!$A$3:$N$101,4,FALSE),"")</f>
        <v/>
      </c>
      <c r="P128" t="str">
        <f>IF(D128="","",COUNTIF(D$3:D128,D128))</f>
        <v/>
      </c>
    </row>
    <row r="129" spans="5:16" ht="14.25" x14ac:dyDescent="0.45">
      <c r="E129" t="str">
        <f>IFERROR(VLOOKUP(D129,Roster!$A$3:$N$101,2,FALSE),"")</f>
        <v/>
      </c>
      <c r="F129" t="str">
        <f>IFERROR(VLOOKUP(D129,Roster!$A$3:$N$101,3,FALSE),"")</f>
        <v/>
      </c>
      <c r="G129" t="str">
        <f>IFERROR(VLOOKUP(D129,Roster!$A$3:$N$101,4,FALSE),"")</f>
        <v/>
      </c>
      <c r="P129" t="str">
        <f>IF(D129="","",COUNTIF(D$3:D129,D129))</f>
        <v/>
      </c>
    </row>
    <row r="130" spans="5:16" ht="14.25" x14ac:dyDescent="0.45">
      <c r="E130" t="str">
        <f>IFERROR(VLOOKUP(D130,Roster!$A$3:$N$101,2,FALSE),"")</f>
        <v/>
      </c>
      <c r="F130" t="str">
        <f>IFERROR(VLOOKUP(D130,Roster!$A$3:$N$101,3,FALSE),"")</f>
        <v/>
      </c>
      <c r="G130" t="str">
        <f>IFERROR(VLOOKUP(D130,Roster!$A$3:$N$101,4,FALSE),"")</f>
        <v/>
      </c>
      <c r="P130" t="str">
        <f>IF(D130="","",COUNTIF(D$3:D130,D130))</f>
        <v/>
      </c>
    </row>
    <row r="131" spans="5:16" ht="14.25" x14ac:dyDescent="0.45">
      <c r="E131" t="str">
        <f>IFERROR(VLOOKUP(D131,Roster!$A$3:$N$101,2,FALSE),"")</f>
        <v/>
      </c>
      <c r="F131" t="str">
        <f>IFERROR(VLOOKUP(D131,Roster!$A$3:$N$101,3,FALSE),"")</f>
        <v/>
      </c>
      <c r="G131" t="str">
        <f>IFERROR(VLOOKUP(D131,Roster!$A$3:$N$101,4,FALSE),"")</f>
        <v/>
      </c>
      <c r="P131" t="str">
        <f>IF(D131="","",COUNTIF(D$3:D131,D131))</f>
        <v/>
      </c>
    </row>
    <row r="132" spans="5:16" ht="14.25" x14ac:dyDescent="0.45">
      <c r="E132" t="str">
        <f>IFERROR(VLOOKUP(D132,Roster!$A$3:$N$101,2,FALSE),"")</f>
        <v/>
      </c>
      <c r="F132" t="str">
        <f>IFERROR(VLOOKUP(D132,Roster!$A$3:$N$101,3,FALSE),"")</f>
        <v/>
      </c>
      <c r="G132" t="str">
        <f>IFERROR(VLOOKUP(D132,Roster!$A$3:$N$101,4,FALSE),"")</f>
        <v/>
      </c>
      <c r="P132" t="str">
        <f>IF(D132="","",COUNTIF(D$3:D132,D132))</f>
        <v/>
      </c>
    </row>
    <row r="133" spans="5:16" ht="14.25" x14ac:dyDescent="0.45">
      <c r="E133" t="str">
        <f>IFERROR(VLOOKUP(D133,Roster!$A$3:$N$101,2,FALSE),"")</f>
        <v/>
      </c>
      <c r="F133" t="str">
        <f>IFERROR(VLOOKUP(D133,Roster!$A$3:$N$101,3,FALSE),"")</f>
        <v/>
      </c>
      <c r="G133" t="str">
        <f>IFERROR(VLOOKUP(D133,Roster!$A$3:$N$101,4,FALSE),"")</f>
        <v/>
      </c>
      <c r="P133" t="str">
        <f>IF(D133="","",COUNTIF(D$3:D133,D133))</f>
        <v/>
      </c>
    </row>
    <row r="134" spans="5:16" ht="14.25" x14ac:dyDescent="0.45">
      <c r="E134" t="str">
        <f>IFERROR(VLOOKUP(D134,Roster!$A$3:$N$101,2,FALSE),"")</f>
        <v/>
      </c>
      <c r="F134" t="str">
        <f>IFERROR(VLOOKUP(D134,Roster!$A$3:$N$101,3,FALSE),"")</f>
        <v/>
      </c>
      <c r="G134" t="str">
        <f>IFERROR(VLOOKUP(D134,Roster!$A$3:$N$101,4,FALSE),"")</f>
        <v/>
      </c>
      <c r="P134" t="str">
        <f>IF(D134="","",COUNTIF(D$3:D134,D134))</f>
        <v/>
      </c>
    </row>
    <row r="135" spans="5:16" ht="14.25" x14ac:dyDescent="0.45">
      <c r="E135" t="str">
        <f>IFERROR(VLOOKUP(D135,Roster!$A$3:$N$101,2,FALSE),"")</f>
        <v/>
      </c>
      <c r="F135" t="str">
        <f>IFERROR(VLOOKUP(D135,Roster!$A$3:$N$101,3,FALSE),"")</f>
        <v/>
      </c>
      <c r="G135" t="str">
        <f>IFERROR(VLOOKUP(D135,Roster!$A$3:$N$101,4,FALSE),"")</f>
        <v/>
      </c>
      <c r="P135" t="str">
        <f>IF(D135="","",COUNTIF(D$3:D135,D135))</f>
        <v/>
      </c>
    </row>
    <row r="136" spans="5:16" ht="14.25" x14ac:dyDescent="0.45">
      <c r="E136" t="str">
        <f>IFERROR(VLOOKUP(D136,Roster!$A$3:$N$101,2,FALSE),"")</f>
        <v/>
      </c>
      <c r="F136" t="str">
        <f>IFERROR(VLOOKUP(D136,Roster!$A$3:$N$101,3,FALSE),"")</f>
        <v/>
      </c>
      <c r="G136" t="str">
        <f>IFERROR(VLOOKUP(D136,Roster!$A$3:$N$101,4,FALSE),"")</f>
        <v/>
      </c>
      <c r="P136" t="str">
        <f>IF(D136="","",COUNTIF(D$3:D136,D136))</f>
        <v/>
      </c>
    </row>
    <row r="137" spans="5:16" ht="14.25" x14ac:dyDescent="0.45">
      <c r="E137" t="str">
        <f>IFERROR(VLOOKUP(D137,Roster!$A$3:$N$101,2,FALSE),"")</f>
        <v/>
      </c>
      <c r="F137" t="str">
        <f>IFERROR(VLOOKUP(D137,Roster!$A$3:$N$101,3,FALSE),"")</f>
        <v/>
      </c>
      <c r="G137" t="str">
        <f>IFERROR(VLOOKUP(D137,Roster!$A$3:$N$101,4,FALSE),"")</f>
        <v/>
      </c>
      <c r="P137" t="str">
        <f>IF(D137="","",COUNTIF(D$3:D137,D137))</f>
        <v/>
      </c>
    </row>
    <row r="138" spans="5:16" ht="14.25" x14ac:dyDescent="0.45">
      <c r="E138" t="str">
        <f>IFERROR(VLOOKUP(D138,Roster!$A$3:$N$101,2,FALSE),"")</f>
        <v/>
      </c>
      <c r="F138" t="str">
        <f>IFERROR(VLOOKUP(D138,Roster!$A$3:$N$101,3,FALSE),"")</f>
        <v/>
      </c>
      <c r="G138" t="str">
        <f>IFERROR(VLOOKUP(D138,Roster!$A$3:$N$101,4,FALSE),"")</f>
        <v/>
      </c>
      <c r="P138" t="str">
        <f>IF(D138="","",COUNTIF(D$3:D138,D138))</f>
        <v/>
      </c>
    </row>
    <row r="139" spans="5:16" ht="14.25" x14ac:dyDescent="0.45">
      <c r="E139" t="str">
        <f>IFERROR(VLOOKUP(D139,Roster!$A$3:$N$101,2,FALSE),"")</f>
        <v/>
      </c>
      <c r="F139" t="str">
        <f>IFERROR(VLOOKUP(D139,Roster!$A$3:$N$101,3,FALSE),"")</f>
        <v/>
      </c>
      <c r="G139" t="str">
        <f>IFERROR(VLOOKUP(D139,Roster!$A$3:$N$101,4,FALSE),"")</f>
        <v/>
      </c>
      <c r="P139" t="str">
        <f>IF(D139="","",COUNTIF(D$3:D139,D139))</f>
        <v/>
      </c>
    </row>
    <row r="140" spans="5:16" ht="14.25" x14ac:dyDescent="0.45">
      <c r="E140" t="str">
        <f>IFERROR(VLOOKUP(D140,Roster!$A$3:$N$101,2,FALSE),"")</f>
        <v/>
      </c>
      <c r="F140" t="str">
        <f>IFERROR(VLOOKUP(D140,Roster!$A$3:$N$101,3,FALSE),"")</f>
        <v/>
      </c>
      <c r="G140" t="str">
        <f>IFERROR(VLOOKUP(D140,Roster!$A$3:$N$101,4,FALSE),"")</f>
        <v/>
      </c>
      <c r="P140" t="str">
        <f>IF(D140="","",COUNTIF(D$3:D140,D140))</f>
        <v/>
      </c>
    </row>
    <row r="141" spans="5:16" ht="14.25" x14ac:dyDescent="0.45">
      <c r="E141" t="str">
        <f>IFERROR(VLOOKUP(D141,Roster!$A$3:$N$101,2,FALSE),"")</f>
        <v/>
      </c>
      <c r="F141" t="str">
        <f>IFERROR(VLOOKUP(D141,Roster!$A$3:$N$101,3,FALSE),"")</f>
        <v/>
      </c>
      <c r="G141" t="str">
        <f>IFERROR(VLOOKUP(D141,Roster!$A$3:$N$101,4,FALSE),"")</f>
        <v/>
      </c>
      <c r="P141" t="str">
        <f>IF(D141="","",COUNTIF(D$3:D141,D141))</f>
        <v/>
      </c>
    </row>
    <row r="142" spans="5:16" ht="14.25" x14ac:dyDescent="0.45">
      <c r="E142" t="str">
        <f>IFERROR(VLOOKUP(D142,Roster!$A$3:$N$101,2,FALSE),"")</f>
        <v/>
      </c>
      <c r="F142" t="str">
        <f>IFERROR(VLOOKUP(D142,Roster!$A$3:$N$101,3,FALSE),"")</f>
        <v/>
      </c>
      <c r="G142" t="str">
        <f>IFERROR(VLOOKUP(D142,Roster!$A$3:$N$101,4,FALSE),"")</f>
        <v/>
      </c>
      <c r="P142" t="str">
        <f>IF(D142="","",COUNTIF(D$3:D142,D142))</f>
        <v/>
      </c>
    </row>
    <row r="143" spans="5:16" ht="14.25" x14ac:dyDescent="0.45">
      <c r="E143" t="str">
        <f>IFERROR(VLOOKUP(D143,Roster!$A$3:$N$101,2,FALSE),"")</f>
        <v/>
      </c>
      <c r="F143" t="str">
        <f>IFERROR(VLOOKUP(D143,Roster!$A$3:$N$101,3,FALSE),"")</f>
        <v/>
      </c>
      <c r="G143" t="str">
        <f>IFERROR(VLOOKUP(D143,Roster!$A$3:$N$101,4,FALSE),"")</f>
        <v/>
      </c>
      <c r="P143" t="str">
        <f>IF(D143="","",COUNTIF(D$3:D143,D143))</f>
        <v/>
      </c>
    </row>
    <row r="144" spans="5:16" ht="14.25" x14ac:dyDescent="0.45">
      <c r="E144" t="str">
        <f>IFERROR(VLOOKUP(D144,Roster!$A$3:$N$101,2,FALSE),"")</f>
        <v/>
      </c>
      <c r="F144" t="str">
        <f>IFERROR(VLOOKUP(D144,Roster!$A$3:$N$101,3,FALSE),"")</f>
        <v/>
      </c>
      <c r="G144" t="str">
        <f>IFERROR(VLOOKUP(D144,Roster!$A$3:$N$101,4,FALSE),"")</f>
        <v/>
      </c>
      <c r="P144" t="str">
        <f>IF(D144="","",COUNTIF(D$3:D144,D144))</f>
        <v/>
      </c>
    </row>
    <row r="145" spans="5:16" ht="14.25" x14ac:dyDescent="0.45">
      <c r="E145" t="str">
        <f>IFERROR(VLOOKUP(D145,Roster!$A$3:$N$101,2,FALSE),"")</f>
        <v/>
      </c>
      <c r="F145" t="str">
        <f>IFERROR(VLOOKUP(D145,Roster!$A$3:$N$101,3,FALSE),"")</f>
        <v/>
      </c>
      <c r="G145" t="str">
        <f>IFERROR(VLOOKUP(D145,Roster!$A$3:$N$101,4,FALSE),"")</f>
        <v/>
      </c>
      <c r="P145" t="str">
        <f>IF(D145="","",COUNTIF(D$3:D145,D145))</f>
        <v/>
      </c>
    </row>
    <row r="146" spans="5:16" ht="14.25" x14ac:dyDescent="0.45">
      <c r="E146" t="str">
        <f>IFERROR(VLOOKUP(D146,Roster!$A$3:$N$101,2,FALSE),"")</f>
        <v/>
      </c>
      <c r="F146" t="str">
        <f>IFERROR(VLOOKUP(D146,Roster!$A$3:$N$101,3,FALSE),"")</f>
        <v/>
      </c>
      <c r="G146" t="str">
        <f>IFERROR(VLOOKUP(D146,Roster!$A$3:$N$101,4,FALSE),"")</f>
        <v/>
      </c>
      <c r="P146" t="str">
        <f>IF(D146="","",COUNTIF(D$3:D146,D146))</f>
        <v/>
      </c>
    </row>
    <row r="147" spans="5:16" ht="14.25" x14ac:dyDescent="0.45">
      <c r="E147" t="str">
        <f>IFERROR(VLOOKUP(D147,Roster!$A$3:$N$101,2,FALSE),"")</f>
        <v/>
      </c>
      <c r="F147" t="str">
        <f>IFERROR(VLOOKUP(D147,Roster!$A$3:$N$101,3,FALSE),"")</f>
        <v/>
      </c>
      <c r="G147" t="str">
        <f>IFERROR(VLOOKUP(D147,Roster!$A$3:$N$101,4,FALSE),"")</f>
        <v/>
      </c>
      <c r="P147" t="str">
        <f>IF(D147="","",COUNTIF(D$3:D147,D147))</f>
        <v/>
      </c>
    </row>
    <row r="148" spans="5:16" ht="14.25" x14ac:dyDescent="0.45">
      <c r="E148" t="str">
        <f>IFERROR(VLOOKUP(D148,Roster!$A$3:$N$101,2,FALSE),"")</f>
        <v/>
      </c>
      <c r="F148" t="str">
        <f>IFERROR(VLOOKUP(D148,Roster!$A$3:$N$101,3,FALSE),"")</f>
        <v/>
      </c>
      <c r="G148" t="str">
        <f>IFERROR(VLOOKUP(D148,Roster!$A$3:$N$101,4,FALSE),"")</f>
        <v/>
      </c>
      <c r="P148" t="str">
        <f>IF(D148="","",COUNTIF(D$3:D148,D148))</f>
        <v/>
      </c>
    </row>
    <row r="149" spans="5:16" ht="14.25" x14ac:dyDescent="0.45">
      <c r="E149" t="str">
        <f>IFERROR(VLOOKUP(D149,Roster!$A$3:$N$101,2,FALSE),"")</f>
        <v/>
      </c>
      <c r="F149" t="str">
        <f>IFERROR(VLOOKUP(D149,Roster!$A$3:$N$101,3,FALSE),"")</f>
        <v/>
      </c>
      <c r="G149" t="str">
        <f>IFERROR(VLOOKUP(D149,Roster!$A$3:$N$101,4,FALSE),"")</f>
        <v/>
      </c>
      <c r="P149" t="str">
        <f>IF(D149="","",COUNTIF(D$3:D149,D149))</f>
        <v/>
      </c>
    </row>
    <row r="150" spans="5:16" ht="14.25" x14ac:dyDescent="0.45">
      <c r="E150" t="str">
        <f>IFERROR(VLOOKUP(D150,Roster!$A$3:$N$101,2,FALSE),"")</f>
        <v/>
      </c>
      <c r="F150" t="str">
        <f>IFERROR(VLOOKUP(D150,Roster!$A$3:$N$101,3,FALSE),"")</f>
        <v/>
      </c>
      <c r="G150" t="str">
        <f>IFERROR(VLOOKUP(D150,Roster!$A$3:$N$101,4,FALSE),"")</f>
        <v/>
      </c>
      <c r="P150" t="str">
        <f>IF(D150="","",COUNTIF(D$3:D150,D150))</f>
        <v/>
      </c>
    </row>
    <row r="151" spans="5:16" ht="14.25" x14ac:dyDescent="0.45">
      <c r="E151" t="str">
        <f>IFERROR(VLOOKUP(D151,Roster!$A$3:$N$101,2,FALSE),"")</f>
        <v/>
      </c>
      <c r="F151" t="str">
        <f>IFERROR(VLOOKUP(D151,Roster!$A$3:$N$101,3,FALSE),"")</f>
        <v/>
      </c>
      <c r="G151" t="str">
        <f>IFERROR(VLOOKUP(D151,Roster!$A$3:$N$101,4,FALSE),"")</f>
        <v/>
      </c>
      <c r="P151" t="str">
        <f>IF(D151="","",COUNTIF(D$3:D151,D151))</f>
        <v/>
      </c>
    </row>
    <row r="152" spans="5:16" ht="14.25" x14ac:dyDescent="0.45">
      <c r="E152" t="str">
        <f>IFERROR(VLOOKUP(D152,Roster!$A$3:$N$101,2,FALSE),"")</f>
        <v/>
      </c>
      <c r="F152" t="str">
        <f>IFERROR(VLOOKUP(D152,Roster!$A$3:$N$101,3,FALSE),"")</f>
        <v/>
      </c>
      <c r="G152" t="str">
        <f>IFERROR(VLOOKUP(D152,Roster!$A$3:$N$101,4,FALSE),"")</f>
        <v/>
      </c>
      <c r="P152" t="str">
        <f>IF(D152="","",COUNTIF(D$3:D152,D152))</f>
        <v/>
      </c>
    </row>
    <row r="153" spans="5:16" ht="14.25" x14ac:dyDescent="0.45">
      <c r="E153" t="str">
        <f>IFERROR(VLOOKUP(D153,Roster!$A$3:$N$101,2,FALSE),"")</f>
        <v/>
      </c>
      <c r="F153" t="str">
        <f>IFERROR(VLOOKUP(D153,Roster!$A$3:$N$101,3,FALSE),"")</f>
        <v/>
      </c>
      <c r="G153" t="str">
        <f>IFERROR(VLOOKUP(D153,Roster!$A$3:$N$101,4,FALSE),"")</f>
        <v/>
      </c>
      <c r="P153" t="str">
        <f>IF(D153="","",COUNTIF(D$3:D153,D153))</f>
        <v/>
      </c>
    </row>
    <row r="154" spans="5:16" ht="14.25" x14ac:dyDescent="0.45">
      <c r="E154" t="str">
        <f>IFERROR(VLOOKUP(D154,Roster!$A$3:$N$101,2,FALSE),"")</f>
        <v/>
      </c>
      <c r="F154" t="str">
        <f>IFERROR(VLOOKUP(D154,Roster!$A$3:$N$101,3,FALSE),"")</f>
        <v/>
      </c>
      <c r="G154" t="str">
        <f>IFERROR(VLOOKUP(D154,Roster!$A$3:$N$101,4,FALSE),"")</f>
        <v/>
      </c>
      <c r="P154" t="str">
        <f>IF(D154="","",COUNTIF(D$3:D154,D154))</f>
        <v/>
      </c>
    </row>
    <row r="155" spans="5:16" ht="14.25" x14ac:dyDescent="0.45">
      <c r="E155" t="str">
        <f>IFERROR(VLOOKUP(D155,Roster!$A$3:$N$101,2,FALSE),"")</f>
        <v/>
      </c>
      <c r="F155" t="str">
        <f>IFERROR(VLOOKUP(D155,Roster!$A$3:$N$101,3,FALSE),"")</f>
        <v/>
      </c>
      <c r="G155" t="str">
        <f>IFERROR(VLOOKUP(D155,Roster!$A$3:$N$101,4,FALSE),"")</f>
        <v/>
      </c>
      <c r="P155" t="str">
        <f>IF(D155="","",COUNTIF(D$3:D155,D155))</f>
        <v/>
      </c>
    </row>
    <row r="156" spans="5:16" ht="14.25" x14ac:dyDescent="0.45">
      <c r="E156" t="str">
        <f>IFERROR(VLOOKUP(D156,Roster!$A$3:$N$101,2,FALSE),"")</f>
        <v/>
      </c>
      <c r="F156" t="str">
        <f>IFERROR(VLOOKUP(D156,Roster!$A$3:$N$101,3,FALSE),"")</f>
        <v/>
      </c>
      <c r="G156" t="str">
        <f>IFERROR(VLOOKUP(D156,Roster!$A$3:$N$101,4,FALSE),"")</f>
        <v/>
      </c>
      <c r="P156" t="str">
        <f>IF(D156="","",COUNTIF(D$3:D156,D156))</f>
        <v/>
      </c>
    </row>
    <row r="157" spans="5:16" ht="14.25" x14ac:dyDescent="0.45">
      <c r="E157" t="str">
        <f>IFERROR(VLOOKUP(D157,Roster!$A$3:$N$101,2,FALSE),"")</f>
        <v/>
      </c>
      <c r="F157" t="str">
        <f>IFERROR(VLOOKUP(D157,Roster!$A$3:$N$101,3,FALSE),"")</f>
        <v/>
      </c>
      <c r="G157" t="str">
        <f>IFERROR(VLOOKUP(D157,Roster!$A$3:$N$101,4,FALSE),"")</f>
        <v/>
      </c>
      <c r="P157" t="str">
        <f>IF(D157="","",COUNTIF(D$3:D157,D157))</f>
        <v/>
      </c>
    </row>
    <row r="158" spans="5:16" ht="14.25" x14ac:dyDescent="0.45">
      <c r="E158" t="str">
        <f>IFERROR(VLOOKUP(D158,Roster!$A$3:$N$101,2,FALSE),"")</f>
        <v/>
      </c>
      <c r="F158" t="str">
        <f>IFERROR(VLOOKUP(D158,Roster!$A$3:$N$101,3,FALSE),"")</f>
        <v/>
      </c>
      <c r="G158" t="str">
        <f>IFERROR(VLOOKUP(D158,Roster!$A$3:$N$101,4,FALSE),"")</f>
        <v/>
      </c>
      <c r="P158" t="str">
        <f>IF(D158="","",COUNTIF(D$3:D158,D158))</f>
        <v/>
      </c>
    </row>
    <row r="159" spans="5:16" ht="14.25" x14ac:dyDescent="0.45">
      <c r="E159" t="str">
        <f>IFERROR(VLOOKUP(D159,Roster!$A$3:$N$101,2,FALSE),"")</f>
        <v/>
      </c>
      <c r="F159" t="str">
        <f>IFERROR(VLOOKUP(D159,Roster!$A$3:$N$101,3,FALSE),"")</f>
        <v/>
      </c>
      <c r="G159" t="str">
        <f>IFERROR(VLOOKUP(D159,Roster!$A$3:$N$101,4,FALSE),"")</f>
        <v/>
      </c>
      <c r="P159" t="str">
        <f>IF(D159="","",COUNTIF(D$3:D159,D159))</f>
        <v/>
      </c>
    </row>
    <row r="160" spans="5:16" ht="14.25" x14ac:dyDescent="0.45">
      <c r="E160" t="str">
        <f>IFERROR(VLOOKUP(D160,Roster!$A$3:$N$101,2,FALSE),"")</f>
        <v/>
      </c>
      <c r="F160" t="str">
        <f>IFERROR(VLOOKUP(D160,Roster!$A$3:$N$101,3,FALSE),"")</f>
        <v/>
      </c>
      <c r="G160" t="str">
        <f>IFERROR(VLOOKUP(D160,Roster!$A$3:$N$101,4,FALSE),"")</f>
        <v/>
      </c>
      <c r="P160" t="str">
        <f>IF(D160="","",COUNTIF(D$3:D160,D160))</f>
        <v/>
      </c>
    </row>
    <row r="161" spans="5:16" ht="14.25" x14ac:dyDescent="0.45">
      <c r="E161" t="str">
        <f>IFERROR(VLOOKUP(D161,Roster!$A$3:$N$101,2,FALSE),"")</f>
        <v/>
      </c>
      <c r="F161" t="str">
        <f>IFERROR(VLOOKUP(D161,Roster!$A$3:$N$101,3,FALSE),"")</f>
        <v/>
      </c>
      <c r="G161" t="str">
        <f>IFERROR(VLOOKUP(D161,Roster!$A$3:$N$101,4,FALSE),"")</f>
        <v/>
      </c>
      <c r="P161" t="str">
        <f>IF(D161="","",COUNTIF(D$3:D161,D161))</f>
        <v/>
      </c>
    </row>
    <row r="162" spans="5:16" ht="14.25" x14ac:dyDescent="0.45">
      <c r="E162" t="str">
        <f>IFERROR(VLOOKUP(D162,Roster!$A$3:$N$101,2,FALSE),"")</f>
        <v/>
      </c>
      <c r="F162" t="str">
        <f>IFERROR(VLOOKUP(D162,Roster!$A$3:$N$101,3,FALSE),"")</f>
        <v/>
      </c>
      <c r="G162" t="str">
        <f>IFERROR(VLOOKUP(D162,Roster!$A$3:$N$101,4,FALSE),"")</f>
        <v/>
      </c>
      <c r="P162" t="str">
        <f>IF(D162="","",COUNTIF(D$3:D162,D162))</f>
        <v/>
      </c>
    </row>
    <row r="163" spans="5:16" ht="14.25" x14ac:dyDescent="0.45">
      <c r="E163" t="str">
        <f>IFERROR(VLOOKUP(D163,Roster!$A$3:$N$101,2,FALSE),"")</f>
        <v/>
      </c>
      <c r="F163" t="str">
        <f>IFERROR(VLOOKUP(D163,Roster!$A$3:$N$101,3,FALSE),"")</f>
        <v/>
      </c>
      <c r="G163" t="str">
        <f>IFERROR(VLOOKUP(D163,Roster!$A$3:$N$101,4,FALSE),"")</f>
        <v/>
      </c>
      <c r="P163" t="str">
        <f>IF(D163="","",COUNTIF(D$3:D163,D163))</f>
        <v/>
      </c>
    </row>
    <row r="164" spans="5:16" ht="14.25" x14ac:dyDescent="0.45">
      <c r="E164" t="str">
        <f>IFERROR(VLOOKUP(D164,Roster!$A$3:$N$101,2,FALSE),"")</f>
        <v/>
      </c>
      <c r="F164" t="str">
        <f>IFERROR(VLOOKUP(D164,Roster!$A$3:$N$101,3,FALSE),"")</f>
        <v/>
      </c>
      <c r="G164" t="str">
        <f>IFERROR(VLOOKUP(D164,Roster!$A$3:$N$101,4,FALSE),"")</f>
        <v/>
      </c>
      <c r="P164" t="str">
        <f>IF(D164="","",COUNTIF(D$3:D164,D164))</f>
        <v/>
      </c>
    </row>
    <row r="165" spans="5:16" ht="14.25" x14ac:dyDescent="0.45">
      <c r="E165" t="str">
        <f>IFERROR(VLOOKUP(D165,Roster!$A$3:$N$101,2,FALSE),"")</f>
        <v/>
      </c>
      <c r="F165" t="str">
        <f>IFERROR(VLOOKUP(D165,Roster!$A$3:$N$101,3,FALSE),"")</f>
        <v/>
      </c>
      <c r="G165" t="str">
        <f>IFERROR(VLOOKUP(D165,Roster!$A$3:$N$101,4,FALSE),"")</f>
        <v/>
      </c>
      <c r="P165" t="str">
        <f>IF(D165="","",COUNTIF(D$3:D165,D165))</f>
        <v/>
      </c>
    </row>
    <row r="166" spans="5:16" ht="14.25" x14ac:dyDescent="0.45">
      <c r="E166" t="str">
        <f>IFERROR(VLOOKUP(D166,Roster!$A$3:$N$101,2,FALSE),"")</f>
        <v/>
      </c>
      <c r="F166" t="str">
        <f>IFERROR(VLOOKUP(D166,Roster!$A$3:$N$101,3,FALSE),"")</f>
        <v/>
      </c>
      <c r="G166" t="str">
        <f>IFERROR(VLOOKUP(D166,Roster!$A$3:$N$101,4,FALSE),"")</f>
        <v/>
      </c>
      <c r="P166" t="str">
        <f>IF(D166="","",COUNTIF(D$3:D166,D166))</f>
        <v/>
      </c>
    </row>
    <row r="167" spans="5:16" ht="14.25" x14ac:dyDescent="0.45">
      <c r="E167" t="str">
        <f>IFERROR(VLOOKUP(D167,Roster!$A$3:$N$101,2,FALSE),"")</f>
        <v/>
      </c>
      <c r="F167" t="str">
        <f>IFERROR(VLOOKUP(D167,Roster!$A$3:$N$101,3,FALSE),"")</f>
        <v/>
      </c>
      <c r="G167" t="str">
        <f>IFERROR(VLOOKUP(D167,Roster!$A$3:$N$101,4,FALSE),"")</f>
        <v/>
      </c>
      <c r="P167" t="str">
        <f>IF(D167="","",COUNTIF(D$3:D167,D167))</f>
        <v/>
      </c>
    </row>
    <row r="168" spans="5:16" ht="14.25" x14ac:dyDescent="0.45">
      <c r="E168" t="str">
        <f>IFERROR(VLOOKUP(D168,Roster!$A$3:$N$101,2,FALSE),"")</f>
        <v/>
      </c>
      <c r="F168" t="str">
        <f>IFERROR(VLOOKUP(D168,Roster!$A$3:$N$101,3,FALSE),"")</f>
        <v/>
      </c>
      <c r="G168" t="str">
        <f>IFERROR(VLOOKUP(D168,Roster!$A$3:$N$101,4,FALSE),"")</f>
        <v/>
      </c>
      <c r="P168" t="str">
        <f>IF(D168="","",COUNTIF(D$3:D168,D168))</f>
        <v/>
      </c>
    </row>
    <row r="169" spans="5:16" ht="14.25" x14ac:dyDescent="0.45">
      <c r="E169" t="str">
        <f>IFERROR(VLOOKUP(D169,Roster!$A$3:$N$101,2,FALSE),"")</f>
        <v/>
      </c>
      <c r="F169" t="str">
        <f>IFERROR(VLOOKUP(D169,Roster!$A$3:$N$101,3,FALSE),"")</f>
        <v/>
      </c>
      <c r="G169" t="str">
        <f>IFERROR(VLOOKUP(D169,Roster!$A$3:$N$101,4,FALSE),"")</f>
        <v/>
      </c>
      <c r="P169" t="str">
        <f>IF(D169="","",COUNTIF(D$3:D169,D169))</f>
        <v/>
      </c>
    </row>
    <row r="170" spans="5:16" ht="14.25" x14ac:dyDescent="0.45">
      <c r="E170" t="str">
        <f>IFERROR(VLOOKUP(D170,Roster!$A$3:$N$101,2,FALSE),"")</f>
        <v/>
      </c>
      <c r="F170" t="str">
        <f>IFERROR(VLOOKUP(D170,Roster!$A$3:$N$101,3,FALSE),"")</f>
        <v/>
      </c>
      <c r="G170" t="str">
        <f>IFERROR(VLOOKUP(D170,Roster!$A$3:$N$101,4,FALSE),"")</f>
        <v/>
      </c>
      <c r="P170" t="str">
        <f>IF(D170="","",COUNTIF(D$3:D170,D170))</f>
        <v/>
      </c>
    </row>
    <row r="171" spans="5:16" ht="14.25" x14ac:dyDescent="0.45">
      <c r="E171" t="str">
        <f>IFERROR(VLOOKUP(D171,Roster!$A$3:$N$101,2,FALSE),"")</f>
        <v/>
      </c>
      <c r="F171" t="str">
        <f>IFERROR(VLOOKUP(D171,Roster!$A$3:$N$101,3,FALSE),"")</f>
        <v/>
      </c>
      <c r="G171" t="str">
        <f>IFERROR(VLOOKUP(D171,Roster!$A$3:$N$101,4,FALSE),"")</f>
        <v/>
      </c>
      <c r="P171" t="str">
        <f>IF(D171="","",COUNTIF(D$3:D171,D171))</f>
        <v/>
      </c>
    </row>
    <row r="172" spans="5:16" ht="14.25" x14ac:dyDescent="0.45">
      <c r="E172" t="str">
        <f>IFERROR(VLOOKUP(D172,Roster!$A$3:$N$101,2,FALSE),"")</f>
        <v/>
      </c>
      <c r="F172" t="str">
        <f>IFERROR(VLOOKUP(D172,Roster!$A$3:$N$101,3,FALSE),"")</f>
        <v/>
      </c>
      <c r="G172" t="str">
        <f>IFERROR(VLOOKUP(D172,Roster!$A$3:$N$101,4,FALSE),"")</f>
        <v/>
      </c>
      <c r="P172" t="str">
        <f>IF(D172="","",COUNTIF(D$3:D172,D172))</f>
        <v/>
      </c>
    </row>
    <row r="173" spans="5:16" ht="14.25" x14ac:dyDescent="0.45">
      <c r="E173" t="str">
        <f>IFERROR(VLOOKUP(D173,Roster!$A$3:$N$101,2,FALSE),"")</f>
        <v/>
      </c>
      <c r="F173" t="str">
        <f>IFERROR(VLOOKUP(D173,Roster!$A$3:$N$101,3,FALSE),"")</f>
        <v/>
      </c>
      <c r="G173" t="str">
        <f>IFERROR(VLOOKUP(D173,Roster!$A$3:$N$101,4,FALSE),"")</f>
        <v/>
      </c>
      <c r="P173" t="str">
        <f>IF(D173="","",COUNTIF(D$3:D173,D173))</f>
        <v/>
      </c>
    </row>
    <row r="174" spans="5:16" ht="14.25" x14ac:dyDescent="0.45">
      <c r="E174" t="str">
        <f>IFERROR(VLOOKUP(D174,Roster!$A$3:$N$101,2,FALSE),"")</f>
        <v/>
      </c>
      <c r="F174" t="str">
        <f>IFERROR(VLOOKUP(D174,Roster!$A$3:$N$101,3,FALSE),"")</f>
        <v/>
      </c>
      <c r="G174" t="str">
        <f>IFERROR(VLOOKUP(D174,Roster!$A$3:$N$101,4,FALSE),"")</f>
        <v/>
      </c>
      <c r="P174" t="str">
        <f>IF(D174="","",COUNTIF(D$3:D174,D174))</f>
        <v/>
      </c>
    </row>
    <row r="175" spans="5:16" ht="14.25" x14ac:dyDescent="0.45">
      <c r="E175" t="str">
        <f>IFERROR(VLOOKUP(D175,Roster!$A$3:$N$101,2,FALSE),"")</f>
        <v/>
      </c>
      <c r="F175" t="str">
        <f>IFERROR(VLOOKUP(D175,Roster!$A$3:$N$101,3,FALSE),"")</f>
        <v/>
      </c>
      <c r="G175" t="str">
        <f>IFERROR(VLOOKUP(D175,Roster!$A$3:$N$101,4,FALSE),"")</f>
        <v/>
      </c>
      <c r="P175" t="str">
        <f>IF(D175="","",COUNTIF(D$3:D175,D175))</f>
        <v/>
      </c>
    </row>
    <row r="176" spans="5:16" ht="14.25" x14ac:dyDescent="0.45">
      <c r="E176" t="str">
        <f>IFERROR(VLOOKUP(D176,Roster!$A$3:$N$101,2,FALSE),"")</f>
        <v/>
      </c>
      <c r="F176" t="str">
        <f>IFERROR(VLOOKUP(D176,Roster!$A$3:$N$101,3,FALSE),"")</f>
        <v/>
      </c>
      <c r="G176" t="str">
        <f>IFERROR(VLOOKUP(D176,Roster!$A$3:$N$101,4,FALSE),"")</f>
        <v/>
      </c>
      <c r="P176" t="str">
        <f>IF(D176="","",COUNTIF(D$3:D176,D176))</f>
        <v/>
      </c>
    </row>
    <row r="177" spans="5:16" ht="14.25" x14ac:dyDescent="0.45">
      <c r="E177" t="str">
        <f>IFERROR(VLOOKUP(D177,Roster!$A$3:$N$101,2,FALSE),"")</f>
        <v/>
      </c>
      <c r="F177" t="str">
        <f>IFERROR(VLOOKUP(D177,Roster!$A$3:$N$101,3,FALSE),"")</f>
        <v/>
      </c>
      <c r="G177" t="str">
        <f>IFERROR(VLOOKUP(D177,Roster!$A$3:$N$101,4,FALSE),"")</f>
        <v/>
      </c>
      <c r="P177" t="str">
        <f>IF(D177="","",COUNTIF(D$3:D177,D177))</f>
        <v/>
      </c>
    </row>
    <row r="178" spans="5:16" ht="14.25" x14ac:dyDescent="0.45">
      <c r="E178" t="str">
        <f>IFERROR(VLOOKUP(D178,Roster!$A$3:$N$101,2,FALSE),"")</f>
        <v/>
      </c>
      <c r="F178" t="str">
        <f>IFERROR(VLOOKUP(D178,Roster!$A$3:$N$101,3,FALSE),"")</f>
        <v/>
      </c>
      <c r="G178" t="str">
        <f>IFERROR(VLOOKUP(D178,Roster!$A$3:$N$101,4,FALSE),"")</f>
        <v/>
      </c>
      <c r="P178" t="str">
        <f>IF(D178="","",COUNTIF(D$3:D178,D178))</f>
        <v/>
      </c>
    </row>
    <row r="179" spans="5:16" ht="14.25" x14ac:dyDescent="0.45">
      <c r="E179" t="str">
        <f>IFERROR(VLOOKUP(D179,Roster!$A$3:$N$101,2,FALSE),"")</f>
        <v/>
      </c>
      <c r="F179" t="str">
        <f>IFERROR(VLOOKUP(D179,Roster!$A$3:$N$101,3,FALSE),"")</f>
        <v/>
      </c>
      <c r="G179" t="str">
        <f>IFERROR(VLOOKUP(D179,Roster!$A$3:$N$101,4,FALSE),"")</f>
        <v/>
      </c>
      <c r="P179" t="str">
        <f>IF(D179="","",COUNTIF(D$3:D179,D179))</f>
        <v/>
      </c>
    </row>
    <row r="180" spans="5:16" ht="14.25" x14ac:dyDescent="0.45">
      <c r="E180" t="str">
        <f>IFERROR(VLOOKUP(D180,Roster!$A$3:$N$101,2,FALSE),"")</f>
        <v/>
      </c>
      <c r="F180" t="str">
        <f>IFERROR(VLOOKUP(D180,Roster!$A$3:$N$101,3,FALSE),"")</f>
        <v/>
      </c>
      <c r="G180" t="str">
        <f>IFERROR(VLOOKUP(D180,Roster!$A$3:$N$101,4,FALSE),"")</f>
        <v/>
      </c>
      <c r="P180" t="str">
        <f>IF(D180="","",COUNTIF(D$3:D180,D180))</f>
        <v/>
      </c>
    </row>
    <row r="181" spans="5:16" ht="14.25" x14ac:dyDescent="0.45">
      <c r="E181" t="str">
        <f>IFERROR(VLOOKUP(D181,Roster!$A$3:$N$101,2,FALSE),"")</f>
        <v/>
      </c>
      <c r="F181" t="str">
        <f>IFERROR(VLOOKUP(D181,Roster!$A$3:$N$101,3,FALSE),"")</f>
        <v/>
      </c>
      <c r="G181" t="str">
        <f>IFERROR(VLOOKUP(D181,Roster!$A$3:$N$101,4,FALSE),"")</f>
        <v/>
      </c>
      <c r="P181" t="str">
        <f>IF(D181="","",COUNTIF(D$3:D181,D181))</f>
        <v/>
      </c>
    </row>
    <row r="182" spans="5:16" ht="14.25" x14ac:dyDescent="0.45">
      <c r="E182" t="str">
        <f>IFERROR(VLOOKUP(D182,Roster!$A$3:$N$101,2,FALSE),"")</f>
        <v/>
      </c>
      <c r="F182" t="str">
        <f>IFERROR(VLOOKUP(D182,Roster!$A$3:$N$101,3,FALSE),"")</f>
        <v/>
      </c>
      <c r="G182" t="str">
        <f>IFERROR(VLOOKUP(D182,Roster!$A$3:$N$101,4,FALSE),"")</f>
        <v/>
      </c>
      <c r="P182" t="str">
        <f>IF(D182="","",COUNTIF(D$3:D182,D182))</f>
        <v/>
      </c>
    </row>
    <row r="183" spans="5:16" ht="14.25" x14ac:dyDescent="0.45">
      <c r="E183" t="str">
        <f>IFERROR(VLOOKUP(D183,Roster!$A$3:$N$101,2,FALSE),"")</f>
        <v/>
      </c>
      <c r="F183" t="str">
        <f>IFERROR(VLOOKUP(D183,Roster!$A$3:$N$101,3,FALSE),"")</f>
        <v/>
      </c>
      <c r="G183" t="str">
        <f>IFERROR(VLOOKUP(D183,Roster!$A$3:$N$101,4,FALSE),"")</f>
        <v/>
      </c>
      <c r="P183" t="str">
        <f>IF(D183="","",COUNTIF(D$3:D183,D183))</f>
        <v/>
      </c>
    </row>
    <row r="184" spans="5:16" ht="14.25" x14ac:dyDescent="0.45">
      <c r="E184" t="str">
        <f>IFERROR(VLOOKUP(D184,Roster!$A$3:$N$101,2,FALSE),"")</f>
        <v/>
      </c>
      <c r="F184" t="str">
        <f>IFERROR(VLOOKUP(D184,Roster!$A$3:$N$101,3,FALSE),"")</f>
        <v/>
      </c>
      <c r="G184" t="str">
        <f>IFERROR(VLOOKUP(D184,Roster!$A$3:$N$101,4,FALSE),"")</f>
        <v/>
      </c>
      <c r="P184" t="str">
        <f>IF(D184="","",COUNTIF(D$3:D184,D184))</f>
        <v/>
      </c>
    </row>
    <row r="185" spans="5:16" ht="14.25" x14ac:dyDescent="0.45">
      <c r="E185" t="str">
        <f>IFERROR(VLOOKUP(D185,Roster!$A$3:$N$101,2,FALSE),"")</f>
        <v/>
      </c>
      <c r="F185" t="str">
        <f>IFERROR(VLOOKUP(D185,Roster!$A$3:$N$101,3,FALSE),"")</f>
        <v/>
      </c>
      <c r="G185" t="str">
        <f>IFERROR(VLOOKUP(D185,Roster!$A$3:$N$101,4,FALSE),"")</f>
        <v/>
      </c>
      <c r="P185" t="str">
        <f>IF(D185="","",COUNTIF(D$3:D185,D185))</f>
        <v/>
      </c>
    </row>
    <row r="186" spans="5:16" ht="14.25" x14ac:dyDescent="0.45">
      <c r="E186" t="str">
        <f>IFERROR(VLOOKUP(D186,Roster!$A$3:$N$101,2,FALSE),"")</f>
        <v/>
      </c>
      <c r="F186" t="str">
        <f>IFERROR(VLOOKUP(D186,Roster!$A$3:$N$101,3,FALSE),"")</f>
        <v/>
      </c>
      <c r="G186" t="str">
        <f>IFERROR(VLOOKUP(D186,Roster!$A$3:$N$101,4,FALSE),"")</f>
        <v/>
      </c>
      <c r="P186" t="str">
        <f>IF(D186="","",COUNTIF(D$3:D186,D186))</f>
        <v/>
      </c>
    </row>
    <row r="187" spans="5:16" ht="14.25" x14ac:dyDescent="0.45">
      <c r="E187" t="str">
        <f>IFERROR(VLOOKUP(D187,Roster!$A$3:$N$101,2,FALSE),"")</f>
        <v/>
      </c>
      <c r="F187" t="str">
        <f>IFERROR(VLOOKUP(D187,Roster!$A$3:$N$101,3,FALSE),"")</f>
        <v/>
      </c>
      <c r="G187" t="str">
        <f>IFERROR(VLOOKUP(D187,Roster!$A$3:$N$101,4,FALSE),"")</f>
        <v/>
      </c>
      <c r="P187" t="str">
        <f>IF(D187="","",COUNTIF(D$3:D187,D187))</f>
        <v/>
      </c>
    </row>
    <row r="188" spans="5:16" ht="14.25" x14ac:dyDescent="0.45">
      <c r="E188" t="str">
        <f>IFERROR(VLOOKUP(D188,Roster!$A$3:$N$101,2,FALSE),"")</f>
        <v/>
      </c>
      <c r="F188" t="str">
        <f>IFERROR(VLOOKUP(D188,Roster!$A$3:$N$101,3,FALSE),"")</f>
        <v/>
      </c>
      <c r="G188" t="str">
        <f>IFERROR(VLOOKUP(D188,Roster!$A$3:$N$101,4,FALSE),"")</f>
        <v/>
      </c>
      <c r="P188" t="str">
        <f>IF(D188="","",COUNTIF(D$3:D188,D188))</f>
        <v/>
      </c>
    </row>
    <row r="189" spans="5:16" ht="14.25" x14ac:dyDescent="0.45">
      <c r="E189" t="str">
        <f>IFERROR(VLOOKUP(D189,Roster!$A$3:$N$101,2,FALSE),"")</f>
        <v/>
      </c>
      <c r="F189" t="str">
        <f>IFERROR(VLOOKUP(D189,Roster!$A$3:$N$101,3,FALSE),"")</f>
        <v/>
      </c>
      <c r="G189" t="str">
        <f>IFERROR(VLOOKUP(D189,Roster!$A$3:$N$101,4,FALSE),"")</f>
        <v/>
      </c>
      <c r="P189" t="str">
        <f>IF(D189="","",COUNTIF(D$3:D189,D189))</f>
        <v/>
      </c>
    </row>
    <row r="190" spans="5:16" ht="14.25" x14ac:dyDescent="0.45">
      <c r="E190" t="str">
        <f>IFERROR(VLOOKUP(D190,Roster!$A$3:$N$101,2,FALSE),"")</f>
        <v/>
      </c>
      <c r="F190" t="str">
        <f>IFERROR(VLOOKUP(D190,Roster!$A$3:$N$101,3,FALSE),"")</f>
        <v/>
      </c>
      <c r="G190" t="str">
        <f>IFERROR(VLOOKUP(D190,Roster!$A$3:$N$101,4,FALSE),"")</f>
        <v/>
      </c>
      <c r="P190" t="str">
        <f>IF(D190="","",COUNTIF(D$3:D190,D190))</f>
        <v/>
      </c>
    </row>
    <row r="191" spans="5:16" ht="14.25" x14ac:dyDescent="0.45">
      <c r="E191" t="str">
        <f>IFERROR(VLOOKUP(D191,Roster!$A$3:$N$101,2,FALSE),"")</f>
        <v/>
      </c>
      <c r="F191" t="str">
        <f>IFERROR(VLOOKUP(D191,Roster!$A$3:$N$101,3,FALSE),"")</f>
        <v/>
      </c>
      <c r="G191" t="str">
        <f>IFERROR(VLOOKUP(D191,Roster!$A$3:$N$101,4,FALSE),"")</f>
        <v/>
      </c>
      <c r="P191" t="str">
        <f>IF(D191="","",COUNTIF(D$3:D191,D191))</f>
        <v/>
      </c>
    </row>
    <row r="192" spans="5:16" ht="14.25" x14ac:dyDescent="0.45">
      <c r="E192" t="str">
        <f>IFERROR(VLOOKUP(D192,Roster!$A$3:$N$101,2,FALSE),"")</f>
        <v/>
      </c>
      <c r="F192" t="str">
        <f>IFERROR(VLOOKUP(D192,Roster!$A$3:$N$101,3,FALSE),"")</f>
        <v/>
      </c>
      <c r="G192" t="str">
        <f>IFERROR(VLOOKUP(D192,Roster!$A$3:$N$101,4,FALSE),"")</f>
        <v/>
      </c>
      <c r="P192" t="str">
        <f>IF(D192="","",COUNTIF(D$3:D192,D192))</f>
        <v/>
      </c>
    </row>
    <row r="193" spans="5:16" ht="14.25" x14ac:dyDescent="0.45">
      <c r="E193" t="str">
        <f>IFERROR(VLOOKUP(D193,Roster!$A$3:$N$101,2,FALSE),"")</f>
        <v/>
      </c>
      <c r="F193" t="str">
        <f>IFERROR(VLOOKUP(D193,Roster!$A$3:$N$101,3,FALSE),"")</f>
        <v/>
      </c>
      <c r="G193" t="str">
        <f>IFERROR(VLOOKUP(D193,Roster!$A$3:$N$101,4,FALSE),"")</f>
        <v/>
      </c>
      <c r="P193" t="str">
        <f>IF(D193="","",COUNTIF(D$3:D193,D193))</f>
        <v/>
      </c>
    </row>
    <row r="194" spans="5:16" ht="14.25" x14ac:dyDescent="0.45">
      <c r="E194" t="str">
        <f>IFERROR(VLOOKUP(D194,Roster!$A$3:$N$101,2,FALSE),"")</f>
        <v/>
      </c>
      <c r="F194" t="str">
        <f>IFERROR(VLOOKUP(D194,Roster!$A$3:$N$101,3,FALSE),"")</f>
        <v/>
      </c>
      <c r="G194" t="str">
        <f>IFERROR(VLOOKUP(D194,Roster!$A$3:$N$101,4,FALSE),"")</f>
        <v/>
      </c>
      <c r="P194" t="str">
        <f>IF(D194="","",COUNTIF(D$3:D194,D194))</f>
        <v/>
      </c>
    </row>
    <row r="195" spans="5:16" ht="14.25" x14ac:dyDescent="0.45">
      <c r="E195" t="str">
        <f>IFERROR(VLOOKUP(D195,Roster!$A$3:$N$101,2,FALSE),"")</f>
        <v/>
      </c>
      <c r="F195" t="str">
        <f>IFERROR(VLOOKUP(D195,Roster!$A$3:$N$101,3,FALSE),"")</f>
        <v/>
      </c>
      <c r="G195" t="str">
        <f>IFERROR(VLOOKUP(D195,Roster!$A$3:$N$101,4,FALSE),"")</f>
        <v/>
      </c>
      <c r="P195" t="str">
        <f>IF(D195="","",COUNTIF(D$3:D195,D195))</f>
        <v/>
      </c>
    </row>
    <row r="196" spans="5:16" ht="14.25" x14ac:dyDescent="0.45">
      <c r="E196" t="str">
        <f>IFERROR(VLOOKUP(D196,Roster!$A$3:$N$101,2,FALSE),"")</f>
        <v/>
      </c>
      <c r="F196" t="str">
        <f>IFERROR(VLOOKUP(D196,Roster!$A$3:$N$101,3,FALSE),"")</f>
        <v/>
      </c>
      <c r="G196" t="str">
        <f>IFERROR(VLOOKUP(D196,Roster!$A$3:$N$101,4,FALSE),"")</f>
        <v/>
      </c>
      <c r="P196" t="str">
        <f>IF(D196="","",COUNTIF(D$3:D196,D196))</f>
        <v/>
      </c>
    </row>
    <row r="197" spans="5:16" ht="14.25" x14ac:dyDescent="0.45">
      <c r="E197" t="str">
        <f>IFERROR(VLOOKUP(D197,Roster!$A$3:$N$101,2,FALSE),"")</f>
        <v/>
      </c>
      <c r="F197" t="str">
        <f>IFERROR(VLOOKUP(D197,Roster!$A$3:$N$101,3,FALSE),"")</f>
        <v/>
      </c>
      <c r="G197" t="str">
        <f>IFERROR(VLOOKUP(D197,Roster!$A$3:$N$101,4,FALSE),"")</f>
        <v/>
      </c>
      <c r="P197" t="str">
        <f>IF(D197="","",COUNTIF(D$3:D197,D197))</f>
        <v/>
      </c>
    </row>
    <row r="198" spans="5:16" ht="14.25" x14ac:dyDescent="0.45">
      <c r="E198" t="str">
        <f>IFERROR(VLOOKUP(D198,Roster!$A$3:$N$101,2,FALSE),"")</f>
        <v/>
      </c>
      <c r="F198" t="str">
        <f>IFERROR(VLOOKUP(D198,Roster!$A$3:$N$101,3,FALSE),"")</f>
        <v/>
      </c>
      <c r="G198" t="str">
        <f>IFERROR(VLOOKUP(D198,Roster!$A$3:$N$101,4,FALSE),"")</f>
        <v/>
      </c>
      <c r="P198" t="str">
        <f>IF(D198="","",COUNTIF(D$3:D198,D198))</f>
        <v/>
      </c>
    </row>
    <row r="199" spans="5:16" ht="14.25" x14ac:dyDescent="0.45">
      <c r="E199" t="str">
        <f>IFERROR(VLOOKUP(D199,Roster!$A$3:$N$101,2,FALSE),"")</f>
        <v/>
      </c>
      <c r="F199" t="str">
        <f>IFERROR(VLOOKUP(D199,Roster!$A$3:$N$101,3,FALSE),"")</f>
        <v/>
      </c>
      <c r="G199" t="str">
        <f>IFERROR(VLOOKUP(D199,Roster!$A$3:$N$101,4,FALSE),"")</f>
        <v/>
      </c>
      <c r="P199" t="str">
        <f>IF(D199="","",COUNTIF(D$3:D199,D199))</f>
        <v/>
      </c>
    </row>
    <row r="200" spans="5:16" ht="14.25" x14ac:dyDescent="0.45">
      <c r="E200" t="str">
        <f>IFERROR(VLOOKUP(D200,Roster!$A$3:$N$101,2,FALSE),"")</f>
        <v/>
      </c>
      <c r="F200" t="str">
        <f>IFERROR(VLOOKUP(D200,Roster!$A$3:$N$101,3,FALSE),"")</f>
        <v/>
      </c>
      <c r="G200" t="str">
        <f>IFERROR(VLOOKUP(D200,Roster!$A$3:$N$101,4,FALSE),"")</f>
        <v/>
      </c>
      <c r="P200" t="str">
        <f>IF(D200="","",COUNTIF(D$3:D200,D200))</f>
        <v/>
      </c>
    </row>
    <row r="201" spans="5:16" ht="14.25" x14ac:dyDescent="0.45">
      <c r="E201" t="str">
        <f>IFERROR(VLOOKUP(D201,Roster!$A$3:$N$101,2,FALSE),"")</f>
        <v/>
      </c>
      <c r="F201" t="str">
        <f>IFERROR(VLOOKUP(D201,Roster!$A$3:$N$101,3,FALSE),"")</f>
        <v/>
      </c>
      <c r="G201" t="str">
        <f>IFERROR(VLOOKUP(D201,Roster!$A$3:$N$101,4,FALSE),"")</f>
        <v/>
      </c>
      <c r="P201" t="str">
        <f>IF(D201="","",COUNTIF(D$3:D201,D201))</f>
        <v/>
      </c>
    </row>
  </sheetData>
  <mergeCells count="1">
    <mergeCell ref="A1:Q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Title="Invalid Entry" error="Please select from the dropdown list." xr:uid="{00000000-0002-0000-0200-000000000000}">
          <x14:formula1>
            <xm:f>Lists!$B$2:$B$12</xm:f>
          </x14:formula1>
          <xm:sqref>H3:H201</xm:sqref>
        </x14:dataValidation>
        <x14:dataValidation type="list" allowBlank="1" showErrorMessage="1" errorTitle="Invalid Entry" error="Please select from the dropdown list." xr:uid="{00000000-0002-0000-0200-000002000000}">
          <x14:formula1>
            <xm:f>Lists!$C$2:$C$8</xm:f>
          </x14:formula1>
          <xm:sqref>J3:J201</xm:sqref>
        </x14:dataValidation>
        <x14:dataValidation type="list" allowBlank="1" showErrorMessage="1" errorTitle="Invalid Entry" error="Please select from the dropdown list." xr:uid="{00000000-0002-0000-0200-000004000000}">
          <x14:formula1>
            <xm:f>Lists!$I$2:$I$13</xm:f>
          </x14:formula1>
          <xm:sqref>K3:L201</xm:sqref>
        </x14:dataValidation>
        <x14:dataValidation type="list" allowBlank="1" showErrorMessage="1" errorTitle="Invalid Entry" error="Please select from the dropdown list." xr:uid="{00000000-0002-0000-0200-000006000000}">
          <x14:formula1>
            <xm:f>Lists!$E$2:$E$6</xm:f>
          </x14:formula1>
          <xm:sqref>M3:M201</xm:sqref>
        </x14:dataValidation>
        <x14:dataValidation type="list" allowBlank="1" showErrorMessage="1" errorTitle="Invalid Entry" error="Please select from the dropdown list." xr:uid="{00000000-0002-0000-0200-000008000000}">
          <x14:formula1>
            <xm:f>Lists!$F$2:$F$10</xm:f>
          </x14:formula1>
          <xm:sqref>N3:N201</xm:sqref>
        </x14:dataValidation>
        <x14:dataValidation type="list" allowBlank="1" showErrorMessage="1" errorTitle="Invalid Entry" error="Please select from the dropdown list." xr:uid="{00000000-0002-0000-0200-00000A000000}">
          <x14:formula1>
            <xm:f>Lists!$K$2:$K$3</xm:f>
          </x14:formula1>
          <xm:sqref>O3:O201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1"/>
  <sheetViews>
    <sheetView zoomScaleNormal="100" workbookViewId="0"/>
  </sheetViews>
  <sheetFormatPr defaultRowHeight="15" customHeight="1" x14ac:dyDescent="0.45"/>
  <cols>
    <col min="1" max="2" width="15" customWidth="1"/>
    <col min="3" max="4" width="18.33203125" customWidth="1"/>
    <col min="5" max="5" width="13.33203125" customWidth="1"/>
    <col min="6" max="6" width="26.6640625" customWidth="1"/>
    <col min="7" max="8" width="18.33203125" customWidth="1"/>
    <col min="9" max="12" width="16.6640625" customWidth="1"/>
    <col min="13" max="13" width="21.6640625" customWidth="1"/>
    <col min="14" max="14" width="16.6640625" customWidth="1"/>
    <col min="15" max="16" width="18.33203125" customWidth="1"/>
    <col min="17" max="17" width="16.6640625" customWidth="1"/>
    <col min="18" max="18" width="33.33203125" customWidth="1"/>
  </cols>
  <sheetData>
    <row r="1" spans="1:18" ht="14.25" x14ac:dyDescent="0.45">
      <c r="A1" s="4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4.25" x14ac:dyDescent="0.45">
      <c r="A2" t="s">
        <v>129</v>
      </c>
      <c r="B2" t="s">
        <v>28</v>
      </c>
      <c r="C2" t="s">
        <v>79</v>
      </c>
      <c r="D2" t="s">
        <v>80</v>
      </c>
      <c r="E2" t="s">
        <v>81</v>
      </c>
      <c r="F2" t="s">
        <v>130</v>
      </c>
      <c r="G2" t="s">
        <v>131</v>
      </c>
      <c r="H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140</v>
      </c>
      <c r="Q2" t="s">
        <v>141</v>
      </c>
      <c r="R2" t="s">
        <v>41</v>
      </c>
    </row>
    <row r="3" spans="1:18" ht="15" customHeight="1" x14ac:dyDescent="0.5">
      <c r="A3" t="s">
        <v>142</v>
      </c>
      <c r="B3" t="s">
        <v>42</v>
      </c>
      <c r="C3" t="str">
        <f>IFERROR(VLOOKUP(B3,Roster!$A$3:$N$101,2,FALSE),"")</f>
        <v>Torres</v>
      </c>
      <c r="D3" s="1" t="str">
        <f>IFERROR(VLOOKUP(B3,Roster!$A$3:$N$101,3,FALSE),"")</f>
        <v>Miguel</v>
      </c>
      <c r="E3" s="1" t="str">
        <f>IFERROR(VLOOKUP(B3,Roster!$A$3:$N$101,4,FALSE),"")</f>
        <v>9th Grade</v>
      </c>
      <c r="F3" t="s">
        <v>143</v>
      </c>
      <c r="G3" s="3">
        <v>46037</v>
      </c>
      <c r="H3" s="3">
        <v>46044</v>
      </c>
      <c r="I3">
        <v>5</v>
      </c>
      <c r="J3" s="1">
        <f t="shared" ref="J3:J34" ca="1" si="0">IF(G3="","",IF(H3="",TODAY()-G3,H3-G3))</f>
        <v>7</v>
      </c>
      <c r="K3">
        <f t="shared" ref="K3:K34" ca="1" si="1">IF(I3="","",MAX(0,I3-J3))</f>
        <v>0</v>
      </c>
      <c r="L3" s="1" t="s">
        <v>90</v>
      </c>
      <c r="M3" t="s">
        <v>95</v>
      </c>
      <c r="N3" t="s">
        <v>62</v>
      </c>
      <c r="O3" s="3">
        <v>46037</v>
      </c>
      <c r="P3" s="3">
        <v>46045</v>
      </c>
      <c r="Q3" t="str">
        <f t="shared" ref="Q3:Q34" ca="1" si="2">IF(B3="","",IF(COUNTIFS(B$3:B$201,B3,F$3:F$201,"*OSS*",G$3:G$201,"&gt;="&amp;(TODAY()-90))&gt;=3,"🚨 ESCALATE — "&amp;COUNTIFS(B$3:B$201,B3,F$3:F$201,"*OSS*",G$3:G$201,"&gt;="&amp;(TODAY()-90))&amp;" OSS in 90d",TEXT(COUNTIFS(B$3:B$201,B3,F$3:F$201,"*OSS*",G$3:G$201,"&gt;="&amp;(TODAY()-90)),"0")))</f>
        <v>0</v>
      </c>
    </row>
    <row r="4" spans="1:18" ht="15" customHeight="1" x14ac:dyDescent="0.5">
      <c r="A4" t="s">
        <v>144</v>
      </c>
      <c r="B4" t="s">
        <v>42</v>
      </c>
      <c r="C4" t="str">
        <f>IFERROR(VLOOKUP(B4,Roster!$A$3:$N$101,2,FALSE),"")</f>
        <v>Torres</v>
      </c>
      <c r="D4" s="1" t="str">
        <f>IFERROR(VLOOKUP(B4,Roster!$A$3:$N$101,3,FALSE),"")</f>
        <v>Miguel</v>
      </c>
      <c r="E4" s="1" t="str">
        <f>IFERROR(VLOOKUP(B4,Roster!$A$3:$N$101,4,FALSE),"")</f>
        <v>9th Grade</v>
      </c>
      <c r="F4" t="s">
        <v>143</v>
      </c>
      <c r="G4" s="3">
        <v>46051</v>
      </c>
      <c r="H4" s="3">
        <v>46058</v>
      </c>
      <c r="I4">
        <v>5</v>
      </c>
      <c r="J4" s="1">
        <f t="shared" ca="1" si="0"/>
        <v>7</v>
      </c>
      <c r="K4">
        <f t="shared" ca="1" si="1"/>
        <v>0</v>
      </c>
      <c r="L4" s="1" t="s">
        <v>98</v>
      </c>
      <c r="M4" t="s">
        <v>95</v>
      </c>
      <c r="N4" t="s">
        <v>62</v>
      </c>
      <c r="O4" s="3">
        <v>46051</v>
      </c>
      <c r="P4" s="3">
        <v>46059</v>
      </c>
      <c r="Q4" t="str">
        <f t="shared" ca="1" si="2"/>
        <v>0</v>
      </c>
      <c r="R4" t="s">
        <v>145</v>
      </c>
    </row>
    <row r="5" spans="1:18" ht="15" customHeight="1" x14ac:dyDescent="0.5">
      <c r="A5" t="s">
        <v>146</v>
      </c>
      <c r="B5" t="s">
        <v>42</v>
      </c>
      <c r="C5" t="str">
        <f>IFERROR(VLOOKUP(B5,Roster!$A$3:$N$101,2,FALSE),"")</f>
        <v>Torres</v>
      </c>
      <c r="D5" s="1" t="str">
        <f>IFERROR(VLOOKUP(B5,Roster!$A$3:$N$101,3,FALSE),"")</f>
        <v>Miguel</v>
      </c>
      <c r="E5" s="1" t="str">
        <f>IFERROR(VLOOKUP(B5,Roster!$A$3:$N$101,4,FALSE),"")</f>
        <v>9th Grade</v>
      </c>
      <c r="F5" t="s">
        <v>143</v>
      </c>
      <c r="G5" s="3">
        <v>46072</v>
      </c>
      <c r="I5">
        <v>5</v>
      </c>
      <c r="J5" s="1">
        <f t="shared" ca="1" si="0"/>
        <v>145</v>
      </c>
      <c r="K5">
        <f t="shared" ca="1" si="1"/>
        <v>0</v>
      </c>
      <c r="L5" s="1" t="s">
        <v>101</v>
      </c>
      <c r="M5" t="s">
        <v>95</v>
      </c>
      <c r="N5" t="s">
        <v>62</v>
      </c>
      <c r="O5" s="3">
        <v>46072</v>
      </c>
      <c r="Q5" t="str">
        <f t="shared" ca="1" si="2"/>
        <v>0</v>
      </c>
      <c r="R5" t="s">
        <v>147</v>
      </c>
    </row>
    <row r="6" spans="1:18" ht="15" customHeight="1" x14ac:dyDescent="0.5">
      <c r="A6" t="s">
        <v>148</v>
      </c>
      <c r="B6" t="s">
        <v>51</v>
      </c>
      <c r="C6" t="str">
        <f>IFERROR(VLOOKUP(B6,Roster!$A$3:$N$101,2,FALSE),"")</f>
        <v>Chen</v>
      </c>
      <c r="D6" s="1" t="str">
        <f>IFERROR(VLOOKUP(B6,Roster!$A$3:$N$101,3,FALSE),"")</f>
        <v>Amy</v>
      </c>
      <c r="E6" s="1" t="str">
        <f>IFERROR(VLOOKUP(B6,Roster!$A$3:$N$101,4,FALSE),"")</f>
        <v>7th Grade</v>
      </c>
      <c r="F6" t="s">
        <v>149</v>
      </c>
      <c r="G6" s="3">
        <v>46041</v>
      </c>
      <c r="H6" s="3">
        <v>46043</v>
      </c>
      <c r="I6">
        <v>2</v>
      </c>
      <c r="J6" s="1">
        <f t="shared" ca="1" si="0"/>
        <v>2</v>
      </c>
      <c r="K6">
        <f t="shared" ca="1" si="1"/>
        <v>0</v>
      </c>
      <c r="L6" s="1" t="s">
        <v>106</v>
      </c>
      <c r="M6" t="s">
        <v>109</v>
      </c>
      <c r="N6" t="s">
        <v>62</v>
      </c>
      <c r="O6" s="3">
        <v>46041</v>
      </c>
      <c r="P6" s="3">
        <v>46044</v>
      </c>
      <c r="Q6" t="str">
        <f t="shared" ca="1" si="2"/>
        <v>0</v>
      </c>
    </row>
    <row r="7" spans="1:18" x14ac:dyDescent="0.45">
      <c r="C7" t="str">
        <f>IFERROR(VLOOKUP(B7,Roster!$A$3:$N$101,2,FALSE),"")</f>
        <v/>
      </c>
      <c r="D7" t="str">
        <f>IFERROR(VLOOKUP(B7,Roster!$A$3:$N$101,3,FALSE),"")</f>
        <v/>
      </c>
      <c r="E7" t="str">
        <f>IFERROR(VLOOKUP(B7,Roster!$A$3:$N$101,4,FALSE),"")</f>
        <v/>
      </c>
      <c r="J7" t="str">
        <f t="shared" ca="1" si="0"/>
        <v/>
      </c>
      <c r="K7" t="str">
        <f t="shared" si="1"/>
        <v/>
      </c>
      <c r="Q7" t="str">
        <f t="shared" ca="1" si="2"/>
        <v/>
      </c>
    </row>
    <row r="8" spans="1:18" x14ac:dyDescent="0.45">
      <c r="C8" t="str">
        <f>IFERROR(VLOOKUP(B8,Roster!$A$3:$N$101,2,FALSE),"")</f>
        <v/>
      </c>
      <c r="D8" t="str">
        <f>IFERROR(VLOOKUP(B8,Roster!$A$3:$N$101,3,FALSE),"")</f>
        <v/>
      </c>
      <c r="E8" t="str">
        <f>IFERROR(VLOOKUP(B8,Roster!$A$3:$N$101,4,FALSE),"")</f>
        <v/>
      </c>
      <c r="J8" t="str">
        <f t="shared" ca="1" si="0"/>
        <v/>
      </c>
      <c r="K8" t="str">
        <f t="shared" si="1"/>
        <v/>
      </c>
      <c r="Q8" t="str">
        <f t="shared" ca="1" si="2"/>
        <v/>
      </c>
    </row>
    <row r="9" spans="1:18" x14ac:dyDescent="0.45">
      <c r="C9" t="str">
        <f>IFERROR(VLOOKUP(B9,Roster!$A$3:$N$101,2,FALSE),"")</f>
        <v/>
      </c>
      <c r="D9" t="str">
        <f>IFERROR(VLOOKUP(B9,Roster!$A$3:$N$101,3,FALSE),"")</f>
        <v/>
      </c>
      <c r="E9" t="str">
        <f>IFERROR(VLOOKUP(B9,Roster!$A$3:$N$101,4,FALSE),"")</f>
        <v/>
      </c>
      <c r="J9" t="str">
        <f t="shared" ca="1" si="0"/>
        <v/>
      </c>
      <c r="K9" t="str">
        <f t="shared" si="1"/>
        <v/>
      </c>
      <c r="Q9" t="str">
        <f t="shared" ca="1" si="2"/>
        <v/>
      </c>
    </row>
    <row r="10" spans="1:18" x14ac:dyDescent="0.45">
      <c r="C10" t="str">
        <f>IFERROR(VLOOKUP(B10,Roster!$A$3:$N$101,2,FALSE),"")</f>
        <v/>
      </c>
      <c r="D10" t="str">
        <f>IFERROR(VLOOKUP(B10,Roster!$A$3:$N$101,3,FALSE),"")</f>
        <v/>
      </c>
      <c r="E10" t="str">
        <f>IFERROR(VLOOKUP(B10,Roster!$A$3:$N$101,4,FALSE),"")</f>
        <v/>
      </c>
      <c r="J10" t="str">
        <f t="shared" ca="1" si="0"/>
        <v/>
      </c>
      <c r="K10" t="str">
        <f t="shared" si="1"/>
        <v/>
      </c>
      <c r="Q10" t="str">
        <f t="shared" ca="1" si="2"/>
        <v/>
      </c>
    </row>
    <row r="11" spans="1:18" x14ac:dyDescent="0.45">
      <c r="C11" t="str">
        <f>IFERROR(VLOOKUP(B11,Roster!$A$3:$N$101,2,FALSE),"")</f>
        <v/>
      </c>
      <c r="D11" t="str">
        <f>IFERROR(VLOOKUP(B11,Roster!$A$3:$N$101,3,FALSE),"")</f>
        <v/>
      </c>
      <c r="E11" t="str">
        <f>IFERROR(VLOOKUP(B11,Roster!$A$3:$N$101,4,FALSE),"")</f>
        <v/>
      </c>
      <c r="J11" t="str">
        <f t="shared" ca="1" si="0"/>
        <v/>
      </c>
      <c r="K11" t="str">
        <f t="shared" si="1"/>
        <v/>
      </c>
      <c r="Q11" t="str">
        <f t="shared" ca="1" si="2"/>
        <v/>
      </c>
    </row>
    <row r="12" spans="1:18" x14ac:dyDescent="0.45">
      <c r="C12" t="str">
        <f>IFERROR(VLOOKUP(B12,Roster!$A$3:$N$101,2,FALSE),"")</f>
        <v/>
      </c>
      <c r="D12" t="str">
        <f>IFERROR(VLOOKUP(B12,Roster!$A$3:$N$101,3,FALSE),"")</f>
        <v/>
      </c>
      <c r="E12" t="str">
        <f>IFERROR(VLOOKUP(B12,Roster!$A$3:$N$101,4,FALSE),"")</f>
        <v/>
      </c>
      <c r="J12" t="str">
        <f t="shared" ca="1" si="0"/>
        <v/>
      </c>
      <c r="K12" t="str">
        <f t="shared" si="1"/>
        <v/>
      </c>
      <c r="Q12" t="str">
        <f t="shared" ca="1" si="2"/>
        <v/>
      </c>
    </row>
    <row r="13" spans="1:18" x14ac:dyDescent="0.45">
      <c r="C13" t="str">
        <f>IFERROR(VLOOKUP(B13,Roster!$A$3:$N$101,2,FALSE),"")</f>
        <v/>
      </c>
      <c r="D13" t="str">
        <f>IFERROR(VLOOKUP(B13,Roster!$A$3:$N$101,3,FALSE),"")</f>
        <v/>
      </c>
      <c r="E13" t="str">
        <f>IFERROR(VLOOKUP(B13,Roster!$A$3:$N$101,4,FALSE),"")</f>
        <v/>
      </c>
      <c r="J13" t="str">
        <f t="shared" ca="1" si="0"/>
        <v/>
      </c>
      <c r="K13" t="str">
        <f t="shared" si="1"/>
        <v/>
      </c>
      <c r="Q13" t="str">
        <f t="shared" ca="1" si="2"/>
        <v/>
      </c>
    </row>
    <row r="14" spans="1:18" x14ac:dyDescent="0.45">
      <c r="C14" t="str">
        <f>IFERROR(VLOOKUP(B14,Roster!$A$3:$N$101,2,FALSE),"")</f>
        <v/>
      </c>
      <c r="D14" t="str">
        <f>IFERROR(VLOOKUP(B14,Roster!$A$3:$N$101,3,FALSE),"")</f>
        <v/>
      </c>
      <c r="E14" t="str">
        <f>IFERROR(VLOOKUP(B14,Roster!$A$3:$N$101,4,FALSE),"")</f>
        <v/>
      </c>
      <c r="J14" t="str">
        <f t="shared" ca="1" si="0"/>
        <v/>
      </c>
      <c r="K14" t="str">
        <f t="shared" si="1"/>
        <v/>
      </c>
      <c r="Q14" t="str">
        <f t="shared" ca="1" si="2"/>
        <v/>
      </c>
    </row>
    <row r="15" spans="1:18" x14ac:dyDescent="0.45">
      <c r="C15" t="str">
        <f>IFERROR(VLOOKUP(B15,Roster!$A$3:$N$101,2,FALSE),"")</f>
        <v/>
      </c>
      <c r="D15" t="str">
        <f>IFERROR(VLOOKUP(B15,Roster!$A$3:$N$101,3,FALSE),"")</f>
        <v/>
      </c>
      <c r="E15" t="str">
        <f>IFERROR(VLOOKUP(B15,Roster!$A$3:$N$101,4,FALSE),"")</f>
        <v/>
      </c>
      <c r="J15" t="str">
        <f t="shared" ca="1" si="0"/>
        <v/>
      </c>
      <c r="K15" t="str">
        <f t="shared" si="1"/>
        <v/>
      </c>
      <c r="Q15" t="str">
        <f t="shared" ca="1" si="2"/>
        <v/>
      </c>
    </row>
    <row r="16" spans="1:18" x14ac:dyDescent="0.45">
      <c r="C16" t="str">
        <f>IFERROR(VLOOKUP(B16,Roster!$A$3:$N$101,2,FALSE),"")</f>
        <v/>
      </c>
      <c r="D16" t="str">
        <f>IFERROR(VLOOKUP(B16,Roster!$A$3:$N$101,3,FALSE),"")</f>
        <v/>
      </c>
      <c r="E16" t="str">
        <f>IFERROR(VLOOKUP(B16,Roster!$A$3:$N$101,4,FALSE),"")</f>
        <v/>
      </c>
      <c r="J16" t="str">
        <f t="shared" ca="1" si="0"/>
        <v/>
      </c>
      <c r="K16" t="str">
        <f t="shared" si="1"/>
        <v/>
      </c>
      <c r="Q16" t="str">
        <f t="shared" ca="1" si="2"/>
        <v/>
      </c>
    </row>
    <row r="17" spans="3:17" x14ac:dyDescent="0.45">
      <c r="C17" t="str">
        <f>IFERROR(VLOOKUP(B17,Roster!$A$3:$N$101,2,FALSE),"")</f>
        <v/>
      </c>
      <c r="D17" t="str">
        <f>IFERROR(VLOOKUP(B17,Roster!$A$3:$N$101,3,FALSE),"")</f>
        <v/>
      </c>
      <c r="E17" t="str">
        <f>IFERROR(VLOOKUP(B17,Roster!$A$3:$N$101,4,FALSE),"")</f>
        <v/>
      </c>
      <c r="J17" t="str">
        <f t="shared" ca="1" si="0"/>
        <v/>
      </c>
      <c r="K17" t="str">
        <f t="shared" si="1"/>
        <v/>
      </c>
      <c r="Q17" t="str">
        <f t="shared" ca="1" si="2"/>
        <v/>
      </c>
    </row>
    <row r="18" spans="3:17" x14ac:dyDescent="0.45">
      <c r="C18" t="str">
        <f>IFERROR(VLOOKUP(B18,Roster!$A$3:$N$101,2,FALSE),"")</f>
        <v/>
      </c>
      <c r="D18" t="str">
        <f>IFERROR(VLOOKUP(B18,Roster!$A$3:$N$101,3,FALSE),"")</f>
        <v/>
      </c>
      <c r="E18" t="str">
        <f>IFERROR(VLOOKUP(B18,Roster!$A$3:$N$101,4,FALSE),"")</f>
        <v/>
      </c>
      <c r="J18" t="str">
        <f t="shared" ca="1" si="0"/>
        <v/>
      </c>
      <c r="K18" t="str">
        <f t="shared" si="1"/>
        <v/>
      </c>
      <c r="Q18" t="str">
        <f t="shared" ca="1" si="2"/>
        <v/>
      </c>
    </row>
    <row r="19" spans="3:17" x14ac:dyDescent="0.45">
      <c r="C19" t="str">
        <f>IFERROR(VLOOKUP(B19,Roster!$A$3:$N$101,2,FALSE),"")</f>
        <v/>
      </c>
      <c r="D19" t="str">
        <f>IFERROR(VLOOKUP(B19,Roster!$A$3:$N$101,3,FALSE),"")</f>
        <v/>
      </c>
      <c r="E19" t="str">
        <f>IFERROR(VLOOKUP(B19,Roster!$A$3:$N$101,4,FALSE),"")</f>
        <v/>
      </c>
      <c r="J19" t="str">
        <f t="shared" ca="1" si="0"/>
        <v/>
      </c>
      <c r="K19" t="str">
        <f t="shared" si="1"/>
        <v/>
      </c>
      <c r="Q19" t="str">
        <f t="shared" ca="1" si="2"/>
        <v/>
      </c>
    </row>
    <row r="20" spans="3:17" x14ac:dyDescent="0.45">
      <c r="C20" t="str">
        <f>IFERROR(VLOOKUP(B20,Roster!$A$3:$N$101,2,FALSE),"")</f>
        <v/>
      </c>
      <c r="D20" t="str">
        <f>IFERROR(VLOOKUP(B20,Roster!$A$3:$N$101,3,FALSE),"")</f>
        <v/>
      </c>
      <c r="E20" t="str">
        <f>IFERROR(VLOOKUP(B20,Roster!$A$3:$N$101,4,FALSE),"")</f>
        <v/>
      </c>
      <c r="J20" t="str">
        <f t="shared" ca="1" si="0"/>
        <v/>
      </c>
      <c r="K20" t="str">
        <f t="shared" si="1"/>
        <v/>
      </c>
      <c r="Q20" t="str">
        <f t="shared" ca="1" si="2"/>
        <v/>
      </c>
    </row>
    <row r="21" spans="3:17" x14ac:dyDescent="0.45">
      <c r="C21" t="str">
        <f>IFERROR(VLOOKUP(B21,Roster!$A$3:$N$101,2,FALSE),"")</f>
        <v/>
      </c>
      <c r="D21" t="str">
        <f>IFERROR(VLOOKUP(B21,Roster!$A$3:$N$101,3,FALSE),"")</f>
        <v/>
      </c>
      <c r="E21" t="str">
        <f>IFERROR(VLOOKUP(B21,Roster!$A$3:$N$101,4,FALSE),"")</f>
        <v/>
      </c>
      <c r="J21" t="str">
        <f t="shared" ca="1" si="0"/>
        <v/>
      </c>
      <c r="K21" t="str">
        <f t="shared" si="1"/>
        <v/>
      </c>
      <c r="Q21" t="str">
        <f t="shared" ca="1" si="2"/>
        <v/>
      </c>
    </row>
    <row r="22" spans="3:17" x14ac:dyDescent="0.45">
      <c r="C22" t="str">
        <f>IFERROR(VLOOKUP(B22,Roster!$A$3:$N$101,2,FALSE),"")</f>
        <v/>
      </c>
      <c r="D22" t="str">
        <f>IFERROR(VLOOKUP(B22,Roster!$A$3:$N$101,3,FALSE),"")</f>
        <v/>
      </c>
      <c r="E22" t="str">
        <f>IFERROR(VLOOKUP(B22,Roster!$A$3:$N$101,4,FALSE),"")</f>
        <v/>
      </c>
      <c r="J22" t="str">
        <f t="shared" ca="1" si="0"/>
        <v/>
      </c>
      <c r="K22" t="str">
        <f t="shared" si="1"/>
        <v/>
      </c>
      <c r="Q22" t="str">
        <f t="shared" ca="1" si="2"/>
        <v/>
      </c>
    </row>
    <row r="23" spans="3:17" x14ac:dyDescent="0.45">
      <c r="C23" t="str">
        <f>IFERROR(VLOOKUP(B23,Roster!$A$3:$N$101,2,FALSE),"")</f>
        <v/>
      </c>
      <c r="D23" t="str">
        <f>IFERROR(VLOOKUP(B23,Roster!$A$3:$N$101,3,FALSE),"")</f>
        <v/>
      </c>
      <c r="E23" t="str">
        <f>IFERROR(VLOOKUP(B23,Roster!$A$3:$N$101,4,FALSE),"")</f>
        <v/>
      </c>
      <c r="J23" t="str">
        <f t="shared" ca="1" si="0"/>
        <v/>
      </c>
      <c r="K23" t="str">
        <f t="shared" si="1"/>
        <v/>
      </c>
      <c r="Q23" t="str">
        <f t="shared" ca="1" si="2"/>
        <v/>
      </c>
    </row>
    <row r="24" spans="3:17" x14ac:dyDescent="0.45">
      <c r="C24" t="str">
        <f>IFERROR(VLOOKUP(B24,Roster!$A$3:$N$101,2,FALSE),"")</f>
        <v/>
      </c>
      <c r="D24" t="str">
        <f>IFERROR(VLOOKUP(B24,Roster!$A$3:$N$101,3,FALSE),"")</f>
        <v/>
      </c>
      <c r="E24" t="str">
        <f>IFERROR(VLOOKUP(B24,Roster!$A$3:$N$101,4,FALSE),"")</f>
        <v/>
      </c>
      <c r="J24" t="str">
        <f t="shared" ca="1" si="0"/>
        <v/>
      </c>
      <c r="K24" t="str">
        <f t="shared" si="1"/>
        <v/>
      </c>
      <c r="Q24" t="str">
        <f t="shared" ca="1" si="2"/>
        <v/>
      </c>
    </row>
    <row r="25" spans="3:17" x14ac:dyDescent="0.45">
      <c r="C25" t="str">
        <f>IFERROR(VLOOKUP(B25,Roster!$A$3:$N$101,2,FALSE),"")</f>
        <v/>
      </c>
      <c r="D25" t="str">
        <f>IFERROR(VLOOKUP(B25,Roster!$A$3:$N$101,3,FALSE),"")</f>
        <v/>
      </c>
      <c r="E25" t="str">
        <f>IFERROR(VLOOKUP(B25,Roster!$A$3:$N$101,4,FALSE),"")</f>
        <v/>
      </c>
      <c r="J25" t="str">
        <f t="shared" ca="1" si="0"/>
        <v/>
      </c>
      <c r="K25" t="str">
        <f t="shared" si="1"/>
        <v/>
      </c>
      <c r="Q25" t="str">
        <f t="shared" ca="1" si="2"/>
        <v/>
      </c>
    </row>
    <row r="26" spans="3:17" x14ac:dyDescent="0.45">
      <c r="C26" t="str">
        <f>IFERROR(VLOOKUP(B26,Roster!$A$3:$N$101,2,FALSE),"")</f>
        <v/>
      </c>
      <c r="D26" t="str">
        <f>IFERROR(VLOOKUP(B26,Roster!$A$3:$N$101,3,FALSE),"")</f>
        <v/>
      </c>
      <c r="E26" t="str">
        <f>IFERROR(VLOOKUP(B26,Roster!$A$3:$N$101,4,FALSE),"")</f>
        <v/>
      </c>
      <c r="J26" t="str">
        <f t="shared" ca="1" si="0"/>
        <v/>
      </c>
      <c r="K26" t="str">
        <f t="shared" si="1"/>
        <v/>
      </c>
      <c r="Q26" t="str">
        <f t="shared" ca="1" si="2"/>
        <v/>
      </c>
    </row>
    <row r="27" spans="3:17" x14ac:dyDescent="0.45">
      <c r="C27" t="str">
        <f>IFERROR(VLOOKUP(B27,Roster!$A$3:$N$101,2,FALSE),"")</f>
        <v/>
      </c>
      <c r="D27" t="str">
        <f>IFERROR(VLOOKUP(B27,Roster!$A$3:$N$101,3,FALSE),"")</f>
        <v/>
      </c>
      <c r="E27" t="str">
        <f>IFERROR(VLOOKUP(B27,Roster!$A$3:$N$101,4,FALSE),"")</f>
        <v/>
      </c>
      <c r="J27" t="str">
        <f t="shared" ca="1" si="0"/>
        <v/>
      </c>
      <c r="K27" t="str">
        <f t="shared" si="1"/>
        <v/>
      </c>
      <c r="Q27" t="str">
        <f t="shared" ca="1" si="2"/>
        <v/>
      </c>
    </row>
    <row r="28" spans="3:17" x14ac:dyDescent="0.45">
      <c r="C28" t="str">
        <f>IFERROR(VLOOKUP(B28,Roster!$A$3:$N$101,2,FALSE),"")</f>
        <v/>
      </c>
      <c r="D28" t="str">
        <f>IFERROR(VLOOKUP(B28,Roster!$A$3:$N$101,3,FALSE),"")</f>
        <v/>
      </c>
      <c r="E28" t="str">
        <f>IFERROR(VLOOKUP(B28,Roster!$A$3:$N$101,4,FALSE),"")</f>
        <v/>
      </c>
      <c r="J28" t="str">
        <f t="shared" ca="1" si="0"/>
        <v/>
      </c>
      <c r="K28" t="str">
        <f t="shared" si="1"/>
        <v/>
      </c>
      <c r="Q28" t="str">
        <f t="shared" ca="1" si="2"/>
        <v/>
      </c>
    </row>
    <row r="29" spans="3:17" ht="14.25" x14ac:dyDescent="0.45">
      <c r="C29" t="str">
        <f>IFERROR(VLOOKUP(B29,Roster!$A$3:$N$101,2,FALSE),"")</f>
        <v/>
      </c>
      <c r="D29" t="str">
        <f>IFERROR(VLOOKUP(B29,Roster!$A$3:$N$101,3,FALSE),"")</f>
        <v/>
      </c>
      <c r="E29" t="str">
        <f>IFERROR(VLOOKUP(B29,Roster!$A$3:$N$101,4,FALSE),"")</f>
        <v/>
      </c>
      <c r="J29" t="str">
        <f t="shared" ca="1" si="0"/>
        <v/>
      </c>
      <c r="K29" t="str">
        <f t="shared" si="1"/>
        <v/>
      </c>
      <c r="Q29" t="str">
        <f t="shared" ca="1" si="2"/>
        <v/>
      </c>
    </row>
    <row r="30" spans="3:17" ht="14.25" x14ac:dyDescent="0.45">
      <c r="C30" t="str">
        <f>IFERROR(VLOOKUP(B30,Roster!$A$3:$N$101,2,FALSE),"")</f>
        <v/>
      </c>
      <c r="D30" t="str">
        <f>IFERROR(VLOOKUP(B30,Roster!$A$3:$N$101,3,FALSE),"")</f>
        <v/>
      </c>
      <c r="E30" t="str">
        <f>IFERROR(VLOOKUP(B30,Roster!$A$3:$N$101,4,FALSE),"")</f>
        <v/>
      </c>
      <c r="J30" t="str">
        <f t="shared" ca="1" si="0"/>
        <v/>
      </c>
      <c r="K30" t="str">
        <f t="shared" si="1"/>
        <v/>
      </c>
      <c r="Q30" t="str">
        <f t="shared" ca="1" si="2"/>
        <v/>
      </c>
    </row>
    <row r="31" spans="3:17" ht="14.25" x14ac:dyDescent="0.45">
      <c r="C31" t="str">
        <f>IFERROR(VLOOKUP(B31,Roster!$A$3:$N$101,2,FALSE),"")</f>
        <v/>
      </c>
      <c r="D31" t="str">
        <f>IFERROR(VLOOKUP(B31,Roster!$A$3:$N$101,3,FALSE),"")</f>
        <v/>
      </c>
      <c r="E31" t="str">
        <f>IFERROR(VLOOKUP(B31,Roster!$A$3:$N$101,4,FALSE),"")</f>
        <v/>
      </c>
      <c r="J31" t="str">
        <f t="shared" ca="1" si="0"/>
        <v/>
      </c>
      <c r="K31" t="str">
        <f t="shared" si="1"/>
        <v/>
      </c>
      <c r="Q31" t="str">
        <f t="shared" ca="1" si="2"/>
        <v/>
      </c>
    </row>
    <row r="32" spans="3:17" ht="14.25" x14ac:dyDescent="0.45">
      <c r="C32" t="str">
        <f>IFERROR(VLOOKUP(B32,Roster!$A$3:$N$101,2,FALSE),"")</f>
        <v/>
      </c>
      <c r="D32" t="str">
        <f>IFERROR(VLOOKUP(B32,Roster!$A$3:$N$101,3,FALSE),"")</f>
        <v/>
      </c>
      <c r="E32" t="str">
        <f>IFERROR(VLOOKUP(B32,Roster!$A$3:$N$101,4,FALSE),"")</f>
        <v/>
      </c>
      <c r="J32" t="str">
        <f t="shared" ca="1" si="0"/>
        <v/>
      </c>
      <c r="K32" t="str">
        <f t="shared" si="1"/>
        <v/>
      </c>
      <c r="Q32" t="str">
        <f t="shared" ca="1" si="2"/>
        <v/>
      </c>
    </row>
    <row r="33" spans="3:17" ht="14.25" x14ac:dyDescent="0.45">
      <c r="C33" t="str">
        <f>IFERROR(VLOOKUP(B33,Roster!$A$3:$N$101,2,FALSE),"")</f>
        <v/>
      </c>
      <c r="D33" t="str">
        <f>IFERROR(VLOOKUP(B33,Roster!$A$3:$N$101,3,FALSE),"")</f>
        <v/>
      </c>
      <c r="E33" t="str">
        <f>IFERROR(VLOOKUP(B33,Roster!$A$3:$N$101,4,FALSE),"")</f>
        <v/>
      </c>
      <c r="J33" t="str">
        <f t="shared" ca="1" si="0"/>
        <v/>
      </c>
      <c r="K33" t="str">
        <f t="shared" si="1"/>
        <v/>
      </c>
      <c r="Q33" t="str">
        <f t="shared" ca="1" si="2"/>
        <v/>
      </c>
    </row>
    <row r="34" spans="3:17" ht="14.25" x14ac:dyDescent="0.45">
      <c r="C34" t="str">
        <f>IFERROR(VLOOKUP(B34,Roster!$A$3:$N$101,2,FALSE),"")</f>
        <v/>
      </c>
      <c r="D34" t="str">
        <f>IFERROR(VLOOKUP(B34,Roster!$A$3:$N$101,3,FALSE),"")</f>
        <v/>
      </c>
      <c r="E34" t="str">
        <f>IFERROR(VLOOKUP(B34,Roster!$A$3:$N$101,4,FALSE),"")</f>
        <v/>
      </c>
      <c r="J34" t="str">
        <f t="shared" ca="1" si="0"/>
        <v/>
      </c>
      <c r="K34" t="str">
        <f t="shared" si="1"/>
        <v/>
      </c>
      <c r="Q34" t="str">
        <f t="shared" ca="1" si="2"/>
        <v/>
      </c>
    </row>
    <row r="35" spans="3:17" ht="14.25" x14ac:dyDescent="0.45">
      <c r="C35" t="str">
        <f>IFERROR(VLOOKUP(B35,Roster!$A$3:$N$101,2,FALSE),"")</f>
        <v/>
      </c>
      <c r="D35" t="str">
        <f>IFERROR(VLOOKUP(B35,Roster!$A$3:$N$101,3,FALSE),"")</f>
        <v/>
      </c>
      <c r="E35" t="str">
        <f>IFERROR(VLOOKUP(B35,Roster!$A$3:$N$101,4,FALSE),"")</f>
        <v/>
      </c>
      <c r="J35" t="str">
        <f t="shared" ref="J35:J66" ca="1" si="3">IF(G35="","",IF(H35="",TODAY()-G35,H35-G35))</f>
        <v/>
      </c>
      <c r="K35" t="str">
        <f t="shared" ref="K35:K66" si="4">IF(I35="","",MAX(0,I35-J35))</f>
        <v/>
      </c>
      <c r="Q35" t="str">
        <f t="shared" ref="Q35:Q66" ca="1" si="5">IF(B35="","",IF(COUNTIFS(B$3:B$201,B35,F$3:F$201,"*OSS*",G$3:G$201,"&gt;="&amp;(TODAY()-90))&gt;=3,"🚨 ESCALATE — "&amp;COUNTIFS(B$3:B$201,B35,F$3:F$201,"*OSS*",G$3:G$201,"&gt;="&amp;(TODAY()-90))&amp;" OSS in 90d",TEXT(COUNTIFS(B$3:B$201,B35,F$3:F$201,"*OSS*",G$3:G$201,"&gt;="&amp;(TODAY()-90)),"0")))</f>
        <v/>
      </c>
    </row>
    <row r="36" spans="3:17" ht="14.25" x14ac:dyDescent="0.45">
      <c r="C36" t="str">
        <f>IFERROR(VLOOKUP(B36,Roster!$A$3:$N$101,2,FALSE),"")</f>
        <v/>
      </c>
      <c r="D36" t="str">
        <f>IFERROR(VLOOKUP(B36,Roster!$A$3:$N$101,3,FALSE),"")</f>
        <v/>
      </c>
      <c r="E36" t="str">
        <f>IFERROR(VLOOKUP(B36,Roster!$A$3:$N$101,4,FALSE),"")</f>
        <v/>
      </c>
      <c r="J36" t="str">
        <f t="shared" ca="1" si="3"/>
        <v/>
      </c>
      <c r="K36" t="str">
        <f t="shared" si="4"/>
        <v/>
      </c>
      <c r="Q36" t="str">
        <f t="shared" ca="1" si="5"/>
        <v/>
      </c>
    </row>
    <row r="37" spans="3:17" ht="14.25" x14ac:dyDescent="0.45">
      <c r="C37" t="str">
        <f>IFERROR(VLOOKUP(B37,Roster!$A$3:$N$101,2,FALSE),"")</f>
        <v/>
      </c>
      <c r="D37" t="str">
        <f>IFERROR(VLOOKUP(B37,Roster!$A$3:$N$101,3,FALSE),"")</f>
        <v/>
      </c>
      <c r="E37" t="str">
        <f>IFERROR(VLOOKUP(B37,Roster!$A$3:$N$101,4,FALSE),"")</f>
        <v/>
      </c>
      <c r="J37" t="str">
        <f t="shared" ca="1" si="3"/>
        <v/>
      </c>
      <c r="K37" t="str">
        <f t="shared" si="4"/>
        <v/>
      </c>
      <c r="Q37" t="str">
        <f t="shared" ca="1" si="5"/>
        <v/>
      </c>
    </row>
    <row r="38" spans="3:17" ht="14.25" x14ac:dyDescent="0.45">
      <c r="C38" t="str">
        <f>IFERROR(VLOOKUP(B38,Roster!$A$3:$N$101,2,FALSE),"")</f>
        <v/>
      </c>
      <c r="D38" t="str">
        <f>IFERROR(VLOOKUP(B38,Roster!$A$3:$N$101,3,FALSE),"")</f>
        <v/>
      </c>
      <c r="E38" t="str">
        <f>IFERROR(VLOOKUP(B38,Roster!$A$3:$N$101,4,FALSE),"")</f>
        <v/>
      </c>
      <c r="J38" t="str">
        <f t="shared" ca="1" si="3"/>
        <v/>
      </c>
      <c r="K38" t="str">
        <f t="shared" si="4"/>
        <v/>
      </c>
      <c r="Q38" t="str">
        <f t="shared" ca="1" si="5"/>
        <v/>
      </c>
    </row>
    <row r="39" spans="3:17" ht="14.25" x14ac:dyDescent="0.45">
      <c r="C39" t="str">
        <f>IFERROR(VLOOKUP(B39,Roster!$A$3:$N$101,2,FALSE),"")</f>
        <v/>
      </c>
      <c r="D39" t="str">
        <f>IFERROR(VLOOKUP(B39,Roster!$A$3:$N$101,3,FALSE),"")</f>
        <v/>
      </c>
      <c r="E39" t="str">
        <f>IFERROR(VLOOKUP(B39,Roster!$A$3:$N$101,4,FALSE),"")</f>
        <v/>
      </c>
      <c r="J39" t="str">
        <f t="shared" ca="1" si="3"/>
        <v/>
      </c>
      <c r="K39" t="str">
        <f t="shared" si="4"/>
        <v/>
      </c>
      <c r="Q39" t="str">
        <f t="shared" ca="1" si="5"/>
        <v/>
      </c>
    </row>
    <row r="40" spans="3:17" ht="14.25" x14ac:dyDescent="0.45">
      <c r="C40" t="str">
        <f>IFERROR(VLOOKUP(B40,Roster!$A$3:$N$101,2,FALSE),"")</f>
        <v/>
      </c>
      <c r="D40" t="str">
        <f>IFERROR(VLOOKUP(B40,Roster!$A$3:$N$101,3,FALSE),"")</f>
        <v/>
      </c>
      <c r="E40" t="str">
        <f>IFERROR(VLOOKUP(B40,Roster!$A$3:$N$101,4,FALSE),"")</f>
        <v/>
      </c>
      <c r="J40" t="str">
        <f t="shared" ca="1" si="3"/>
        <v/>
      </c>
      <c r="K40" t="str">
        <f t="shared" si="4"/>
        <v/>
      </c>
      <c r="Q40" t="str">
        <f t="shared" ca="1" si="5"/>
        <v/>
      </c>
    </row>
    <row r="41" spans="3:17" ht="14.25" x14ac:dyDescent="0.45">
      <c r="C41" t="str">
        <f>IFERROR(VLOOKUP(B41,Roster!$A$3:$N$101,2,FALSE),"")</f>
        <v/>
      </c>
      <c r="D41" t="str">
        <f>IFERROR(VLOOKUP(B41,Roster!$A$3:$N$101,3,FALSE),"")</f>
        <v/>
      </c>
      <c r="E41" t="str">
        <f>IFERROR(VLOOKUP(B41,Roster!$A$3:$N$101,4,FALSE),"")</f>
        <v/>
      </c>
      <c r="J41" t="str">
        <f t="shared" ca="1" si="3"/>
        <v/>
      </c>
      <c r="K41" t="str">
        <f t="shared" si="4"/>
        <v/>
      </c>
      <c r="Q41" t="str">
        <f t="shared" ca="1" si="5"/>
        <v/>
      </c>
    </row>
    <row r="42" spans="3:17" ht="14.25" x14ac:dyDescent="0.45">
      <c r="C42" t="str">
        <f>IFERROR(VLOOKUP(B42,Roster!$A$3:$N$101,2,FALSE),"")</f>
        <v/>
      </c>
      <c r="D42" t="str">
        <f>IFERROR(VLOOKUP(B42,Roster!$A$3:$N$101,3,FALSE),"")</f>
        <v/>
      </c>
      <c r="E42" t="str">
        <f>IFERROR(VLOOKUP(B42,Roster!$A$3:$N$101,4,FALSE),"")</f>
        <v/>
      </c>
      <c r="J42" t="str">
        <f t="shared" ca="1" si="3"/>
        <v/>
      </c>
      <c r="K42" t="str">
        <f t="shared" si="4"/>
        <v/>
      </c>
      <c r="Q42" t="str">
        <f t="shared" ca="1" si="5"/>
        <v/>
      </c>
    </row>
    <row r="43" spans="3:17" ht="14.25" x14ac:dyDescent="0.45">
      <c r="C43" t="str">
        <f>IFERROR(VLOOKUP(B43,Roster!$A$3:$N$101,2,FALSE),"")</f>
        <v/>
      </c>
      <c r="D43" t="str">
        <f>IFERROR(VLOOKUP(B43,Roster!$A$3:$N$101,3,FALSE),"")</f>
        <v/>
      </c>
      <c r="E43" t="str">
        <f>IFERROR(VLOOKUP(B43,Roster!$A$3:$N$101,4,FALSE),"")</f>
        <v/>
      </c>
      <c r="J43" t="str">
        <f t="shared" ca="1" si="3"/>
        <v/>
      </c>
      <c r="K43" t="str">
        <f t="shared" si="4"/>
        <v/>
      </c>
      <c r="Q43" t="str">
        <f t="shared" ca="1" si="5"/>
        <v/>
      </c>
    </row>
    <row r="44" spans="3:17" ht="14.25" x14ac:dyDescent="0.45">
      <c r="C44" t="str">
        <f>IFERROR(VLOOKUP(B44,Roster!$A$3:$N$101,2,FALSE),"")</f>
        <v/>
      </c>
      <c r="D44" t="str">
        <f>IFERROR(VLOOKUP(B44,Roster!$A$3:$N$101,3,FALSE),"")</f>
        <v/>
      </c>
      <c r="E44" t="str">
        <f>IFERROR(VLOOKUP(B44,Roster!$A$3:$N$101,4,FALSE),"")</f>
        <v/>
      </c>
      <c r="J44" t="str">
        <f t="shared" ca="1" si="3"/>
        <v/>
      </c>
      <c r="K44" t="str">
        <f t="shared" si="4"/>
        <v/>
      </c>
      <c r="Q44" t="str">
        <f t="shared" ca="1" si="5"/>
        <v/>
      </c>
    </row>
    <row r="45" spans="3:17" ht="14.25" x14ac:dyDescent="0.45">
      <c r="C45" t="str">
        <f>IFERROR(VLOOKUP(B45,Roster!$A$3:$N$101,2,FALSE),"")</f>
        <v/>
      </c>
      <c r="D45" t="str">
        <f>IFERROR(VLOOKUP(B45,Roster!$A$3:$N$101,3,FALSE),"")</f>
        <v/>
      </c>
      <c r="E45" t="str">
        <f>IFERROR(VLOOKUP(B45,Roster!$A$3:$N$101,4,FALSE),"")</f>
        <v/>
      </c>
      <c r="J45" t="str">
        <f t="shared" ca="1" si="3"/>
        <v/>
      </c>
      <c r="K45" t="str">
        <f t="shared" si="4"/>
        <v/>
      </c>
      <c r="Q45" t="str">
        <f t="shared" ca="1" si="5"/>
        <v/>
      </c>
    </row>
    <row r="46" spans="3:17" ht="14.25" x14ac:dyDescent="0.45">
      <c r="C46" t="str">
        <f>IFERROR(VLOOKUP(B46,Roster!$A$3:$N$101,2,FALSE),"")</f>
        <v/>
      </c>
      <c r="D46" t="str">
        <f>IFERROR(VLOOKUP(B46,Roster!$A$3:$N$101,3,FALSE),"")</f>
        <v/>
      </c>
      <c r="E46" t="str">
        <f>IFERROR(VLOOKUP(B46,Roster!$A$3:$N$101,4,FALSE),"")</f>
        <v/>
      </c>
      <c r="J46" t="str">
        <f t="shared" ca="1" si="3"/>
        <v/>
      </c>
      <c r="K46" t="str">
        <f t="shared" si="4"/>
        <v/>
      </c>
      <c r="Q46" t="str">
        <f t="shared" ca="1" si="5"/>
        <v/>
      </c>
    </row>
    <row r="47" spans="3:17" ht="14.25" x14ac:dyDescent="0.45">
      <c r="C47" t="str">
        <f>IFERROR(VLOOKUP(B47,Roster!$A$3:$N$101,2,FALSE),"")</f>
        <v/>
      </c>
      <c r="D47" t="str">
        <f>IFERROR(VLOOKUP(B47,Roster!$A$3:$N$101,3,FALSE),"")</f>
        <v/>
      </c>
      <c r="E47" t="str">
        <f>IFERROR(VLOOKUP(B47,Roster!$A$3:$N$101,4,FALSE),"")</f>
        <v/>
      </c>
      <c r="J47" t="str">
        <f t="shared" ca="1" si="3"/>
        <v/>
      </c>
      <c r="K47" t="str">
        <f t="shared" si="4"/>
        <v/>
      </c>
      <c r="Q47" t="str">
        <f t="shared" ca="1" si="5"/>
        <v/>
      </c>
    </row>
    <row r="48" spans="3:17" ht="14.25" x14ac:dyDescent="0.45">
      <c r="C48" t="str">
        <f>IFERROR(VLOOKUP(B48,Roster!$A$3:$N$101,2,FALSE),"")</f>
        <v/>
      </c>
      <c r="D48" t="str">
        <f>IFERROR(VLOOKUP(B48,Roster!$A$3:$N$101,3,FALSE),"")</f>
        <v/>
      </c>
      <c r="E48" t="str">
        <f>IFERROR(VLOOKUP(B48,Roster!$A$3:$N$101,4,FALSE),"")</f>
        <v/>
      </c>
      <c r="J48" t="str">
        <f t="shared" ca="1" si="3"/>
        <v/>
      </c>
      <c r="K48" t="str">
        <f t="shared" si="4"/>
        <v/>
      </c>
      <c r="Q48" t="str">
        <f t="shared" ca="1" si="5"/>
        <v/>
      </c>
    </row>
    <row r="49" spans="3:17" ht="14.25" x14ac:dyDescent="0.45">
      <c r="C49" t="str">
        <f>IFERROR(VLOOKUP(B49,Roster!$A$3:$N$101,2,FALSE),"")</f>
        <v/>
      </c>
      <c r="D49" t="str">
        <f>IFERROR(VLOOKUP(B49,Roster!$A$3:$N$101,3,FALSE),"")</f>
        <v/>
      </c>
      <c r="E49" t="str">
        <f>IFERROR(VLOOKUP(B49,Roster!$A$3:$N$101,4,FALSE),"")</f>
        <v/>
      </c>
      <c r="J49" t="str">
        <f t="shared" ca="1" si="3"/>
        <v/>
      </c>
      <c r="K49" t="str">
        <f t="shared" si="4"/>
        <v/>
      </c>
      <c r="Q49" t="str">
        <f t="shared" ca="1" si="5"/>
        <v/>
      </c>
    </row>
    <row r="50" spans="3:17" ht="14.25" x14ac:dyDescent="0.45">
      <c r="C50" t="str">
        <f>IFERROR(VLOOKUP(B50,Roster!$A$3:$N$101,2,FALSE),"")</f>
        <v/>
      </c>
      <c r="D50" t="str">
        <f>IFERROR(VLOOKUP(B50,Roster!$A$3:$N$101,3,FALSE),"")</f>
        <v/>
      </c>
      <c r="E50" t="str">
        <f>IFERROR(VLOOKUP(B50,Roster!$A$3:$N$101,4,FALSE),"")</f>
        <v/>
      </c>
      <c r="J50" t="str">
        <f t="shared" ca="1" si="3"/>
        <v/>
      </c>
      <c r="K50" t="str">
        <f t="shared" si="4"/>
        <v/>
      </c>
      <c r="Q50" t="str">
        <f t="shared" ca="1" si="5"/>
        <v/>
      </c>
    </row>
    <row r="51" spans="3:17" ht="14.25" x14ac:dyDescent="0.45">
      <c r="C51" t="str">
        <f>IFERROR(VLOOKUP(B51,Roster!$A$3:$N$101,2,FALSE),"")</f>
        <v/>
      </c>
      <c r="D51" t="str">
        <f>IFERROR(VLOOKUP(B51,Roster!$A$3:$N$101,3,FALSE),"")</f>
        <v/>
      </c>
      <c r="E51" t="str">
        <f>IFERROR(VLOOKUP(B51,Roster!$A$3:$N$101,4,FALSE),"")</f>
        <v/>
      </c>
      <c r="J51" t="str">
        <f t="shared" ca="1" si="3"/>
        <v/>
      </c>
      <c r="K51" t="str">
        <f t="shared" si="4"/>
        <v/>
      </c>
      <c r="Q51" t="str">
        <f t="shared" ca="1" si="5"/>
        <v/>
      </c>
    </row>
    <row r="52" spans="3:17" ht="14.25" x14ac:dyDescent="0.45">
      <c r="C52" t="str">
        <f>IFERROR(VLOOKUP(B52,Roster!$A$3:$N$101,2,FALSE),"")</f>
        <v/>
      </c>
      <c r="D52" t="str">
        <f>IFERROR(VLOOKUP(B52,Roster!$A$3:$N$101,3,FALSE),"")</f>
        <v/>
      </c>
      <c r="E52" t="str">
        <f>IFERROR(VLOOKUP(B52,Roster!$A$3:$N$101,4,FALSE),"")</f>
        <v/>
      </c>
      <c r="J52" t="str">
        <f t="shared" ca="1" si="3"/>
        <v/>
      </c>
      <c r="K52" t="str">
        <f t="shared" si="4"/>
        <v/>
      </c>
      <c r="Q52" t="str">
        <f t="shared" ca="1" si="5"/>
        <v/>
      </c>
    </row>
    <row r="53" spans="3:17" ht="14.25" x14ac:dyDescent="0.45">
      <c r="C53" t="str">
        <f>IFERROR(VLOOKUP(B53,Roster!$A$3:$N$101,2,FALSE),"")</f>
        <v/>
      </c>
      <c r="D53" t="str">
        <f>IFERROR(VLOOKUP(B53,Roster!$A$3:$N$101,3,FALSE),"")</f>
        <v/>
      </c>
      <c r="E53" t="str">
        <f>IFERROR(VLOOKUP(B53,Roster!$A$3:$N$101,4,FALSE),"")</f>
        <v/>
      </c>
      <c r="J53" t="str">
        <f t="shared" ca="1" si="3"/>
        <v/>
      </c>
      <c r="K53" t="str">
        <f t="shared" si="4"/>
        <v/>
      </c>
      <c r="Q53" t="str">
        <f t="shared" ca="1" si="5"/>
        <v/>
      </c>
    </row>
    <row r="54" spans="3:17" ht="14.25" x14ac:dyDescent="0.45">
      <c r="C54" t="str">
        <f>IFERROR(VLOOKUP(B54,Roster!$A$3:$N$101,2,FALSE),"")</f>
        <v/>
      </c>
      <c r="D54" t="str">
        <f>IFERROR(VLOOKUP(B54,Roster!$A$3:$N$101,3,FALSE),"")</f>
        <v/>
      </c>
      <c r="E54" t="str">
        <f>IFERROR(VLOOKUP(B54,Roster!$A$3:$N$101,4,FALSE),"")</f>
        <v/>
      </c>
      <c r="J54" t="str">
        <f t="shared" ca="1" si="3"/>
        <v/>
      </c>
      <c r="K54" t="str">
        <f t="shared" si="4"/>
        <v/>
      </c>
      <c r="Q54" t="str">
        <f t="shared" ca="1" si="5"/>
        <v/>
      </c>
    </row>
    <row r="55" spans="3:17" ht="14.25" x14ac:dyDescent="0.45">
      <c r="C55" t="str">
        <f>IFERROR(VLOOKUP(B55,Roster!$A$3:$N$101,2,FALSE),"")</f>
        <v/>
      </c>
      <c r="D55" t="str">
        <f>IFERROR(VLOOKUP(B55,Roster!$A$3:$N$101,3,FALSE),"")</f>
        <v/>
      </c>
      <c r="E55" t="str">
        <f>IFERROR(VLOOKUP(B55,Roster!$A$3:$N$101,4,FALSE),"")</f>
        <v/>
      </c>
      <c r="J55" t="str">
        <f t="shared" ca="1" si="3"/>
        <v/>
      </c>
      <c r="K55" t="str">
        <f t="shared" si="4"/>
        <v/>
      </c>
      <c r="Q55" t="str">
        <f t="shared" ca="1" si="5"/>
        <v/>
      </c>
    </row>
    <row r="56" spans="3:17" ht="14.25" x14ac:dyDescent="0.45">
      <c r="C56" t="str">
        <f>IFERROR(VLOOKUP(B56,Roster!$A$3:$N$101,2,FALSE),"")</f>
        <v/>
      </c>
      <c r="D56" t="str">
        <f>IFERROR(VLOOKUP(B56,Roster!$A$3:$N$101,3,FALSE),"")</f>
        <v/>
      </c>
      <c r="E56" t="str">
        <f>IFERROR(VLOOKUP(B56,Roster!$A$3:$N$101,4,FALSE),"")</f>
        <v/>
      </c>
      <c r="J56" t="str">
        <f t="shared" ca="1" si="3"/>
        <v/>
      </c>
      <c r="K56" t="str">
        <f t="shared" si="4"/>
        <v/>
      </c>
      <c r="Q56" t="str">
        <f t="shared" ca="1" si="5"/>
        <v/>
      </c>
    </row>
    <row r="57" spans="3:17" ht="14.25" x14ac:dyDescent="0.45">
      <c r="C57" t="str">
        <f>IFERROR(VLOOKUP(B57,Roster!$A$3:$N$101,2,FALSE),"")</f>
        <v/>
      </c>
      <c r="D57" t="str">
        <f>IFERROR(VLOOKUP(B57,Roster!$A$3:$N$101,3,FALSE),"")</f>
        <v/>
      </c>
      <c r="E57" t="str">
        <f>IFERROR(VLOOKUP(B57,Roster!$A$3:$N$101,4,FALSE),"")</f>
        <v/>
      </c>
      <c r="J57" t="str">
        <f t="shared" ca="1" si="3"/>
        <v/>
      </c>
      <c r="K57" t="str">
        <f t="shared" si="4"/>
        <v/>
      </c>
      <c r="Q57" t="str">
        <f t="shared" ca="1" si="5"/>
        <v/>
      </c>
    </row>
    <row r="58" spans="3:17" ht="14.25" x14ac:dyDescent="0.45">
      <c r="C58" t="str">
        <f>IFERROR(VLOOKUP(B58,Roster!$A$3:$N$101,2,FALSE),"")</f>
        <v/>
      </c>
      <c r="D58" t="str">
        <f>IFERROR(VLOOKUP(B58,Roster!$A$3:$N$101,3,FALSE),"")</f>
        <v/>
      </c>
      <c r="E58" t="str">
        <f>IFERROR(VLOOKUP(B58,Roster!$A$3:$N$101,4,FALSE),"")</f>
        <v/>
      </c>
      <c r="J58" t="str">
        <f t="shared" ca="1" si="3"/>
        <v/>
      </c>
      <c r="K58" t="str">
        <f t="shared" si="4"/>
        <v/>
      </c>
      <c r="Q58" t="str">
        <f t="shared" ca="1" si="5"/>
        <v/>
      </c>
    </row>
    <row r="59" spans="3:17" ht="14.25" x14ac:dyDescent="0.45">
      <c r="C59" t="str">
        <f>IFERROR(VLOOKUP(B59,Roster!$A$3:$N$101,2,FALSE),"")</f>
        <v/>
      </c>
      <c r="D59" t="str">
        <f>IFERROR(VLOOKUP(B59,Roster!$A$3:$N$101,3,FALSE),"")</f>
        <v/>
      </c>
      <c r="E59" t="str">
        <f>IFERROR(VLOOKUP(B59,Roster!$A$3:$N$101,4,FALSE),"")</f>
        <v/>
      </c>
      <c r="J59" t="str">
        <f t="shared" ca="1" si="3"/>
        <v/>
      </c>
      <c r="K59" t="str">
        <f t="shared" si="4"/>
        <v/>
      </c>
      <c r="Q59" t="str">
        <f t="shared" ca="1" si="5"/>
        <v/>
      </c>
    </row>
    <row r="60" spans="3:17" ht="14.25" x14ac:dyDescent="0.45">
      <c r="C60" t="str">
        <f>IFERROR(VLOOKUP(B60,Roster!$A$3:$N$101,2,FALSE),"")</f>
        <v/>
      </c>
      <c r="D60" t="str">
        <f>IFERROR(VLOOKUP(B60,Roster!$A$3:$N$101,3,FALSE),"")</f>
        <v/>
      </c>
      <c r="E60" t="str">
        <f>IFERROR(VLOOKUP(B60,Roster!$A$3:$N$101,4,FALSE),"")</f>
        <v/>
      </c>
      <c r="J60" t="str">
        <f t="shared" ca="1" si="3"/>
        <v/>
      </c>
      <c r="K60" t="str">
        <f t="shared" si="4"/>
        <v/>
      </c>
      <c r="Q60" t="str">
        <f t="shared" ca="1" si="5"/>
        <v/>
      </c>
    </row>
    <row r="61" spans="3:17" ht="14.25" x14ac:dyDescent="0.45">
      <c r="C61" t="str">
        <f>IFERROR(VLOOKUP(B61,Roster!$A$3:$N$101,2,FALSE),"")</f>
        <v/>
      </c>
      <c r="D61" t="str">
        <f>IFERROR(VLOOKUP(B61,Roster!$A$3:$N$101,3,FALSE),"")</f>
        <v/>
      </c>
      <c r="E61" t="str">
        <f>IFERROR(VLOOKUP(B61,Roster!$A$3:$N$101,4,FALSE),"")</f>
        <v/>
      </c>
      <c r="J61" t="str">
        <f t="shared" ca="1" si="3"/>
        <v/>
      </c>
      <c r="K61" t="str">
        <f t="shared" si="4"/>
        <v/>
      </c>
      <c r="Q61" t="str">
        <f t="shared" ca="1" si="5"/>
        <v/>
      </c>
    </row>
    <row r="62" spans="3:17" ht="14.25" x14ac:dyDescent="0.45">
      <c r="C62" t="str">
        <f>IFERROR(VLOOKUP(B62,Roster!$A$3:$N$101,2,FALSE),"")</f>
        <v/>
      </c>
      <c r="D62" t="str">
        <f>IFERROR(VLOOKUP(B62,Roster!$A$3:$N$101,3,FALSE),"")</f>
        <v/>
      </c>
      <c r="E62" t="str">
        <f>IFERROR(VLOOKUP(B62,Roster!$A$3:$N$101,4,FALSE),"")</f>
        <v/>
      </c>
      <c r="J62" t="str">
        <f t="shared" ca="1" si="3"/>
        <v/>
      </c>
      <c r="K62" t="str">
        <f t="shared" si="4"/>
        <v/>
      </c>
      <c r="Q62" t="str">
        <f t="shared" ca="1" si="5"/>
        <v/>
      </c>
    </row>
    <row r="63" spans="3:17" ht="14.25" x14ac:dyDescent="0.45">
      <c r="C63" t="str">
        <f>IFERROR(VLOOKUP(B63,Roster!$A$3:$N$101,2,FALSE),"")</f>
        <v/>
      </c>
      <c r="D63" t="str">
        <f>IFERROR(VLOOKUP(B63,Roster!$A$3:$N$101,3,FALSE),"")</f>
        <v/>
      </c>
      <c r="E63" t="str">
        <f>IFERROR(VLOOKUP(B63,Roster!$A$3:$N$101,4,FALSE),"")</f>
        <v/>
      </c>
      <c r="J63" t="str">
        <f t="shared" ca="1" si="3"/>
        <v/>
      </c>
      <c r="K63" t="str">
        <f t="shared" si="4"/>
        <v/>
      </c>
      <c r="Q63" t="str">
        <f t="shared" ca="1" si="5"/>
        <v/>
      </c>
    </row>
    <row r="64" spans="3:17" ht="14.25" x14ac:dyDescent="0.45">
      <c r="C64" t="str">
        <f>IFERROR(VLOOKUP(B64,Roster!$A$3:$N$101,2,FALSE),"")</f>
        <v/>
      </c>
      <c r="D64" t="str">
        <f>IFERROR(VLOOKUP(B64,Roster!$A$3:$N$101,3,FALSE),"")</f>
        <v/>
      </c>
      <c r="E64" t="str">
        <f>IFERROR(VLOOKUP(B64,Roster!$A$3:$N$101,4,FALSE),"")</f>
        <v/>
      </c>
      <c r="J64" t="str">
        <f t="shared" ca="1" si="3"/>
        <v/>
      </c>
      <c r="K64" t="str">
        <f t="shared" si="4"/>
        <v/>
      </c>
      <c r="Q64" t="str">
        <f t="shared" ca="1" si="5"/>
        <v/>
      </c>
    </row>
    <row r="65" spans="3:17" ht="14.25" x14ac:dyDescent="0.45">
      <c r="C65" t="str">
        <f>IFERROR(VLOOKUP(B65,Roster!$A$3:$N$101,2,FALSE),"")</f>
        <v/>
      </c>
      <c r="D65" t="str">
        <f>IFERROR(VLOOKUP(B65,Roster!$A$3:$N$101,3,FALSE),"")</f>
        <v/>
      </c>
      <c r="E65" t="str">
        <f>IFERROR(VLOOKUP(B65,Roster!$A$3:$N$101,4,FALSE),"")</f>
        <v/>
      </c>
      <c r="J65" t="str">
        <f t="shared" ca="1" si="3"/>
        <v/>
      </c>
      <c r="K65" t="str">
        <f t="shared" si="4"/>
        <v/>
      </c>
      <c r="Q65" t="str">
        <f t="shared" ca="1" si="5"/>
        <v/>
      </c>
    </row>
    <row r="66" spans="3:17" ht="14.25" x14ac:dyDescent="0.45">
      <c r="C66" t="str">
        <f>IFERROR(VLOOKUP(B66,Roster!$A$3:$N$101,2,FALSE),"")</f>
        <v/>
      </c>
      <c r="D66" t="str">
        <f>IFERROR(VLOOKUP(B66,Roster!$A$3:$N$101,3,FALSE),"")</f>
        <v/>
      </c>
      <c r="E66" t="str">
        <f>IFERROR(VLOOKUP(B66,Roster!$A$3:$N$101,4,FALSE),"")</f>
        <v/>
      </c>
      <c r="J66" t="str">
        <f t="shared" ca="1" si="3"/>
        <v/>
      </c>
      <c r="K66" t="str">
        <f t="shared" si="4"/>
        <v/>
      </c>
      <c r="Q66" t="str">
        <f t="shared" ca="1" si="5"/>
        <v/>
      </c>
    </row>
    <row r="67" spans="3:17" ht="14.25" x14ac:dyDescent="0.45">
      <c r="C67" t="str">
        <f>IFERROR(VLOOKUP(B67,Roster!$A$3:$N$101,2,FALSE),"")</f>
        <v/>
      </c>
      <c r="D67" t="str">
        <f>IFERROR(VLOOKUP(B67,Roster!$A$3:$N$101,3,FALSE),"")</f>
        <v/>
      </c>
      <c r="E67" t="str">
        <f>IFERROR(VLOOKUP(B67,Roster!$A$3:$N$101,4,FALSE),"")</f>
        <v/>
      </c>
      <c r="J67" t="str">
        <f t="shared" ref="J67:J98" ca="1" si="6">IF(G67="","",IF(H67="",TODAY()-G67,H67-G67))</f>
        <v/>
      </c>
      <c r="K67" t="str">
        <f t="shared" ref="K67:K98" si="7">IF(I67="","",MAX(0,I67-J67))</f>
        <v/>
      </c>
      <c r="Q67" t="str">
        <f t="shared" ref="Q67:Q98" ca="1" si="8">IF(B67="","",IF(COUNTIFS(B$3:B$201,B67,F$3:F$201,"*OSS*",G$3:G$201,"&gt;="&amp;(TODAY()-90))&gt;=3,"🚨 ESCALATE — "&amp;COUNTIFS(B$3:B$201,B67,F$3:F$201,"*OSS*",G$3:G$201,"&gt;="&amp;(TODAY()-90))&amp;" OSS in 90d",TEXT(COUNTIFS(B$3:B$201,B67,F$3:F$201,"*OSS*",G$3:G$201,"&gt;="&amp;(TODAY()-90)),"0")))</f>
        <v/>
      </c>
    </row>
    <row r="68" spans="3:17" ht="14.25" x14ac:dyDescent="0.45">
      <c r="C68" t="str">
        <f>IFERROR(VLOOKUP(B68,Roster!$A$3:$N$101,2,FALSE),"")</f>
        <v/>
      </c>
      <c r="D68" t="str">
        <f>IFERROR(VLOOKUP(B68,Roster!$A$3:$N$101,3,FALSE),"")</f>
        <v/>
      </c>
      <c r="E68" t="str">
        <f>IFERROR(VLOOKUP(B68,Roster!$A$3:$N$101,4,FALSE),"")</f>
        <v/>
      </c>
      <c r="J68" t="str">
        <f t="shared" ca="1" si="6"/>
        <v/>
      </c>
      <c r="K68" t="str">
        <f t="shared" si="7"/>
        <v/>
      </c>
      <c r="Q68" t="str">
        <f t="shared" ca="1" si="8"/>
        <v/>
      </c>
    </row>
    <row r="69" spans="3:17" ht="14.25" x14ac:dyDescent="0.45">
      <c r="C69" t="str">
        <f>IFERROR(VLOOKUP(B69,Roster!$A$3:$N$101,2,FALSE),"")</f>
        <v/>
      </c>
      <c r="D69" t="str">
        <f>IFERROR(VLOOKUP(B69,Roster!$A$3:$N$101,3,FALSE),"")</f>
        <v/>
      </c>
      <c r="E69" t="str">
        <f>IFERROR(VLOOKUP(B69,Roster!$A$3:$N$101,4,FALSE),"")</f>
        <v/>
      </c>
      <c r="J69" t="str">
        <f t="shared" ca="1" si="6"/>
        <v/>
      </c>
      <c r="K69" t="str">
        <f t="shared" si="7"/>
        <v/>
      </c>
      <c r="Q69" t="str">
        <f t="shared" ca="1" si="8"/>
        <v/>
      </c>
    </row>
    <row r="70" spans="3:17" ht="14.25" x14ac:dyDescent="0.45">
      <c r="C70" t="str">
        <f>IFERROR(VLOOKUP(B70,Roster!$A$3:$N$101,2,FALSE),"")</f>
        <v/>
      </c>
      <c r="D70" t="str">
        <f>IFERROR(VLOOKUP(B70,Roster!$A$3:$N$101,3,FALSE),"")</f>
        <v/>
      </c>
      <c r="E70" t="str">
        <f>IFERROR(VLOOKUP(B70,Roster!$A$3:$N$101,4,FALSE),"")</f>
        <v/>
      </c>
      <c r="J70" t="str">
        <f t="shared" ca="1" si="6"/>
        <v/>
      </c>
      <c r="K70" t="str">
        <f t="shared" si="7"/>
        <v/>
      </c>
      <c r="Q70" t="str">
        <f t="shared" ca="1" si="8"/>
        <v/>
      </c>
    </row>
    <row r="71" spans="3:17" ht="14.25" x14ac:dyDescent="0.45">
      <c r="C71" t="str">
        <f>IFERROR(VLOOKUP(B71,Roster!$A$3:$N$101,2,FALSE),"")</f>
        <v/>
      </c>
      <c r="D71" t="str">
        <f>IFERROR(VLOOKUP(B71,Roster!$A$3:$N$101,3,FALSE),"")</f>
        <v/>
      </c>
      <c r="E71" t="str">
        <f>IFERROR(VLOOKUP(B71,Roster!$A$3:$N$101,4,FALSE),"")</f>
        <v/>
      </c>
      <c r="J71" t="str">
        <f t="shared" ca="1" si="6"/>
        <v/>
      </c>
      <c r="K71" t="str">
        <f t="shared" si="7"/>
        <v/>
      </c>
      <c r="Q71" t="str">
        <f t="shared" ca="1" si="8"/>
        <v/>
      </c>
    </row>
    <row r="72" spans="3:17" ht="14.25" x14ac:dyDescent="0.45">
      <c r="C72" t="str">
        <f>IFERROR(VLOOKUP(B72,Roster!$A$3:$N$101,2,FALSE),"")</f>
        <v/>
      </c>
      <c r="D72" t="str">
        <f>IFERROR(VLOOKUP(B72,Roster!$A$3:$N$101,3,FALSE),"")</f>
        <v/>
      </c>
      <c r="E72" t="str">
        <f>IFERROR(VLOOKUP(B72,Roster!$A$3:$N$101,4,FALSE),"")</f>
        <v/>
      </c>
      <c r="J72" t="str">
        <f t="shared" ca="1" si="6"/>
        <v/>
      </c>
      <c r="K72" t="str">
        <f t="shared" si="7"/>
        <v/>
      </c>
      <c r="Q72" t="str">
        <f t="shared" ca="1" si="8"/>
        <v/>
      </c>
    </row>
    <row r="73" spans="3:17" ht="14.25" x14ac:dyDescent="0.45">
      <c r="C73" t="str">
        <f>IFERROR(VLOOKUP(B73,Roster!$A$3:$N$101,2,FALSE),"")</f>
        <v/>
      </c>
      <c r="D73" t="str">
        <f>IFERROR(VLOOKUP(B73,Roster!$A$3:$N$101,3,FALSE),"")</f>
        <v/>
      </c>
      <c r="E73" t="str">
        <f>IFERROR(VLOOKUP(B73,Roster!$A$3:$N$101,4,FALSE),"")</f>
        <v/>
      </c>
      <c r="J73" t="str">
        <f t="shared" ca="1" si="6"/>
        <v/>
      </c>
      <c r="K73" t="str">
        <f t="shared" si="7"/>
        <v/>
      </c>
      <c r="Q73" t="str">
        <f t="shared" ca="1" si="8"/>
        <v/>
      </c>
    </row>
    <row r="74" spans="3:17" ht="14.25" x14ac:dyDescent="0.45">
      <c r="C74" t="str">
        <f>IFERROR(VLOOKUP(B74,Roster!$A$3:$N$101,2,FALSE),"")</f>
        <v/>
      </c>
      <c r="D74" t="str">
        <f>IFERROR(VLOOKUP(B74,Roster!$A$3:$N$101,3,FALSE),"")</f>
        <v/>
      </c>
      <c r="E74" t="str">
        <f>IFERROR(VLOOKUP(B74,Roster!$A$3:$N$101,4,FALSE),"")</f>
        <v/>
      </c>
      <c r="J74" t="str">
        <f t="shared" ca="1" si="6"/>
        <v/>
      </c>
      <c r="K74" t="str">
        <f t="shared" si="7"/>
        <v/>
      </c>
      <c r="Q74" t="str">
        <f t="shared" ca="1" si="8"/>
        <v/>
      </c>
    </row>
    <row r="75" spans="3:17" ht="14.25" x14ac:dyDescent="0.45">
      <c r="C75" t="str">
        <f>IFERROR(VLOOKUP(B75,Roster!$A$3:$N$101,2,FALSE),"")</f>
        <v/>
      </c>
      <c r="D75" t="str">
        <f>IFERROR(VLOOKUP(B75,Roster!$A$3:$N$101,3,FALSE),"")</f>
        <v/>
      </c>
      <c r="E75" t="str">
        <f>IFERROR(VLOOKUP(B75,Roster!$A$3:$N$101,4,FALSE),"")</f>
        <v/>
      </c>
      <c r="J75" t="str">
        <f t="shared" ca="1" si="6"/>
        <v/>
      </c>
      <c r="K75" t="str">
        <f t="shared" si="7"/>
        <v/>
      </c>
      <c r="Q75" t="str">
        <f t="shared" ca="1" si="8"/>
        <v/>
      </c>
    </row>
    <row r="76" spans="3:17" ht="14.25" x14ac:dyDescent="0.45">
      <c r="C76" t="str">
        <f>IFERROR(VLOOKUP(B76,Roster!$A$3:$N$101,2,FALSE),"")</f>
        <v/>
      </c>
      <c r="D76" t="str">
        <f>IFERROR(VLOOKUP(B76,Roster!$A$3:$N$101,3,FALSE),"")</f>
        <v/>
      </c>
      <c r="E76" t="str">
        <f>IFERROR(VLOOKUP(B76,Roster!$A$3:$N$101,4,FALSE),"")</f>
        <v/>
      </c>
      <c r="J76" t="str">
        <f t="shared" ca="1" si="6"/>
        <v/>
      </c>
      <c r="K76" t="str">
        <f t="shared" si="7"/>
        <v/>
      </c>
      <c r="Q76" t="str">
        <f t="shared" ca="1" si="8"/>
        <v/>
      </c>
    </row>
    <row r="77" spans="3:17" ht="14.25" x14ac:dyDescent="0.45">
      <c r="C77" t="str">
        <f>IFERROR(VLOOKUP(B77,Roster!$A$3:$N$101,2,FALSE),"")</f>
        <v/>
      </c>
      <c r="D77" t="str">
        <f>IFERROR(VLOOKUP(B77,Roster!$A$3:$N$101,3,FALSE),"")</f>
        <v/>
      </c>
      <c r="E77" t="str">
        <f>IFERROR(VLOOKUP(B77,Roster!$A$3:$N$101,4,FALSE),"")</f>
        <v/>
      </c>
      <c r="J77" t="str">
        <f t="shared" ca="1" si="6"/>
        <v/>
      </c>
      <c r="K77" t="str">
        <f t="shared" si="7"/>
        <v/>
      </c>
      <c r="Q77" t="str">
        <f t="shared" ca="1" si="8"/>
        <v/>
      </c>
    </row>
    <row r="78" spans="3:17" ht="14.25" x14ac:dyDescent="0.45">
      <c r="C78" t="str">
        <f>IFERROR(VLOOKUP(B78,Roster!$A$3:$N$101,2,FALSE),"")</f>
        <v/>
      </c>
      <c r="D78" t="str">
        <f>IFERROR(VLOOKUP(B78,Roster!$A$3:$N$101,3,FALSE),"")</f>
        <v/>
      </c>
      <c r="E78" t="str">
        <f>IFERROR(VLOOKUP(B78,Roster!$A$3:$N$101,4,FALSE),"")</f>
        <v/>
      </c>
      <c r="J78" t="str">
        <f t="shared" ca="1" si="6"/>
        <v/>
      </c>
      <c r="K78" t="str">
        <f t="shared" si="7"/>
        <v/>
      </c>
      <c r="Q78" t="str">
        <f t="shared" ca="1" si="8"/>
        <v/>
      </c>
    </row>
    <row r="79" spans="3:17" ht="14.25" x14ac:dyDescent="0.45">
      <c r="C79" t="str">
        <f>IFERROR(VLOOKUP(B79,Roster!$A$3:$N$101,2,FALSE),"")</f>
        <v/>
      </c>
      <c r="D79" t="str">
        <f>IFERROR(VLOOKUP(B79,Roster!$A$3:$N$101,3,FALSE),"")</f>
        <v/>
      </c>
      <c r="E79" t="str">
        <f>IFERROR(VLOOKUP(B79,Roster!$A$3:$N$101,4,FALSE),"")</f>
        <v/>
      </c>
      <c r="J79" t="str">
        <f t="shared" ca="1" si="6"/>
        <v/>
      </c>
      <c r="K79" t="str">
        <f t="shared" si="7"/>
        <v/>
      </c>
      <c r="Q79" t="str">
        <f t="shared" ca="1" si="8"/>
        <v/>
      </c>
    </row>
    <row r="80" spans="3:17" ht="14.25" x14ac:dyDescent="0.45">
      <c r="C80" t="str">
        <f>IFERROR(VLOOKUP(B80,Roster!$A$3:$N$101,2,FALSE),"")</f>
        <v/>
      </c>
      <c r="D80" t="str">
        <f>IFERROR(VLOOKUP(B80,Roster!$A$3:$N$101,3,FALSE),"")</f>
        <v/>
      </c>
      <c r="E80" t="str">
        <f>IFERROR(VLOOKUP(B80,Roster!$A$3:$N$101,4,FALSE),"")</f>
        <v/>
      </c>
      <c r="J80" t="str">
        <f t="shared" ca="1" si="6"/>
        <v/>
      </c>
      <c r="K80" t="str">
        <f t="shared" si="7"/>
        <v/>
      </c>
      <c r="Q80" t="str">
        <f t="shared" ca="1" si="8"/>
        <v/>
      </c>
    </row>
    <row r="81" spans="3:17" ht="14.25" x14ac:dyDescent="0.45">
      <c r="C81" t="str">
        <f>IFERROR(VLOOKUP(B81,Roster!$A$3:$N$101,2,FALSE),"")</f>
        <v/>
      </c>
      <c r="D81" t="str">
        <f>IFERROR(VLOOKUP(B81,Roster!$A$3:$N$101,3,FALSE),"")</f>
        <v/>
      </c>
      <c r="E81" t="str">
        <f>IFERROR(VLOOKUP(B81,Roster!$A$3:$N$101,4,FALSE),"")</f>
        <v/>
      </c>
      <c r="J81" t="str">
        <f t="shared" ca="1" si="6"/>
        <v/>
      </c>
      <c r="K81" t="str">
        <f t="shared" si="7"/>
        <v/>
      </c>
      <c r="Q81" t="str">
        <f t="shared" ca="1" si="8"/>
        <v/>
      </c>
    </row>
    <row r="82" spans="3:17" ht="14.25" x14ac:dyDescent="0.45">
      <c r="C82" t="str">
        <f>IFERROR(VLOOKUP(B82,Roster!$A$3:$N$101,2,FALSE),"")</f>
        <v/>
      </c>
      <c r="D82" t="str">
        <f>IFERROR(VLOOKUP(B82,Roster!$A$3:$N$101,3,FALSE),"")</f>
        <v/>
      </c>
      <c r="E82" t="str">
        <f>IFERROR(VLOOKUP(B82,Roster!$A$3:$N$101,4,FALSE),"")</f>
        <v/>
      </c>
      <c r="J82" t="str">
        <f t="shared" ca="1" si="6"/>
        <v/>
      </c>
      <c r="K82" t="str">
        <f t="shared" si="7"/>
        <v/>
      </c>
      <c r="Q82" t="str">
        <f t="shared" ca="1" si="8"/>
        <v/>
      </c>
    </row>
    <row r="83" spans="3:17" ht="14.25" x14ac:dyDescent="0.45">
      <c r="C83" t="str">
        <f>IFERROR(VLOOKUP(B83,Roster!$A$3:$N$101,2,FALSE),"")</f>
        <v/>
      </c>
      <c r="D83" t="str">
        <f>IFERROR(VLOOKUP(B83,Roster!$A$3:$N$101,3,FALSE),"")</f>
        <v/>
      </c>
      <c r="E83" t="str">
        <f>IFERROR(VLOOKUP(B83,Roster!$A$3:$N$101,4,FALSE),"")</f>
        <v/>
      </c>
      <c r="J83" t="str">
        <f t="shared" ca="1" si="6"/>
        <v/>
      </c>
      <c r="K83" t="str">
        <f t="shared" si="7"/>
        <v/>
      </c>
      <c r="Q83" t="str">
        <f t="shared" ca="1" si="8"/>
        <v/>
      </c>
    </row>
    <row r="84" spans="3:17" ht="14.25" x14ac:dyDescent="0.45">
      <c r="C84" t="str">
        <f>IFERROR(VLOOKUP(B84,Roster!$A$3:$N$101,2,FALSE),"")</f>
        <v/>
      </c>
      <c r="D84" t="str">
        <f>IFERROR(VLOOKUP(B84,Roster!$A$3:$N$101,3,FALSE),"")</f>
        <v/>
      </c>
      <c r="E84" t="str">
        <f>IFERROR(VLOOKUP(B84,Roster!$A$3:$N$101,4,FALSE),"")</f>
        <v/>
      </c>
      <c r="J84" t="str">
        <f t="shared" ca="1" si="6"/>
        <v/>
      </c>
      <c r="K84" t="str">
        <f t="shared" si="7"/>
        <v/>
      </c>
      <c r="Q84" t="str">
        <f t="shared" ca="1" si="8"/>
        <v/>
      </c>
    </row>
    <row r="85" spans="3:17" ht="14.25" x14ac:dyDescent="0.45">
      <c r="C85" t="str">
        <f>IFERROR(VLOOKUP(B85,Roster!$A$3:$N$101,2,FALSE),"")</f>
        <v/>
      </c>
      <c r="D85" t="str">
        <f>IFERROR(VLOOKUP(B85,Roster!$A$3:$N$101,3,FALSE),"")</f>
        <v/>
      </c>
      <c r="E85" t="str">
        <f>IFERROR(VLOOKUP(B85,Roster!$A$3:$N$101,4,FALSE),"")</f>
        <v/>
      </c>
      <c r="J85" t="str">
        <f t="shared" ca="1" si="6"/>
        <v/>
      </c>
      <c r="K85" t="str">
        <f t="shared" si="7"/>
        <v/>
      </c>
      <c r="Q85" t="str">
        <f t="shared" ca="1" si="8"/>
        <v/>
      </c>
    </row>
    <row r="86" spans="3:17" ht="14.25" x14ac:dyDescent="0.45">
      <c r="C86" t="str">
        <f>IFERROR(VLOOKUP(B86,Roster!$A$3:$N$101,2,FALSE),"")</f>
        <v/>
      </c>
      <c r="D86" t="str">
        <f>IFERROR(VLOOKUP(B86,Roster!$A$3:$N$101,3,FALSE),"")</f>
        <v/>
      </c>
      <c r="E86" t="str">
        <f>IFERROR(VLOOKUP(B86,Roster!$A$3:$N$101,4,FALSE),"")</f>
        <v/>
      </c>
      <c r="J86" t="str">
        <f t="shared" ca="1" si="6"/>
        <v/>
      </c>
      <c r="K86" t="str">
        <f t="shared" si="7"/>
        <v/>
      </c>
      <c r="Q86" t="str">
        <f t="shared" ca="1" si="8"/>
        <v/>
      </c>
    </row>
    <row r="87" spans="3:17" ht="14.25" x14ac:dyDescent="0.45">
      <c r="C87" t="str">
        <f>IFERROR(VLOOKUP(B87,Roster!$A$3:$N$101,2,FALSE),"")</f>
        <v/>
      </c>
      <c r="D87" t="str">
        <f>IFERROR(VLOOKUP(B87,Roster!$A$3:$N$101,3,FALSE),"")</f>
        <v/>
      </c>
      <c r="E87" t="str">
        <f>IFERROR(VLOOKUP(B87,Roster!$A$3:$N$101,4,FALSE),"")</f>
        <v/>
      </c>
      <c r="J87" t="str">
        <f t="shared" ca="1" si="6"/>
        <v/>
      </c>
      <c r="K87" t="str">
        <f t="shared" si="7"/>
        <v/>
      </c>
      <c r="Q87" t="str">
        <f t="shared" ca="1" si="8"/>
        <v/>
      </c>
    </row>
    <row r="88" spans="3:17" ht="14.25" x14ac:dyDescent="0.45">
      <c r="C88" t="str">
        <f>IFERROR(VLOOKUP(B88,Roster!$A$3:$N$101,2,FALSE),"")</f>
        <v/>
      </c>
      <c r="D88" t="str">
        <f>IFERROR(VLOOKUP(B88,Roster!$A$3:$N$101,3,FALSE),"")</f>
        <v/>
      </c>
      <c r="E88" t="str">
        <f>IFERROR(VLOOKUP(B88,Roster!$A$3:$N$101,4,FALSE),"")</f>
        <v/>
      </c>
      <c r="J88" t="str">
        <f t="shared" ca="1" si="6"/>
        <v/>
      </c>
      <c r="K88" t="str">
        <f t="shared" si="7"/>
        <v/>
      </c>
      <c r="Q88" t="str">
        <f t="shared" ca="1" si="8"/>
        <v/>
      </c>
    </row>
    <row r="89" spans="3:17" ht="14.25" x14ac:dyDescent="0.45">
      <c r="C89" t="str">
        <f>IFERROR(VLOOKUP(B89,Roster!$A$3:$N$101,2,FALSE),"")</f>
        <v/>
      </c>
      <c r="D89" t="str">
        <f>IFERROR(VLOOKUP(B89,Roster!$A$3:$N$101,3,FALSE),"")</f>
        <v/>
      </c>
      <c r="E89" t="str">
        <f>IFERROR(VLOOKUP(B89,Roster!$A$3:$N$101,4,FALSE),"")</f>
        <v/>
      </c>
      <c r="J89" t="str">
        <f t="shared" ca="1" si="6"/>
        <v/>
      </c>
      <c r="K89" t="str">
        <f t="shared" si="7"/>
        <v/>
      </c>
      <c r="Q89" t="str">
        <f t="shared" ca="1" si="8"/>
        <v/>
      </c>
    </row>
    <row r="90" spans="3:17" ht="14.25" x14ac:dyDescent="0.45">
      <c r="C90" t="str">
        <f>IFERROR(VLOOKUP(B90,Roster!$A$3:$N$101,2,FALSE),"")</f>
        <v/>
      </c>
      <c r="D90" t="str">
        <f>IFERROR(VLOOKUP(B90,Roster!$A$3:$N$101,3,FALSE),"")</f>
        <v/>
      </c>
      <c r="E90" t="str">
        <f>IFERROR(VLOOKUP(B90,Roster!$A$3:$N$101,4,FALSE),"")</f>
        <v/>
      </c>
      <c r="J90" t="str">
        <f t="shared" ca="1" si="6"/>
        <v/>
      </c>
      <c r="K90" t="str">
        <f t="shared" si="7"/>
        <v/>
      </c>
      <c r="Q90" t="str">
        <f t="shared" ca="1" si="8"/>
        <v/>
      </c>
    </row>
    <row r="91" spans="3:17" ht="14.25" x14ac:dyDescent="0.45">
      <c r="C91" t="str">
        <f>IFERROR(VLOOKUP(B91,Roster!$A$3:$N$101,2,FALSE),"")</f>
        <v/>
      </c>
      <c r="D91" t="str">
        <f>IFERROR(VLOOKUP(B91,Roster!$A$3:$N$101,3,FALSE),"")</f>
        <v/>
      </c>
      <c r="E91" t="str">
        <f>IFERROR(VLOOKUP(B91,Roster!$A$3:$N$101,4,FALSE),"")</f>
        <v/>
      </c>
      <c r="J91" t="str">
        <f t="shared" ca="1" si="6"/>
        <v/>
      </c>
      <c r="K91" t="str">
        <f t="shared" si="7"/>
        <v/>
      </c>
      <c r="Q91" t="str">
        <f t="shared" ca="1" si="8"/>
        <v/>
      </c>
    </row>
    <row r="92" spans="3:17" ht="14.25" x14ac:dyDescent="0.45">
      <c r="C92" t="str">
        <f>IFERROR(VLOOKUP(B92,Roster!$A$3:$N$101,2,FALSE),"")</f>
        <v/>
      </c>
      <c r="D92" t="str">
        <f>IFERROR(VLOOKUP(B92,Roster!$A$3:$N$101,3,FALSE),"")</f>
        <v/>
      </c>
      <c r="E92" t="str">
        <f>IFERROR(VLOOKUP(B92,Roster!$A$3:$N$101,4,FALSE),"")</f>
        <v/>
      </c>
      <c r="J92" t="str">
        <f t="shared" ca="1" si="6"/>
        <v/>
      </c>
      <c r="K92" t="str">
        <f t="shared" si="7"/>
        <v/>
      </c>
      <c r="Q92" t="str">
        <f t="shared" ca="1" si="8"/>
        <v/>
      </c>
    </row>
    <row r="93" spans="3:17" ht="14.25" x14ac:dyDescent="0.45">
      <c r="C93" t="str">
        <f>IFERROR(VLOOKUP(B93,Roster!$A$3:$N$101,2,FALSE),"")</f>
        <v/>
      </c>
      <c r="D93" t="str">
        <f>IFERROR(VLOOKUP(B93,Roster!$A$3:$N$101,3,FALSE),"")</f>
        <v/>
      </c>
      <c r="E93" t="str">
        <f>IFERROR(VLOOKUP(B93,Roster!$A$3:$N$101,4,FALSE),"")</f>
        <v/>
      </c>
      <c r="J93" t="str">
        <f t="shared" ca="1" si="6"/>
        <v/>
      </c>
      <c r="K93" t="str">
        <f t="shared" si="7"/>
        <v/>
      </c>
      <c r="Q93" t="str">
        <f t="shared" ca="1" si="8"/>
        <v/>
      </c>
    </row>
    <row r="94" spans="3:17" ht="14.25" x14ac:dyDescent="0.45">
      <c r="C94" t="str">
        <f>IFERROR(VLOOKUP(B94,Roster!$A$3:$N$101,2,FALSE),"")</f>
        <v/>
      </c>
      <c r="D94" t="str">
        <f>IFERROR(VLOOKUP(B94,Roster!$A$3:$N$101,3,FALSE),"")</f>
        <v/>
      </c>
      <c r="E94" t="str">
        <f>IFERROR(VLOOKUP(B94,Roster!$A$3:$N$101,4,FALSE),"")</f>
        <v/>
      </c>
      <c r="J94" t="str">
        <f t="shared" ca="1" si="6"/>
        <v/>
      </c>
      <c r="K94" t="str">
        <f t="shared" si="7"/>
        <v/>
      </c>
      <c r="Q94" t="str">
        <f t="shared" ca="1" si="8"/>
        <v/>
      </c>
    </row>
    <row r="95" spans="3:17" ht="14.25" x14ac:dyDescent="0.45">
      <c r="C95" t="str">
        <f>IFERROR(VLOOKUP(B95,Roster!$A$3:$N$101,2,FALSE),"")</f>
        <v/>
      </c>
      <c r="D95" t="str">
        <f>IFERROR(VLOOKUP(B95,Roster!$A$3:$N$101,3,FALSE),"")</f>
        <v/>
      </c>
      <c r="E95" t="str">
        <f>IFERROR(VLOOKUP(B95,Roster!$A$3:$N$101,4,FALSE),"")</f>
        <v/>
      </c>
      <c r="J95" t="str">
        <f t="shared" ca="1" si="6"/>
        <v/>
      </c>
      <c r="K95" t="str">
        <f t="shared" si="7"/>
        <v/>
      </c>
      <c r="Q95" t="str">
        <f t="shared" ca="1" si="8"/>
        <v/>
      </c>
    </row>
    <row r="96" spans="3:17" ht="14.25" x14ac:dyDescent="0.45">
      <c r="C96" t="str">
        <f>IFERROR(VLOOKUP(B96,Roster!$A$3:$N$101,2,FALSE),"")</f>
        <v/>
      </c>
      <c r="D96" t="str">
        <f>IFERROR(VLOOKUP(B96,Roster!$A$3:$N$101,3,FALSE),"")</f>
        <v/>
      </c>
      <c r="E96" t="str">
        <f>IFERROR(VLOOKUP(B96,Roster!$A$3:$N$101,4,FALSE),"")</f>
        <v/>
      </c>
      <c r="J96" t="str">
        <f t="shared" ca="1" si="6"/>
        <v/>
      </c>
      <c r="K96" t="str">
        <f t="shared" si="7"/>
        <v/>
      </c>
      <c r="Q96" t="str">
        <f t="shared" ca="1" si="8"/>
        <v/>
      </c>
    </row>
    <row r="97" spans="3:17" ht="14.25" x14ac:dyDescent="0.45">
      <c r="C97" t="str">
        <f>IFERROR(VLOOKUP(B97,Roster!$A$3:$N$101,2,FALSE),"")</f>
        <v/>
      </c>
      <c r="D97" t="str">
        <f>IFERROR(VLOOKUP(B97,Roster!$A$3:$N$101,3,FALSE),"")</f>
        <v/>
      </c>
      <c r="E97" t="str">
        <f>IFERROR(VLOOKUP(B97,Roster!$A$3:$N$101,4,FALSE),"")</f>
        <v/>
      </c>
      <c r="J97" t="str">
        <f t="shared" ca="1" si="6"/>
        <v/>
      </c>
      <c r="K97" t="str">
        <f t="shared" si="7"/>
        <v/>
      </c>
      <c r="Q97" t="str">
        <f t="shared" ca="1" si="8"/>
        <v/>
      </c>
    </row>
    <row r="98" spans="3:17" ht="14.25" x14ac:dyDescent="0.45">
      <c r="C98" t="str">
        <f>IFERROR(VLOOKUP(B98,Roster!$A$3:$N$101,2,FALSE),"")</f>
        <v/>
      </c>
      <c r="D98" t="str">
        <f>IFERROR(VLOOKUP(B98,Roster!$A$3:$N$101,3,FALSE),"")</f>
        <v/>
      </c>
      <c r="E98" t="str">
        <f>IFERROR(VLOOKUP(B98,Roster!$A$3:$N$101,4,FALSE),"")</f>
        <v/>
      </c>
      <c r="J98" t="str">
        <f t="shared" ca="1" si="6"/>
        <v/>
      </c>
      <c r="K98" t="str">
        <f t="shared" si="7"/>
        <v/>
      </c>
      <c r="Q98" t="str">
        <f t="shared" ca="1" si="8"/>
        <v/>
      </c>
    </row>
    <row r="99" spans="3:17" ht="14.25" x14ac:dyDescent="0.45">
      <c r="C99" t="str">
        <f>IFERROR(VLOOKUP(B99,Roster!$A$3:$N$101,2,FALSE),"")</f>
        <v/>
      </c>
      <c r="D99" t="str">
        <f>IFERROR(VLOOKUP(B99,Roster!$A$3:$N$101,3,FALSE),"")</f>
        <v/>
      </c>
      <c r="E99" t="str">
        <f>IFERROR(VLOOKUP(B99,Roster!$A$3:$N$101,4,FALSE),"")</f>
        <v/>
      </c>
      <c r="J99" t="str">
        <f t="shared" ref="J99:J130" ca="1" si="9">IF(G99="","",IF(H99="",TODAY()-G99,H99-G99))</f>
        <v/>
      </c>
      <c r="K99" t="str">
        <f t="shared" ref="K99:K130" si="10">IF(I99="","",MAX(0,I99-J99))</f>
        <v/>
      </c>
      <c r="Q99" t="str">
        <f t="shared" ref="Q99:Q130" ca="1" si="11">IF(B99="","",IF(COUNTIFS(B$3:B$201,B99,F$3:F$201,"*OSS*",G$3:G$201,"&gt;="&amp;(TODAY()-90))&gt;=3,"🚨 ESCALATE — "&amp;COUNTIFS(B$3:B$201,B99,F$3:F$201,"*OSS*",G$3:G$201,"&gt;="&amp;(TODAY()-90))&amp;" OSS in 90d",TEXT(COUNTIFS(B$3:B$201,B99,F$3:F$201,"*OSS*",G$3:G$201,"&gt;="&amp;(TODAY()-90)),"0")))</f>
        <v/>
      </c>
    </row>
    <row r="100" spans="3:17" ht="14.25" x14ac:dyDescent="0.45">
      <c r="C100" t="str">
        <f>IFERROR(VLOOKUP(B100,Roster!$A$3:$N$101,2,FALSE),"")</f>
        <v/>
      </c>
      <c r="D100" t="str">
        <f>IFERROR(VLOOKUP(B100,Roster!$A$3:$N$101,3,FALSE),"")</f>
        <v/>
      </c>
      <c r="E100" t="str">
        <f>IFERROR(VLOOKUP(B100,Roster!$A$3:$N$101,4,FALSE),"")</f>
        <v/>
      </c>
      <c r="J100" t="str">
        <f t="shared" ca="1" si="9"/>
        <v/>
      </c>
      <c r="K100" t="str">
        <f t="shared" si="10"/>
        <v/>
      </c>
      <c r="Q100" t="str">
        <f t="shared" ca="1" si="11"/>
        <v/>
      </c>
    </row>
    <row r="101" spans="3:17" ht="14.25" x14ac:dyDescent="0.45">
      <c r="C101" t="str">
        <f>IFERROR(VLOOKUP(B101,Roster!$A$3:$N$101,2,FALSE),"")</f>
        <v/>
      </c>
      <c r="D101" t="str">
        <f>IFERROR(VLOOKUP(B101,Roster!$A$3:$N$101,3,FALSE),"")</f>
        <v/>
      </c>
      <c r="E101" t="str">
        <f>IFERROR(VLOOKUP(B101,Roster!$A$3:$N$101,4,FALSE),"")</f>
        <v/>
      </c>
      <c r="J101" t="str">
        <f t="shared" ca="1" si="9"/>
        <v/>
      </c>
      <c r="K101" t="str">
        <f t="shared" si="10"/>
        <v/>
      </c>
      <c r="Q101" t="str">
        <f t="shared" ca="1" si="11"/>
        <v/>
      </c>
    </row>
    <row r="102" spans="3:17" ht="14.25" x14ac:dyDescent="0.45">
      <c r="C102" t="str">
        <f>IFERROR(VLOOKUP(B102,Roster!$A$3:$N$101,2,FALSE),"")</f>
        <v/>
      </c>
      <c r="D102" t="str">
        <f>IFERROR(VLOOKUP(B102,Roster!$A$3:$N$101,3,FALSE),"")</f>
        <v/>
      </c>
      <c r="E102" t="str">
        <f>IFERROR(VLOOKUP(B102,Roster!$A$3:$N$101,4,FALSE),"")</f>
        <v/>
      </c>
      <c r="J102" t="str">
        <f t="shared" ca="1" si="9"/>
        <v/>
      </c>
      <c r="K102" t="str">
        <f t="shared" si="10"/>
        <v/>
      </c>
      <c r="Q102" t="str">
        <f t="shared" ca="1" si="11"/>
        <v/>
      </c>
    </row>
    <row r="103" spans="3:17" ht="14.25" x14ac:dyDescent="0.45">
      <c r="C103" t="str">
        <f>IFERROR(VLOOKUP(B103,Roster!$A$3:$N$101,2,FALSE),"")</f>
        <v/>
      </c>
      <c r="D103" t="str">
        <f>IFERROR(VLOOKUP(B103,Roster!$A$3:$N$101,3,FALSE),"")</f>
        <v/>
      </c>
      <c r="E103" t="str">
        <f>IFERROR(VLOOKUP(B103,Roster!$A$3:$N$101,4,FALSE),"")</f>
        <v/>
      </c>
      <c r="J103" t="str">
        <f t="shared" ca="1" si="9"/>
        <v/>
      </c>
      <c r="K103" t="str">
        <f t="shared" si="10"/>
        <v/>
      </c>
      <c r="Q103" t="str">
        <f t="shared" ca="1" si="11"/>
        <v/>
      </c>
    </row>
    <row r="104" spans="3:17" ht="14.25" x14ac:dyDescent="0.45">
      <c r="C104" t="str">
        <f>IFERROR(VLOOKUP(B104,Roster!$A$3:$N$101,2,FALSE),"")</f>
        <v/>
      </c>
      <c r="D104" t="str">
        <f>IFERROR(VLOOKUP(B104,Roster!$A$3:$N$101,3,FALSE),"")</f>
        <v/>
      </c>
      <c r="E104" t="str">
        <f>IFERROR(VLOOKUP(B104,Roster!$A$3:$N$101,4,FALSE),"")</f>
        <v/>
      </c>
      <c r="J104" t="str">
        <f t="shared" ca="1" si="9"/>
        <v/>
      </c>
      <c r="K104" t="str">
        <f t="shared" si="10"/>
        <v/>
      </c>
      <c r="Q104" t="str">
        <f t="shared" ca="1" si="11"/>
        <v/>
      </c>
    </row>
    <row r="105" spans="3:17" ht="14.25" x14ac:dyDescent="0.45">
      <c r="C105" t="str">
        <f>IFERROR(VLOOKUP(B105,Roster!$A$3:$N$101,2,FALSE),"")</f>
        <v/>
      </c>
      <c r="D105" t="str">
        <f>IFERROR(VLOOKUP(B105,Roster!$A$3:$N$101,3,FALSE),"")</f>
        <v/>
      </c>
      <c r="E105" t="str">
        <f>IFERROR(VLOOKUP(B105,Roster!$A$3:$N$101,4,FALSE),"")</f>
        <v/>
      </c>
      <c r="J105" t="str">
        <f t="shared" ca="1" si="9"/>
        <v/>
      </c>
      <c r="K105" t="str">
        <f t="shared" si="10"/>
        <v/>
      </c>
      <c r="Q105" t="str">
        <f t="shared" ca="1" si="11"/>
        <v/>
      </c>
    </row>
    <row r="106" spans="3:17" ht="14.25" x14ac:dyDescent="0.45">
      <c r="C106" t="str">
        <f>IFERROR(VLOOKUP(B106,Roster!$A$3:$N$101,2,FALSE),"")</f>
        <v/>
      </c>
      <c r="D106" t="str">
        <f>IFERROR(VLOOKUP(B106,Roster!$A$3:$N$101,3,FALSE),"")</f>
        <v/>
      </c>
      <c r="E106" t="str">
        <f>IFERROR(VLOOKUP(B106,Roster!$A$3:$N$101,4,FALSE),"")</f>
        <v/>
      </c>
      <c r="J106" t="str">
        <f t="shared" ca="1" si="9"/>
        <v/>
      </c>
      <c r="K106" t="str">
        <f t="shared" si="10"/>
        <v/>
      </c>
      <c r="Q106" t="str">
        <f t="shared" ca="1" si="11"/>
        <v/>
      </c>
    </row>
    <row r="107" spans="3:17" ht="14.25" x14ac:dyDescent="0.45">
      <c r="C107" t="str">
        <f>IFERROR(VLOOKUP(B107,Roster!$A$3:$N$101,2,FALSE),"")</f>
        <v/>
      </c>
      <c r="D107" t="str">
        <f>IFERROR(VLOOKUP(B107,Roster!$A$3:$N$101,3,FALSE),"")</f>
        <v/>
      </c>
      <c r="E107" t="str">
        <f>IFERROR(VLOOKUP(B107,Roster!$A$3:$N$101,4,FALSE),"")</f>
        <v/>
      </c>
      <c r="J107" t="str">
        <f t="shared" ca="1" si="9"/>
        <v/>
      </c>
      <c r="K107" t="str">
        <f t="shared" si="10"/>
        <v/>
      </c>
      <c r="Q107" t="str">
        <f t="shared" ca="1" si="11"/>
        <v/>
      </c>
    </row>
    <row r="108" spans="3:17" ht="14.25" x14ac:dyDescent="0.45">
      <c r="C108" t="str">
        <f>IFERROR(VLOOKUP(B108,Roster!$A$3:$N$101,2,FALSE),"")</f>
        <v/>
      </c>
      <c r="D108" t="str">
        <f>IFERROR(VLOOKUP(B108,Roster!$A$3:$N$101,3,FALSE),"")</f>
        <v/>
      </c>
      <c r="E108" t="str">
        <f>IFERROR(VLOOKUP(B108,Roster!$A$3:$N$101,4,FALSE),"")</f>
        <v/>
      </c>
      <c r="J108" t="str">
        <f t="shared" ca="1" si="9"/>
        <v/>
      </c>
      <c r="K108" t="str">
        <f t="shared" si="10"/>
        <v/>
      </c>
      <c r="Q108" t="str">
        <f t="shared" ca="1" si="11"/>
        <v/>
      </c>
    </row>
    <row r="109" spans="3:17" ht="14.25" x14ac:dyDescent="0.45">
      <c r="C109" t="str">
        <f>IFERROR(VLOOKUP(B109,Roster!$A$3:$N$101,2,FALSE),"")</f>
        <v/>
      </c>
      <c r="D109" t="str">
        <f>IFERROR(VLOOKUP(B109,Roster!$A$3:$N$101,3,FALSE),"")</f>
        <v/>
      </c>
      <c r="E109" t="str">
        <f>IFERROR(VLOOKUP(B109,Roster!$A$3:$N$101,4,FALSE),"")</f>
        <v/>
      </c>
      <c r="J109" t="str">
        <f t="shared" ca="1" si="9"/>
        <v/>
      </c>
      <c r="K109" t="str">
        <f t="shared" si="10"/>
        <v/>
      </c>
      <c r="Q109" t="str">
        <f t="shared" ca="1" si="11"/>
        <v/>
      </c>
    </row>
    <row r="110" spans="3:17" ht="14.25" x14ac:dyDescent="0.45">
      <c r="C110" t="str">
        <f>IFERROR(VLOOKUP(B110,Roster!$A$3:$N$101,2,FALSE),"")</f>
        <v/>
      </c>
      <c r="D110" t="str">
        <f>IFERROR(VLOOKUP(B110,Roster!$A$3:$N$101,3,FALSE),"")</f>
        <v/>
      </c>
      <c r="E110" t="str">
        <f>IFERROR(VLOOKUP(B110,Roster!$A$3:$N$101,4,FALSE),"")</f>
        <v/>
      </c>
      <c r="J110" t="str">
        <f t="shared" ca="1" si="9"/>
        <v/>
      </c>
      <c r="K110" t="str">
        <f t="shared" si="10"/>
        <v/>
      </c>
      <c r="Q110" t="str">
        <f t="shared" ca="1" si="11"/>
        <v/>
      </c>
    </row>
    <row r="111" spans="3:17" ht="14.25" x14ac:dyDescent="0.45">
      <c r="C111" t="str">
        <f>IFERROR(VLOOKUP(B111,Roster!$A$3:$N$101,2,FALSE),"")</f>
        <v/>
      </c>
      <c r="D111" t="str">
        <f>IFERROR(VLOOKUP(B111,Roster!$A$3:$N$101,3,FALSE),"")</f>
        <v/>
      </c>
      <c r="E111" t="str">
        <f>IFERROR(VLOOKUP(B111,Roster!$A$3:$N$101,4,FALSE),"")</f>
        <v/>
      </c>
      <c r="J111" t="str">
        <f t="shared" ca="1" si="9"/>
        <v/>
      </c>
      <c r="K111" t="str">
        <f t="shared" si="10"/>
        <v/>
      </c>
      <c r="Q111" t="str">
        <f t="shared" ca="1" si="11"/>
        <v/>
      </c>
    </row>
    <row r="112" spans="3:17" ht="14.25" x14ac:dyDescent="0.45">
      <c r="C112" t="str">
        <f>IFERROR(VLOOKUP(B112,Roster!$A$3:$N$101,2,FALSE),"")</f>
        <v/>
      </c>
      <c r="D112" t="str">
        <f>IFERROR(VLOOKUP(B112,Roster!$A$3:$N$101,3,FALSE),"")</f>
        <v/>
      </c>
      <c r="E112" t="str">
        <f>IFERROR(VLOOKUP(B112,Roster!$A$3:$N$101,4,FALSE),"")</f>
        <v/>
      </c>
      <c r="J112" t="str">
        <f t="shared" ca="1" si="9"/>
        <v/>
      </c>
      <c r="K112" t="str">
        <f t="shared" si="10"/>
        <v/>
      </c>
      <c r="Q112" t="str">
        <f t="shared" ca="1" si="11"/>
        <v/>
      </c>
    </row>
    <row r="113" spans="3:17" ht="14.25" x14ac:dyDescent="0.45">
      <c r="C113" t="str">
        <f>IFERROR(VLOOKUP(B113,Roster!$A$3:$N$101,2,FALSE),"")</f>
        <v/>
      </c>
      <c r="D113" t="str">
        <f>IFERROR(VLOOKUP(B113,Roster!$A$3:$N$101,3,FALSE),"")</f>
        <v/>
      </c>
      <c r="E113" t="str">
        <f>IFERROR(VLOOKUP(B113,Roster!$A$3:$N$101,4,FALSE),"")</f>
        <v/>
      </c>
      <c r="J113" t="str">
        <f t="shared" ca="1" si="9"/>
        <v/>
      </c>
      <c r="K113" t="str">
        <f t="shared" si="10"/>
        <v/>
      </c>
      <c r="Q113" t="str">
        <f t="shared" ca="1" si="11"/>
        <v/>
      </c>
    </row>
    <row r="114" spans="3:17" ht="14.25" x14ac:dyDescent="0.45">
      <c r="C114" t="str">
        <f>IFERROR(VLOOKUP(B114,Roster!$A$3:$N$101,2,FALSE),"")</f>
        <v/>
      </c>
      <c r="D114" t="str">
        <f>IFERROR(VLOOKUP(B114,Roster!$A$3:$N$101,3,FALSE),"")</f>
        <v/>
      </c>
      <c r="E114" t="str">
        <f>IFERROR(VLOOKUP(B114,Roster!$A$3:$N$101,4,FALSE),"")</f>
        <v/>
      </c>
      <c r="J114" t="str">
        <f t="shared" ca="1" si="9"/>
        <v/>
      </c>
      <c r="K114" t="str">
        <f t="shared" si="10"/>
        <v/>
      </c>
      <c r="Q114" t="str">
        <f t="shared" ca="1" si="11"/>
        <v/>
      </c>
    </row>
    <row r="115" spans="3:17" ht="14.25" x14ac:dyDescent="0.45">
      <c r="C115" t="str">
        <f>IFERROR(VLOOKUP(B115,Roster!$A$3:$N$101,2,FALSE),"")</f>
        <v/>
      </c>
      <c r="D115" t="str">
        <f>IFERROR(VLOOKUP(B115,Roster!$A$3:$N$101,3,FALSE),"")</f>
        <v/>
      </c>
      <c r="E115" t="str">
        <f>IFERROR(VLOOKUP(B115,Roster!$A$3:$N$101,4,FALSE),"")</f>
        <v/>
      </c>
      <c r="J115" t="str">
        <f t="shared" ca="1" si="9"/>
        <v/>
      </c>
      <c r="K115" t="str">
        <f t="shared" si="10"/>
        <v/>
      </c>
      <c r="Q115" t="str">
        <f t="shared" ca="1" si="11"/>
        <v/>
      </c>
    </row>
    <row r="116" spans="3:17" ht="14.25" x14ac:dyDescent="0.45">
      <c r="C116" t="str">
        <f>IFERROR(VLOOKUP(B116,Roster!$A$3:$N$101,2,FALSE),"")</f>
        <v/>
      </c>
      <c r="D116" t="str">
        <f>IFERROR(VLOOKUP(B116,Roster!$A$3:$N$101,3,FALSE),"")</f>
        <v/>
      </c>
      <c r="E116" t="str">
        <f>IFERROR(VLOOKUP(B116,Roster!$A$3:$N$101,4,FALSE),"")</f>
        <v/>
      </c>
      <c r="J116" t="str">
        <f t="shared" ca="1" si="9"/>
        <v/>
      </c>
      <c r="K116" t="str">
        <f t="shared" si="10"/>
        <v/>
      </c>
      <c r="Q116" t="str">
        <f t="shared" ca="1" si="11"/>
        <v/>
      </c>
    </row>
    <row r="117" spans="3:17" ht="14.25" x14ac:dyDescent="0.45">
      <c r="C117" t="str">
        <f>IFERROR(VLOOKUP(B117,Roster!$A$3:$N$101,2,FALSE),"")</f>
        <v/>
      </c>
      <c r="D117" t="str">
        <f>IFERROR(VLOOKUP(B117,Roster!$A$3:$N$101,3,FALSE),"")</f>
        <v/>
      </c>
      <c r="E117" t="str">
        <f>IFERROR(VLOOKUP(B117,Roster!$A$3:$N$101,4,FALSE),"")</f>
        <v/>
      </c>
      <c r="J117" t="str">
        <f t="shared" ca="1" si="9"/>
        <v/>
      </c>
      <c r="K117" t="str">
        <f t="shared" si="10"/>
        <v/>
      </c>
      <c r="Q117" t="str">
        <f t="shared" ca="1" si="11"/>
        <v/>
      </c>
    </row>
    <row r="118" spans="3:17" ht="14.25" x14ac:dyDescent="0.45">
      <c r="C118" t="str">
        <f>IFERROR(VLOOKUP(B118,Roster!$A$3:$N$101,2,FALSE),"")</f>
        <v/>
      </c>
      <c r="D118" t="str">
        <f>IFERROR(VLOOKUP(B118,Roster!$A$3:$N$101,3,FALSE),"")</f>
        <v/>
      </c>
      <c r="E118" t="str">
        <f>IFERROR(VLOOKUP(B118,Roster!$A$3:$N$101,4,FALSE),"")</f>
        <v/>
      </c>
      <c r="J118" t="str">
        <f t="shared" ca="1" si="9"/>
        <v/>
      </c>
      <c r="K118" t="str">
        <f t="shared" si="10"/>
        <v/>
      </c>
      <c r="Q118" t="str">
        <f t="shared" ca="1" si="11"/>
        <v/>
      </c>
    </row>
    <row r="119" spans="3:17" ht="14.25" x14ac:dyDescent="0.45">
      <c r="C119" t="str">
        <f>IFERROR(VLOOKUP(B119,Roster!$A$3:$N$101,2,FALSE),"")</f>
        <v/>
      </c>
      <c r="D119" t="str">
        <f>IFERROR(VLOOKUP(B119,Roster!$A$3:$N$101,3,FALSE),"")</f>
        <v/>
      </c>
      <c r="E119" t="str">
        <f>IFERROR(VLOOKUP(B119,Roster!$A$3:$N$101,4,FALSE),"")</f>
        <v/>
      </c>
      <c r="J119" t="str">
        <f t="shared" ca="1" si="9"/>
        <v/>
      </c>
      <c r="K119" t="str">
        <f t="shared" si="10"/>
        <v/>
      </c>
      <c r="Q119" t="str">
        <f t="shared" ca="1" si="11"/>
        <v/>
      </c>
    </row>
    <row r="120" spans="3:17" ht="14.25" x14ac:dyDescent="0.45">
      <c r="C120" t="str">
        <f>IFERROR(VLOOKUP(B120,Roster!$A$3:$N$101,2,FALSE),"")</f>
        <v/>
      </c>
      <c r="D120" t="str">
        <f>IFERROR(VLOOKUP(B120,Roster!$A$3:$N$101,3,FALSE),"")</f>
        <v/>
      </c>
      <c r="E120" t="str">
        <f>IFERROR(VLOOKUP(B120,Roster!$A$3:$N$101,4,FALSE),"")</f>
        <v/>
      </c>
      <c r="J120" t="str">
        <f t="shared" ca="1" si="9"/>
        <v/>
      </c>
      <c r="K120" t="str">
        <f t="shared" si="10"/>
        <v/>
      </c>
      <c r="Q120" t="str">
        <f t="shared" ca="1" si="11"/>
        <v/>
      </c>
    </row>
    <row r="121" spans="3:17" ht="14.25" x14ac:dyDescent="0.45">
      <c r="C121" t="str">
        <f>IFERROR(VLOOKUP(B121,Roster!$A$3:$N$101,2,FALSE),"")</f>
        <v/>
      </c>
      <c r="D121" t="str">
        <f>IFERROR(VLOOKUP(B121,Roster!$A$3:$N$101,3,FALSE),"")</f>
        <v/>
      </c>
      <c r="E121" t="str">
        <f>IFERROR(VLOOKUP(B121,Roster!$A$3:$N$101,4,FALSE),"")</f>
        <v/>
      </c>
      <c r="J121" t="str">
        <f t="shared" ca="1" si="9"/>
        <v/>
      </c>
      <c r="K121" t="str">
        <f t="shared" si="10"/>
        <v/>
      </c>
      <c r="Q121" t="str">
        <f t="shared" ca="1" si="11"/>
        <v/>
      </c>
    </row>
    <row r="122" spans="3:17" ht="14.25" x14ac:dyDescent="0.45">
      <c r="C122" t="str">
        <f>IFERROR(VLOOKUP(B122,Roster!$A$3:$N$101,2,FALSE),"")</f>
        <v/>
      </c>
      <c r="D122" t="str">
        <f>IFERROR(VLOOKUP(B122,Roster!$A$3:$N$101,3,FALSE),"")</f>
        <v/>
      </c>
      <c r="E122" t="str">
        <f>IFERROR(VLOOKUP(B122,Roster!$A$3:$N$101,4,FALSE),"")</f>
        <v/>
      </c>
      <c r="J122" t="str">
        <f t="shared" ca="1" si="9"/>
        <v/>
      </c>
      <c r="K122" t="str">
        <f t="shared" si="10"/>
        <v/>
      </c>
      <c r="Q122" t="str">
        <f t="shared" ca="1" si="11"/>
        <v/>
      </c>
    </row>
    <row r="123" spans="3:17" ht="14.25" x14ac:dyDescent="0.45">
      <c r="C123" t="str">
        <f>IFERROR(VLOOKUP(B123,Roster!$A$3:$N$101,2,FALSE),"")</f>
        <v/>
      </c>
      <c r="D123" t="str">
        <f>IFERROR(VLOOKUP(B123,Roster!$A$3:$N$101,3,FALSE),"")</f>
        <v/>
      </c>
      <c r="E123" t="str">
        <f>IFERROR(VLOOKUP(B123,Roster!$A$3:$N$101,4,FALSE),"")</f>
        <v/>
      </c>
      <c r="J123" t="str">
        <f t="shared" ca="1" si="9"/>
        <v/>
      </c>
      <c r="K123" t="str">
        <f t="shared" si="10"/>
        <v/>
      </c>
      <c r="Q123" t="str">
        <f t="shared" ca="1" si="11"/>
        <v/>
      </c>
    </row>
    <row r="124" spans="3:17" ht="14.25" x14ac:dyDescent="0.45">
      <c r="C124" t="str">
        <f>IFERROR(VLOOKUP(B124,Roster!$A$3:$N$101,2,FALSE),"")</f>
        <v/>
      </c>
      <c r="D124" t="str">
        <f>IFERROR(VLOOKUP(B124,Roster!$A$3:$N$101,3,FALSE),"")</f>
        <v/>
      </c>
      <c r="E124" t="str">
        <f>IFERROR(VLOOKUP(B124,Roster!$A$3:$N$101,4,FALSE),"")</f>
        <v/>
      </c>
      <c r="J124" t="str">
        <f t="shared" ca="1" si="9"/>
        <v/>
      </c>
      <c r="K124" t="str">
        <f t="shared" si="10"/>
        <v/>
      </c>
      <c r="Q124" t="str">
        <f t="shared" ca="1" si="11"/>
        <v/>
      </c>
    </row>
    <row r="125" spans="3:17" ht="14.25" x14ac:dyDescent="0.45">
      <c r="C125" t="str">
        <f>IFERROR(VLOOKUP(B125,Roster!$A$3:$N$101,2,FALSE),"")</f>
        <v/>
      </c>
      <c r="D125" t="str">
        <f>IFERROR(VLOOKUP(B125,Roster!$A$3:$N$101,3,FALSE),"")</f>
        <v/>
      </c>
      <c r="E125" t="str">
        <f>IFERROR(VLOOKUP(B125,Roster!$A$3:$N$101,4,FALSE),"")</f>
        <v/>
      </c>
      <c r="J125" t="str">
        <f t="shared" ca="1" si="9"/>
        <v/>
      </c>
      <c r="K125" t="str">
        <f t="shared" si="10"/>
        <v/>
      </c>
      <c r="Q125" t="str">
        <f t="shared" ca="1" si="11"/>
        <v/>
      </c>
    </row>
    <row r="126" spans="3:17" ht="14.25" x14ac:dyDescent="0.45">
      <c r="C126" t="str">
        <f>IFERROR(VLOOKUP(B126,Roster!$A$3:$N$101,2,FALSE),"")</f>
        <v/>
      </c>
      <c r="D126" t="str">
        <f>IFERROR(VLOOKUP(B126,Roster!$A$3:$N$101,3,FALSE),"")</f>
        <v/>
      </c>
      <c r="E126" t="str">
        <f>IFERROR(VLOOKUP(B126,Roster!$A$3:$N$101,4,FALSE),"")</f>
        <v/>
      </c>
      <c r="J126" t="str">
        <f t="shared" ca="1" si="9"/>
        <v/>
      </c>
      <c r="K126" t="str">
        <f t="shared" si="10"/>
        <v/>
      </c>
      <c r="Q126" t="str">
        <f t="shared" ca="1" si="11"/>
        <v/>
      </c>
    </row>
    <row r="127" spans="3:17" ht="14.25" x14ac:dyDescent="0.45">
      <c r="C127" t="str">
        <f>IFERROR(VLOOKUP(B127,Roster!$A$3:$N$101,2,FALSE),"")</f>
        <v/>
      </c>
      <c r="D127" t="str">
        <f>IFERROR(VLOOKUP(B127,Roster!$A$3:$N$101,3,FALSE),"")</f>
        <v/>
      </c>
      <c r="E127" t="str">
        <f>IFERROR(VLOOKUP(B127,Roster!$A$3:$N$101,4,FALSE),"")</f>
        <v/>
      </c>
      <c r="J127" t="str">
        <f t="shared" ca="1" si="9"/>
        <v/>
      </c>
      <c r="K127" t="str">
        <f t="shared" si="10"/>
        <v/>
      </c>
      <c r="Q127" t="str">
        <f t="shared" ca="1" si="11"/>
        <v/>
      </c>
    </row>
    <row r="128" spans="3:17" ht="14.25" x14ac:dyDescent="0.45">
      <c r="C128" t="str">
        <f>IFERROR(VLOOKUP(B128,Roster!$A$3:$N$101,2,FALSE),"")</f>
        <v/>
      </c>
      <c r="D128" t="str">
        <f>IFERROR(VLOOKUP(B128,Roster!$A$3:$N$101,3,FALSE),"")</f>
        <v/>
      </c>
      <c r="E128" t="str">
        <f>IFERROR(VLOOKUP(B128,Roster!$A$3:$N$101,4,FALSE),"")</f>
        <v/>
      </c>
      <c r="J128" t="str">
        <f t="shared" ca="1" si="9"/>
        <v/>
      </c>
      <c r="K128" t="str">
        <f t="shared" si="10"/>
        <v/>
      </c>
      <c r="Q128" t="str">
        <f t="shared" ca="1" si="11"/>
        <v/>
      </c>
    </row>
    <row r="129" spans="3:17" ht="14.25" x14ac:dyDescent="0.45">
      <c r="C129" t="str">
        <f>IFERROR(VLOOKUP(B129,Roster!$A$3:$N$101,2,FALSE),"")</f>
        <v/>
      </c>
      <c r="D129" t="str">
        <f>IFERROR(VLOOKUP(B129,Roster!$A$3:$N$101,3,FALSE),"")</f>
        <v/>
      </c>
      <c r="E129" t="str">
        <f>IFERROR(VLOOKUP(B129,Roster!$A$3:$N$101,4,FALSE),"")</f>
        <v/>
      </c>
      <c r="J129" t="str">
        <f t="shared" ca="1" si="9"/>
        <v/>
      </c>
      <c r="K129" t="str">
        <f t="shared" si="10"/>
        <v/>
      </c>
      <c r="Q129" t="str">
        <f t="shared" ca="1" si="11"/>
        <v/>
      </c>
    </row>
    <row r="130" spans="3:17" ht="14.25" x14ac:dyDescent="0.45">
      <c r="C130" t="str">
        <f>IFERROR(VLOOKUP(B130,Roster!$A$3:$N$101,2,FALSE),"")</f>
        <v/>
      </c>
      <c r="D130" t="str">
        <f>IFERROR(VLOOKUP(B130,Roster!$A$3:$N$101,3,FALSE),"")</f>
        <v/>
      </c>
      <c r="E130" t="str">
        <f>IFERROR(VLOOKUP(B130,Roster!$A$3:$N$101,4,FALSE),"")</f>
        <v/>
      </c>
      <c r="J130" t="str">
        <f t="shared" ca="1" si="9"/>
        <v/>
      </c>
      <c r="K130" t="str">
        <f t="shared" si="10"/>
        <v/>
      </c>
      <c r="Q130" t="str">
        <f t="shared" ca="1" si="11"/>
        <v/>
      </c>
    </row>
    <row r="131" spans="3:17" ht="14.25" x14ac:dyDescent="0.45">
      <c r="C131" t="str">
        <f>IFERROR(VLOOKUP(B131,Roster!$A$3:$N$101,2,FALSE),"")</f>
        <v/>
      </c>
      <c r="D131" t="str">
        <f>IFERROR(VLOOKUP(B131,Roster!$A$3:$N$101,3,FALSE),"")</f>
        <v/>
      </c>
      <c r="E131" t="str">
        <f>IFERROR(VLOOKUP(B131,Roster!$A$3:$N$101,4,FALSE),"")</f>
        <v/>
      </c>
      <c r="J131" t="str">
        <f t="shared" ref="J131:J162" ca="1" si="12">IF(G131="","",IF(H131="",TODAY()-G131,H131-G131))</f>
        <v/>
      </c>
      <c r="K131" t="str">
        <f t="shared" ref="K131:K162" si="13">IF(I131="","",MAX(0,I131-J131))</f>
        <v/>
      </c>
      <c r="Q131" t="str">
        <f t="shared" ref="Q131:Q162" ca="1" si="14">IF(B131="","",IF(COUNTIFS(B$3:B$201,B131,F$3:F$201,"*OSS*",G$3:G$201,"&gt;="&amp;(TODAY()-90))&gt;=3,"🚨 ESCALATE — "&amp;COUNTIFS(B$3:B$201,B131,F$3:F$201,"*OSS*",G$3:G$201,"&gt;="&amp;(TODAY()-90))&amp;" OSS in 90d",TEXT(COUNTIFS(B$3:B$201,B131,F$3:F$201,"*OSS*",G$3:G$201,"&gt;="&amp;(TODAY()-90)),"0")))</f>
        <v/>
      </c>
    </row>
    <row r="132" spans="3:17" ht="14.25" x14ac:dyDescent="0.45">
      <c r="C132" t="str">
        <f>IFERROR(VLOOKUP(B132,Roster!$A$3:$N$101,2,FALSE),"")</f>
        <v/>
      </c>
      <c r="D132" t="str">
        <f>IFERROR(VLOOKUP(B132,Roster!$A$3:$N$101,3,FALSE),"")</f>
        <v/>
      </c>
      <c r="E132" t="str">
        <f>IFERROR(VLOOKUP(B132,Roster!$A$3:$N$101,4,FALSE),"")</f>
        <v/>
      </c>
      <c r="J132" t="str">
        <f t="shared" ca="1" si="12"/>
        <v/>
      </c>
      <c r="K132" t="str">
        <f t="shared" si="13"/>
        <v/>
      </c>
      <c r="Q132" t="str">
        <f t="shared" ca="1" si="14"/>
        <v/>
      </c>
    </row>
    <row r="133" spans="3:17" ht="14.25" x14ac:dyDescent="0.45">
      <c r="C133" t="str">
        <f>IFERROR(VLOOKUP(B133,Roster!$A$3:$N$101,2,FALSE),"")</f>
        <v/>
      </c>
      <c r="D133" t="str">
        <f>IFERROR(VLOOKUP(B133,Roster!$A$3:$N$101,3,FALSE),"")</f>
        <v/>
      </c>
      <c r="E133" t="str">
        <f>IFERROR(VLOOKUP(B133,Roster!$A$3:$N$101,4,FALSE),"")</f>
        <v/>
      </c>
      <c r="J133" t="str">
        <f t="shared" ca="1" si="12"/>
        <v/>
      </c>
      <c r="K133" t="str">
        <f t="shared" si="13"/>
        <v/>
      </c>
      <c r="Q133" t="str">
        <f t="shared" ca="1" si="14"/>
        <v/>
      </c>
    </row>
    <row r="134" spans="3:17" ht="14.25" x14ac:dyDescent="0.45">
      <c r="C134" t="str">
        <f>IFERROR(VLOOKUP(B134,Roster!$A$3:$N$101,2,FALSE),"")</f>
        <v/>
      </c>
      <c r="D134" t="str">
        <f>IFERROR(VLOOKUP(B134,Roster!$A$3:$N$101,3,FALSE),"")</f>
        <v/>
      </c>
      <c r="E134" t="str">
        <f>IFERROR(VLOOKUP(B134,Roster!$A$3:$N$101,4,FALSE),"")</f>
        <v/>
      </c>
      <c r="J134" t="str">
        <f t="shared" ca="1" si="12"/>
        <v/>
      </c>
      <c r="K134" t="str">
        <f t="shared" si="13"/>
        <v/>
      </c>
      <c r="Q134" t="str">
        <f t="shared" ca="1" si="14"/>
        <v/>
      </c>
    </row>
    <row r="135" spans="3:17" ht="14.25" x14ac:dyDescent="0.45">
      <c r="C135" t="str">
        <f>IFERROR(VLOOKUP(B135,Roster!$A$3:$N$101,2,FALSE),"")</f>
        <v/>
      </c>
      <c r="D135" t="str">
        <f>IFERROR(VLOOKUP(B135,Roster!$A$3:$N$101,3,FALSE),"")</f>
        <v/>
      </c>
      <c r="E135" t="str">
        <f>IFERROR(VLOOKUP(B135,Roster!$A$3:$N$101,4,FALSE),"")</f>
        <v/>
      </c>
      <c r="J135" t="str">
        <f t="shared" ca="1" si="12"/>
        <v/>
      </c>
      <c r="K135" t="str">
        <f t="shared" si="13"/>
        <v/>
      </c>
      <c r="Q135" t="str">
        <f t="shared" ca="1" si="14"/>
        <v/>
      </c>
    </row>
    <row r="136" spans="3:17" ht="14.25" x14ac:dyDescent="0.45">
      <c r="C136" t="str">
        <f>IFERROR(VLOOKUP(B136,Roster!$A$3:$N$101,2,FALSE),"")</f>
        <v/>
      </c>
      <c r="D136" t="str">
        <f>IFERROR(VLOOKUP(B136,Roster!$A$3:$N$101,3,FALSE),"")</f>
        <v/>
      </c>
      <c r="E136" t="str">
        <f>IFERROR(VLOOKUP(B136,Roster!$A$3:$N$101,4,FALSE),"")</f>
        <v/>
      </c>
      <c r="J136" t="str">
        <f t="shared" ca="1" si="12"/>
        <v/>
      </c>
      <c r="K136" t="str">
        <f t="shared" si="13"/>
        <v/>
      </c>
      <c r="Q136" t="str">
        <f t="shared" ca="1" si="14"/>
        <v/>
      </c>
    </row>
    <row r="137" spans="3:17" ht="14.25" x14ac:dyDescent="0.45">
      <c r="C137" t="str">
        <f>IFERROR(VLOOKUP(B137,Roster!$A$3:$N$101,2,FALSE),"")</f>
        <v/>
      </c>
      <c r="D137" t="str">
        <f>IFERROR(VLOOKUP(B137,Roster!$A$3:$N$101,3,FALSE),"")</f>
        <v/>
      </c>
      <c r="E137" t="str">
        <f>IFERROR(VLOOKUP(B137,Roster!$A$3:$N$101,4,FALSE),"")</f>
        <v/>
      </c>
      <c r="J137" t="str">
        <f t="shared" ca="1" si="12"/>
        <v/>
      </c>
      <c r="K137" t="str">
        <f t="shared" si="13"/>
        <v/>
      </c>
      <c r="Q137" t="str">
        <f t="shared" ca="1" si="14"/>
        <v/>
      </c>
    </row>
    <row r="138" spans="3:17" ht="14.25" x14ac:dyDescent="0.45">
      <c r="C138" t="str">
        <f>IFERROR(VLOOKUP(B138,Roster!$A$3:$N$101,2,FALSE),"")</f>
        <v/>
      </c>
      <c r="D138" t="str">
        <f>IFERROR(VLOOKUP(B138,Roster!$A$3:$N$101,3,FALSE),"")</f>
        <v/>
      </c>
      <c r="E138" t="str">
        <f>IFERROR(VLOOKUP(B138,Roster!$A$3:$N$101,4,FALSE),"")</f>
        <v/>
      </c>
      <c r="J138" t="str">
        <f t="shared" ca="1" si="12"/>
        <v/>
      </c>
      <c r="K138" t="str">
        <f t="shared" si="13"/>
        <v/>
      </c>
      <c r="Q138" t="str">
        <f t="shared" ca="1" si="14"/>
        <v/>
      </c>
    </row>
    <row r="139" spans="3:17" ht="14.25" x14ac:dyDescent="0.45">
      <c r="C139" t="str">
        <f>IFERROR(VLOOKUP(B139,Roster!$A$3:$N$101,2,FALSE),"")</f>
        <v/>
      </c>
      <c r="D139" t="str">
        <f>IFERROR(VLOOKUP(B139,Roster!$A$3:$N$101,3,FALSE),"")</f>
        <v/>
      </c>
      <c r="E139" t="str">
        <f>IFERROR(VLOOKUP(B139,Roster!$A$3:$N$101,4,FALSE),"")</f>
        <v/>
      </c>
      <c r="J139" t="str">
        <f t="shared" ca="1" si="12"/>
        <v/>
      </c>
      <c r="K139" t="str">
        <f t="shared" si="13"/>
        <v/>
      </c>
      <c r="Q139" t="str">
        <f t="shared" ca="1" si="14"/>
        <v/>
      </c>
    </row>
    <row r="140" spans="3:17" ht="14.25" x14ac:dyDescent="0.45">
      <c r="C140" t="str">
        <f>IFERROR(VLOOKUP(B140,Roster!$A$3:$N$101,2,FALSE),"")</f>
        <v/>
      </c>
      <c r="D140" t="str">
        <f>IFERROR(VLOOKUP(B140,Roster!$A$3:$N$101,3,FALSE),"")</f>
        <v/>
      </c>
      <c r="E140" t="str">
        <f>IFERROR(VLOOKUP(B140,Roster!$A$3:$N$101,4,FALSE),"")</f>
        <v/>
      </c>
      <c r="J140" t="str">
        <f t="shared" ca="1" si="12"/>
        <v/>
      </c>
      <c r="K140" t="str">
        <f t="shared" si="13"/>
        <v/>
      </c>
      <c r="Q140" t="str">
        <f t="shared" ca="1" si="14"/>
        <v/>
      </c>
    </row>
    <row r="141" spans="3:17" ht="14.25" x14ac:dyDescent="0.45">
      <c r="C141" t="str">
        <f>IFERROR(VLOOKUP(B141,Roster!$A$3:$N$101,2,FALSE),"")</f>
        <v/>
      </c>
      <c r="D141" t="str">
        <f>IFERROR(VLOOKUP(B141,Roster!$A$3:$N$101,3,FALSE),"")</f>
        <v/>
      </c>
      <c r="E141" t="str">
        <f>IFERROR(VLOOKUP(B141,Roster!$A$3:$N$101,4,FALSE),"")</f>
        <v/>
      </c>
      <c r="J141" t="str">
        <f t="shared" ca="1" si="12"/>
        <v/>
      </c>
      <c r="K141" t="str">
        <f t="shared" si="13"/>
        <v/>
      </c>
      <c r="Q141" t="str">
        <f t="shared" ca="1" si="14"/>
        <v/>
      </c>
    </row>
    <row r="142" spans="3:17" ht="14.25" x14ac:dyDescent="0.45">
      <c r="C142" t="str">
        <f>IFERROR(VLOOKUP(B142,Roster!$A$3:$N$101,2,FALSE),"")</f>
        <v/>
      </c>
      <c r="D142" t="str">
        <f>IFERROR(VLOOKUP(B142,Roster!$A$3:$N$101,3,FALSE),"")</f>
        <v/>
      </c>
      <c r="E142" t="str">
        <f>IFERROR(VLOOKUP(B142,Roster!$A$3:$N$101,4,FALSE),"")</f>
        <v/>
      </c>
      <c r="J142" t="str">
        <f t="shared" ca="1" si="12"/>
        <v/>
      </c>
      <c r="K142" t="str">
        <f t="shared" si="13"/>
        <v/>
      </c>
      <c r="Q142" t="str">
        <f t="shared" ca="1" si="14"/>
        <v/>
      </c>
    </row>
    <row r="143" spans="3:17" ht="14.25" x14ac:dyDescent="0.45">
      <c r="C143" t="str">
        <f>IFERROR(VLOOKUP(B143,Roster!$A$3:$N$101,2,FALSE),"")</f>
        <v/>
      </c>
      <c r="D143" t="str">
        <f>IFERROR(VLOOKUP(B143,Roster!$A$3:$N$101,3,FALSE),"")</f>
        <v/>
      </c>
      <c r="E143" t="str">
        <f>IFERROR(VLOOKUP(B143,Roster!$A$3:$N$101,4,FALSE),"")</f>
        <v/>
      </c>
      <c r="J143" t="str">
        <f t="shared" ca="1" si="12"/>
        <v/>
      </c>
      <c r="K143" t="str">
        <f t="shared" si="13"/>
        <v/>
      </c>
      <c r="Q143" t="str">
        <f t="shared" ca="1" si="14"/>
        <v/>
      </c>
    </row>
    <row r="144" spans="3:17" ht="14.25" x14ac:dyDescent="0.45">
      <c r="C144" t="str">
        <f>IFERROR(VLOOKUP(B144,Roster!$A$3:$N$101,2,FALSE),"")</f>
        <v/>
      </c>
      <c r="D144" t="str">
        <f>IFERROR(VLOOKUP(B144,Roster!$A$3:$N$101,3,FALSE),"")</f>
        <v/>
      </c>
      <c r="E144" t="str">
        <f>IFERROR(VLOOKUP(B144,Roster!$A$3:$N$101,4,FALSE),"")</f>
        <v/>
      </c>
      <c r="J144" t="str">
        <f t="shared" ca="1" si="12"/>
        <v/>
      </c>
      <c r="K144" t="str">
        <f t="shared" si="13"/>
        <v/>
      </c>
      <c r="Q144" t="str">
        <f t="shared" ca="1" si="14"/>
        <v/>
      </c>
    </row>
    <row r="145" spans="3:17" ht="14.25" x14ac:dyDescent="0.45">
      <c r="C145" t="str">
        <f>IFERROR(VLOOKUP(B145,Roster!$A$3:$N$101,2,FALSE),"")</f>
        <v/>
      </c>
      <c r="D145" t="str">
        <f>IFERROR(VLOOKUP(B145,Roster!$A$3:$N$101,3,FALSE),"")</f>
        <v/>
      </c>
      <c r="E145" t="str">
        <f>IFERROR(VLOOKUP(B145,Roster!$A$3:$N$101,4,FALSE),"")</f>
        <v/>
      </c>
      <c r="J145" t="str">
        <f t="shared" ca="1" si="12"/>
        <v/>
      </c>
      <c r="K145" t="str">
        <f t="shared" si="13"/>
        <v/>
      </c>
      <c r="Q145" t="str">
        <f t="shared" ca="1" si="14"/>
        <v/>
      </c>
    </row>
    <row r="146" spans="3:17" ht="14.25" x14ac:dyDescent="0.45">
      <c r="C146" t="str">
        <f>IFERROR(VLOOKUP(B146,Roster!$A$3:$N$101,2,FALSE),"")</f>
        <v/>
      </c>
      <c r="D146" t="str">
        <f>IFERROR(VLOOKUP(B146,Roster!$A$3:$N$101,3,FALSE),"")</f>
        <v/>
      </c>
      <c r="E146" t="str">
        <f>IFERROR(VLOOKUP(B146,Roster!$A$3:$N$101,4,FALSE),"")</f>
        <v/>
      </c>
      <c r="J146" t="str">
        <f t="shared" ca="1" si="12"/>
        <v/>
      </c>
      <c r="K146" t="str">
        <f t="shared" si="13"/>
        <v/>
      </c>
      <c r="Q146" t="str">
        <f t="shared" ca="1" si="14"/>
        <v/>
      </c>
    </row>
    <row r="147" spans="3:17" ht="14.25" x14ac:dyDescent="0.45">
      <c r="C147" t="str">
        <f>IFERROR(VLOOKUP(B147,Roster!$A$3:$N$101,2,FALSE),"")</f>
        <v/>
      </c>
      <c r="D147" t="str">
        <f>IFERROR(VLOOKUP(B147,Roster!$A$3:$N$101,3,FALSE),"")</f>
        <v/>
      </c>
      <c r="E147" t="str">
        <f>IFERROR(VLOOKUP(B147,Roster!$A$3:$N$101,4,FALSE),"")</f>
        <v/>
      </c>
      <c r="J147" t="str">
        <f t="shared" ca="1" si="12"/>
        <v/>
      </c>
      <c r="K147" t="str">
        <f t="shared" si="13"/>
        <v/>
      </c>
      <c r="Q147" t="str">
        <f t="shared" ca="1" si="14"/>
        <v/>
      </c>
    </row>
    <row r="148" spans="3:17" ht="14.25" x14ac:dyDescent="0.45">
      <c r="C148" t="str">
        <f>IFERROR(VLOOKUP(B148,Roster!$A$3:$N$101,2,FALSE),"")</f>
        <v/>
      </c>
      <c r="D148" t="str">
        <f>IFERROR(VLOOKUP(B148,Roster!$A$3:$N$101,3,FALSE),"")</f>
        <v/>
      </c>
      <c r="E148" t="str">
        <f>IFERROR(VLOOKUP(B148,Roster!$A$3:$N$101,4,FALSE),"")</f>
        <v/>
      </c>
      <c r="J148" t="str">
        <f t="shared" ca="1" si="12"/>
        <v/>
      </c>
      <c r="K148" t="str">
        <f t="shared" si="13"/>
        <v/>
      </c>
      <c r="Q148" t="str">
        <f t="shared" ca="1" si="14"/>
        <v/>
      </c>
    </row>
    <row r="149" spans="3:17" ht="14.25" x14ac:dyDescent="0.45">
      <c r="C149" t="str">
        <f>IFERROR(VLOOKUP(B149,Roster!$A$3:$N$101,2,FALSE),"")</f>
        <v/>
      </c>
      <c r="D149" t="str">
        <f>IFERROR(VLOOKUP(B149,Roster!$A$3:$N$101,3,FALSE),"")</f>
        <v/>
      </c>
      <c r="E149" t="str">
        <f>IFERROR(VLOOKUP(B149,Roster!$A$3:$N$101,4,FALSE),"")</f>
        <v/>
      </c>
      <c r="J149" t="str">
        <f t="shared" ca="1" si="12"/>
        <v/>
      </c>
      <c r="K149" t="str">
        <f t="shared" si="13"/>
        <v/>
      </c>
      <c r="Q149" t="str">
        <f t="shared" ca="1" si="14"/>
        <v/>
      </c>
    </row>
    <row r="150" spans="3:17" ht="14.25" x14ac:dyDescent="0.45">
      <c r="C150" t="str">
        <f>IFERROR(VLOOKUP(B150,Roster!$A$3:$N$101,2,FALSE),"")</f>
        <v/>
      </c>
      <c r="D150" t="str">
        <f>IFERROR(VLOOKUP(B150,Roster!$A$3:$N$101,3,FALSE),"")</f>
        <v/>
      </c>
      <c r="E150" t="str">
        <f>IFERROR(VLOOKUP(B150,Roster!$A$3:$N$101,4,FALSE),"")</f>
        <v/>
      </c>
      <c r="J150" t="str">
        <f t="shared" ca="1" si="12"/>
        <v/>
      </c>
      <c r="K150" t="str">
        <f t="shared" si="13"/>
        <v/>
      </c>
      <c r="Q150" t="str">
        <f t="shared" ca="1" si="14"/>
        <v/>
      </c>
    </row>
    <row r="151" spans="3:17" ht="14.25" x14ac:dyDescent="0.45">
      <c r="C151" t="str">
        <f>IFERROR(VLOOKUP(B151,Roster!$A$3:$N$101,2,FALSE),"")</f>
        <v/>
      </c>
      <c r="D151" t="str">
        <f>IFERROR(VLOOKUP(B151,Roster!$A$3:$N$101,3,FALSE),"")</f>
        <v/>
      </c>
      <c r="E151" t="str">
        <f>IFERROR(VLOOKUP(B151,Roster!$A$3:$N$101,4,FALSE),"")</f>
        <v/>
      </c>
      <c r="J151" t="str">
        <f t="shared" ca="1" si="12"/>
        <v/>
      </c>
      <c r="K151" t="str">
        <f t="shared" si="13"/>
        <v/>
      </c>
      <c r="Q151" t="str">
        <f t="shared" ca="1" si="14"/>
        <v/>
      </c>
    </row>
    <row r="152" spans="3:17" ht="14.25" x14ac:dyDescent="0.45">
      <c r="C152" t="str">
        <f>IFERROR(VLOOKUP(B152,Roster!$A$3:$N$101,2,FALSE),"")</f>
        <v/>
      </c>
      <c r="D152" t="str">
        <f>IFERROR(VLOOKUP(B152,Roster!$A$3:$N$101,3,FALSE),"")</f>
        <v/>
      </c>
      <c r="E152" t="str">
        <f>IFERROR(VLOOKUP(B152,Roster!$A$3:$N$101,4,FALSE),"")</f>
        <v/>
      </c>
      <c r="J152" t="str">
        <f t="shared" ca="1" si="12"/>
        <v/>
      </c>
      <c r="K152" t="str">
        <f t="shared" si="13"/>
        <v/>
      </c>
      <c r="Q152" t="str">
        <f t="shared" ca="1" si="14"/>
        <v/>
      </c>
    </row>
    <row r="153" spans="3:17" ht="14.25" x14ac:dyDescent="0.45">
      <c r="C153" t="str">
        <f>IFERROR(VLOOKUP(B153,Roster!$A$3:$N$101,2,FALSE),"")</f>
        <v/>
      </c>
      <c r="D153" t="str">
        <f>IFERROR(VLOOKUP(B153,Roster!$A$3:$N$101,3,FALSE),"")</f>
        <v/>
      </c>
      <c r="E153" t="str">
        <f>IFERROR(VLOOKUP(B153,Roster!$A$3:$N$101,4,FALSE),"")</f>
        <v/>
      </c>
      <c r="J153" t="str">
        <f t="shared" ca="1" si="12"/>
        <v/>
      </c>
      <c r="K153" t="str">
        <f t="shared" si="13"/>
        <v/>
      </c>
      <c r="Q153" t="str">
        <f t="shared" ca="1" si="14"/>
        <v/>
      </c>
    </row>
    <row r="154" spans="3:17" ht="14.25" x14ac:dyDescent="0.45">
      <c r="C154" t="str">
        <f>IFERROR(VLOOKUP(B154,Roster!$A$3:$N$101,2,FALSE),"")</f>
        <v/>
      </c>
      <c r="D154" t="str">
        <f>IFERROR(VLOOKUP(B154,Roster!$A$3:$N$101,3,FALSE),"")</f>
        <v/>
      </c>
      <c r="E154" t="str">
        <f>IFERROR(VLOOKUP(B154,Roster!$A$3:$N$101,4,FALSE),"")</f>
        <v/>
      </c>
      <c r="J154" t="str">
        <f t="shared" ca="1" si="12"/>
        <v/>
      </c>
      <c r="K154" t="str">
        <f t="shared" si="13"/>
        <v/>
      </c>
      <c r="Q154" t="str">
        <f t="shared" ca="1" si="14"/>
        <v/>
      </c>
    </row>
    <row r="155" spans="3:17" ht="14.25" x14ac:dyDescent="0.45">
      <c r="C155" t="str">
        <f>IFERROR(VLOOKUP(B155,Roster!$A$3:$N$101,2,FALSE),"")</f>
        <v/>
      </c>
      <c r="D155" t="str">
        <f>IFERROR(VLOOKUP(B155,Roster!$A$3:$N$101,3,FALSE),"")</f>
        <v/>
      </c>
      <c r="E155" t="str">
        <f>IFERROR(VLOOKUP(B155,Roster!$A$3:$N$101,4,FALSE),"")</f>
        <v/>
      </c>
      <c r="J155" t="str">
        <f t="shared" ca="1" si="12"/>
        <v/>
      </c>
      <c r="K155" t="str">
        <f t="shared" si="13"/>
        <v/>
      </c>
      <c r="Q155" t="str">
        <f t="shared" ca="1" si="14"/>
        <v/>
      </c>
    </row>
    <row r="156" spans="3:17" ht="14.25" x14ac:dyDescent="0.45">
      <c r="C156" t="str">
        <f>IFERROR(VLOOKUP(B156,Roster!$A$3:$N$101,2,FALSE),"")</f>
        <v/>
      </c>
      <c r="D156" t="str">
        <f>IFERROR(VLOOKUP(B156,Roster!$A$3:$N$101,3,FALSE),"")</f>
        <v/>
      </c>
      <c r="E156" t="str">
        <f>IFERROR(VLOOKUP(B156,Roster!$A$3:$N$101,4,FALSE),"")</f>
        <v/>
      </c>
      <c r="J156" t="str">
        <f t="shared" ca="1" si="12"/>
        <v/>
      </c>
      <c r="K156" t="str">
        <f t="shared" si="13"/>
        <v/>
      </c>
      <c r="Q156" t="str">
        <f t="shared" ca="1" si="14"/>
        <v/>
      </c>
    </row>
    <row r="157" spans="3:17" ht="14.25" x14ac:dyDescent="0.45">
      <c r="C157" t="str">
        <f>IFERROR(VLOOKUP(B157,Roster!$A$3:$N$101,2,FALSE),"")</f>
        <v/>
      </c>
      <c r="D157" t="str">
        <f>IFERROR(VLOOKUP(B157,Roster!$A$3:$N$101,3,FALSE),"")</f>
        <v/>
      </c>
      <c r="E157" t="str">
        <f>IFERROR(VLOOKUP(B157,Roster!$A$3:$N$101,4,FALSE),"")</f>
        <v/>
      </c>
      <c r="J157" t="str">
        <f t="shared" ca="1" si="12"/>
        <v/>
      </c>
      <c r="K157" t="str">
        <f t="shared" si="13"/>
        <v/>
      </c>
      <c r="Q157" t="str">
        <f t="shared" ca="1" si="14"/>
        <v/>
      </c>
    </row>
    <row r="158" spans="3:17" ht="14.25" x14ac:dyDescent="0.45">
      <c r="C158" t="str">
        <f>IFERROR(VLOOKUP(B158,Roster!$A$3:$N$101,2,FALSE),"")</f>
        <v/>
      </c>
      <c r="D158" t="str">
        <f>IFERROR(VLOOKUP(B158,Roster!$A$3:$N$101,3,FALSE),"")</f>
        <v/>
      </c>
      <c r="E158" t="str">
        <f>IFERROR(VLOOKUP(B158,Roster!$A$3:$N$101,4,FALSE),"")</f>
        <v/>
      </c>
      <c r="J158" t="str">
        <f t="shared" ca="1" si="12"/>
        <v/>
      </c>
      <c r="K158" t="str">
        <f t="shared" si="13"/>
        <v/>
      </c>
      <c r="Q158" t="str">
        <f t="shared" ca="1" si="14"/>
        <v/>
      </c>
    </row>
    <row r="159" spans="3:17" ht="14.25" x14ac:dyDescent="0.45">
      <c r="C159" t="str">
        <f>IFERROR(VLOOKUP(B159,Roster!$A$3:$N$101,2,FALSE),"")</f>
        <v/>
      </c>
      <c r="D159" t="str">
        <f>IFERROR(VLOOKUP(B159,Roster!$A$3:$N$101,3,FALSE),"")</f>
        <v/>
      </c>
      <c r="E159" t="str">
        <f>IFERROR(VLOOKUP(B159,Roster!$A$3:$N$101,4,FALSE),"")</f>
        <v/>
      </c>
      <c r="J159" t="str">
        <f t="shared" ca="1" si="12"/>
        <v/>
      </c>
      <c r="K159" t="str">
        <f t="shared" si="13"/>
        <v/>
      </c>
      <c r="Q159" t="str">
        <f t="shared" ca="1" si="14"/>
        <v/>
      </c>
    </row>
    <row r="160" spans="3:17" ht="14.25" x14ac:dyDescent="0.45">
      <c r="C160" t="str">
        <f>IFERROR(VLOOKUP(B160,Roster!$A$3:$N$101,2,FALSE),"")</f>
        <v/>
      </c>
      <c r="D160" t="str">
        <f>IFERROR(VLOOKUP(B160,Roster!$A$3:$N$101,3,FALSE),"")</f>
        <v/>
      </c>
      <c r="E160" t="str">
        <f>IFERROR(VLOOKUP(B160,Roster!$A$3:$N$101,4,FALSE),"")</f>
        <v/>
      </c>
      <c r="J160" t="str">
        <f t="shared" ca="1" si="12"/>
        <v/>
      </c>
      <c r="K160" t="str">
        <f t="shared" si="13"/>
        <v/>
      </c>
      <c r="Q160" t="str">
        <f t="shared" ca="1" si="14"/>
        <v/>
      </c>
    </row>
    <row r="161" spans="3:17" ht="14.25" x14ac:dyDescent="0.45">
      <c r="C161" t="str">
        <f>IFERROR(VLOOKUP(B161,Roster!$A$3:$N$101,2,FALSE),"")</f>
        <v/>
      </c>
      <c r="D161" t="str">
        <f>IFERROR(VLOOKUP(B161,Roster!$A$3:$N$101,3,FALSE),"")</f>
        <v/>
      </c>
      <c r="E161" t="str">
        <f>IFERROR(VLOOKUP(B161,Roster!$A$3:$N$101,4,FALSE),"")</f>
        <v/>
      </c>
      <c r="J161" t="str">
        <f t="shared" ca="1" si="12"/>
        <v/>
      </c>
      <c r="K161" t="str">
        <f t="shared" si="13"/>
        <v/>
      </c>
      <c r="Q161" t="str">
        <f t="shared" ca="1" si="14"/>
        <v/>
      </c>
    </row>
    <row r="162" spans="3:17" ht="14.25" x14ac:dyDescent="0.45">
      <c r="C162" t="str">
        <f>IFERROR(VLOOKUP(B162,Roster!$A$3:$N$101,2,FALSE),"")</f>
        <v/>
      </c>
      <c r="D162" t="str">
        <f>IFERROR(VLOOKUP(B162,Roster!$A$3:$N$101,3,FALSE),"")</f>
        <v/>
      </c>
      <c r="E162" t="str">
        <f>IFERROR(VLOOKUP(B162,Roster!$A$3:$N$101,4,FALSE),"")</f>
        <v/>
      </c>
      <c r="J162" t="str">
        <f t="shared" ca="1" si="12"/>
        <v/>
      </c>
      <c r="K162" t="str">
        <f t="shared" si="13"/>
        <v/>
      </c>
      <c r="Q162" t="str">
        <f t="shared" ca="1" si="14"/>
        <v/>
      </c>
    </row>
    <row r="163" spans="3:17" ht="14.25" x14ac:dyDescent="0.45">
      <c r="C163" t="str">
        <f>IFERROR(VLOOKUP(B163,Roster!$A$3:$N$101,2,FALSE),"")</f>
        <v/>
      </c>
      <c r="D163" t="str">
        <f>IFERROR(VLOOKUP(B163,Roster!$A$3:$N$101,3,FALSE),"")</f>
        <v/>
      </c>
      <c r="E163" t="str">
        <f>IFERROR(VLOOKUP(B163,Roster!$A$3:$N$101,4,FALSE),"")</f>
        <v/>
      </c>
      <c r="J163" t="str">
        <f t="shared" ref="J163:J194" ca="1" si="15">IF(G163="","",IF(H163="",TODAY()-G163,H163-G163))</f>
        <v/>
      </c>
      <c r="K163" t="str">
        <f t="shared" ref="K163:K194" si="16">IF(I163="","",MAX(0,I163-J163))</f>
        <v/>
      </c>
      <c r="Q163" t="str">
        <f t="shared" ref="Q163:Q194" ca="1" si="17">IF(B163="","",IF(COUNTIFS(B$3:B$201,B163,F$3:F$201,"*OSS*",G$3:G$201,"&gt;="&amp;(TODAY()-90))&gt;=3,"🚨 ESCALATE — "&amp;COUNTIFS(B$3:B$201,B163,F$3:F$201,"*OSS*",G$3:G$201,"&gt;="&amp;(TODAY()-90))&amp;" OSS in 90d",TEXT(COUNTIFS(B$3:B$201,B163,F$3:F$201,"*OSS*",G$3:G$201,"&gt;="&amp;(TODAY()-90)),"0")))</f>
        <v/>
      </c>
    </row>
    <row r="164" spans="3:17" ht="14.25" x14ac:dyDescent="0.45">
      <c r="C164" t="str">
        <f>IFERROR(VLOOKUP(B164,Roster!$A$3:$N$101,2,FALSE),"")</f>
        <v/>
      </c>
      <c r="D164" t="str">
        <f>IFERROR(VLOOKUP(B164,Roster!$A$3:$N$101,3,FALSE),"")</f>
        <v/>
      </c>
      <c r="E164" t="str">
        <f>IFERROR(VLOOKUP(B164,Roster!$A$3:$N$101,4,FALSE),"")</f>
        <v/>
      </c>
      <c r="J164" t="str">
        <f t="shared" ca="1" si="15"/>
        <v/>
      </c>
      <c r="K164" t="str">
        <f t="shared" si="16"/>
        <v/>
      </c>
      <c r="Q164" t="str">
        <f t="shared" ca="1" si="17"/>
        <v/>
      </c>
    </row>
    <row r="165" spans="3:17" ht="14.25" x14ac:dyDescent="0.45">
      <c r="C165" t="str">
        <f>IFERROR(VLOOKUP(B165,Roster!$A$3:$N$101,2,FALSE),"")</f>
        <v/>
      </c>
      <c r="D165" t="str">
        <f>IFERROR(VLOOKUP(B165,Roster!$A$3:$N$101,3,FALSE),"")</f>
        <v/>
      </c>
      <c r="E165" t="str">
        <f>IFERROR(VLOOKUP(B165,Roster!$A$3:$N$101,4,FALSE),"")</f>
        <v/>
      </c>
      <c r="J165" t="str">
        <f t="shared" ca="1" si="15"/>
        <v/>
      </c>
      <c r="K165" t="str">
        <f t="shared" si="16"/>
        <v/>
      </c>
      <c r="Q165" t="str">
        <f t="shared" ca="1" si="17"/>
        <v/>
      </c>
    </row>
    <row r="166" spans="3:17" ht="14.25" x14ac:dyDescent="0.45">
      <c r="C166" t="str">
        <f>IFERROR(VLOOKUP(B166,Roster!$A$3:$N$101,2,FALSE),"")</f>
        <v/>
      </c>
      <c r="D166" t="str">
        <f>IFERROR(VLOOKUP(B166,Roster!$A$3:$N$101,3,FALSE),"")</f>
        <v/>
      </c>
      <c r="E166" t="str">
        <f>IFERROR(VLOOKUP(B166,Roster!$A$3:$N$101,4,FALSE),"")</f>
        <v/>
      </c>
      <c r="J166" t="str">
        <f t="shared" ca="1" si="15"/>
        <v/>
      </c>
      <c r="K166" t="str">
        <f t="shared" si="16"/>
        <v/>
      </c>
      <c r="Q166" t="str">
        <f t="shared" ca="1" si="17"/>
        <v/>
      </c>
    </row>
    <row r="167" spans="3:17" ht="14.25" x14ac:dyDescent="0.45">
      <c r="C167" t="str">
        <f>IFERROR(VLOOKUP(B167,Roster!$A$3:$N$101,2,FALSE),"")</f>
        <v/>
      </c>
      <c r="D167" t="str">
        <f>IFERROR(VLOOKUP(B167,Roster!$A$3:$N$101,3,FALSE),"")</f>
        <v/>
      </c>
      <c r="E167" t="str">
        <f>IFERROR(VLOOKUP(B167,Roster!$A$3:$N$101,4,FALSE),"")</f>
        <v/>
      </c>
      <c r="J167" t="str">
        <f t="shared" ca="1" si="15"/>
        <v/>
      </c>
      <c r="K167" t="str">
        <f t="shared" si="16"/>
        <v/>
      </c>
      <c r="Q167" t="str">
        <f t="shared" ca="1" si="17"/>
        <v/>
      </c>
    </row>
    <row r="168" spans="3:17" ht="14.25" x14ac:dyDescent="0.45">
      <c r="C168" t="str">
        <f>IFERROR(VLOOKUP(B168,Roster!$A$3:$N$101,2,FALSE),"")</f>
        <v/>
      </c>
      <c r="D168" t="str">
        <f>IFERROR(VLOOKUP(B168,Roster!$A$3:$N$101,3,FALSE),"")</f>
        <v/>
      </c>
      <c r="E168" t="str">
        <f>IFERROR(VLOOKUP(B168,Roster!$A$3:$N$101,4,FALSE),"")</f>
        <v/>
      </c>
      <c r="J168" t="str">
        <f t="shared" ca="1" si="15"/>
        <v/>
      </c>
      <c r="K168" t="str">
        <f t="shared" si="16"/>
        <v/>
      </c>
      <c r="Q168" t="str">
        <f t="shared" ca="1" si="17"/>
        <v/>
      </c>
    </row>
    <row r="169" spans="3:17" ht="14.25" x14ac:dyDescent="0.45">
      <c r="C169" t="str">
        <f>IFERROR(VLOOKUP(B169,Roster!$A$3:$N$101,2,FALSE),"")</f>
        <v/>
      </c>
      <c r="D169" t="str">
        <f>IFERROR(VLOOKUP(B169,Roster!$A$3:$N$101,3,FALSE),"")</f>
        <v/>
      </c>
      <c r="E169" t="str">
        <f>IFERROR(VLOOKUP(B169,Roster!$A$3:$N$101,4,FALSE),"")</f>
        <v/>
      </c>
      <c r="J169" t="str">
        <f t="shared" ca="1" si="15"/>
        <v/>
      </c>
      <c r="K169" t="str">
        <f t="shared" si="16"/>
        <v/>
      </c>
      <c r="Q169" t="str">
        <f t="shared" ca="1" si="17"/>
        <v/>
      </c>
    </row>
    <row r="170" spans="3:17" ht="14.25" x14ac:dyDescent="0.45">
      <c r="C170" t="str">
        <f>IFERROR(VLOOKUP(B170,Roster!$A$3:$N$101,2,FALSE),"")</f>
        <v/>
      </c>
      <c r="D170" t="str">
        <f>IFERROR(VLOOKUP(B170,Roster!$A$3:$N$101,3,FALSE),"")</f>
        <v/>
      </c>
      <c r="E170" t="str">
        <f>IFERROR(VLOOKUP(B170,Roster!$A$3:$N$101,4,FALSE),"")</f>
        <v/>
      </c>
      <c r="J170" t="str">
        <f t="shared" ca="1" si="15"/>
        <v/>
      </c>
      <c r="K170" t="str">
        <f t="shared" si="16"/>
        <v/>
      </c>
      <c r="Q170" t="str">
        <f t="shared" ca="1" si="17"/>
        <v/>
      </c>
    </row>
    <row r="171" spans="3:17" ht="14.25" x14ac:dyDescent="0.45">
      <c r="C171" t="str">
        <f>IFERROR(VLOOKUP(B171,Roster!$A$3:$N$101,2,FALSE),"")</f>
        <v/>
      </c>
      <c r="D171" t="str">
        <f>IFERROR(VLOOKUP(B171,Roster!$A$3:$N$101,3,FALSE),"")</f>
        <v/>
      </c>
      <c r="E171" t="str">
        <f>IFERROR(VLOOKUP(B171,Roster!$A$3:$N$101,4,FALSE),"")</f>
        <v/>
      </c>
      <c r="J171" t="str">
        <f t="shared" ca="1" si="15"/>
        <v/>
      </c>
      <c r="K171" t="str">
        <f t="shared" si="16"/>
        <v/>
      </c>
      <c r="Q171" t="str">
        <f t="shared" ca="1" si="17"/>
        <v/>
      </c>
    </row>
    <row r="172" spans="3:17" ht="14.25" x14ac:dyDescent="0.45">
      <c r="C172" t="str">
        <f>IFERROR(VLOOKUP(B172,Roster!$A$3:$N$101,2,FALSE),"")</f>
        <v/>
      </c>
      <c r="D172" t="str">
        <f>IFERROR(VLOOKUP(B172,Roster!$A$3:$N$101,3,FALSE),"")</f>
        <v/>
      </c>
      <c r="E172" t="str">
        <f>IFERROR(VLOOKUP(B172,Roster!$A$3:$N$101,4,FALSE),"")</f>
        <v/>
      </c>
      <c r="J172" t="str">
        <f t="shared" ca="1" si="15"/>
        <v/>
      </c>
      <c r="K172" t="str">
        <f t="shared" si="16"/>
        <v/>
      </c>
      <c r="Q172" t="str">
        <f t="shared" ca="1" si="17"/>
        <v/>
      </c>
    </row>
    <row r="173" spans="3:17" ht="14.25" x14ac:dyDescent="0.45">
      <c r="C173" t="str">
        <f>IFERROR(VLOOKUP(B173,Roster!$A$3:$N$101,2,FALSE),"")</f>
        <v/>
      </c>
      <c r="D173" t="str">
        <f>IFERROR(VLOOKUP(B173,Roster!$A$3:$N$101,3,FALSE),"")</f>
        <v/>
      </c>
      <c r="E173" t="str">
        <f>IFERROR(VLOOKUP(B173,Roster!$A$3:$N$101,4,FALSE),"")</f>
        <v/>
      </c>
      <c r="J173" t="str">
        <f t="shared" ca="1" si="15"/>
        <v/>
      </c>
      <c r="K173" t="str">
        <f t="shared" si="16"/>
        <v/>
      </c>
      <c r="Q173" t="str">
        <f t="shared" ca="1" si="17"/>
        <v/>
      </c>
    </row>
    <row r="174" spans="3:17" ht="14.25" x14ac:dyDescent="0.45">
      <c r="C174" t="str">
        <f>IFERROR(VLOOKUP(B174,Roster!$A$3:$N$101,2,FALSE),"")</f>
        <v/>
      </c>
      <c r="D174" t="str">
        <f>IFERROR(VLOOKUP(B174,Roster!$A$3:$N$101,3,FALSE),"")</f>
        <v/>
      </c>
      <c r="E174" t="str">
        <f>IFERROR(VLOOKUP(B174,Roster!$A$3:$N$101,4,FALSE),"")</f>
        <v/>
      </c>
      <c r="J174" t="str">
        <f t="shared" ca="1" si="15"/>
        <v/>
      </c>
      <c r="K174" t="str">
        <f t="shared" si="16"/>
        <v/>
      </c>
      <c r="Q174" t="str">
        <f t="shared" ca="1" si="17"/>
        <v/>
      </c>
    </row>
    <row r="175" spans="3:17" ht="14.25" x14ac:dyDescent="0.45">
      <c r="C175" t="str">
        <f>IFERROR(VLOOKUP(B175,Roster!$A$3:$N$101,2,FALSE),"")</f>
        <v/>
      </c>
      <c r="D175" t="str">
        <f>IFERROR(VLOOKUP(B175,Roster!$A$3:$N$101,3,FALSE),"")</f>
        <v/>
      </c>
      <c r="E175" t="str">
        <f>IFERROR(VLOOKUP(B175,Roster!$A$3:$N$101,4,FALSE),"")</f>
        <v/>
      </c>
      <c r="J175" t="str">
        <f t="shared" ca="1" si="15"/>
        <v/>
      </c>
      <c r="K175" t="str">
        <f t="shared" si="16"/>
        <v/>
      </c>
      <c r="Q175" t="str">
        <f t="shared" ca="1" si="17"/>
        <v/>
      </c>
    </row>
    <row r="176" spans="3:17" ht="14.25" x14ac:dyDescent="0.45">
      <c r="C176" t="str">
        <f>IFERROR(VLOOKUP(B176,Roster!$A$3:$N$101,2,FALSE),"")</f>
        <v/>
      </c>
      <c r="D176" t="str">
        <f>IFERROR(VLOOKUP(B176,Roster!$A$3:$N$101,3,FALSE),"")</f>
        <v/>
      </c>
      <c r="E176" t="str">
        <f>IFERROR(VLOOKUP(B176,Roster!$A$3:$N$101,4,FALSE),"")</f>
        <v/>
      </c>
      <c r="J176" t="str">
        <f t="shared" ca="1" si="15"/>
        <v/>
      </c>
      <c r="K176" t="str">
        <f t="shared" si="16"/>
        <v/>
      </c>
      <c r="Q176" t="str">
        <f t="shared" ca="1" si="17"/>
        <v/>
      </c>
    </row>
    <row r="177" spans="3:17" ht="14.25" x14ac:dyDescent="0.45">
      <c r="C177" t="str">
        <f>IFERROR(VLOOKUP(B177,Roster!$A$3:$N$101,2,FALSE),"")</f>
        <v/>
      </c>
      <c r="D177" t="str">
        <f>IFERROR(VLOOKUP(B177,Roster!$A$3:$N$101,3,FALSE),"")</f>
        <v/>
      </c>
      <c r="E177" t="str">
        <f>IFERROR(VLOOKUP(B177,Roster!$A$3:$N$101,4,FALSE),"")</f>
        <v/>
      </c>
      <c r="J177" t="str">
        <f t="shared" ca="1" si="15"/>
        <v/>
      </c>
      <c r="K177" t="str">
        <f t="shared" si="16"/>
        <v/>
      </c>
      <c r="Q177" t="str">
        <f t="shared" ca="1" si="17"/>
        <v/>
      </c>
    </row>
    <row r="178" spans="3:17" ht="14.25" x14ac:dyDescent="0.45">
      <c r="C178" t="str">
        <f>IFERROR(VLOOKUP(B178,Roster!$A$3:$N$101,2,FALSE),"")</f>
        <v/>
      </c>
      <c r="D178" t="str">
        <f>IFERROR(VLOOKUP(B178,Roster!$A$3:$N$101,3,FALSE),"")</f>
        <v/>
      </c>
      <c r="E178" t="str">
        <f>IFERROR(VLOOKUP(B178,Roster!$A$3:$N$101,4,FALSE),"")</f>
        <v/>
      </c>
      <c r="J178" t="str">
        <f t="shared" ca="1" si="15"/>
        <v/>
      </c>
      <c r="K178" t="str">
        <f t="shared" si="16"/>
        <v/>
      </c>
      <c r="Q178" t="str">
        <f t="shared" ca="1" si="17"/>
        <v/>
      </c>
    </row>
    <row r="179" spans="3:17" ht="14.25" x14ac:dyDescent="0.45">
      <c r="C179" t="str">
        <f>IFERROR(VLOOKUP(B179,Roster!$A$3:$N$101,2,FALSE),"")</f>
        <v/>
      </c>
      <c r="D179" t="str">
        <f>IFERROR(VLOOKUP(B179,Roster!$A$3:$N$101,3,FALSE),"")</f>
        <v/>
      </c>
      <c r="E179" t="str">
        <f>IFERROR(VLOOKUP(B179,Roster!$A$3:$N$101,4,FALSE),"")</f>
        <v/>
      </c>
      <c r="J179" t="str">
        <f t="shared" ca="1" si="15"/>
        <v/>
      </c>
      <c r="K179" t="str">
        <f t="shared" si="16"/>
        <v/>
      </c>
      <c r="Q179" t="str">
        <f t="shared" ca="1" si="17"/>
        <v/>
      </c>
    </row>
    <row r="180" spans="3:17" ht="14.25" x14ac:dyDescent="0.45">
      <c r="C180" t="str">
        <f>IFERROR(VLOOKUP(B180,Roster!$A$3:$N$101,2,FALSE),"")</f>
        <v/>
      </c>
      <c r="D180" t="str">
        <f>IFERROR(VLOOKUP(B180,Roster!$A$3:$N$101,3,FALSE),"")</f>
        <v/>
      </c>
      <c r="E180" t="str">
        <f>IFERROR(VLOOKUP(B180,Roster!$A$3:$N$101,4,FALSE),"")</f>
        <v/>
      </c>
      <c r="J180" t="str">
        <f t="shared" ca="1" si="15"/>
        <v/>
      </c>
      <c r="K180" t="str">
        <f t="shared" si="16"/>
        <v/>
      </c>
      <c r="Q180" t="str">
        <f t="shared" ca="1" si="17"/>
        <v/>
      </c>
    </row>
    <row r="181" spans="3:17" ht="14.25" x14ac:dyDescent="0.45">
      <c r="C181" t="str">
        <f>IFERROR(VLOOKUP(B181,Roster!$A$3:$N$101,2,FALSE),"")</f>
        <v/>
      </c>
      <c r="D181" t="str">
        <f>IFERROR(VLOOKUP(B181,Roster!$A$3:$N$101,3,FALSE),"")</f>
        <v/>
      </c>
      <c r="E181" t="str">
        <f>IFERROR(VLOOKUP(B181,Roster!$A$3:$N$101,4,FALSE),"")</f>
        <v/>
      </c>
      <c r="J181" t="str">
        <f t="shared" ca="1" si="15"/>
        <v/>
      </c>
      <c r="K181" t="str">
        <f t="shared" si="16"/>
        <v/>
      </c>
      <c r="Q181" t="str">
        <f t="shared" ca="1" si="17"/>
        <v/>
      </c>
    </row>
    <row r="182" spans="3:17" ht="14.25" x14ac:dyDescent="0.45">
      <c r="C182" t="str">
        <f>IFERROR(VLOOKUP(B182,Roster!$A$3:$N$101,2,FALSE),"")</f>
        <v/>
      </c>
      <c r="D182" t="str">
        <f>IFERROR(VLOOKUP(B182,Roster!$A$3:$N$101,3,FALSE),"")</f>
        <v/>
      </c>
      <c r="E182" t="str">
        <f>IFERROR(VLOOKUP(B182,Roster!$A$3:$N$101,4,FALSE),"")</f>
        <v/>
      </c>
      <c r="J182" t="str">
        <f t="shared" ca="1" si="15"/>
        <v/>
      </c>
      <c r="K182" t="str">
        <f t="shared" si="16"/>
        <v/>
      </c>
      <c r="Q182" t="str">
        <f t="shared" ca="1" si="17"/>
        <v/>
      </c>
    </row>
    <row r="183" spans="3:17" ht="14.25" x14ac:dyDescent="0.45">
      <c r="C183" t="str">
        <f>IFERROR(VLOOKUP(B183,Roster!$A$3:$N$101,2,FALSE),"")</f>
        <v/>
      </c>
      <c r="D183" t="str">
        <f>IFERROR(VLOOKUP(B183,Roster!$A$3:$N$101,3,FALSE),"")</f>
        <v/>
      </c>
      <c r="E183" t="str">
        <f>IFERROR(VLOOKUP(B183,Roster!$A$3:$N$101,4,FALSE),"")</f>
        <v/>
      </c>
      <c r="J183" t="str">
        <f t="shared" ca="1" si="15"/>
        <v/>
      </c>
      <c r="K183" t="str">
        <f t="shared" si="16"/>
        <v/>
      </c>
      <c r="Q183" t="str">
        <f t="shared" ca="1" si="17"/>
        <v/>
      </c>
    </row>
    <row r="184" spans="3:17" ht="14.25" x14ac:dyDescent="0.45">
      <c r="C184" t="str">
        <f>IFERROR(VLOOKUP(B184,Roster!$A$3:$N$101,2,FALSE),"")</f>
        <v/>
      </c>
      <c r="D184" t="str">
        <f>IFERROR(VLOOKUP(B184,Roster!$A$3:$N$101,3,FALSE),"")</f>
        <v/>
      </c>
      <c r="E184" t="str">
        <f>IFERROR(VLOOKUP(B184,Roster!$A$3:$N$101,4,FALSE),"")</f>
        <v/>
      </c>
      <c r="J184" t="str">
        <f t="shared" ca="1" si="15"/>
        <v/>
      </c>
      <c r="K184" t="str">
        <f t="shared" si="16"/>
        <v/>
      </c>
      <c r="Q184" t="str">
        <f t="shared" ca="1" si="17"/>
        <v/>
      </c>
    </row>
    <row r="185" spans="3:17" ht="14.25" x14ac:dyDescent="0.45">
      <c r="C185" t="str">
        <f>IFERROR(VLOOKUP(B185,Roster!$A$3:$N$101,2,FALSE),"")</f>
        <v/>
      </c>
      <c r="D185" t="str">
        <f>IFERROR(VLOOKUP(B185,Roster!$A$3:$N$101,3,FALSE),"")</f>
        <v/>
      </c>
      <c r="E185" t="str">
        <f>IFERROR(VLOOKUP(B185,Roster!$A$3:$N$101,4,FALSE),"")</f>
        <v/>
      </c>
      <c r="J185" t="str">
        <f t="shared" ca="1" si="15"/>
        <v/>
      </c>
      <c r="K185" t="str">
        <f t="shared" si="16"/>
        <v/>
      </c>
      <c r="Q185" t="str">
        <f t="shared" ca="1" si="17"/>
        <v/>
      </c>
    </row>
    <row r="186" spans="3:17" ht="14.25" x14ac:dyDescent="0.45">
      <c r="C186" t="str">
        <f>IFERROR(VLOOKUP(B186,Roster!$A$3:$N$101,2,FALSE),"")</f>
        <v/>
      </c>
      <c r="D186" t="str">
        <f>IFERROR(VLOOKUP(B186,Roster!$A$3:$N$101,3,FALSE),"")</f>
        <v/>
      </c>
      <c r="E186" t="str">
        <f>IFERROR(VLOOKUP(B186,Roster!$A$3:$N$101,4,FALSE),"")</f>
        <v/>
      </c>
      <c r="J186" t="str">
        <f t="shared" ca="1" si="15"/>
        <v/>
      </c>
      <c r="K186" t="str">
        <f t="shared" si="16"/>
        <v/>
      </c>
      <c r="Q186" t="str">
        <f t="shared" ca="1" si="17"/>
        <v/>
      </c>
    </row>
    <row r="187" spans="3:17" ht="14.25" x14ac:dyDescent="0.45">
      <c r="C187" t="str">
        <f>IFERROR(VLOOKUP(B187,Roster!$A$3:$N$101,2,FALSE),"")</f>
        <v/>
      </c>
      <c r="D187" t="str">
        <f>IFERROR(VLOOKUP(B187,Roster!$A$3:$N$101,3,FALSE),"")</f>
        <v/>
      </c>
      <c r="E187" t="str">
        <f>IFERROR(VLOOKUP(B187,Roster!$A$3:$N$101,4,FALSE),"")</f>
        <v/>
      </c>
      <c r="J187" t="str">
        <f t="shared" ca="1" si="15"/>
        <v/>
      </c>
      <c r="K187" t="str">
        <f t="shared" si="16"/>
        <v/>
      </c>
      <c r="Q187" t="str">
        <f t="shared" ca="1" si="17"/>
        <v/>
      </c>
    </row>
    <row r="188" spans="3:17" ht="14.25" x14ac:dyDescent="0.45">
      <c r="C188" t="str">
        <f>IFERROR(VLOOKUP(B188,Roster!$A$3:$N$101,2,FALSE),"")</f>
        <v/>
      </c>
      <c r="D188" t="str">
        <f>IFERROR(VLOOKUP(B188,Roster!$A$3:$N$101,3,FALSE),"")</f>
        <v/>
      </c>
      <c r="E188" t="str">
        <f>IFERROR(VLOOKUP(B188,Roster!$A$3:$N$101,4,FALSE),"")</f>
        <v/>
      </c>
      <c r="J188" t="str">
        <f t="shared" ca="1" si="15"/>
        <v/>
      </c>
      <c r="K188" t="str">
        <f t="shared" si="16"/>
        <v/>
      </c>
      <c r="Q188" t="str">
        <f t="shared" ca="1" si="17"/>
        <v/>
      </c>
    </row>
    <row r="189" spans="3:17" ht="14.25" x14ac:dyDescent="0.45">
      <c r="C189" t="str">
        <f>IFERROR(VLOOKUP(B189,Roster!$A$3:$N$101,2,FALSE),"")</f>
        <v/>
      </c>
      <c r="D189" t="str">
        <f>IFERROR(VLOOKUP(B189,Roster!$A$3:$N$101,3,FALSE),"")</f>
        <v/>
      </c>
      <c r="E189" t="str">
        <f>IFERROR(VLOOKUP(B189,Roster!$A$3:$N$101,4,FALSE),"")</f>
        <v/>
      </c>
      <c r="J189" t="str">
        <f t="shared" ca="1" si="15"/>
        <v/>
      </c>
      <c r="K189" t="str">
        <f t="shared" si="16"/>
        <v/>
      </c>
      <c r="Q189" t="str">
        <f t="shared" ca="1" si="17"/>
        <v/>
      </c>
    </row>
    <row r="190" spans="3:17" ht="14.25" x14ac:dyDescent="0.45">
      <c r="C190" t="str">
        <f>IFERROR(VLOOKUP(B190,Roster!$A$3:$N$101,2,FALSE),"")</f>
        <v/>
      </c>
      <c r="D190" t="str">
        <f>IFERROR(VLOOKUP(B190,Roster!$A$3:$N$101,3,FALSE),"")</f>
        <v/>
      </c>
      <c r="E190" t="str">
        <f>IFERROR(VLOOKUP(B190,Roster!$A$3:$N$101,4,FALSE),"")</f>
        <v/>
      </c>
      <c r="J190" t="str">
        <f t="shared" ca="1" si="15"/>
        <v/>
      </c>
      <c r="K190" t="str">
        <f t="shared" si="16"/>
        <v/>
      </c>
      <c r="Q190" t="str">
        <f t="shared" ca="1" si="17"/>
        <v/>
      </c>
    </row>
    <row r="191" spans="3:17" ht="14.25" x14ac:dyDescent="0.45">
      <c r="C191" t="str">
        <f>IFERROR(VLOOKUP(B191,Roster!$A$3:$N$101,2,FALSE),"")</f>
        <v/>
      </c>
      <c r="D191" t="str">
        <f>IFERROR(VLOOKUP(B191,Roster!$A$3:$N$101,3,FALSE),"")</f>
        <v/>
      </c>
      <c r="E191" t="str">
        <f>IFERROR(VLOOKUP(B191,Roster!$A$3:$N$101,4,FALSE),"")</f>
        <v/>
      </c>
      <c r="J191" t="str">
        <f t="shared" ca="1" si="15"/>
        <v/>
      </c>
      <c r="K191" t="str">
        <f t="shared" si="16"/>
        <v/>
      </c>
      <c r="Q191" t="str">
        <f t="shared" ca="1" si="17"/>
        <v/>
      </c>
    </row>
    <row r="192" spans="3:17" ht="14.25" x14ac:dyDescent="0.45">
      <c r="C192" t="str">
        <f>IFERROR(VLOOKUP(B192,Roster!$A$3:$N$101,2,FALSE),"")</f>
        <v/>
      </c>
      <c r="D192" t="str">
        <f>IFERROR(VLOOKUP(B192,Roster!$A$3:$N$101,3,FALSE),"")</f>
        <v/>
      </c>
      <c r="E192" t="str">
        <f>IFERROR(VLOOKUP(B192,Roster!$A$3:$N$101,4,FALSE),"")</f>
        <v/>
      </c>
      <c r="J192" t="str">
        <f t="shared" ca="1" si="15"/>
        <v/>
      </c>
      <c r="K192" t="str">
        <f t="shared" si="16"/>
        <v/>
      </c>
      <c r="Q192" t="str">
        <f t="shared" ca="1" si="17"/>
        <v/>
      </c>
    </row>
    <row r="193" spans="3:17" ht="14.25" x14ac:dyDescent="0.45">
      <c r="C193" t="str">
        <f>IFERROR(VLOOKUP(B193,Roster!$A$3:$N$101,2,FALSE),"")</f>
        <v/>
      </c>
      <c r="D193" t="str">
        <f>IFERROR(VLOOKUP(B193,Roster!$A$3:$N$101,3,FALSE),"")</f>
        <v/>
      </c>
      <c r="E193" t="str">
        <f>IFERROR(VLOOKUP(B193,Roster!$A$3:$N$101,4,FALSE),"")</f>
        <v/>
      </c>
      <c r="J193" t="str">
        <f t="shared" ca="1" si="15"/>
        <v/>
      </c>
      <c r="K193" t="str">
        <f t="shared" si="16"/>
        <v/>
      </c>
      <c r="Q193" t="str">
        <f t="shared" ca="1" si="17"/>
        <v/>
      </c>
    </row>
    <row r="194" spans="3:17" ht="14.25" x14ac:dyDescent="0.45">
      <c r="C194" t="str">
        <f>IFERROR(VLOOKUP(B194,Roster!$A$3:$N$101,2,FALSE),"")</f>
        <v/>
      </c>
      <c r="D194" t="str">
        <f>IFERROR(VLOOKUP(B194,Roster!$A$3:$N$101,3,FALSE),"")</f>
        <v/>
      </c>
      <c r="E194" t="str">
        <f>IFERROR(VLOOKUP(B194,Roster!$A$3:$N$101,4,FALSE),"")</f>
        <v/>
      </c>
      <c r="J194" t="str">
        <f t="shared" ca="1" si="15"/>
        <v/>
      </c>
      <c r="K194" t="str">
        <f t="shared" si="16"/>
        <v/>
      </c>
      <c r="Q194" t="str">
        <f t="shared" ca="1" si="17"/>
        <v/>
      </c>
    </row>
    <row r="195" spans="3:17" ht="14.25" x14ac:dyDescent="0.45">
      <c r="C195" t="str">
        <f>IFERROR(VLOOKUP(B195,Roster!$A$3:$N$101,2,FALSE),"")</f>
        <v/>
      </c>
      <c r="D195" t="str">
        <f>IFERROR(VLOOKUP(B195,Roster!$A$3:$N$101,3,FALSE),"")</f>
        <v/>
      </c>
      <c r="E195" t="str">
        <f>IFERROR(VLOOKUP(B195,Roster!$A$3:$N$101,4,FALSE),"")</f>
        <v/>
      </c>
      <c r="J195" t="str">
        <f t="shared" ref="J195:J201" ca="1" si="18">IF(G195="","",IF(H195="",TODAY()-G195,H195-G195))</f>
        <v/>
      </c>
      <c r="K195" t="str">
        <f t="shared" ref="K195:K201" si="19">IF(I195="","",MAX(0,I195-J195))</f>
        <v/>
      </c>
      <c r="Q195" t="str">
        <f t="shared" ref="Q195:Q201" ca="1" si="20">IF(B195="","",IF(COUNTIFS(B$3:B$201,B195,F$3:F$201,"*OSS*",G$3:G$201,"&gt;="&amp;(TODAY()-90))&gt;=3,"🚨 ESCALATE — "&amp;COUNTIFS(B$3:B$201,B195,F$3:F$201,"*OSS*",G$3:G$201,"&gt;="&amp;(TODAY()-90))&amp;" OSS in 90d",TEXT(COUNTIFS(B$3:B$201,B195,F$3:F$201,"*OSS*",G$3:G$201,"&gt;="&amp;(TODAY()-90)),"0")))</f>
        <v/>
      </c>
    </row>
    <row r="196" spans="3:17" ht="14.25" x14ac:dyDescent="0.45">
      <c r="C196" t="str">
        <f>IFERROR(VLOOKUP(B196,Roster!$A$3:$N$101,2,FALSE),"")</f>
        <v/>
      </c>
      <c r="D196" t="str">
        <f>IFERROR(VLOOKUP(B196,Roster!$A$3:$N$101,3,FALSE),"")</f>
        <v/>
      </c>
      <c r="E196" t="str">
        <f>IFERROR(VLOOKUP(B196,Roster!$A$3:$N$101,4,FALSE),"")</f>
        <v/>
      </c>
      <c r="J196" t="str">
        <f t="shared" ca="1" si="18"/>
        <v/>
      </c>
      <c r="K196" t="str">
        <f t="shared" si="19"/>
        <v/>
      </c>
      <c r="Q196" t="str">
        <f t="shared" ca="1" si="20"/>
        <v/>
      </c>
    </row>
    <row r="197" spans="3:17" ht="14.25" x14ac:dyDescent="0.45">
      <c r="C197" t="str">
        <f>IFERROR(VLOOKUP(B197,Roster!$A$3:$N$101,2,FALSE),"")</f>
        <v/>
      </c>
      <c r="D197" t="str">
        <f>IFERROR(VLOOKUP(B197,Roster!$A$3:$N$101,3,FALSE),"")</f>
        <v/>
      </c>
      <c r="E197" t="str">
        <f>IFERROR(VLOOKUP(B197,Roster!$A$3:$N$101,4,FALSE),"")</f>
        <v/>
      </c>
      <c r="J197" t="str">
        <f t="shared" ca="1" si="18"/>
        <v/>
      </c>
      <c r="K197" t="str">
        <f t="shared" si="19"/>
        <v/>
      </c>
      <c r="Q197" t="str">
        <f t="shared" ca="1" si="20"/>
        <v/>
      </c>
    </row>
    <row r="198" spans="3:17" ht="14.25" x14ac:dyDescent="0.45">
      <c r="C198" t="str">
        <f>IFERROR(VLOOKUP(B198,Roster!$A$3:$N$101,2,FALSE),"")</f>
        <v/>
      </c>
      <c r="D198" t="str">
        <f>IFERROR(VLOOKUP(B198,Roster!$A$3:$N$101,3,FALSE),"")</f>
        <v/>
      </c>
      <c r="E198" t="str">
        <f>IFERROR(VLOOKUP(B198,Roster!$A$3:$N$101,4,FALSE),"")</f>
        <v/>
      </c>
      <c r="J198" t="str">
        <f t="shared" ca="1" si="18"/>
        <v/>
      </c>
      <c r="K198" t="str">
        <f t="shared" si="19"/>
        <v/>
      </c>
      <c r="Q198" t="str">
        <f t="shared" ca="1" si="20"/>
        <v/>
      </c>
    </row>
    <row r="199" spans="3:17" ht="14.25" x14ac:dyDescent="0.45">
      <c r="C199" t="str">
        <f>IFERROR(VLOOKUP(B199,Roster!$A$3:$N$101,2,FALSE),"")</f>
        <v/>
      </c>
      <c r="D199" t="str">
        <f>IFERROR(VLOOKUP(B199,Roster!$A$3:$N$101,3,FALSE),"")</f>
        <v/>
      </c>
      <c r="E199" t="str">
        <f>IFERROR(VLOOKUP(B199,Roster!$A$3:$N$101,4,FALSE),"")</f>
        <v/>
      </c>
      <c r="J199" t="str">
        <f t="shared" ca="1" si="18"/>
        <v/>
      </c>
      <c r="K199" t="str">
        <f t="shared" si="19"/>
        <v/>
      </c>
      <c r="Q199" t="str">
        <f t="shared" ca="1" si="20"/>
        <v/>
      </c>
    </row>
    <row r="200" spans="3:17" ht="14.25" x14ac:dyDescent="0.45">
      <c r="C200" t="str">
        <f>IFERROR(VLOOKUP(B200,Roster!$A$3:$N$101,2,FALSE),"")</f>
        <v/>
      </c>
      <c r="D200" t="str">
        <f>IFERROR(VLOOKUP(B200,Roster!$A$3:$N$101,3,FALSE),"")</f>
        <v/>
      </c>
      <c r="E200" t="str">
        <f>IFERROR(VLOOKUP(B200,Roster!$A$3:$N$101,4,FALSE),"")</f>
        <v/>
      </c>
      <c r="J200" t="str">
        <f t="shared" ca="1" si="18"/>
        <v/>
      </c>
      <c r="K200" t="str">
        <f t="shared" si="19"/>
        <v/>
      </c>
      <c r="Q200" t="str">
        <f t="shared" ca="1" si="20"/>
        <v/>
      </c>
    </row>
    <row r="201" spans="3:17" ht="14.25" x14ac:dyDescent="0.45">
      <c r="C201" t="str">
        <f>IFERROR(VLOOKUP(B201,Roster!$A$3:$N$101,2,FALSE),"")</f>
        <v/>
      </c>
      <c r="D201" t="str">
        <f>IFERROR(VLOOKUP(B201,Roster!$A$3:$N$101,3,FALSE),"")</f>
        <v/>
      </c>
      <c r="E201" t="str">
        <f>IFERROR(VLOOKUP(B201,Roster!$A$3:$N$101,4,FALSE),"")</f>
        <v/>
      </c>
      <c r="J201" t="str">
        <f t="shared" ca="1" si="18"/>
        <v/>
      </c>
      <c r="K201" t="str">
        <f t="shared" si="19"/>
        <v/>
      </c>
      <c r="Q201" t="str">
        <f t="shared" ca="1" si="20"/>
        <v/>
      </c>
    </row>
  </sheetData>
  <mergeCells count="1">
    <mergeCell ref="A1:R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from the dropdown list." xr:uid="{00000000-0002-0000-0300-000000000000}">
          <x14:formula1>
            <xm:f>Lists!$G$2:$G$3</xm:f>
          </x14:formula1>
          <xm:sqref>F3:F201</xm:sqref>
        </x14:dataValidation>
        <x14:dataValidation type="list" allowBlank="1" showErrorMessage="1" errorTitle="Invalid Entry" error="Please select from the dropdown list." xr:uid="{00000000-0002-0000-0300-000002000000}">
          <x14:formula1>
            <xm:f>Lists!$I$2:$I$13</xm:f>
          </x14:formula1>
          <xm:sqref>M3:M201</xm:sqref>
        </x14:dataValidation>
        <x14:dataValidation type="list" allowBlank="1" showErrorMessage="1" errorTitle="Invalid Entry" error="Please select from the dropdown list." xr:uid="{00000000-0002-0000-0300-000004000000}">
          <x14:formula1>
            <xm:f>Lists!$K$2:$K$3</xm:f>
          </x14:formula1>
          <xm:sqref>N3:N201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01"/>
  <sheetViews>
    <sheetView zoomScaleNormal="100" workbookViewId="0"/>
  </sheetViews>
  <sheetFormatPr defaultRowHeight="15" customHeight="1" x14ac:dyDescent="0.45"/>
  <cols>
    <col min="1" max="2" width="15" customWidth="1"/>
    <col min="3" max="4" width="18.33203125" customWidth="1"/>
    <col min="5" max="5" width="13.33203125" customWidth="1"/>
    <col min="6" max="6" width="30" customWidth="1"/>
    <col min="7" max="8" width="18.33203125" customWidth="1"/>
    <col min="9" max="9" width="26.6640625" customWidth="1"/>
    <col min="10" max="10" width="21.6640625" customWidth="1"/>
    <col min="11" max="11" width="16.6640625" customWidth="1"/>
    <col min="12" max="14" width="18.33203125" customWidth="1"/>
    <col min="15" max="16" width="16.6640625" customWidth="1"/>
    <col min="17" max="17" width="33.33203125" customWidth="1"/>
  </cols>
  <sheetData>
    <row r="1" spans="1:17" ht="14.25" x14ac:dyDescent="0.45">
      <c r="A1" s="4" t="s">
        <v>150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4.25" x14ac:dyDescent="0.45">
      <c r="A2" t="s">
        <v>151</v>
      </c>
      <c r="B2" t="s">
        <v>28</v>
      </c>
      <c r="C2" t="s">
        <v>79</v>
      </c>
      <c r="D2" t="s">
        <v>80</v>
      </c>
      <c r="E2" t="s">
        <v>81</v>
      </c>
      <c r="F2" t="s">
        <v>152</v>
      </c>
      <c r="G2" t="s">
        <v>131</v>
      </c>
      <c r="H2" t="s">
        <v>153</v>
      </c>
      <c r="I2" t="s">
        <v>154</v>
      </c>
      <c r="J2" t="s">
        <v>137</v>
      </c>
      <c r="K2" t="s">
        <v>35</v>
      </c>
      <c r="L2" t="s">
        <v>155</v>
      </c>
      <c r="M2" t="s">
        <v>156</v>
      </c>
      <c r="N2" t="s">
        <v>157</v>
      </c>
      <c r="O2" t="s">
        <v>158</v>
      </c>
      <c r="P2" t="s">
        <v>136</v>
      </c>
      <c r="Q2" t="s">
        <v>41</v>
      </c>
    </row>
    <row r="3" spans="1:17" ht="15" customHeight="1" x14ac:dyDescent="0.5">
      <c r="A3" t="s">
        <v>159</v>
      </c>
      <c r="B3" t="s">
        <v>51</v>
      </c>
      <c r="C3" t="str">
        <f>IFERROR(VLOOKUP(B3,Roster!$A$3:$N$101,2,FALSE),"")</f>
        <v>Chen</v>
      </c>
      <c r="D3" s="1" t="str">
        <f>IFERROR(VLOOKUP(B3,Roster!$A$3:$N$101,3,FALSE),"")</f>
        <v>Amy</v>
      </c>
      <c r="E3" t="str">
        <f>IFERROR(VLOOKUP(B3,Roster!$A$3:$N$101,4,FALSE),"")</f>
        <v>7th Grade</v>
      </c>
      <c r="F3" t="s">
        <v>160</v>
      </c>
      <c r="G3" s="3">
        <v>46039</v>
      </c>
      <c r="I3" t="s">
        <v>161</v>
      </c>
      <c r="J3" t="s">
        <v>109</v>
      </c>
      <c r="K3" t="s">
        <v>48</v>
      </c>
      <c r="L3">
        <v>3</v>
      </c>
      <c r="M3">
        <v>1</v>
      </c>
      <c r="N3" s="2">
        <f t="shared" ref="N3:N34" si="0">IF(OR(L3="",L3=0,M3=""),"",(L3-M3)/L3)</f>
        <v>0.66666666666666663</v>
      </c>
      <c r="O3" t="str">
        <f t="shared" ref="O3:O34" si="1">IF(N3="","",IF(N3&gt;0,"Yes","No"))</f>
        <v>Yes</v>
      </c>
      <c r="P3" t="s">
        <v>106</v>
      </c>
      <c r="Q3" t="s">
        <v>162</v>
      </c>
    </row>
    <row r="4" spans="1:17" ht="15" customHeight="1" x14ac:dyDescent="0.5">
      <c r="A4" t="s">
        <v>163</v>
      </c>
      <c r="B4" t="s">
        <v>58</v>
      </c>
      <c r="C4" t="str">
        <f>IFERROR(VLOOKUP(B4,Roster!$A$3:$N$101,2,FALSE),"")</f>
        <v>Jackson</v>
      </c>
      <c r="D4" s="1" t="str">
        <f>IFERROR(VLOOKUP(B4,Roster!$A$3:$N$101,3,FALSE),"")</f>
        <v>DeShawn</v>
      </c>
      <c r="E4" s="1" t="str">
        <f>IFERROR(VLOOKUP(B4,Roster!$A$3:$N$101,4,FALSE),"")</f>
        <v>10th Grade</v>
      </c>
      <c r="F4" t="s">
        <v>164</v>
      </c>
      <c r="G4" s="3">
        <v>46034</v>
      </c>
      <c r="H4" s="3">
        <v>46076</v>
      </c>
      <c r="I4" t="s">
        <v>165</v>
      </c>
      <c r="J4" t="s">
        <v>120</v>
      </c>
      <c r="K4" t="s">
        <v>166</v>
      </c>
      <c r="L4">
        <v>5</v>
      </c>
      <c r="M4">
        <v>2</v>
      </c>
      <c r="N4" s="2">
        <f t="shared" si="0"/>
        <v>0.6</v>
      </c>
      <c r="O4" t="str">
        <f t="shared" si="1"/>
        <v>Yes</v>
      </c>
      <c r="P4" t="s">
        <v>118</v>
      </c>
      <c r="Q4" t="s">
        <v>167</v>
      </c>
    </row>
    <row r="5" spans="1:17" ht="15" customHeight="1" x14ac:dyDescent="0.5">
      <c r="A5" t="s">
        <v>168</v>
      </c>
      <c r="B5" t="s">
        <v>71</v>
      </c>
      <c r="C5" t="str">
        <f>IFERROR(VLOOKUP(B5,Roster!$A$3:$N$101,2,FALSE),"")</f>
        <v>Patel</v>
      </c>
      <c r="D5" s="1" t="str">
        <f>IFERROR(VLOOKUP(B5,Roster!$A$3:$N$101,3,FALSE),"")</f>
        <v>Raj</v>
      </c>
      <c r="E5" t="str">
        <f>IFERROR(VLOOKUP(B5,Roster!$A$3:$N$101,4,FALSE),"")</f>
        <v>8th Grade</v>
      </c>
      <c r="F5" t="s">
        <v>169</v>
      </c>
      <c r="G5" s="3">
        <v>46055</v>
      </c>
      <c r="I5" t="s">
        <v>170</v>
      </c>
      <c r="J5" t="s">
        <v>109</v>
      </c>
      <c r="K5" t="s">
        <v>48</v>
      </c>
      <c r="L5">
        <v>4</v>
      </c>
      <c r="N5" s="2" t="str">
        <f t="shared" si="0"/>
        <v/>
      </c>
      <c r="O5" t="str">
        <f t="shared" si="1"/>
        <v/>
      </c>
      <c r="Q5" t="s">
        <v>171</v>
      </c>
    </row>
    <row r="6" spans="1:17" x14ac:dyDescent="0.45">
      <c r="C6" t="str">
        <f>IFERROR(VLOOKUP(B6,Roster!$A$3:$N$101,2,FALSE),"")</f>
        <v/>
      </c>
      <c r="D6" t="str">
        <f>IFERROR(VLOOKUP(B6,Roster!$A$3:$N$101,3,FALSE),"")</f>
        <v/>
      </c>
      <c r="E6" t="str">
        <f>IFERROR(VLOOKUP(B6,Roster!$A$3:$N$101,4,FALSE),"")</f>
        <v/>
      </c>
      <c r="N6" s="2" t="str">
        <f t="shared" si="0"/>
        <v/>
      </c>
      <c r="O6" t="str">
        <f t="shared" si="1"/>
        <v/>
      </c>
    </row>
    <row r="7" spans="1:17" x14ac:dyDescent="0.45">
      <c r="C7" t="str">
        <f>IFERROR(VLOOKUP(B7,Roster!$A$3:$N$101,2,FALSE),"")</f>
        <v/>
      </c>
      <c r="D7" t="str">
        <f>IFERROR(VLOOKUP(B7,Roster!$A$3:$N$101,3,FALSE),"")</f>
        <v/>
      </c>
      <c r="E7" t="str">
        <f>IFERROR(VLOOKUP(B7,Roster!$A$3:$N$101,4,FALSE),"")</f>
        <v/>
      </c>
      <c r="N7" s="2" t="str">
        <f t="shared" si="0"/>
        <v/>
      </c>
      <c r="O7" t="str">
        <f t="shared" si="1"/>
        <v/>
      </c>
    </row>
    <row r="8" spans="1:17" x14ac:dyDescent="0.45">
      <c r="C8" t="str">
        <f>IFERROR(VLOOKUP(B8,Roster!$A$3:$N$101,2,FALSE),"")</f>
        <v/>
      </c>
      <c r="D8" t="str">
        <f>IFERROR(VLOOKUP(B8,Roster!$A$3:$N$101,3,FALSE),"")</f>
        <v/>
      </c>
      <c r="E8" t="str">
        <f>IFERROR(VLOOKUP(B8,Roster!$A$3:$N$101,4,FALSE),"")</f>
        <v/>
      </c>
      <c r="N8" s="2" t="str">
        <f t="shared" si="0"/>
        <v/>
      </c>
      <c r="O8" t="str">
        <f t="shared" si="1"/>
        <v/>
      </c>
    </row>
    <row r="9" spans="1:17" x14ac:dyDescent="0.45">
      <c r="C9" t="str">
        <f>IFERROR(VLOOKUP(B9,Roster!$A$3:$N$101,2,FALSE),"")</f>
        <v/>
      </c>
      <c r="D9" t="str">
        <f>IFERROR(VLOOKUP(B9,Roster!$A$3:$N$101,3,FALSE),"")</f>
        <v/>
      </c>
      <c r="E9" t="str">
        <f>IFERROR(VLOOKUP(B9,Roster!$A$3:$N$101,4,FALSE),"")</f>
        <v/>
      </c>
      <c r="N9" s="2" t="str">
        <f t="shared" si="0"/>
        <v/>
      </c>
      <c r="O9" t="str">
        <f t="shared" si="1"/>
        <v/>
      </c>
    </row>
    <row r="10" spans="1:17" x14ac:dyDescent="0.45">
      <c r="C10" t="str">
        <f>IFERROR(VLOOKUP(B10,Roster!$A$3:$N$101,2,FALSE),"")</f>
        <v/>
      </c>
      <c r="D10" t="str">
        <f>IFERROR(VLOOKUP(B10,Roster!$A$3:$N$101,3,FALSE),"")</f>
        <v/>
      </c>
      <c r="E10" t="str">
        <f>IFERROR(VLOOKUP(B10,Roster!$A$3:$N$101,4,FALSE),"")</f>
        <v/>
      </c>
      <c r="N10" s="2" t="str">
        <f t="shared" si="0"/>
        <v/>
      </c>
      <c r="O10" t="str">
        <f t="shared" si="1"/>
        <v/>
      </c>
    </row>
    <row r="11" spans="1:17" x14ac:dyDescent="0.45">
      <c r="C11" t="str">
        <f>IFERROR(VLOOKUP(B11,Roster!$A$3:$N$101,2,FALSE),"")</f>
        <v/>
      </c>
      <c r="D11" t="str">
        <f>IFERROR(VLOOKUP(B11,Roster!$A$3:$N$101,3,FALSE),"")</f>
        <v/>
      </c>
      <c r="E11" t="str">
        <f>IFERROR(VLOOKUP(B11,Roster!$A$3:$N$101,4,FALSE),"")</f>
        <v/>
      </c>
      <c r="N11" s="2" t="str">
        <f t="shared" si="0"/>
        <v/>
      </c>
      <c r="O11" t="str">
        <f t="shared" si="1"/>
        <v/>
      </c>
    </row>
    <row r="12" spans="1:17" x14ac:dyDescent="0.45">
      <c r="C12" t="str">
        <f>IFERROR(VLOOKUP(B12,Roster!$A$3:$N$101,2,FALSE),"")</f>
        <v/>
      </c>
      <c r="D12" t="str">
        <f>IFERROR(VLOOKUP(B12,Roster!$A$3:$N$101,3,FALSE),"")</f>
        <v/>
      </c>
      <c r="E12" t="str">
        <f>IFERROR(VLOOKUP(B12,Roster!$A$3:$N$101,4,FALSE),"")</f>
        <v/>
      </c>
      <c r="N12" s="2" t="str">
        <f t="shared" si="0"/>
        <v/>
      </c>
      <c r="O12" t="str">
        <f t="shared" si="1"/>
        <v/>
      </c>
    </row>
    <row r="13" spans="1:17" x14ac:dyDescent="0.45">
      <c r="C13" t="str">
        <f>IFERROR(VLOOKUP(B13,Roster!$A$3:$N$101,2,FALSE),"")</f>
        <v/>
      </c>
      <c r="D13" t="str">
        <f>IFERROR(VLOOKUP(B13,Roster!$A$3:$N$101,3,FALSE),"")</f>
        <v/>
      </c>
      <c r="E13" t="str">
        <f>IFERROR(VLOOKUP(B13,Roster!$A$3:$N$101,4,FALSE),"")</f>
        <v/>
      </c>
      <c r="N13" s="2" t="str">
        <f t="shared" si="0"/>
        <v/>
      </c>
      <c r="O13" t="str">
        <f t="shared" si="1"/>
        <v/>
      </c>
    </row>
    <row r="14" spans="1:17" x14ac:dyDescent="0.45">
      <c r="C14" t="str">
        <f>IFERROR(VLOOKUP(B14,Roster!$A$3:$N$101,2,FALSE),"")</f>
        <v/>
      </c>
      <c r="D14" t="str">
        <f>IFERROR(VLOOKUP(B14,Roster!$A$3:$N$101,3,FALSE),"")</f>
        <v/>
      </c>
      <c r="E14" t="str">
        <f>IFERROR(VLOOKUP(B14,Roster!$A$3:$N$101,4,FALSE),"")</f>
        <v/>
      </c>
      <c r="N14" s="2" t="str">
        <f t="shared" si="0"/>
        <v/>
      </c>
      <c r="O14" t="str">
        <f t="shared" si="1"/>
        <v/>
      </c>
    </row>
    <row r="15" spans="1:17" x14ac:dyDescent="0.45">
      <c r="C15" t="str">
        <f>IFERROR(VLOOKUP(B15,Roster!$A$3:$N$101,2,FALSE),"")</f>
        <v/>
      </c>
      <c r="D15" t="str">
        <f>IFERROR(VLOOKUP(B15,Roster!$A$3:$N$101,3,FALSE),"")</f>
        <v/>
      </c>
      <c r="E15" t="str">
        <f>IFERROR(VLOOKUP(B15,Roster!$A$3:$N$101,4,FALSE),"")</f>
        <v/>
      </c>
      <c r="N15" s="2" t="str">
        <f t="shared" si="0"/>
        <v/>
      </c>
      <c r="O15" t="str">
        <f t="shared" si="1"/>
        <v/>
      </c>
    </row>
    <row r="16" spans="1:17" x14ac:dyDescent="0.45">
      <c r="C16" t="str">
        <f>IFERROR(VLOOKUP(B16,Roster!$A$3:$N$101,2,FALSE),"")</f>
        <v/>
      </c>
      <c r="D16" t="str">
        <f>IFERROR(VLOOKUP(B16,Roster!$A$3:$N$101,3,FALSE),"")</f>
        <v/>
      </c>
      <c r="E16" t="str">
        <f>IFERROR(VLOOKUP(B16,Roster!$A$3:$N$101,4,FALSE),"")</f>
        <v/>
      </c>
      <c r="N16" s="2" t="str">
        <f t="shared" si="0"/>
        <v/>
      </c>
      <c r="O16" t="str">
        <f t="shared" si="1"/>
        <v/>
      </c>
    </row>
    <row r="17" spans="3:15" x14ac:dyDescent="0.45">
      <c r="C17" t="str">
        <f>IFERROR(VLOOKUP(B17,Roster!$A$3:$N$101,2,FALSE),"")</f>
        <v/>
      </c>
      <c r="D17" t="str">
        <f>IFERROR(VLOOKUP(B17,Roster!$A$3:$N$101,3,FALSE),"")</f>
        <v/>
      </c>
      <c r="E17" t="str">
        <f>IFERROR(VLOOKUP(B17,Roster!$A$3:$N$101,4,FALSE),"")</f>
        <v/>
      </c>
      <c r="N17" s="2" t="str">
        <f t="shared" si="0"/>
        <v/>
      </c>
      <c r="O17" t="str">
        <f t="shared" si="1"/>
        <v/>
      </c>
    </row>
    <row r="18" spans="3:15" x14ac:dyDescent="0.45">
      <c r="C18" t="str">
        <f>IFERROR(VLOOKUP(B18,Roster!$A$3:$N$101,2,FALSE),"")</f>
        <v/>
      </c>
      <c r="D18" t="str">
        <f>IFERROR(VLOOKUP(B18,Roster!$A$3:$N$101,3,FALSE),"")</f>
        <v/>
      </c>
      <c r="E18" t="str">
        <f>IFERROR(VLOOKUP(B18,Roster!$A$3:$N$101,4,FALSE),"")</f>
        <v/>
      </c>
      <c r="N18" s="2" t="str">
        <f t="shared" si="0"/>
        <v/>
      </c>
      <c r="O18" t="str">
        <f t="shared" si="1"/>
        <v/>
      </c>
    </row>
    <row r="19" spans="3:15" x14ac:dyDescent="0.45">
      <c r="C19" t="str">
        <f>IFERROR(VLOOKUP(B19,Roster!$A$3:$N$101,2,FALSE),"")</f>
        <v/>
      </c>
      <c r="D19" t="str">
        <f>IFERROR(VLOOKUP(B19,Roster!$A$3:$N$101,3,FALSE),"")</f>
        <v/>
      </c>
      <c r="E19" t="str">
        <f>IFERROR(VLOOKUP(B19,Roster!$A$3:$N$101,4,FALSE),"")</f>
        <v/>
      </c>
      <c r="N19" s="2" t="str">
        <f t="shared" si="0"/>
        <v/>
      </c>
      <c r="O19" t="str">
        <f t="shared" si="1"/>
        <v/>
      </c>
    </row>
    <row r="20" spans="3:15" x14ac:dyDescent="0.45">
      <c r="C20" t="str">
        <f>IFERROR(VLOOKUP(B20,Roster!$A$3:$N$101,2,FALSE),"")</f>
        <v/>
      </c>
      <c r="D20" t="str">
        <f>IFERROR(VLOOKUP(B20,Roster!$A$3:$N$101,3,FALSE),"")</f>
        <v/>
      </c>
      <c r="E20" t="str">
        <f>IFERROR(VLOOKUP(B20,Roster!$A$3:$N$101,4,FALSE),"")</f>
        <v/>
      </c>
      <c r="N20" s="2" t="str">
        <f t="shared" si="0"/>
        <v/>
      </c>
      <c r="O20" t="str">
        <f t="shared" si="1"/>
        <v/>
      </c>
    </row>
    <row r="21" spans="3:15" x14ac:dyDescent="0.45">
      <c r="C21" t="str">
        <f>IFERROR(VLOOKUP(B21,Roster!$A$3:$N$101,2,FALSE),"")</f>
        <v/>
      </c>
      <c r="D21" t="str">
        <f>IFERROR(VLOOKUP(B21,Roster!$A$3:$N$101,3,FALSE),"")</f>
        <v/>
      </c>
      <c r="E21" t="str">
        <f>IFERROR(VLOOKUP(B21,Roster!$A$3:$N$101,4,FALSE),"")</f>
        <v/>
      </c>
      <c r="N21" s="2" t="str">
        <f t="shared" si="0"/>
        <v/>
      </c>
      <c r="O21" t="str">
        <f t="shared" si="1"/>
        <v/>
      </c>
    </row>
    <row r="22" spans="3:15" x14ac:dyDescent="0.45">
      <c r="C22" t="str">
        <f>IFERROR(VLOOKUP(B22,Roster!$A$3:$N$101,2,FALSE),"")</f>
        <v/>
      </c>
      <c r="D22" t="str">
        <f>IFERROR(VLOOKUP(B22,Roster!$A$3:$N$101,3,FALSE),"")</f>
        <v/>
      </c>
      <c r="E22" t="str">
        <f>IFERROR(VLOOKUP(B22,Roster!$A$3:$N$101,4,FALSE),"")</f>
        <v/>
      </c>
      <c r="N22" s="2" t="str">
        <f t="shared" si="0"/>
        <v/>
      </c>
      <c r="O22" t="str">
        <f t="shared" si="1"/>
        <v/>
      </c>
    </row>
    <row r="23" spans="3:15" x14ac:dyDescent="0.45">
      <c r="C23" t="str">
        <f>IFERROR(VLOOKUP(B23,Roster!$A$3:$N$101,2,FALSE),"")</f>
        <v/>
      </c>
      <c r="D23" t="str">
        <f>IFERROR(VLOOKUP(B23,Roster!$A$3:$N$101,3,FALSE),"")</f>
        <v/>
      </c>
      <c r="E23" t="str">
        <f>IFERROR(VLOOKUP(B23,Roster!$A$3:$N$101,4,FALSE),"")</f>
        <v/>
      </c>
      <c r="N23" s="2" t="str">
        <f t="shared" si="0"/>
        <v/>
      </c>
      <c r="O23" t="str">
        <f t="shared" si="1"/>
        <v/>
      </c>
    </row>
    <row r="24" spans="3:15" x14ac:dyDescent="0.45">
      <c r="C24" t="str">
        <f>IFERROR(VLOOKUP(B24,Roster!$A$3:$N$101,2,FALSE),"")</f>
        <v/>
      </c>
      <c r="D24" t="str">
        <f>IFERROR(VLOOKUP(B24,Roster!$A$3:$N$101,3,FALSE),"")</f>
        <v/>
      </c>
      <c r="E24" t="str">
        <f>IFERROR(VLOOKUP(B24,Roster!$A$3:$N$101,4,FALSE),"")</f>
        <v/>
      </c>
      <c r="N24" s="2" t="str">
        <f t="shared" si="0"/>
        <v/>
      </c>
      <c r="O24" t="str">
        <f t="shared" si="1"/>
        <v/>
      </c>
    </row>
    <row r="25" spans="3:15" x14ac:dyDescent="0.45">
      <c r="C25" t="str">
        <f>IFERROR(VLOOKUP(B25,Roster!$A$3:$N$101,2,FALSE),"")</f>
        <v/>
      </c>
      <c r="D25" t="str">
        <f>IFERROR(VLOOKUP(B25,Roster!$A$3:$N$101,3,FALSE),"")</f>
        <v/>
      </c>
      <c r="E25" t="str">
        <f>IFERROR(VLOOKUP(B25,Roster!$A$3:$N$101,4,FALSE),"")</f>
        <v/>
      </c>
      <c r="N25" s="2" t="str">
        <f t="shared" si="0"/>
        <v/>
      </c>
      <c r="O25" t="str">
        <f t="shared" si="1"/>
        <v/>
      </c>
    </row>
    <row r="26" spans="3:15" x14ac:dyDescent="0.45">
      <c r="C26" t="str">
        <f>IFERROR(VLOOKUP(B26,Roster!$A$3:$N$101,2,FALSE),"")</f>
        <v/>
      </c>
      <c r="D26" t="str">
        <f>IFERROR(VLOOKUP(B26,Roster!$A$3:$N$101,3,FALSE),"")</f>
        <v/>
      </c>
      <c r="E26" t="str">
        <f>IFERROR(VLOOKUP(B26,Roster!$A$3:$N$101,4,FALSE),"")</f>
        <v/>
      </c>
      <c r="N26" s="2" t="str">
        <f t="shared" si="0"/>
        <v/>
      </c>
      <c r="O26" t="str">
        <f t="shared" si="1"/>
        <v/>
      </c>
    </row>
    <row r="27" spans="3:15" x14ac:dyDescent="0.45">
      <c r="C27" t="str">
        <f>IFERROR(VLOOKUP(B27,Roster!$A$3:$N$101,2,FALSE),"")</f>
        <v/>
      </c>
      <c r="D27" t="str">
        <f>IFERROR(VLOOKUP(B27,Roster!$A$3:$N$101,3,FALSE),"")</f>
        <v/>
      </c>
      <c r="E27" t="str">
        <f>IFERROR(VLOOKUP(B27,Roster!$A$3:$N$101,4,FALSE),"")</f>
        <v/>
      </c>
      <c r="N27" s="2" t="str">
        <f t="shared" si="0"/>
        <v/>
      </c>
      <c r="O27" t="str">
        <f t="shared" si="1"/>
        <v/>
      </c>
    </row>
    <row r="28" spans="3:15" x14ac:dyDescent="0.45">
      <c r="C28" t="str">
        <f>IFERROR(VLOOKUP(B28,Roster!$A$3:$N$101,2,FALSE),"")</f>
        <v/>
      </c>
      <c r="D28" t="str">
        <f>IFERROR(VLOOKUP(B28,Roster!$A$3:$N$101,3,FALSE),"")</f>
        <v/>
      </c>
      <c r="E28" t="str">
        <f>IFERROR(VLOOKUP(B28,Roster!$A$3:$N$101,4,FALSE),"")</f>
        <v/>
      </c>
      <c r="N28" s="2" t="str">
        <f t="shared" si="0"/>
        <v/>
      </c>
      <c r="O28" t="str">
        <f t="shared" si="1"/>
        <v/>
      </c>
    </row>
    <row r="29" spans="3:15" ht="14.25" x14ac:dyDescent="0.45">
      <c r="C29" t="str">
        <f>IFERROR(VLOOKUP(B29,Roster!$A$3:$N$101,2,FALSE),"")</f>
        <v/>
      </c>
      <c r="D29" t="str">
        <f>IFERROR(VLOOKUP(B29,Roster!$A$3:$N$101,3,FALSE),"")</f>
        <v/>
      </c>
      <c r="E29" t="str">
        <f>IFERROR(VLOOKUP(B29,Roster!$A$3:$N$101,4,FALSE),"")</f>
        <v/>
      </c>
      <c r="N29" s="2" t="str">
        <f t="shared" si="0"/>
        <v/>
      </c>
      <c r="O29" t="str">
        <f t="shared" si="1"/>
        <v/>
      </c>
    </row>
    <row r="30" spans="3:15" ht="14.25" x14ac:dyDescent="0.45">
      <c r="C30" t="str">
        <f>IFERROR(VLOOKUP(B30,Roster!$A$3:$N$101,2,FALSE),"")</f>
        <v/>
      </c>
      <c r="D30" t="str">
        <f>IFERROR(VLOOKUP(B30,Roster!$A$3:$N$101,3,FALSE),"")</f>
        <v/>
      </c>
      <c r="E30" t="str">
        <f>IFERROR(VLOOKUP(B30,Roster!$A$3:$N$101,4,FALSE),"")</f>
        <v/>
      </c>
      <c r="N30" s="2" t="str">
        <f t="shared" si="0"/>
        <v/>
      </c>
      <c r="O30" t="str">
        <f t="shared" si="1"/>
        <v/>
      </c>
    </row>
    <row r="31" spans="3:15" ht="14.25" x14ac:dyDescent="0.45">
      <c r="C31" t="str">
        <f>IFERROR(VLOOKUP(B31,Roster!$A$3:$N$101,2,FALSE),"")</f>
        <v/>
      </c>
      <c r="D31" t="str">
        <f>IFERROR(VLOOKUP(B31,Roster!$A$3:$N$101,3,FALSE),"")</f>
        <v/>
      </c>
      <c r="E31" t="str">
        <f>IFERROR(VLOOKUP(B31,Roster!$A$3:$N$101,4,FALSE),"")</f>
        <v/>
      </c>
      <c r="N31" s="2" t="str">
        <f t="shared" si="0"/>
        <v/>
      </c>
      <c r="O31" t="str">
        <f t="shared" si="1"/>
        <v/>
      </c>
    </row>
    <row r="32" spans="3:15" ht="14.25" x14ac:dyDescent="0.45">
      <c r="C32" t="str">
        <f>IFERROR(VLOOKUP(B32,Roster!$A$3:$N$101,2,FALSE),"")</f>
        <v/>
      </c>
      <c r="D32" t="str">
        <f>IFERROR(VLOOKUP(B32,Roster!$A$3:$N$101,3,FALSE),"")</f>
        <v/>
      </c>
      <c r="E32" t="str">
        <f>IFERROR(VLOOKUP(B32,Roster!$A$3:$N$101,4,FALSE),"")</f>
        <v/>
      </c>
      <c r="N32" s="2" t="str">
        <f t="shared" si="0"/>
        <v/>
      </c>
      <c r="O32" t="str">
        <f t="shared" si="1"/>
        <v/>
      </c>
    </row>
    <row r="33" spans="3:15" ht="14.25" x14ac:dyDescent="0.45">
      <c r="C33" t="str">
        <f>IFERROR(VLOOKUP(B33,Roster!$A$3:$N$101,2,FALSE),"")</f>
        <v/>
      </c>
      <c r="D33" t="str">
        <f>IFERROR(VLOOKUP(B33,Roster!$A$3:$N$101,3,FALSE),"")</f>
        <v/>
      </c>
      <c r="E33" t="str">
        <f>IFERROR(VLOOKUP(B33,Roster!$A$3:$N$101,4,FALSE),"")</f>
        <v/>
      </c>
      <c r="N33" s="2" t="str">
        <f t="shared" si="0"/>
        <v/>
      </c>
      <c r="O33" t="str">
        <f t="shared" si="1"/>
        <v/>
      </c>
    </row>
    <row r="34" spans="3:15" ht="14.25" x14ac:dyDescent="0.45">
      <c r="C34" t="str">
        <f>IFERROR(VLOOKUP(B34,Roster!$A$3:$N$101,2,FALSE),"")</f>
        <v/>
      </c>
      <c r="D34" t="str">
        <f>IFERROR(VLOOKUP(B34,Roster!$A$3:$N$101,3,FALSE),"")</f>
        <v/>
      </c>
      <c r="E34" t="str">
        <f>IFERROR(VLOOKUP(B34,Roster!$A$3:$N$101,4,FALSE),"")</f>
        <v/>
      </c>
      <c r="N34" s="2" t="str">
        <f t="shared" si="0"/>
        <v/>
      </c>
      <c r="O34" t="str">
        <f t="shared" si="1"/>
        <v/>
      </c>
    </row>
    <row r="35" spans="3:15" ht="14.25" x14ac:dyDescent="0.45">
      <c r="C35" t="str">
        <f>IFERROR(VLOOKUP(B35,Roster!$A$3:$N$101,2,FALSE),"")</f>
        <v/>
      </c>
      <c r="D35" t="str">
        <f>IFERROR(VLOOKUP(B35,Roster!$A$3:$N$101,3,FALSE),"")</f>
        <v/>
      </c>
      <c r="E35" t="str">
        <f>IFERROR(VLOOKUP(B35,Roster!$A$3:$N$101,4,FALSE),"")</f>
        <v/>
      </c>
      <c r="N35" s="2" t="str">
        <f t="shared" ref="N35:N66" si="2">IF(OR(L35="",L35=0,M35=""),"",(L35-M35)/L35)</f>
        <v/>
      </c>
      <c r="O35" t="str">
        <f t="shared" ref="O35:O66" si="3">IF(N35="","",IF(N35&gt;0,"Yes","No"))</f>
        <v/>
      </c>
    </row>
    <row r="36" spans="3:15" ht="14.25" x14ac:dyDescent="0.45">
      <c r="C36" t="str">
        <f>IFERROR(VLOOKUP(B36,Roster!$A$3:$N$101,2,FALSE),"")</f>
        <v/>
      </c>
      <c r="D36" t="str">
        <f>IFERROR(VLOOKUP(B36,Roster!$A$3:$N$101,3,FALSE),"")</f>
        <v/>
      </c>
      <c r="E36" t="str">
        <f>IFERROR(VLOOKUP(B36,Roster!$A$3:$N$101,4,FALSE),"")</f>
        <v/>
      </c>
      <c r="N36" s="2" t="str">
        <f t="shared" si="2"/>
        <v/>
      </c>
      <c r="O36" t="str">
        <f t="shared" si="3"/>
        <v/>
      </c>
    </row>
    <row r="37" spans="3:15" ht="14.25" x14ac:dyDescent="0.45">
      <c r="C37" t="str">
        <f>IFERROR(VLOOKUP(B37,Roster!$A$3:$N$101,2,FALSE),"")</f>
        <v/>
      </c>
      <c r="D37" t="str">
        <f>IFERROR(VLOOKUP(B37,Roster!$A$3:$N$101,3,FALSE),"")</f>
        <v/>
      </c>
      <c r="E37" t="str">
        <f>IFERROR(VLOOKUP(B37,Roster!$A$3:$N$101,4,FALSE),"")</f>
        <v/>
      </c>
      <c r="N37" s="2" t="str">
        <f t="shared" si="2"/>
        <v/>
      </c>
      <c r="O37" t="str">
        <f t="shared" si="3"/>
        <v/>
      </c>
    </row>
    <row r="38" spans="3:15" ht="14.25" x14ac:dyDescent="0.45">
      <c r="C38" t="str">
        <f>IFERROR(VLOOKUP(B38,Roster!$A$3:$N$101,2,FALSE),"")</f>
        <v/>
      </c>
      <c r="D38" t="str">
        <f>IFERROR(VLOOKUP(B38,Roster!$A$3:$N$101,3,FALSE),"")</f>
        <v/>
      </c>
      <c r="E38" t="str">
        <f>IFERROR(VLOOKUP(B38,Roster!$A$3:$N$101,4,FALSE),"")</f>
        <v/>
      </c>
      <c r="N38" s="2" t="str">
        <f t="shared" si="2"/>
        <v/>
      </c>
      <c r="O38" t="str">
        <f t="shared" si="3"/>
        <v/>
      </c>
    </row>
    <row r="39" spans="3:15" ht="14.25" x14ac:dyDescent="0.45">
      <c r="C39" t="str">
        <f>IFERROR(VLOOKUP(B39,Roster!$A$3:$N$101,2,FALSE),"")</f>
        <v/>
      </c>
      <c r="D39" t="str">
        <f>IFERROR(VLOOKUP(B39,Roster!$A$3:$N$101,3,FALSE),"")</f>
        <v/>
      </c>
      <c r="E39" t="str">
        <f>IFERROR(VLOOKUP(B39,Roster!$A$3:$N$101,4,FALSE),"")</f>
        <v/>
      </c>
      <c r="N39" s="2" t="str">
        <f t="shared" si="2"/>
        <v/>
      </c>
      <c r="O39" t="str">
        <f t="shared" si="3"/>
        <v/>
      </c>
    </row>
    <row r="40" spans="3:15" ht="14.25" x14ac:dyDescent="0.45">
      <c r="C40" t="str">
        <f>IFERROR(VLOOKUP(B40,Roster!$A$3:$N$101,2,FALSE),"")</f>
        <v/>
      </c>
      <c r="D40" t="str">
        <f>IFERROR(VLOOKUP(B40,Roster!$A$3:$N$101,3,FALSE),"")</f>
        <v/>
      </c>
      <c r="E40" t="str">
        <f>IFERROR(VLOOKUP(B40,Roster!$A$3:$N$101,4,FALSE),"")</f>
        <v/>
      </c>
      <c r="N40" s="2" t="str">
        <f t="shared" si="2"/>
        <v/>
      </c>
      <c r="O40" t="str">
        <f t="shared" si="3"/>
        <v/>
      </c>
    </row>
    <row r="41" spans="3:15" ht="14.25" x14ac:dyDescent="0.45">
      <c r="C41" t="str">
        <f>IFERROR(VLOOKUP(B41,Roster!$A$3:$N$101,2,FALSE),"")</f>
        <v/>
      </c>
      <c r="D41" t="str">
        <f>IFERROR(VLOOKUP(B41,Roster!$A$3:$N$101,3,FALSE),"")</f>
        <v/>
      </c>
      <c r="E41" t="str">
        <f>IFERROR(VLOOKUP(B41,Roster!$A$3:$N$101,4,FALSE),"")</f>
        <v/>
      </c>
      <c r="N41" s="2" t="str">
        <f t="shared" si="2"/>
        <v/>
      </c>
      <c r="O41" t="str">
        <f t="shared" si="3"/>
        <v/>
      </c>
    </row>
    <row r="42" spans="3:15" ht="14.25" x14ac:dyDescent="0.45">
      <c r="C42" t="str">
        <f>IFERROR(VLOOKUP(B42,Roster!$A$3:$N$101,2,FALSE),"")</f>
        <v/>
      </c>
      <c r="D42" t="str">
        <f>IFERROR(VLOOKUP(B42,Roster!$A$3:$N$101,3,FALSE),"")</f>
        <v/>
      </c>
      <c r="E42" t="str">
        <f>IFERROR(VLOOKUP(B42,Roster!$A$3:$N$101,4,FALSE),"")</f>
        <v/>
      </c>
      <c r="N42" s="2" t="str">
        <f t="shared" si="2"/>
        <v/>
      </c>
      <c r="O42" t="str">
        <f t="shared" si="3"/>
        <v/>
      </c>
    </row>
    <row r="43" spans="3:15" ht="14.25" x14ac:dyDescent="0.45">
      <c r="C43" t="str">
        <f>IFERROR(VLOOKUP(B43,Roster!$A$3:$N$101,2,FALSE),"")</f>
        <v/>
      </c>
      <c r="D43" t="str">
        <f>IFERROR(VLOOKUP(B43,Roster!$A$3:$N$101,3,FALSE),"")</f>
        <v/>
      </c>
      <c r="E43" t="str">
        <f>IFERROR(VLOOKUP(B43,Roster!$A$3:$N$101,4,FALSE),"")</f>
        <v/>
      </c>
      <c r="N43" s="2" t="str">
        <f t="shared" si="2"/>
        <v/>
      </c>
      <c r="O43" t="str">
        <f t="shared" si="3"/>
        <v/>
      </c>
    </row>
    <row r="44" spans="3:15" ht="14.25" x14ac:dyDescent="0.45">
      <c r="C44" t="str">
        <f>IFERROR(VLOOKUP(B44,Roster!$A$3:$N$101,2,FALSE),"")</f>
        <v/>
      </c>
      <c r="D44" t="str">
        <f>IFERROR(VLOOKUP(B44,Roster!$A$3:$N$101,3,FALSE),"")</f>
        <v/>
      </c>
      <c r="E44" t="str">
        <f>IFERROR(VLOOKUP(B44,Roster!$A$3:$N$101,4,FALSE),"")</f>
        <v/>
      </c>
      <c r="N44" s="2" t="str">
        <f t="shared" si="2"/>
        <v/>
      </c>
      <c r="O44" t="str">
        <f t="shared" si="3"/>
        <v/>
      </c>
    </row>
    <row r="45" spans="3:15" ht="14.25" x14ac:dyDescent="0.45">
      <c r="C45" t="str">
        <f>IFERROR(VLOOKUP(B45,Roster!$A$3:$N$101,2,FALSE),"")</f>
        <v/>
      </c>
      <c r="D45" t="str">
        <f>IFERROR(VLOOKUP(B45,Roster!$A$3:$N$101,3,FALSE),"")</f>
        <v/>
      </c>
      <c r="E45" t="str">
        <f>IFERROR(VLOOKUP(B45,Roster!$A$3:$N$101,4,FALSE),"")</f>
        <v/>
      </c>
      <c r="N45" s="2" t="str">
        <f t="shared" si="2"/>
        <v/>
      </c>
      <c r="O45" t="str">
        <f t="shared" si="3"/>
        <v/>
      </c>
    </row>
    <row r="46" spans="3:15" ht="14.25" x14ac:dyDescent="0.45">
      <c r="C46" t="str">
        <f>IFERROR(VLOOKUP(B46,Roster!$A$3:$N$101,2,FALSE),"")</f>
        <v/>
      </c>
      <c r="D46" t="str">
        <f>IFERROR(VLOOKUP(B46,Roster!$A$3:$N$101,3,FALSE),"")</f>
        <v/>
      </c>
      <c r="E46" t="str">
        <f>IFERROR(VLOOKUP(B46,Roster!$A$3:$N$101,4,FALSE),"")</f>
        <v/>
      </c>
      <c r="N46" s="2" t="str">
        <f t="shared" si="2"/>
        <v/>
      </c>
      <c r="O46" t="str">
        <f t="shared" si="3"/>
        <v/>
      </c>
    </row>
    <row r="47" spans="3:15" ht="14.25" x14ac:dyDescent="0.45">
      <c r="C47" t="str">
        <f>IFERROR(VLOOKUP(B47,Roster!$A$3:$N$101,2,FALSE),"")</f>
        <v/>
      </c>
      <c r="D47" t="str">
        <f>IFERROR(VLOOKUP(B47,Roster!$A$3:$N$101,3,FALSE),"")</f>
        <v/>
      </c>
      <c r="E47" t="str">
        <f>IFERROR(VLOOKUP(B47,Roster!$A$3:$N$101,4,FALSE),"")</f>
        <v/>
      </c>
      <c r="N47" s="2" t="str">
        <f t="shared" si="2"/>
        <v/>
      </c>
      <c r="O47" t="str">
        <f t="shared" si="3"/>
        <v/>
      </c>
    </row>
    <row r="48" spans="3:15" ht="14.25" x14ac:dyDescent="0.45">
      <c r="C48" t="str">
        <f>IFERROR(VLOOKUP(B48,Roster!$A$3:$N$101,2,FALSE),"")</f>
        <v/>
      </c>
      <c r="D48" t="str">
        <f>IFERROR(VLOOKUP(B48,Roster!$A$3:$N$101,3,FALSE),"")</f>
        <v/>
      </c>
      <c r="E48" t="str">
        <f>IFERROR(VLOOKUP(B48,Roster!$A$3:$N$101,4,FALSE),"")</f>
        <v/>
      </c>
      <c r="N48" s="2" t="str">
        <f t="shared" si="2"/>
        <v/>
      </c>
      <c r="O48" t="str">
        <f t="shared" si="3"/>
        <v/>
      </c>
    </row>
    <row r="49" spans="3:15" ht="14.25" x14ac:dyDescent="0.45">
      <c r="C49" t="str">
        <f>IFERROR(VLOOKUP(B49,Roster!$A$3:$N$101,2,FALSE),"")</f>
        <v/>
      </c>
      <c r="D49" t="str">
        <f>IFERROR(VLOOKUP(B49,Roster!$A$3:$N$101,3,FALSE),"")</f>
        <v/>
      </c>
      <c r="E49" t="str">
        <f>IFERROR(VLOOKUP(B49,Roster!$A$3:$N$101,4,FALSE),"")</f>
        <v/>
      </c>
      <c r="N49" s="2" t="str">
        <f t="shared" si="2"/>
        <v/>
      </c>
      <c r="O49" t="str">
        <f t="shared" si="3"/>
        <v/>
      </c>
    </row>
    <row r="50" spans="3:15" ht="14.25" x14ac:dyDescent="0.45">
      <c r="C50" t="str">
        <f>IFERROR(VLOOKUP(B50,Roster!$A$3:$N$101,2,FALSE),"")</f>
        <v/>
      </c>
      <c r="D50" t="str">
        <f>IFERROR(VLOOKUP(B50,Roster!$A$3:$N$101,3,FALSE),"")</f>
        <v/>
      </c>
      <c r="E50" t="str">
        <f>IFERROR(VLOOKUP(B50,Roster!$A$3:$N$101,4,FALSE),"")</f>
        <v/>
      </c>
      <c r="N50" s="2" t="str">
        <f t="shared" si="2"/>
        <v/>
      </c>
      <c r="O50" t="str">
        <f t="shared" si="3"/>
        <v/>
      </c>
    </row>
    <row r="51" spans="3:15" ht="14.25" x14ac:dyDescent="0.45">
      <c r="C51" t="str">
        <f>IFERROR(VLOOKUP(B51,Roster!$A$3:$N$101,2,FALSE),"")</f>
        <v/>
      </c>
      <c r="D51" t="str">
        <f>IFERROR(VLOOKUP(B51,Roster!$A$3:$N$101,3,FALSE),"")</f>
        <v/>
      </c>
      <c r="E51" t="str">
        <f>IFERROR(VLOOKUP(B51,Roster!$A$3:$N$101,4,FALSE),"")</f>
        <v/>
      </c>
      <c r="N51" s="2" t="str">
        <f t="shared" si="2"/>
        <v/>
      </c>
      <c r="O51" t="str">
        <f t="shared" si="3"/>
        <v/>
      </c>
    </row>
    <row r="52" spans="3:15" ht="14.25" x14ac:dyDescent="0.45">
      <c r="C52" t="str">
        <f>IFERROR(VLOOKUP(B52,Roster!$A$3:$N$101,2,FALSE),"")</f>
        <v/>
      </c>
      <c r="D52" t="str">
        <f>IFERROR(VLOOKUP(B52,Roster!$A$3:$N$101,3,FALSE),"")</f>
        <v/>
      </c>
      <c r="E52" t="str">
        <f>IFERROR(VLOOKUP(B52,Roster!$A$3:$N$101,4,FALSE),"")</f>
        <v/>
      </c>
      <c r="N52" s="2" t="str">
        <f t="shared" si="2"/>
        <v/>
      </c>
      <c r="O52" t="str">
        <f t="shared" si="3"/>
        <v/>
      </c>
    </row>
    <row r="53" spans="3:15" ht="14.25" x14ac:dyDescent="0.45">
      <c r="C53" t="str">
        <f>IFERROR(VLOOKUP(B53,Roster!$A$3:$N$101,2,FALSE),"")</f>
        <v/>
      </c>
      <c r="D53" t="str">
        <f>IFERROR(VLOOKUP(B53,Roster!$A$3:$N$101,3,FALSE),"")</f>
        <v/>
      </c>
      <c r="E53" t="str">
        <f>IFERROR(VLOOKUP(B53,Roster!$A$3:$N$101,4,FALSE),"")</f>
        <v/>
      </c>
      <c r="N53" s="2" t="str">
        <f t="shared" si="2"/>
        <v/>
      </c>
      <c r="O53" t="str">
        <f t="shared" si="3"/>
        <v/>
      </c>
    </row>
    <row r="54" spans="3:15" ht="14.25" x14ac:dyDescent="0.45">
      <c r="C54" t="str">
        <f>IFERROR(VLOOKUP(B54,Roster!$A$3:$N$101,2,FALSE),"")</f>
        <v/>
      </c>
      <c r="D54" t="str">
        <f>IFERROR(VLOOKUP(B54,Roster!$A$3:$N$101,3,FALSE),"")</f>
        <v/>
      </c>
      <c r="E54" t="str">
        <f>IFERROR(VLOOKUP(B54,Roster!$A$3:$N$101,4,FALSE),"")</f>
        <v/>
      </c>
      <c r="N54" s="2" t="str">
        <f t="shared" si="2"/>
        <v/>
      </c>
      <c r="O54" t="str">
        <f t="shared" si="3"/>
        <v/>
      </c>
    </row>
    <row r="55" spans="3:15" ht="14.25" x14ac:dyDescent="0.45">
      <c r="C55" t="str">
        <f>IFERROR(VLOOKUP(B55,Roster!$A$3:$N$101,2,FALSE),"")</f>
        <v/>
      </c>
      <c r="D55" t="str">
        <f>IFERROR(VLOOKUP(B55,Roster!$A$3:$N$101,3,FALSE),"")</f>
        <v/>
      </c>
      <c r="E55" t="str">
        <f>IFERROR(VLOOKUP(B55,Roster!$A$3:$N$101,4,FALSE),"")</f>
        <v/>
      </c>
      <c r="N55" s="2" t="str">
        <f t="shared" si="2"/>
        <v/>
      </c>
      <c r="O55" t="str">
        <f t="shared" si="3"/>
        <v/>
      </c>
    </row>
    <row r="56" spans="3:15" ht="14.25" x14ac:dyDescent="0.45">
      <c r="C56" t="str">
        <f>IFERROR(VLOOKUP(B56,Roster!$A$3:$N$101,2,FALSE),"")</f>
        <v/>
      </c>
      <c r="D56" t="str">
        <f>IFERROR(VLOOKUP(B56,Roster!$A$3:$N$101,3,FALSE),"")</f>
        <v/>
      </c>
      <c r="E56" t="str">
        <f>IFERROR(VLOOKUP(B56,Roster!$A$3:$N$101,4,FALSE),"")</f>
        <v/>
      </c>
      <c r="N56" s="2" t="str">
        <f t="shared" si="2"/>
        <v/>
      </c>
      <c r="O56" t="str">
        <f t="shared" si="3"/>
        <v/>
      </c>
    </row>
    <row r="57" spans="3:15" ht="14.25" x14ac:dyDescent="0.45">
      <c r="C57" t="str">
        <f>IFERROR(VLOOKUP(B57,Roster!$A$3:$N$101,2,FALSE),"")</f>
        <v/>
      </c>
      <c r="D57" t="str">
        <f>IFERROR(VLOOKUP(B57,Roster!$A$3:$N$101,3,FALSE),"")</f>
        <v/>
      </c>
      <c r="E57" t="str">
        <f>IFERROR(VLOOKUP(B57,Roster!$A$3:$N$101,4,FALSE),"")</f>
        <v/>
      </c>
      <c r="N57" s="2" t="str">
        <f t="shared" si="2"/>
        <v/>
      </c>
      <c r="O57" t="str">
        <f t="shared" si="3"/>
        <v/>
      </c>
    </row>
    <row r="58" spans="3:15" ht="14.25" x14ac:dyDescent="0.45">
      <c r="C58" t="str">
        <f>IFERROR(VLOOKUP(B58,Roster!$A$3:$N$101,2,FALSE),"")</f>
        <v/>
      </c>
      <c r="D58" t="str">
        <f>IFERROR(VLOOKUP(B58,Roster!$A$3:$N$101,3,FALSE),"")</f>
        <v/>
      </c>
      <c r="E58" t="str">
        <f>IFERROR(VLOOKUP(B58,Roster!$A$3:$N$101,4,FALSE),"")</f>
        <v/>
      </c>
      <c r="N58" s="2" t="str">
        <f t="shared" si="2"/>
        <v/>
      </c>
      <c r="O58" t="str">
        <f t="shared" si="3"/>
        <v/>
      </c>
    </row>
    <row r="59" spans="3:15" ht="14.25" x14ac:dyDescent="0.45">
      <c r="C59" t="str">
        <f>IFERROR(VLOOKUP(B59,Roster!$A$3:$N$101,2,FALSE),"")</f>
        <v/>
      </c>
      <c r="D59" t="str">
        <f>IFERROR(VLOOKUP(B59,Roster!$A$3:$N$101,3,FALSE),"")</f>
        <v/>
      </c>
      <c r="E59" t="str">
        <f>IFERROR(VLOOKUP(B59,Roster!$A$3:$N$101,4,FALSE),"")</f>
        <v/>
      </c>
      <c r="N59" s="2" t="str">
        <f t="shared" si="2"/>
        <v/>
      </c>
      <c r="O59" t="str">
        <f t="shared" si="3"/>
        <v/>
      </c>
    </row>
    <row r="60" spans="3:15" ht="14.25" x14ac:dyDescent="0.45">
      <c r="C60" t="str">
        <f>IFERROR(VLOOKUP(B60,Roster!$A$3:$N$101,2,FALSE),"")</f>
        <v/>
      </c>
      <c r="D60" t="str">
        <f>IFERROR(VLOOKUP(B60,Roster!$A$3:$N$101,3,FALSE),"")</f>
        <v/>
      </c>
      <c r="E60" t="str">
        <f>IFERROR(VLOOKUP(B60,Roster!$A$3:$N$101,4,FALSE),"")</f>
        <v/>
      </c>
      <c r="N60" s="2" t="str">
        <f t="shared" si="2"/>
        <v/>
      </c>
      <c r="O60" t="str">
        <f t="shared" si="3"/>
        <v/>
      </c>
    </row>
    <row r="61" spans="3:15" ht="14.25" x14ac:dyDescent="0.45">
      <c r="C61" t="str">
        <f>IFERROR(VLOOKUP(B61,Roster!$A$3:$N$101,2,FALSE),"")</f>
        <v/>
      </c>
      <c r="D61" t="str">
        <f>IFERROR(VLOOKUP(B61,Roster!$A$3:$N$101,3,FALSE),"")</f>
        <v/>
      </c>
      <c r="E61" t="str">
        <f>IFERROR(VLOOKUP(B61,Roster!$A$3:$N$101,4,FALSE),"")</f>
        <v/>
      </c>
      <c r="N61" s="2" t="str">
        <f t="shared" si="2"/>
        <v/>
      </c>
      <c r="O61" t="str">
        <f t="shared" si="3"/>
        <v/>
      </c>
    </row>
    <row r="62" spans="3:15" ht="14.25" x14ac:dyDescent="0.45">
      <c r="C62" t="str">
        <f>IFERROR(VLOOKUP(B62,Roster!$A$3:$N$101,2,FALSE),"")</f>
        <v/>
      </c>
      <c r="D62" t="str">
        <f>IFERROR(VLOOKUP(B62,Roster!$A$3:$N$101,3,FALSE),"")</f>
        <v/>
      </c>
      <c r="E62" t="str">
        <f>IFERROR(VLOOKUP(B62,Roster!$A$3:$N$101,4,FALSE),"")</f>
        <v/>
      </c>
      <c r="N62" s="2" t="str">
        <f t="shared" si="2"/>
        <v/>
      </c>
      <c r="O62" t="str">
        <f t="shared" si="3"/>
        <v/>
      </c>
    </row>
    <row r="63" spans="3:15" ht="14.25" x14ac:dyDescent="0.45">
      <c r="C63" t="str">
        <f>IFERROR(VLOOKUP(B63,Roster!$A$3:$N$101,2,FALSE),"")</f>
        <v/>
      </c>
      <c r="D63" t="str">
        <f>IFERROR(VLOOKUP(B63,Roster!$A$3:$N$101,3,FALSE),"")</f>
        <v/>
      </c>
      <c r="E63" t="str">
        <f>IFERROR(VLOOKUP(B63,Roster!$A$3:$N$101,4,FALSE),"")</f>
        <v/>
      </c>
      <c r="N63" s="2" t="str">
        <f t="shared" si="2"/>
        <v/>
      </c>
      <c r="O63" t="str">
        <f t="shared" si="3"/>
        <v/>
      </c>
    </row>
    <row r="64" spans="3:15" ht="14.25" x14ac:dyDescent="0.45">
      <c r="C64" t="str">
        <f>IFERROR(VLOOKUP(B64,Roster!$A$3:$N$101,2,FALSE),"")</f>
        <v/>
      </c>
      <c r="D64" t="str">
        <f>IFERROR(VLOOKUP(B64,Roster!$A$3:$N$101,3,FALSE),"")</f>
        <v/>
      </c>
      <c r="E64" t="str">
        <f>IFERROR(VLOOKUP(B64,Roster!$A$3:$N$101,4,FALSE),"")</f>
        <v/>
      </c>
      <c r="N64" s="2" t="str">
        <f t="shared" si="2"/>
        <v/>
      </c>
      <c r="O64" t="str">
        <f t="shared" si="3"/>
        <v/>
      </c>
    </row>
    <row r="65" spans="3:15" ht="14.25" x14ac:dyDescent="0.45">
      <c r="C65" t="str">
        <f>IFERROR(VLOOKUP(B65,Roster!$A$3:$N$101,2,FALSE),"")</f>
        <v/>
      </c>
      <c r="D65" t="str">
        <f>IFERROR(VLOOKUP(B65,Roster!$A$3:$N$101,3,FALSE),"")</f>
        <v/>
      </c>
      <c r="E65" t="str">
        <f>IFERROR(VLOOKUP(B65,Roster!$A$3:$N$101,4,FALSE),"")</f>
        <v/>
      </c>
      <c r="N65" s="2" t="str">
        <f t="shared" si="2"/>
        <v/>
      </c>
      <c r="O65" t="str">
        <f t="shared" si="3"/>
        <v/>
      </c>
    </row>
    <row r="66" spans="3:15" ht="14.25" x14ac:dyDescent="0.45">
      <c r="C66" t="str">
        <f>IFERROR(VLOOKUP(B66,Roster!$A$3:$N$101,2,FALSE),"")</f>
        <v/>
      </c>
      <c r="D66" t="str">
        <f>IFERROR(VLOOKUP(B66,Roster!$A$3:$N$101,3,FALSE),"")</f>
        <v/>
      </c>
      <c r="E66" t="str">
        <f>IFERROR(VLOOKUP(B66,Roster!$A$3:$N$101,4,FALSE),"")</f>
        <v/>
      </c>
      <c r="N66" s="2" t="str">
        <f t="shared" si="2"/>
        <v/>
      </c>
      <c r="O66" t="str">
        <f t="shared" si="3"/>
        <v/>
      </c>
    </row>
    <row r="67" spans="3:15" ht="14.25" x14ac:dyDescent="0.45">
      <c r="C67" t="str">
        <f>IFERROR(VLOOKUP(B67,Roster!$A$3:$N$101,2,FALSE),"")</f>
        <v/>
      </c>
      <c r="D67" t="str">
        <f>IFERROR(VLOOKUP(B67,Roster!$A$3:$N$101,3,FALSE),"")</f>
        <v/>
      </c>
      <c r="E67" t="str">
        <f>IFERROR(VLOOKUP(B67,Roster!$A$3:$N$101,4,FALSE),"")</f>
        <v/>
      </c>
      <c r="N67" s="2" t="str">
        <f t="shared" ref="N67:N98" si="4">IF(OR(L67="",L67=0,M67=""),"",(L67-M67)/L67)</f>
        <v/>
      </c>
      <c r="O67" t="str">
        <f t="shared" ref="O67:O98" si="5">IF(N67="","",IF(N67&gt;0,"Yes","No"))</f>
        <v/>
      </c>
    </row>
    <row r="68" spans="3:15" ht="14.25" x14ac:dyDescent="0.45">
      <c r="C68" t="str">
        <f>IFERROR(VLOOKUP(B68,Roster!$A$3:$N$101,2,FALSE),"")</f>
        <v/>
      </c>
      <c r="D68" t="str">
        <f>IFERROR(VLOOKUP(B68,Roster!$A$3:$N$101,3,FALSE),"")</f>
        <v/>
      </c>
      <c r="E68" t="str">
        <f>IFERROR(VLOOKUP(B68,Roster!$A$3:$N$101,4,FALSE),"")</f>
        <v/>
      </c>
      <c r="N68" s="2" t="str">
        <f t="shared" si="4"/>
        <v/>
      </c>
      <c r="O68" t="str">
        <f t="shared" si="5"/>
        <v/>
      </c>
    </row>
    <row r="69" spans="3:15" ht="14.25" x14ac:dyDescent="0.45">
      <c r="C69" t="str">
        <f>IFERROR(VLOOKUP(B69,Roster!$A$3:$N$101,2,FALSE),"")</f>
        <v/>
      </c>
      <c r="D69" t="str">
        <f>IFERROR(VLOOKUP(B69,Roster!$A$3:$N$101,3,FALSE),"")</f>
        <v/>
      </c>
      <c r="E69" t="str">
        <f>IFERROR(VLOOKUP(B69,Roster!$A$3:$N$101,4,FALSE),"")</f>
        <v/>
      </c>
      <c r="N69" s="2" t="str">
        <f t="shared" si="4"/>
        <v/>
      </c>
      <c r="O69" t="str">
        <f t="shared" si="5"/>
        <v/>
      </c>
    </row>
    <row r="70" spans="3:15" ht="14.25" x14ac:dyDescent="0.45">
      <c r="C70" t="str">
        <f>IFERROR(VLOOKUP(B70,Roster!$A$3:$N$101,2,FALSE),"")</f>
        <v/>
      </c>
      <c r="D70" t="str">
        <f>IFERROR(VLOOKUP(B70,Roster!$A$3:$N$101,3,FALSE),"")</f>
        <v/>
      </c>
      <c r="E70" t="str">
        <f>IFERROR(VLOOKUP(B70,Roster!$A$3:$N$101,4,FALSE),"")</f>
        <v/>
      </c>
      <c r="N70" s="2" t="str">
        <f t="shared" si="4"/>
        <v/>
      </c>
      <c r="O70" t="str">
        <f t="shared" si="5"/>
        <v/>
      </c>
    </row>
    <row r="71" spans="3:15" ht="14.25" x14ac:dyDescent="0.45">
      <c r="C71" t="str">
        <f>IFERROR(VLOOKUP(B71,Roster!$A$3:$N$101,2,FALSE),"")</f>
        <v/>
      </c>
      <c r="D71" t="str">
        <f>IFERROR(VLOOKUP(B71,Roster!$A$3:$N$101,3,FALSE),"")</f>
        <v/>
      </c>
      <c r="E71" t="str">
        <f>IFERROR(VLOOKUP(B71,Roster!$A$3:$N$101,4,FALSE),"")</f>
        <v/>
      </c>
      <c r="N71" s="2" t="str">
        <f t="shared" si="4"/>
        <v/>
      </c>
      <c r="O71" t="str">
        <f t="shared" si="5"/>
        <v/>
      </c>
    </row>
    <row r="72" spans="3:15" ht="14.25" x14ac:dyDescent="0.45">
      <c r="C72" t="str">
        <f>IFERROR(VLOOKUP(B72,Roster!$A$3:$N$101,2,FALSE),"")</f>
        <v/>
      </c>
      <c r="D72" t="str">
        <f>IFERROR(VLOOKUP(B72,Roster!$A$3:$N$101,3,FALSE),"")</f>
        <v/>
      </c>
      <c r="E72" t="str">
        <f>IFERROR(VLOOKUP(B72,Roster!$A$3:$N$101,4,FALSE),"")</f>
        <v/>
      </c>
      <c r="N72" s="2" t="str">
        <f t="shared" si="4"/>
        <v/>
      </c>
      <c r="O72" t="str">
        <f t="shared" si="5"/>
        <v/>
      </c>
    </row>
    <row r="73" spans="3:15" ht="14.25" x14ac:dyDescent="0.45">
      <c r="C73" t="str">
        <f>IFERROR(VLOOKUP(B73,Roster!$A$3:$N$101,2,FALSE),"")</f>
        <v/>
      </c>
      <c r="D73" t="str">
        <f>IFERROR(VLOOKUP(B73,Roster!$A$3:$N$101,3,FALSE),"")</f>
        <v/>
      </c>
      <c r="E73" t="str">
        <f>IFERROR(VLOOKUP(B73,Roster!$A$3:$N$101,4,FALSE),"")</f>
        <v/>
      </c>
      <c r="N73" s="2" t="str">
        <f t="shared" si="4"/>
        <v/>
      </c>
      <c r="O73" t="str">
        <f t="shared" si="5"/>
        <v/>
      </c>
    </row>
    <row r="74" spans="3:15" ht="14.25" x14ac:dyDescent="0.45">
      <c r="C74" t="str">
        <f>IFERROR(VLOOKUP(B74,Roster!$A$3:$N$101,2,FALSE),"")</f>
        <v/>
      </c>
      <c r="D74" t="str">
        <f>IFERROR(VLOOKUP(B74,Roster!$A$3:$N$101,3,FALSE),"")</f>
        <v/>
      </c>
      <c r="E74" t="str">
        <f>IFERROR(VLOOKUP(B74,Roster!$A$3:$N$101,4,FALSE),"")</f>
        <v/>
      </c>
      <c r="N74" s="2" t="str">
        <f t="shared" si="4"/>
        <v/>
      </c>
      <c r="O74" t="str">
        <f t="shared" si="5"/>
        <v/>
      </c>
    </row>
    <row r="75" spans="3:15" ht="14.25" x14ac:dyDescent="0.45">
      <c r="C75" t="str">
        <f>IFERROR(VLOOKUP(B75,Roster!$A$3:$N$101,2,FALSE),"")</f>
        <v/>
      </c>
      <c r="D75" t="str">
        <f>IFERROR(VLOOKUP(B75,Roster!$A$3:$N$101,3,FALSE),"")</f>
        <v/>
      </c>
      <c r="E75" t="str">
        <f>IFERROR(VLOOKUP(B75,Roster!$A$3:$N$101,4,FALSE),"")</f>
        <v/>
      </c>
      <c r="N75" s="2" t="str">
        <f t="shared" si="4"/>
        <v/>
      </c>
      <c r="O75" t="str">
        <f t="shared" si="5"/>
        <v/>
      </c>
    </row>
    <row r="76" spans="3:15" ht="14.25" x14ac:dyDescent="0.45">
      <c r="C76" t="str">
        <f>IFERROR(VLOOKUP(B76,Roster!$A$3:$N$101,2,FALSE),"")</f>
        <v/>
      </c>
      <c r="D76" t="str">
        <f>IFERROR(VLOOKUP(B76,Roster!$A$3:$N$101,3,FALSE),"")</f>
        <v/>
      </c>
      <c r="E76" t="str">
        <f>IFERROR(VLOOKUP(B76,Roster!$A$3:$N$101,4,FALSE),"")</f>
        <v/>
      </c>
      <c r="N76" s="2" t="str">
        <f t="shared" si="4"/>
        <v/>
      </c>
      <c r="O76" t="str">
        <f t="shared" si="5"/>
        <v/>
      </c>
    </row>
    <row r="77" spans="3:15" ht="14.25" x14ac:dyDescent="0.45">
      <c r="C77" t="str">
        <f>IFERROR(VLOOKUP(B77,Roster!$A$3:$N$101,2,FALSE),"")</f>
        <v/>
      </c>
      <c r="D77" t="str">
        <f>IFERROR(VLOOKUP(B77,Roster!$A$3:$N$101,3,FALSE),"")</f>
        <v/>
      </c>
      <c r="E77" t="str">
        <f>IFERROR(VLOOKUP(B77,Roster!$A$3:$N$101,4,FALSE),"")</f>
        <v/>
      </c>
      <c r="N77" s="2" t="str">
        <f t="shared" si="4"/>
        <v/>
      </c>
      <c r="O77" t="str">
        <f t="shared" si="5"/>
        <v/>
      </c>
    </row>
    <row r="78" spans="3:15" ht="14.25" x14ac:dyDescent="0.45">
      <c r="C78" t="str">
        <f>IFERROR(VLOOKUP(B78,Roster!$A$3:$N$101,2,FALSE),"")</f>
        <v/>
      </c>
      <c r="D78" t="str">
        <f>IFERROR(VLOOKUP(B78,Roster!$A$3:$N$101,3,FALSE),"")</f>
        <v/>
      </c>
      <c r="E78" t="str">
        <f>IFERROR(VLOOKUP(B78,Roster!$A$3:$N$101,4,FALSE),"")</f>
        <v/>
      </c>
      <c r="N78" s="2" t="str">
        <f t="shared" si="4"/>
        <v/>
      </c>
      <c r="O78" t="str">
        <f t="shared" si="5"/>
        <v/>
      </c>
    </row>
    <row r="79" spans="3:15" ht="14.25" x14ac:dyDescent="0.45">
      <c r="C79" t="str">
        <f>IFERROR(VLOOKUP(B79,Roster!$A$3:$N$101,2,FALSE),"")</f>
        <v/>
      </c>
      <c r="D79" t="str">
        <f>IFERROR(VLOOKUP(B79,Roster!$A$3:$N$101,3,FALSE),"")</f>
        <v/>
      </c>
      <c r="E79" t="str">
        <f>IFERROR(VLOOKUP(B79,Roster!$A$3:$N$101,4,FALSE),"")</f>
        <v/>
      </c>
      <c r="N79" s="2" t="str">
        <f t="shared" si="4"/>
        <v/>
      </c>
      <c r="O79" t="str">
        <f t="shared" si="5"/>
        <v/>
      </c>
    </row>
    <row r="80" spans="3:15" ht="14.25" x14ac:dyDescent="0.45">
      <c r="C80" t="str">
        <f>IFERROR(VLOOKUP(B80,Roster!$A$3:$N$101,2,FALSE),"")</f>
        <v/>
      </c>
      <c r="D80" t="str">
        <f>IFERROR(VLOOKUP(B80,Roster!$A$3:$N$101,3,FALSE),"")</f>
        <v/>
      </c>
      <c r="E80" t="str">
        <f>IFERROR(VLOOKUP(B80,Roster!$A$3:$N$101,4,FALSE),"")</f>
        <v/>
      </c>
      <c r="N80" s="2" t="str">
        <f t="shared" si="4"/>
        <v/>
      </c>
      <c r="O80" t="str">
        <f t="shared" si="5"/>
        <v/>
      </c>
    </row>
    <row r="81" spans="3:15" ht="14.25" x14ac:dyDescent="0.45">
      <c r="C81" t="str">
        <f>IFERROR(VLOOKUP(B81,Roster!$A$3:$N$101,2,FALSE),"")</f>
        <v/>
      </c>
      <c r="D81" t="str">
        <f>IFERROR(VLOOKUP(B81,Roster!$A$3:$N$101,3,FALSE),"")</f>
        <v/>
      </c>
      <c r="E81" t="str">
        <f>IFERROR(VLOOKUP(B81,Roster!$A$3:$N$101,4,FALSE),"")</f>
        <v/>
      </c>
      <c r="N81" s="2" t="str">
        <f t="shared" si="4"/>
        <v/>
      </c>
      <c r="O81" t="str">
        <f t="shared" si="5"/>
        <v/>
      </c>
    </row>
    <row r="82" spans="3:15" ht="14.25" x14ac:dyDescent="0.45">
      <c r="C82" t="str">
        <f>IFERROR(VLOOKUP(B82,Roster!$A$3:$N$101,2,FALSE),"")</f>
        <v/>
      </c>
      <c r="D82" t="str">
        <f>IFERROR(VLOOKUP(B82,Roster!$A$3:$N$101,3,FALSE),"")</f>
        <v/>
      </c>
      <c r="E82" t="str">
        <f>IFERROR(VLOOKUP(B82,Roster!$A$3:$N$101,4,FALSE),"")</f>
        <v/>
      </c>
      <c r="N82" s="2" t="str">
        <f t="shared" si="4"/>
        <v/>
      </c>
      <c r="O82" t="str">
        <f t="shared" si="5"/>
        <v/>
      </c>
    </row>
    <row r="83" spans="3:15" ht="14.25" x14ac:dyDescent="0.45">
      <c r="C83" t="str">
        <f>IFERROR(VLOOKUP(B83,Roster!$A$3:$N$101,2,FALSE),"")</f>
        <v/>
      </c>
      <c r="D83" t="str">
        <f>IFERROR(VLOOKUP(B83,Roster!$A$3:$N$101,3,FALSE),"")</f>
        <v/>
      </c>
      <c r="E83" t="str">
        <f>IFERROR(VLOOKUP(B83,Roster!$A$3:$N$101,4,FALSE),"")</f>
        <v/>
      </c>
      <c r="N83" s="2" t="str">
        <f t="shared" si="4"/>
        <v/>
      </c>
      <c r="O83" t="str">
        <f t="shared" si="5"/>
        <v/>
      </c>
    </row>
    <row r="84" spans="3:15" ht="14.25" x14ac:dyDescent="0.45">
      <c r="C84" t="str">
        <f>IFERROR(VLOOKUP(B84,Roster!$A$3:$N$101,2,FALSE),"")</f>
        <v/>
      </c>
      <c r="D84" t="str">
        <f>IFERROR(VLOOKUP(B84,Roster!$A$3:$N$101,3,FALSE),"")</f>
        <v/>
      </c>
      <c r="E84" t="str">
        <f>IFERROR(VLOOKUP(B84,Roster!$A$3:$N$101,4,FALSE),"")</f>
        <v/>
      </c>
      <c r="N84" s="2" t="str">
        <f t="shared" si="4"/>
        <v/>
      </c>
      <c r="O84" t="str">
        <f t="shared" si="5"/>
        <v/>
      </c>
    </row>
    <row r="85" spans="3:15" ht="14.25" x14ac:dyDescent="0.45">
      <c r="C85" t="str">
        <f>IFERROR(VLOOKUP(B85,Roster!$A$3:$N$101,2,FALSE),"")</f>
        <v/>
      </c>
      <c r="D85" t="str">
        <f>IFERROR(VLOOKUP(B85,Roster!$A$3:$N$101,3,FALSE),"")</f>
        <v/>
      </c>
      <c r="E85" t="str">
        <f>IFERROR(VLOOKUP(B85,Roster!$A$3:$N$101,4,FALSE),"")</f>
        <v/>
      </c>
      <c r="N85" s="2" t="str">
        <f t="shared" si="4"/>
        <v/>
      </c>
      <c r="O85" t="str">
        <f t="shared" si="5"/>
        <v/>
      </c>
    </row>
    <row r="86" spans="3:15" ht="14.25" x14ac:dyDescent="0.45">
      <c r="C86" t="str">
        <f>IFERROR(VLOOKUP(B86,Roster!$A$3:$N$101,2,FALSE),"")</f>
        <v/>
      </c>
      <c r="D86" t="str">
        <f>IFERROR(VLOOKUP(B86,Roster!$A$3:$N$101,3,FALSE),"")</f>
        <v/>
      </c>
      <c r="E86" t="str">
        <f>IFERROR(VLOOKUP(B86,Roster!$A$3:$N$101,4,FALSE),"")</f>
        <v/>
      </c>
      <c r="N86" s="2" t="str">
        <f t="shared" si="4"/>
        <v/>
      </c>
      <c r="O86" t="str">
        <f t="shared" si="5"/>
        <v/>
      </c>
    </row>
    <row r="87" spans="3:15" ht="14.25" x14ac:dyDescent="0.45">
      <c r="C87" t="str">
        <f>IFERROR(VLOOKUP(B87,Roster!$A$3:$N$101,2,FALSE),"")</f>
        <v/>
      </c>
      <c r="D87" t="str">
        <f>IFERROR(VLOOKUP(B87,Roster!$A$3:$N$101,3,FALSE),"")</f>
        <v/>
      </c>
      <c r="E87" t="str">
        <f>IFERROR(VLOOKUP(B87,Roster!$A$3:$N$101,4,FALSE),"")</f>
        <v/>
      </c>
      <c r="N87" s="2" t="str">
        <f t="shared" si="4"/>
        <v/>
      </c>
      <c r="O87" t="str">
        <f t="shared" si="5"/>
        <v/>
      </c>
    </row>
    <row r="88" spans="3:15" ht="14.25" x14ac:dyDescent="0.45">
      <c r="C88" t="str">
        <f>IFERROR(VLOOKUP(B88,Roster!$A$3:$N$101,2,FALSE),"")</f>
        <v/>
      </c>
      <c r="D88" t="str">
        <f>IFERROR(VLOOKUP(B88,Roster!$A$3:$N$101,3,FALSE),"")</f>
        <v/>
      </c>
      <c r="E88" t="str">
        <f>IFERROR(VLOOKUP(B88,Roster!$A$3:$N$101,4,FALSE),"")</f>
        <v/>
      </c>
      <c r="N88" s="2" t="str">
        <f t="shared" si="4"/>
        <v/>
      </c>
      <c r="O88" t="str">
        <f t="shared" si="5"/>
        <v/>
      </c>
    </row>
    <row r="89" spans="3:15" ht="14.25" x14ac:dyDescent="0.45">
      <c r="C89" t="str">
        <f>IFERROR(VLOOKUP(B89,Roster!$A$3:$N$101,2,FALSE),"")</f>
        <v/>
      </c>
      <c r="D89" t="str">
        <f>IFERROR(VLOOKUP(B89,Roster!$A$3:$N$101,3,FALSE),"")</f>
        <v/>
      </c>
      <c r="E89" t="str">
        <f>IFERROR(VLOOKUP(B89,Roster!$A$3:$N$101,4,FALSE),"")</f>
        <v/>
      </c>
      <c r="N89" s="2" t="str">
        <f t="shared" si="4"/>
        <v/>
      </c>
      <c r="O89" t="str">
        <f t="shared" si="5"/>
        <v/>
      </c>
    </row>
    <row r="90" spans="3:15" ht="14.25" x14ac:dyDescent="0.45">
      <c r="C90" t="str">
        <f>IFERROR(VLOOKUP(B90,Roster!$A$3:$N$101,2,FALSE),"")</f>
        <v/>
      </c>
      <c r="D90" t="str">
        <f>IFERROR(VLOOKUP(B90,Roster!$A$3:$N$101,3,FALSE),"")</f>
        <v/>
      </c>
      <c r="E90" t="str">
        <f>IFERROR(VLOOKUP(B90,Roster!$A$3:$N$101,4,FALSE),"")</f>
        <v/>
      </c>
      <c r="N90" s="2" t="str">
        <f t="shared" si="4"/>
        <v/>
      </c>
      <c r="O90" t="str">
        <f t="shared" si="5"/>
        <v/>
      </c>
    </row>
    <row r="91" spans="3:15" ht="14.25" x14ac:dyDescent="0.45">
      <c r="C91" t="str">
        <f>IFERROR(VLOOKUP(B91,Roster!$A$3:$N$101,2,FALSE),"")</f>
        <v/>
      </c>
      <c r="D91" t="str">
        <f>IFERROR(VLOOKUP(B91,Roster!$A$3:$N$101,3,FALSE),"")</f>
        <v/>
      </c>
      <c r="E91" t="str">
        <f>IFERROR(VLOOKUP(B91,Roster!$A$3:$N$101,4,FALSE),"")</f>
        <v/>
      </c>
      <c r="N91" s="2" t="str">
        <f t="shared" si="4"/>
        <v/>
      </c>
      <c r="O91" t="str">
        <f t="shared" si="5"/>
        <v/>
      </c>
    </row>
    <row r="92" spans="3:15" ht="14.25" x14ac:dyDescent="0.45">
      <c r="C92" t="str">
        <f>IFERROR(VLOOKUP(B92,Roster!$A$3:$N$101,2,FALSE),"")</f>
        <v/>
      </c>
      <c r="D92" t="str">
        <f>IFERROR(VLOOKUP(B92,Roster!$A$3:$N$101,3,FALSE),"")</f>
        <v/>
      </c>
      <c r="E92" t="str">
        <f>IFERROR(VLOOKUP(B92,Roster!$A$3:$N$101,4,FALSE),"")</f>
        <v/>
      </c>
      <c r="N92" s="2" t="str">
        <f t="shared" si="4"/>
        <v/>
      </c>
      <c r="O92" t="str">
        <f t="shared" si="5"/>
        <v/>
      </c>
    </row>
    <row r="93" spans="3:15" ht="14.25" x14ac:dyDescent="0.45">
      <c r="C93" t="str">
        <f>IFERROR(VLOOKUP(B93,Roster!$A$3:$N$101,2,FALSE),"")</f>
        <v/>
      </c>
      <c r="D93" t="str">
        <f>IFERROR(VLOOKUP(B93,Roster!$A$3:$N$101,3,FALSE),"")</f>
        <v/>
      </c>
      <c r="E93" t="str">
        <f>IFERROR(VLOOKUP(B93,Roster!$A$3:$N$101,4,FALSE),"")</f>
        <v/>
      </c>
      <c r="N93" s="2" t="str">
        <f t="shared" si="4"/>
        <v/>
      </c>
      <c r="O93" t="str">
        <f t="shared" si="5"/>
        <v/>
      </c>
    </row>
    <row r="94" spans="3:15" ht="14.25" x14ac:dyDescent="0.45">
      <c r="C94" t="str">
        <f>IFERROR(VLOOKUP(B94,Roster!$A$3:$N$101,2,FALSE),"")</f>
        <v/>
      </c>
      <c r="D94" t="str">
        <f>IFERROR(VLOOKUP(B94,Roster!$A$3:$N$101,3,FALSE),"")</f>
        <v/>
      </c>
      <c r="E94" t="str">
        <f>IFERROR(VLOOKUP(B94,Roster!$A$3:$N$101,4,FALSE),"")</f>
        <v/>
      </c>
      <c r="N94" s="2" t="str">
        <f t="shared" si="4"/>
        <v/>
      </c>
      <c r="O94" t="str">
        <f t="shared" si="5"/>
        <v/>
      </c>
    </row>
    <row r="95" spans="3:15" ht="14.25" x14ac:dyDescent="0.45">
      <c r="C95" t="str">
        <f>IFERROR(VLOOKUP(B95,Roster!$A$3:$N$101,2,FALSE),"")</f>
        <v/>
      </c>
      <c r="D95" t="str">
        <f>IFERROR(VLOOKUP(B95,Roster!$A$3:$N$101,3,FALSE),"")</f>
        <v/>
      </c>
      <c r="E95" t="str">
        <f>IFERROR(VLOOKUP(B95,Roster!$A$3:$N$101,4,FALSE),"")</f>
        <v/>
      </c>
      <c r="N95" s="2" t="str">
        <f t="shared" si="4"/>
        <v/>
      </c>
      <c r="O95" t="str">
        <f t="shared" si="5"/>
        <v/>
      </c>
    </row>
    <row r="96" spans="3:15" ht="14.25" x14ac:dyDescent="0.45">
      <c r="C96" t="str">
        <f>IFERROR(VLOOKUP(B96,Roster!$A$3:$N$101,2,FALSE),"")</f>
        <v/>
      </c>
      <c r="D96" t="str">
        <f>IFERROR(VLOOKUP(B96,Roster!$A$3:$N$101,3,FALSE),"")</f>
        <v/>
      </c>
      <c r="E96" t="str">
        <f>IFERROR(VLOOKUP(B96,Roster!$A$3:$N$101,4,FALSE),"")</f>
        <v/>
      </c>
      <c r="N96" s="2" t="str">
        <f t="shared" si="4"/>
        <v/>
      </c>
      <c r="O96" t="str">
        <f t="shared" si="5"/>
        <v/>
      </c>
    </row>
    <row r="97" spans="3:15" ht="14.25" x14ac:dyDescent="0.45">
      <c r="C97" t="str">
        <f>IFERROR(VLOOKUP(B97,Roster!$A$3:$N$101,2,FALSE),"")</f>
        <v/>
      </c>
      <c r="D97" t="str">
        <f>IFERROR(VLOOKUP(B97,Roster!$A$3:$N$101,3,FALSE),"")</f>
        <v/>
      </c>
      <c r="E97" t="str">
        <f>IFERROR(VLOOKUP(B97,Roster!$A$3:$N$101,4,FALSE),"")</f>
        <v/>
      </c>
      <c r="N97" s="2" t="str">
        <f t="shared" si="4"/>
        <v/>
      </c>
      <c r="O97" t="str">
        <f t="shared" si="5"/>
        <v/>
      </c>
    </row>
    <row r="98" spans="3:15" ht="14.25" x14ac:dyDescent="0.45">
      <c r="C98" t="str">
        <f>IFERROR(VLOOKUP(B98,Roster!$A$3:$N$101,2,FALSE),"")</f>
        <v/>
      </c>
      <c r="D98" t="str">
        <f>IFERROR(VLOOKUP(B98,Roster!$A$3:$N$101,3,FALSE),"")</f>
        <v/>
      </c>
      <c r="E98" t="str">
        <f>IFERROR(VLOOKUP(B98,Roster!$A$3:$N$101,4,FALSE),"")</f>
        <v/>
      </c>
      <c r="N98" s="2" t="str">
        <f t="shared" si="4"/>
        <v/>
      </c>
      <c r="O98" t="str">
        <f t="shared" si="5"/>
        <v/>
      </c>
    </row>
    <row r="99" spans="3:15" ht="14.25" x14ac:dyDescent="0.45">
      <c r="C99" t="str">
        <f>IFERROR(VLOOKUP(B99,Roster!$A$3:$N$101,2,FALSE),"")</f>
        <v/>
      </c>
      <c r="D99" t="str">
        <f>IFERROR(VLOOKUP(B99,Roster!$A$3:$N$101,3,FALSE),"")</f>
        <v/>
      </c>
      <c r="E99" t="str">
        <f>IFERROR(VLOOKUP(B99,Roster!$A$3:$N$101,4,FALSE),"")</f>
        <v/>
      </c>
      <c r="N99" s="2" t="str">
        <f t="shared" ref="N99:N130" si="6">IF(OR(L99="",L99=0,M99=""),"",(L99-M99)/L99)</f>
        <v/>
      </c>
      <c r="O99" t="str">
        <f t="shared" ref="O99:O130" si="7">IF(N99="","",IF(N99&gt;0,"Yes","No"))</f>
        <v/>
      </c>
    </row>
    <row r="100" spans="3:15" ht="14.25" x14ac:dyDescent="0.45">
      <c r="C100" t="str">
        <f>IFERROR(VLOOKUP(B100,Roster!$A$3:$N$101,2,FALSE),"")</f>
        <v/>
      </c>
      <c r="D100" t="str">
        <f>IFERROR(VLOOKUP(B100,Roster!$A$3:$N$101,3,FALSE),"")</f>
        <v/>
      </c>
      <c r="E100" t="str">
        <f>IFERROR(VLOOKUP(B100,Roster!$A$3:$N$101,4,FALSE),"")</f>
        <v/>
      </c>
      <c r="N100" s="2" t="str">
        <f t="shared" si="6"/>
        <v/>
      </c>
      <c r="O100" t="str">
        <f t="shared" si="7"/>
        <v/>
      </c>
    </row>
    <row r="101" spans="3:15" ht="14.25" x14ac:dyDescent="0.45">
      <c r="C101" t="str">
        <f>IFERROR(VLOOKUP(B101,Roster!$A$3:$N$101,2,FALSE),"")</f>
        <v/>
      </c>
      <c r="D101" t="str">
        <f>IFERROR(VLOOKUP(B101,Roster!$A$3:$N$101,3,FALSE),"")</f>
        <v/>
      </c>
      <c r="E101" t="str">
        <f>IFERROR(VLOOKUP(B101,Roster!$A$3:$N$101,4,FALSE),"")</f>
        <v/>
      </c>
      <c r="N101" s="2" t="str">
        <f t="shared" si="6"/>
        <v/>
      </c>
      <c r="O101" t="str">
        <f t="shared" si="7"/>
        <v/>
      </c>
    </row>
    <row r="102" spans="3:15" ht="14.25" x14ac:dyDescent="0.45">
      <c r="C102" t="str">
        <f>IFERROR(VLOOKUP(B102,Roster!$A$3:$N$101,2,FALSE),"")</f>
        <v/>
      </c>
      <c r="D102" t="str">
        <f>IFERROR(VLOOKUP(B102,Roster!$A$3:$N$101,3,FALSE),"")</f>
        <v/>
      </c>
      <c r="E102" t="str">
        <f>IFERROR(VLOOKUP(B102,Roster!$A$3:$N$101,4,FALSE),"")</f>
        <v/>
      </c>
      <c r="N102" s="2" t="str">
        <f t="shared" si="6"/>
        <v/>
      </c>
      <c r="O102" t="str">
        <f t="shared" si="7"/>
        <v/>
      </c>
    </row>
    <row r="103" spans="3:15" ht="14.25" x14ac:dyDescent="0.45">
      <c r="C103" t="str">
        <f>IFERROR(VLOOKUP(B103,Roster!$A$3:$N$101,2,FALSE),"")</f>
        <v/>
      </c>
      <c r="D103" t="str">
        <f>IFERROR(VLOOKUP(B103,Roster!$A$3:$N$101,3,FALSE),"")</f>
        <v/>
      </c>
      <c r="E103" t="str">
        <f>IFERROR(VLOOKUP(B103,Roster!$A$3:$N$101,4,FALSE),"")</f>
        <v/>
      </c>
      <c r="N103" s="2" t="str">
        <f t="shared" si="6"/>
        <v/>
      </c>
      <c r="O103" t="str">
        <f t="shared" si="7"/>
        <v/>
      </c>
    </row>
    <row r="104" spans="3:15" ht="14.25" x14ac:dyDescent="0.45">
      <c r="C104" t="str">
        <f>IFERROR(VLOOKUP(B104,Roster!$A$3:$N$101,2,FALSE),"")</f>
        <v/>
      </c>
      <c r="D104" t="str">
        <f>IFERROR(VLOOKUP(B104,Roster!$A$3:$N$101,3,FALSE),"")</f>
        <v/>
      </c>
      <c r="E104" t="str">
        <f>IFERROR(VLOOKUP(B104,Roster!$A$3:$N$101,4,FALSE),"")</f>
        <v/>
      </c>
      <c r="N104" s="2" t="str">
        <f t="shared" si="6"/>
        <v/>
      </c>
      <c r="O104" t="str">
        <f t="shared" si="7"/>
        <v/>
      </c>
    </row>
    <row r="105" spans="3:15" ht="14.25" x14ac:dyDescent="0.45">
      <c r="C105" t="str">
        <f>IFERROR(VLOOKUP(B105,Roster!$A$3:$N$101,2,FALSE),"")</f>
        <v/>
      </c>
      <c r="D105" t="str">
        <f>IFERROR(VLOOKUP(B105,Roster!$A$3:$N$101,3,FALSE),"")</f>
        <v/>
      </c>
      <c r="E105" t="str">
        <f>IFERROR(VLOOKUP(B105,Roster!$A$3:$N$101,4,FALSE),"")</f>
        <v/>
      </c>
      <c r="N105" s="2" t="str">
        <f t="shared" si="6"/>
        <v/>
      </c>
      <c r="O105" t="str">
        <f t="shared" si="7"/>
        <v/>
      </c>
    </row>
    <row r="106" spans="3:15" ht="14.25" x14ac:dyDescent="0.45">
      <c r="C106" t="str">
        <f>IFERROR(VLOOKUP(B106,Roster!$A$3:$N$101,2,FALSE),"")</f>
        <v/>
      </c>
      <c r="D106" t="str">
        <f>IFERROR(VLOOKUP(B106,Roster!$A$3:$N$101,3,FALSE),"")</f>
        <v/>
      </c>
      <c r="E106" t="str">
        <f>IFERROR(VLOOKUP(B106,Roster!$A$3:$N$101,4,FALSE),"")</f>
        <v/>
      </c>
      <c r="N106" s="2" t="str">
        <f t="shared" si="6"/>
        <v/>
      </c>
      <c r="O106" t="str">
        <f t="shared" si="7"/>
        <v/>
      </c>
    </row>
    <row r="107" spans="3:15" ht="14.25" x14ac:dyDescent="0.45">
      <c r="C107" t="str">
        <f>IFERROR(VLOOKUP(B107,Roster!$A$3:$N$101,2,FALSE),"")</f>
        <v/>
      </c>
      <c r="D107" t="str">
        <f>IFERROR(VLOOKUP(B107,Roster!$A$3:$N$101,3,FALSE),"")</f>
        <v/>
      </c>
      <c r="E107" t="str">
        <f>IFERROR(VLOOKUP(B107,Roster!$A$3:$N$101,4,FALSE),"")</f>
        <v/>
      </c>
      <c r="N107" s="2" t="str">
        <f t="shared" si="6"/>
        <v/>
      </c>
      <c r="O107" t="str">
        <f t="shared" si="7"/>
        <v/>
      </c>
    </row>
    <row r="108" spans="3:15" ht="14.25" x14ac:dyDescent="0.45">
      <c r="C108" t="str">
        <f>IFERROR(VLOOKUP(B108,Roster!$A$3:$N$101,2,FALSE),"")</f>
        <v/>
      </c>
      <c r="D108" t="str">
        <f>IFERROR(VLOOKUP(B108,Roster!$A$3:$N$101,3,FALSE),"")</f>
        <v/>
      </c>
      <c r="E108" t="str">
        <f>IFERROR(VLOOKUP(B108,Roster!$A$3:$N$101,4,FALSE),"")</f>
        <v/>
      </c>
      <c r="N108" s="2" t="str">
        <f t="shared" si="6"/>
        <v/>
      </c>
      <c r="O108" t="str">
        <f t="shared" si="7"/>
        <v/>
      </c>
    </row>
    <row r="109" spans="3:15" ht="14.25" x14ac:dyDescent="0.45">
      <c r="C109" t="str">
        <f>IFERROR(VLOOKUP(B109,Roster!$A$3:$N$101,2,FALSE),"")</f>
        <v/>
      </c>
      <c r="D109" t="str">
        <f>IFERROR(VLOOKUP(B109,Roster!$A$3:$N$101,3,FALSE),"")</f>
        <v/>
      </c>
      <c r="E109" t="str">
        <f>IFERROR(VLOOKUP(B109,Roster!$A$3:$N$101,4,FALSE),"")</f>
        <v/>
      </c>
      <c r="N109" s="2" t="str">
        <f t="shared" si="6"/>
        <v/>
      </c>
      <c r="O109" t="str">
        <f t="shared" si="7"/>
        <v/>
      </c>
    </row>
    <row r="110" spans="3:15" ht="14.25" x14ac:dyDescent="0.45">
      <c r="C110" t="str">
        <f>IFERROR(VLOOKUP(B110,Roster!$A$3:$N$101,2,FALSE),"")</f>
        <v/>
      </c>
      <c r="D110" t="str">
        <f>IFERROR(VLOOKUP(B110,Roster!$A$3:$N$101,3,FALSE),"")</f>
        <v/>
      </c>
      <c r="E110" t="str">
        <f>IFERROR(VLOOKUP(B110,Roster!$A$3:$N$101,4,FALSE),"")</f>
        <v/>
      </c>
      <c r="N110" s="2" t="str">
        <f t="shared" si="6"/>
        <v/>
      </c>
      <c r="O110" t="str">
        <f t="shared" si="7"/>
        <v/>
      </c>
    </row>
    <row r="111" spans="3:15" ht="14.25" x14ac:dyDescent="0.45">
      <c r="C111" t="str">
        <f>IFERROR(VLOOKUP(B111,Roster!$A$3:$N$101,2,FALSE),"")</f>
        <v/>
      </c>
      <c r="D111" t="str">
        <f>IFERROR(VLOOKUP(B111,Roster!$A$3:$N$101,3,FALSE),"")</f>
        <v/>
      </c>
      <c r="E111" t="str">
        <f>IFERROR(VLOOKUP(B111,Roster!$A$3:$N$101,4,FALSE),"")</f>
        <v/>
      </c>
      <c r="N111" s="2" t="str">
        <f t="shared" si="6"/>
        <v/>
      </c>
      <c r="O111" t="str">
        <f t="shared" si="7"/>
        <v/>
      </c>
    </row>
    <row r="112" spans="3:15" ht="14.25" x14ac:dyDescent="0.45">
      <c r="C112" t="str">
        <f>IFERROR(VLOOKUP(B112,Roster!$A$3:$N$101,2,FALSE),"")</f>
        <v/>
      </c>
      <c r="D112" t="str">
        <f>IFERROR(VLOOKUP(B112,Roster!$A$3:$N$101,3,FALSE),"")</f>
        <v/>
      </c>
      <c r="E112" t="str">
        <f>IFERROR(VLOOKUP(B112,Roster!$A$3:$N$101,4,FALSE),"")</f>
        <v/>
      </c>
      <c r="N112" s="2" t="str">
        <f t="shared" si="6"/>
        <v/>
      </c>
      <c r="O112" t="str">
        <f t="shared" si="7"/>
        <v/>
      </c>
    </row>
    <row r="113" spans="3:15" ht="14.25" x14ac:dyDescent="0.45">
      <c r="C113" t="str">
        <f>IFERROR(VLOOKUP(B113,Roster!$A$3:$N$101,2,FALSE),"")</f>
        <v/>
      </c>
      <c r="D113" t="str">
        <f>IFERROR(VLOOKUP(B113,Roster!$A$3:$N$101,3,FALSE),"")</f>
        <v/>
      </c>
      <c r="E113" t="str">
        <f>IFERROR(VLOOKUP(B113,Roster!$A$3:$N$101,4,FALSE),"")</f>
        <v/>
      </c>
      <c r="N113" s="2" t="str">
        <f t="shared" si="6"/>
        <v/>
      </c>
      <c r="O113" t="str">
        <f t="shared" si="7"/>
        <v/>
      </c>
    </row>
    <row r="114" spans="3:15" ht="14.25" x14ac:dyDescent="0.45">
      <c r="C114" t="str">
        <f>IFERROR(VLOOKUP(B114,Roster!$A$3:$N$101,2,FALSE),"")</f>
        <v/>
      </c>
      <c r="D114" t="str">
        <f>IFERROR(VLOOKUP(B114,Roster!$A$3:$N$101,3,FALSE),"")</f>
        <v/>
      </c>
      <c r="E114" t="str">
        <f>IFERROR(VLOOKUP(B114,Roster!$A$3:$N$101,4,FALSE),"")</f>
        <v/>
      </c>
      <c r="N114" s="2" t="str">
        <f t="shared" si="6"/>
        <v/>
      </c>
      <c r="O114" t="str">
        <f t="shared" si="7"/>
        <v/>
      </c>
    </row>
    <row r="115" spans="3:15" ht="14.25" x14ac:dyDescent="0.45">
      <c r="C115" t="str">
        <f>IFERROR(VLOOKUP(B115,Roster!$A$3:$N$101,2,FALSE),"")</f>
        <v/>
      </c>
      <c r="D115" t="str">
        <f>IFERROR(VLOOKUP(B115,Roster!$A$3:$N$101,3,FALSE),"")</f>
        <v/>
      </c>
      <c r="E115" t="str">
        <f>IFERROR(VLOOKUP(B115,Roster!$A$3:$N$101,4,FALSE),"")</f>
        <v/>
      </c>
      <c r="N115" s="2" t="str">
        <f t="shared" si="6"/>
        <v/>
      </c>
      <c r="O115" t="str">
        <f t="shared" si="7"/>
        <v/>
      </c>
    </row>
    <row r="116" spans="3:15" ht="14.25" x14ac:dyDescent="0.45">
      <c r="C116" t="str">
        <f>IFERROR(VLOOKUP(B116,Roster!$A$3:$N$101,2,FALSE),"")</f>
        <v/>
      </c>
      <c r="D116" t="str">
        <f>IFERROR(VLOOKUP(B116,Roster!$A$3:$N$101,3,FALSE),"")</f>
        <v/>
      </c>
      <c r="E116" t="str">
        <f>IFERROR(VLOOKUP(B116,Roster!$A$3:$N$101,4,FALSE),"")</f>
        <v/>
      </c>
      <c r="N116" s="2" t="str">
        <f t="shared" si="6"/>
        <v/>
      </c>
      <c r="O116" t="str">
        <f t="shared" si="7"/>
        <v/>
      </c>
    </row>
    <row r="117" spans="3:15" ht="14.25" x14ac:dyDescent="0.45">
      <c r="C117" t="str">
        <f>IFERROR(VLOOKUP(B117,Roster!$A$3:$N$101,2,FALSE),"")</f>
        <v/>
      </c>
      <c r="D117" t="str">
        <f>IFERROR(VLOOKUP(B117,Roster!$A$3:$N$101,3,FALSE),"")</f>
        <v/>
      </c>
      <c r="E117" t="str">
        <f>IFERROR(VLOOKUP(B117,Roster!$A$3:$N$101,4,FALSE),"")</f>
        <v/>
      </c>
      <c r="N117" s="2" t="str">
        <f t="shared" si="6"/>
        <v/>
      </c>
      <c r="O117" t="str">
        <f t="shared" si="7"/>
        <v/>
      </c>
    </row>
    <row r="118" spans="3:15" ht="14.25" x14ac:dyDescent="0.45">
      <c r="C118" t="str">
        <f>IFERROR(VLOOKUP(B118,Roster!$A$3:$N$101,2,FALSE),"")</f>
        <v/>
      </c>
      <c r="D118" t="str">
        <f>IFERROR(VLOOKUP(B118,Roster!$A$3:$N$101,3,FALSE),"")</f>
        <v/>
      </c>
      <c r="E118" t="str">
        <f>IFERROR(VLOOKUP(B118,Roster!$A$3:$N$101,4,FALSE),"")</f>
        <v/>
      </c>
      <c r="N118" s="2" t="str">
        <f t="shared" si="6"/>
        <v/>
      </c>
      <c r="O118" t="str">
        <f t="shared" si="7"/>
        <v/>
      </c>
    </row>
    <row r="119" spans="3:15" ht="14.25" x14ac:dyDescent="0.45">
      <c r="C119" t="str">
        <f>IFERROR(VLOOKUP(B119,Roster!$A$3:$N$101,2,FALSE),"")</f>
        <v/>
      </c>
      <c r="D119" t="str">
        <f>IFERROR(VLOOKUP(B119,Roster!$A$3:$N$101,3,FALSE),"")</f>
        <v/>
      </c>
      <c r="E119" t="str">
        <f>IFERROR(VLOOKUP(B119,Roster!$A$3:$N$101,4,FALSE),"")</f>
        <v/>
      </c>
      <c r="N119" s="2" t="str">
        <f t="shared" si="6"/>
        <v/>
      </c>
      <c r="O119" t="str">
        <f t="shared" si="7"/>
        <v/>
      </c>
    </row>
    <row r="120" spans="3:15" ht="14.25" x14ac:dyDescent="0.45">
      <c r="C120" t="str">
        <f>IFERROR(VLOOKUP(B120,Roster!$A$3:$N$101,2,FALSE),"")</f>
        <v/>
      </c>
      <c r="D120" t="str">
        <f>IFERROR(VLOOKUP(B120,Roster!$A$3:$N$101,3,FALSE),"")</f>
        <v/>
      </c>
      <c r="E120" t="str">
        <f>IFERROR(VLOOKUP(B120,Roster!$A$3:$N$101,4,FALSE),"")</f>
        <v/>
      </c>
      <c r="N120" s="2" t="str">
        <f t="shared" si="6"/>
        <v/>
      </c>
      <c r="O120" t="str">
        <f t="shared" si="7"/>
        <v/>
      </c>
    </row>
    <row r="121" spans="3:15" ht="14.25" x14ac:dyDescent="0.45">
      <c r="C121" t="str">
        <f>IFERROR(VLOOKUP(B121,Roster!$A$3:$N$101,2,FALSE),"")</f>
        <v/>
      </c>
      <c r="D121" t="str">
        <f>IFERROR(VLOOKUP(B121,Roster!$A$3:$N$101,3,FALSE),"")</f>
        <v/>
      </c>
      <c r="E121" t="str">
        <f>IFERROR(VLOOKUP(B121,Roster!$A$3:$N$101,4,FALSE),"")</f>
        <v/>
      </c>
      <c r="N121" s="2" t="str">
        <f t="shared" si="6"/>
        <v/>
      </c>
      <c r="O121" t="str">
        <f t="shared" si="7"/>
        <v/>
      </c>
    </row>
    <row r="122" spans="3:15" ht="14.25" x14ac:dyDescent="0.45">
      <c r="C122" t="str">
        <f>IFERROR(VLOOKUP(B122,Roster!$A$3:$N$101,2,FALSE),"")</f>
        <v/>
      </c>
      <c r="D122" t="str">
        <f>IFERROR(VLOOKUP(B122,Roster!$A$3:$N$101,3,FALSE),"")</f>
        <v/>
      </c>
      <c r="E122" t="str">
        <f>IFERROR(VLOOKUP(B122,Roster!$A$3:$N$101,4,FALSE),"")</f>
        <v/>
      </c>
      <c r="N122" s="2" t="str">
        <f t="shared" si="6"/>
        <v/>
      </c>
      <c r="O122" t="str">
        <f t="shared" si="7"/>
        <v/>
      </c>
    </row>
    <row r="123" spans="3:15" ht="14.25" x14ac:dyDescent="0.45">
      <c r="C123" t="str">
        <f>IFERROR(VLOOKUP(B123,Roster!$A$3:$N$101,2,FALSE),"")</f>
        <v/>
      </c>
      <c r="D123" t="str">
        <f>IFERROR(VLOOKUP(B123,Roster!$A$3:$N$101,3,FALSE),"")</f>
        <v/>
      </c>
      <c r="E123" t="str">
        <f>IFERROR(VLOOKUP(B123,Roster!$A$3:$N$101,4,FALSE),"")</f>
        <v/>
      </c>
      <c r="N123" s="2" t="str">
        <f t="shared" si="6"/>
        <v/>
      </c>
      <c r="O123" t="str">
        <f t="shared" si="7"/>
        <v/>
      </c>
    </row>
    <row r="124" spans="3:15" ht="14.25" x14ac:dyDescent="0.45">
      <c r="C124" t="str">
        <f>IFERROR(VLOOKUP(B124,Roster!$A$3:$N$101,2,FALSE),"")</f>
        <v/>
      </c>
      <c r="D124" t="str">
        <f>IFERROR(VLOOKUP(B124,Roster!$A$3:$N$101,3,FALSE),"")</f>
        <v/>
      </c>
      <c r="E124" t="str">
        <f>IFERROR(VLOOKUP(B124,Roster!$A$3:$N$101,4,FALSE),"")</f>
        <v/>
      </c>
      <c r="N124" s="2" t="str">
        <f t="shared" si="6"/>
        <v/>
      </c>
      <c r="O124" t="str">
        <f t="shared" si="7"/>
        <v/>
      </c>
    </row>
    <row r="125" spans="3:15" ht="14.25" x14ac:dyDescent="0.45">
      <c r="C125" t="str">
        <f>IFERROR(VLOOKUP(B125,Roster!$A$3:$N$101,2,FALSE),"")</f>
        <v/>
      </c>
      <c r="D125" t="str">
        <f>IFERROR(VLOOKUP(B125,Roster!$A$3:$N$101,3,FALSE),"")</f>
        <v/>
      </c>
      <c r="E125" t="str">
        <f>IFERROR(VLOOKUP(B125,Roster!$A$3:$N$101,4,FALSE),"")</f>
        <v/>
      </c>
      <c r="N125" s="2" t="str">
        <f t="shared" si="6"/>
        <v/>
      </c>
      <c r="O125" t="str">
        <f t="shared" si="7"/>
        <v/>
      </c>
    </row>
    <row r="126" spans="3:15" ht="14.25" x14ac:dyDescent="0.45">
      <c r="C126" t="str">
        <f>IFERROR(VLOOKUP(B126,Roster!$A$3:$N$101,2,FALSE),"")</f>
        <v/>
      </c>
      <c r="D126" t="str">
        <f>IFERROR(VLOOKUP(B126,Roster!$A$3:$N$101,3,FALSE),"")</f>
        <v/>
      </c>
      <c r="E126" t="str">
        <f>IFERROR(VLOOKUP(B126,Roster!$A$3:$N$101,4,FALSE),"")</f>
        <v/>
      </c>
      <c r="N126" s="2" t="str">
        <f t="shared" si="6"/>
        <v/>
      </c>
      <c r="O126" t="str">
        <f t="shared" si="7"/>
        <v/>
      </c>
    </row>
    <row r="127" spans="3:15" ht="14.25" x14ac:dyDescent="0.45">
      <c r="C127" t="str">
        <f>IFERROR(VLOOKUP(B127,Roster!$A$3:$N$101,2,FALSE),"")</f>
        <v/>
      </c>
      <c r="D127" t="str">
        <f>IFERROR(VLOOKUP(B127,Roster!$A$3:$N$101,3,FALSE),"")</f>
        <v/>
      </c>
      <c r="E127" t="str">
        <f>IFERROR(VLOOKUP(B127,Roster!$A$3:$N$101,4,FALSE),"")</f>
        <v/>
      </c>
      <c r="N127" s="2" t="str">
        <f t="shared" si="6"/>
        <v/>
      </c>
      <c r="O127" t="str">
        <f t="shared" si="7"/>
        <v/>
      </c>
    </row>
    <row r="128" spans="3:15" ht="14.25" x14ac:dyDescent="0.45">
      <c r="C128" t="str">
        <f>IFERROR(VLOOKUP(B128,Roster!$A$3:$N$101,2,FALSE),"")</f>
        <v/>
      </c>
      <c r="D128" t="str">
        <f>IFERROR(VLOOKUP(B128,Roster!$A$3:$N$101,3,FALSE),"")</f>
        <v/>
      </c>
      <c r="E128" t="str">
        <f>IFERROR(VLOOKUP(B128,Roster!$A$3:$N$101,4,FALSE),"")</f>
        <v/>
      </c>
      <c r="N128" s="2" t="str">
        <f t="shared" si="6"/>
        <v/>
      </c>
      <c r="O128" t="str">
        <f t="shared" si="7"/>
        <v/>
      </c>
    </row>
    <row r="129" spans="3:15" ht="14.25" x14ac:dyDescent="0.45">
      <c r="C129" t="str">
        <f>IFERROR(VLOOKUP(B129,Roster!$A$3:$N$101,2,FALSE),"")</f>
        <v/>
      </c>
      <c r="D129" t="str">
        <f>IFERROR(VLOOKUP(B129,Roster!$A$3:$N$101,3,FALSE),"")</f>
        <v/>
      </c>
      <c r="E129" t="str">
        <f>IFERROR(VLOOKUP(B129,Roster!$A$3:$N$101,4,FALSE),"")</f>
        <v/>
      </c>
      <c r="N129" s="2" t="str">
        <f t="shared" si="6"/>
        <v/>
      </c>
      <c r="O129" t="str">
        <f t="shared" si="7"/>
        <v/>
      </c>
    </row>
    <row r="130" spans="3:15" ht="14.25" x14ac:dyDescent="0.45">
      <c r="C130" t="str">
        <f>IFERROR(VLOOKUP(B130,Roster!$A$3:$N$101,2,FALSE),"")</f>
        <v/>
      </c>
      <c r="D130" t="str">
        <f>IFERROR(VLOOKUP(B130,Roster!$A$3:$N$101,3,FALSE),"")</f>
        <v/>
      </c>
      <c r="E130" t="str">
        <f>IFERROR(VLOOKUP(B130,Roster!$A$3:$N$101,4,FALSE),"")</f>
        <v/>
      </c>
      <c r="N130" s="2" t="str">
        <f t="shared" si="6"/>
        <v/>
      </c>
      <c r="O130" t="str">
        <f t="shared" si="7"/>
        <v/>
      </c>
    </row>
    <row r="131" spans="3:15" ht="14.25" x14ac:dyDescent="0.45">
      <c r="C131" t="str">
        <f>IFERROR(VLOOKUP(B131,Roster!$A$3:$N$101,2,FALSE),"")</f>
        <v/>
      </c>
      <c r="D131" t="str">
        <f>IFERROR(VLOOKUP(B131,Roster!$A$3:$N$101,3,FALSE),"")</f>
        <v/>
      </c>
      <c r="E131" t="str">
        <f>IFERROR(VLOOKUP(B131,Roster!$A$3:$N$101,4,FALSE),"")</f>
        <v/>
      </c>
      <c r="N131" s="2" t="str">
        <f t="shared" ref="N131:N162" si="8">IF(OR(L131="",L131=0,M131=""),"",(L131-M131)/L131)</f>
        <v/>
      </c>
      <c r="O131" t="str">
        <f t="shared" ref="O131:O162" si="9">IF(N131="","",IF(N131&gt;0,"Yes","No"))</f>
        <v/>
      </c>
    </row>
    <row r="132" spans="3:15" ht="14.25" x14ac:dyDescent="0.45">
      <c r="C132" t="str">
        <f>IFERROR(VLOOKUP(B132,Roster!$A$3:$N$101,2,FALSE),"")</f>
        <v/>
      </c>
      <c r="D132" t="str">
        <f>IFERROR(VLOOKUP(B132,Roster!$A$3:$N$101,3,FALSE),"")</f>
        <v/>
      </c>
      <c r="E132" t="str">
        <f>IFERROR(VLOOKUP(B132,Roster!$A$3:$N$101,4,FALSE),"")</f>
        <v/>
      </c>
      <c r="N132" s="2" t="str">
        <f t="shared" si="8"/>
        <v/>
      </c>
      <c r="O132" t="str">
        <f t="shared" si="9"/>
        <v/>
      </c>
    </row>
    <row r="133" spans="3:15" ht="14.25" x14ac:dyDescent="0.45">
      <c r="C133" t="str">
        <f>IFERROR(VLOOKUP(B133,Roster!$A$3:$N$101,2,FALSE),"")</f>
        <v/>
      </c>
      <c r="D133" t="str">
        <f>IFERROR(VLOOKUP(B133,Roster!$A$3:$N$101,3,FALSE),"")</f>
        <v/>
      </c>
      <c r="E133" t="str">
        <f>IFERROR(VLOOKUP(B133,Roster!$A$3:$N$101,4,FALSE),"")</f>
        <v/>
      </c>
      <c r="N133" s="2" t="str">
        <f t="shared" si="8"/>
        <v/>
      </c>
      <c r="O133" t="str">
        <f t="shared" si="9"/>
        <v/>
      </c>
    </row>
    <row r="134" spans="3:15" ht="14.25" x14ac:dyDescent="0.45">
      <c r="C134" t="str">
        <f>IFERROR(VLOOKUP(B134,Roster!$A$3:$N$101,2,FALSE),"")</f>
        <v/>
      </c>
      <c r="D134" t="str">
        <f>IFERROR(VLOOKUP(B134,Roster!$A$3:$N$101,3,FALSE),"")</f>
        <v/>
      </c>
      <c r="E134" t="str">
        <f>IFERROR(VLOOKUP(B134,Roster!$A$3:$N$101,4,FALSE),"")</f>
        <v/>
      </c>
      <c r="N134" s="2" t="str">
        <f t="shared" si="8"/>
        <v/>
      </c>
      <c r="O134" t="str">
        <f t="shared" si="9"/>
        <v/>
      </c>
    </row>
    <row r="135" spans="3:15" ht="14.25" x14ac:dyDescent="0.45">
      <c r="C135" t="str">
        <f>IFERROR(VLOOKUP(B135,Roster!$A$3:$N$101,2,FALSE),"")</f>
        <v/>
      </c>
      <c r="D135" t="str">
        <f>IFERROR(VLOOKUP(B135,Roster!$A$3:$N$101,3,FALSE),"")</f>
        <v/>
      </c>
      <c r="E135" t="str">
        <f>IFERROR(VLOOKUP(B135,Roster!$A$3:$N$101,4,FALSE),"")</f>
        <v/>
      </c>
      <c r="N135" s="2" t="str">
        <f t="shared" si="8"/>
        <v/>
      </c>
      <c r="O135" t="str">
        <f t="shared" si="9"/>
        <v/>
      </c>
    </row>
    <row r="136" spans="3:15" ht="14.25" x14ac:dyDescent="0.45">
      <c r="C136" t="str">
        <f>IFERROR(VLOOKUP(B136,Roster!$A$3:$N$101,2,FALSE),"")</f>
        <v/>
      </c>
      <c r="D136" t="str">
        <f>IFERROR(VLOOKUP(B136,Roster!$A$3:$N$101,3,FALSE),"")</f>
        <v/>
      </c>
      <c r="E136" t="str">
        <f>IFERROR(VLOOKUP(B136,Roster!$A$3:$N$101,4,FALSE),"")</f>
        <v/>
      </c>
      <c r="N136" s="2" t="str">
        <f t="shared" si="8"/>
        <v/>
      </c>
      <c r="O136" t="str">
        <f t="shared" si="9"/>
        <v/>
      </c>
    </row>
    <row r="137" spans="3:15" ht="14.25" x14ac:dyDescent="0.45">
      <c r="C137" t="str">
        <f>IFERROR(VLOOKUP(B137,Roster!$A$3:$N$101,2,FALSE),"")</f>
        <v/>
      </c>
      <c r="D137" t="str">
        <f>IFERROR(VLOOKUP(B137,Roster!$A$3:$N$101,3,FALSE),"")</f>
        <v/>
      </c>
      <c r="E137" t="str">
        <f>IFERROR(VLOOKUP(B137,Roster!$A$3:$N$101,4,FALSE),"")</f>
        <v/>
      </c>
      <c r="N137" s="2" t="str">
        <f t="shared" si="8"/>
        <v/>
      </c>
      <c r="O137" t="str">
        <f t="shared" si="9"/>
        <v/>
      </c>
    </row>
    <row r="138" spans="3:15" ht="14.25" x14ac:dyDescent="0.45">
      <c r="C138" t="str">
        <f>IFERROR(VLOOKUP(B138,Roster!$A$3:$N$101,2,FALSE),"")</f>
        <v/>
      </c>
      <c r="D138" t="str">
        <f>IFERROR(VLOOKUP(B138,Roster!$A$3:$N$101,3,FALSE),"")</f>
        <v/>
      </c>
      <c r="E138" t="str">
        <f>IFERROR(VLOOKUP(B138,Roster!$A$3:$N$101,4,FALSE),"")</f>
        <v/>
      </c>
      <c r="N138" s="2" t="str">
        <f t="shared" si="8"/>
        <v/>
      </c>
      <c r="O138" t="str">
        <f t="shared" si="9"/>
        <v/>
      </c>
    </row>
    <row r="139" spans="3:15" ht="14.25" x14ac:dyDescent="0.45">
      <c r="C139" t="str">
        <f>IFERROR(VLOOKUP(B139,Roster!$A$3:$N$101,2,FALSE),"")</f>
        <v/>
      </c>
      <c r="D139" t="str">
        <f>IFERROR(VLOOKUP(B139,Roster!$A$3:$N$101,3,FALSE),"")</f>
        <v/>
      </c>
      <c r="E139" t="str">
        <f>IFERROR(VLOOKUP(B139,Roster!$A$3:$N$101,4,FALSE),"")</f>
        <v/>
      </c>
      <c r="N139" s="2" t="str">
        <f t="shared" si="8"/>
        <v/>
      </c>
      <c r="O139" t="str">
        <f t="shared" si="9"/>
        <v/>
      </c>
    </row>
    <row r="140" spans="3:15" ht="14.25" x14ac:dyDescent="0.45">
      <c r="C140" t="str">
        <f>IFERROR(VLOOKUP(B140,Roster!$A$3:$N$101,2,FALSE),"")</f>
        <v/>
      </c>
      <c r="D140" t="str">
        <f>IFERROR(VLOOKUP(B140,Roster!$A$3:$N$101,3,FALSE),"")</f>
        <v/>
      </c>
      <c r="E140" t="str">
        <f>IFERROR(VLOOKUP(B140,Roster!$A$3:$N$101,4,FALSE),"")</f>
        <v/>
      </c>
      <c r="N140" s="2" t="str">
        <f t="shared" si="8"/>
        <v/>
      </c>
      <c r="O140" t="str">
        <f t="shared" si="9"/>
        <v/>
      </c>
    </row>
    <row r="141" spans="3:15" ht="14.25" x14ac:dyDescent="0.45">
      <c r="C141" t="str">
        <f>IFERROR(VLOOKUP(B141,Roster!$A$3:$N$101,2,FALSE),"")</f>
        <v/>
      </c>
      <c r="D141" t="str">
        <f>IFERROR(VLOOKUP(B141,Roster!$A$3:$N$101,3,FALSE),"")</f>
        <v/>
      </c>
      <c r="E141" t="str">
        <f>IFERROR(VLOOKUP(B141,Roster!$A$3:$N$101,4,FALSE),"")</f>
        <v/>
      </c>
      <c r="N141" s="2" t="str">
        <f t="shared" si="8"/>
        <v/>
      </c>
      <c r="O141" t="str">
        <f t="shared" si="9"/>
        <v/>
      </c>
    </row>
    <row r="142" spans="3:15" ht="14.25" x14ac:dyDescent="0.45">
      <c r="C142" t="str">
        <f>IFERROR(VLOOKUP(B142,Roster!$A$3:$N$101,2,FALSE),"")</f>
        <v/>
      </c>
      <c r="D142" t="str">
        <f>IFERROR(VLOOKUP(B142,Roster!$A$3:$N$101,3,FALSE),"")</f>
        <v/>
      </c>
      <c r="E142" t="str">
        <f>IFERROR(VLOOKUP(B142,Roster!$A$3:$N$101,4,FALSE),"")</f>
        <v/>
      </c>
      <c r="N142" s="2" t="str">
        <f t="shared" si="8"/>
        <v/>
      </c>
      <c r="O142" t="str">
        <f t="shared" si="9"/>
        <v/>
      </c>
    </row>
    <row r="143" spans="3:15" ht="14.25" x14ac:dyDescent="0.45">
      <c r="C143" t="str">
        <f>IFERROR(VLOOKUP(B143,Roster!$A$3:$N$101,2,FALSE),"")</f>
        <v/>
      </c>
      <c r="D143" t="str">
        <f>IFERROR(VLOOKUP(B143,Roster!$A$3:$N$101,3,FALSE),"")</f>
        <v/>
      </c>
      <c r="E143" t="str">
        <f>IFERROR(VLOOKUP(B143,Roster!$A$3:$N$101,4,FALSE),"")</f>
        <v/>
      </c>
      <c r="N143" s="2" t="str">
        <f t="shared" si="8"/>
        <v/>
      </c>
      <c r="O143" t="str">
        <f t="shared" si="9"/>
        <v/>
      </c>
    </row>
    <row r="144" spans="3:15" ht="14.25" x14ac:dyDescent="0.45">
      <c r="C144" t="str">
        <f>IFERROR(VLOOKUP(B144,Roster!$A$3:$N$101,2,FALSE),"")</f>
        <v/>
      </c>
      <c r="D144" t="str">
        <f>IFERROR(VLOOKUP(B144,Roster!$A$3:$N$101,3,FALSE),"")</f>
        <v/>
      </c>
      <c r="E144" t="str">
        <f>IFERROR(VLOOKUP(B144,Roster!$A$3:$N$101,4,FALSE),"")</f>
        <v/>
      </c>
      <c r="N144" s="2" t="str">
        <f t="shared" si="8"/>
        <v/>
      </c>
      <c r="O144" t="str">
        <f t="shared" si="9"/>
        <v/>
      </c>
    </row>
    <row r="145" spans="3:15" ht="14.25" x14ac:dyDescent="0.45">
      <c r="C145" t="str">
        <f>IFERROR(VLOOKUP(B145,Roster!$A$3:$N$101,2,FALSE),"")</f>
        <v/>
      </c>
      <c r="D145" t="str">
        <f>IFERROR(VLOOKUP(B145,Roster!$A$3:$N$101,3,FALSE),"")</f>
        <v/>
      </c>
      <c r="E145" t="str">
        <f>IFERROR(VLOOKUP(B145,Roster!$A$3:$N$101,4,FALSE),"")</f>
        <v/>
      </c>
      <c r="N145" s="2" t="str">
        <f t="shared" si="8"/>
        <v/>
      </c>
      <c r="O145" t="str">
        <f t="shared" si="9"/>
        <v/>
      </c>
    </row>
    <row r="146" spans="3:15" ht="14.25" x14ac:dyDescent="0.45">
      <c r="C146" t="str">
        <f>IFERROR(VLOOKUP(B146,Roster!$A$3:$N$101,2,FALSE),"")</f>
        <v/>
      </c>
      <c r="D146" t="str">
        <f>IFERROR(VLOOKUP(B146,Roster!$A$3:$N$101,3,FALSE),"")</f>
        <v/>
      </c>
      <c r="E146" t="str">
        <f>IFERROR(VLOOKUP(B146,Roster!$A$3:$N$101,4,FALSE),"")</f>
        <v/>
      </c>
      <c r="N146" s="2" t="str">
        <f t="shared" si="8"/>
        <v/>
      </c>
      <c r="O146" t="str">
        <f t="shared" si="9"/>
        <v/>
      </c>
    </row>
    <row r="147" spans="3:15" ht="14.25" x14ac:dyDescent="0.45">
      <c r="C147" t="str">
        <f>IFERROR(VLOOKUP(B147,Roster!$A$3:$N$101,2,FALSE),"")</f>
        <v/>
      </c>
      <c r="D147" t="str">
        <f>IFERROR(VLOOKUP(B147,Roster!$A$3:$N$101,3,FALSE),"")</f>
        <v/>
      </c>
      <c r="E147" t="str">
        <f>IFERROR(VLOOKUP(B147,Roster!$A$3:$N$101,4,FALSE),"")</f>
        <v/>
      </c>
      <c r="N147" s="2" t="str">
        <f t="shared" si="8"/>
        <v/>
      </c>
      <c r="O147" t="str">
        <f t="shared" si="9"/>
        <v/>
      </c>
    </row>
    <row r="148" spans="3:15" ht="14.25" x14ac:dyDescent="0.45">
      <c r="C148" t="str">
        <f>IFERROR(VLOOKUP(B148,Roster!$A$3:$N$101,2,FALSE),"")</f>
        <v/>
      </c>
      <c r="D148" t="str">
        <f>IFERROR(VLOOKUP(B148,Roster!$A$3:$N$101,3,FALSE),"")</f>
        <v/>
      </c>
      <c r="E148" t="str">
        <f>IFERROR(VLOOKUP(B148,Roster!$A$3:$N$101,4,FALSE),"")</f>
        <v/>
      </c>
      <c r="N148" s="2" t="str">
        <f t="shared" si="8"/>
        <v/>
      </c>
      <c r="O148" t="str">
        <f t="shared" si="9"/>
        <v/>
      </c>
    </row>
    <row r="149" spans="3:15" ht="14.25" x14ac:dyDescent="0.45">
      <c r="C149" t="str">
        <f>IFERROR(VLOOKUP(B149,Roster!$A$3:$N$101,2,FALSE),"")</f>
        <v/>
      </c>
      <c r="D149" t="str">
        <f>IFERROR(VLOOKUP(B149,Roster!$A$3:$N$101,3,FALSE),"")</f>
        <v/>
      </c>
      <c r="E149" t="str">
        <f>IFERROR(VLOOKUP(B149,Roster!$A$3:$N$101,4,FALSE),"")</f>
        <v/>
      </c>
      <c r="N149" s="2" t="str">
        <f t="shared" si="8"/>
        <v/>
      </c>
      <c r="O149" t="str">
        <f t="shared" si="9"/>
        <v/>
      </c>
    </row>
    <row r="150" spans="3:15" ht="14.25" x14ac:dyDescent="0.45">
      <c r="C150" t="str">
        <f>IFERROR(VLOOKUP(B150,Roster!$A$3:$N$101,2,FALSE),"")</f>
        <v/>
      </c>
      <c r="D150" t="str">
        <f>IFERROR(VLOOKUP(B150,Roster!$A$3:$N$101,3,FALSE),"")</f>
        <v/>
      </c>
      <c r="E150" t="str">
        <f>IFERROR(VLOOKUP(B150,Roster!$A$3:$N$101,4,FALSE),"")</f>
        <v/>
      </c>
      <c r="N150" s="2" t="str">
        <f t="shared" si="8"/>
        <v/>
      </c>
      <c r="O150" t="str">
        <f t="shared" si="9"/>
        <v/>
      </c>
    </row>
    <row r="151" spans="3:15" ht="14.25" x14ac:dyDescent="0.45">
      <c r="C151" t="str">
        <f>IFERROR(VLOOKUP(B151,Roster!$A$3:$N$101,2,FALSE),"")</f>
        <v/>
      </c>
      <c r="D151" t="str">
        <f>IFERROR(VLOOKUP(B151,Roster!$A$3:$N$101,3,FALSE),"")</f>
        <v/>
      </c>
      <c r="E151" t="str">
        <f>IFERROR(VLOOKUP(B151,Roster!$A$3:$N$101,4,FALSE),"")</f>
        <v/>
      </c>
      <c r="N151" s="2" t="str">
        <f t="shared" si="8"/>
        <v/>
      </c>
      <c r="O151" t="str">
        <f t="shared" si="9"/>
        <v/>
      </c>
    </row>
    <row r="152" spans="3:15" ht="14.25" x14ac:dyDescent="0.45">
      <c r="C152" t="str">
        <f>IFERROR(VLOOKUP(B152,Roster!$A$3:$N$101,2,FALSE),"")</f>
        <v/>
      </c>
      <c r="D152" t="str">
        <f>IFERROR(VLOOKUP(B152,Roster!$A$3:$N$101,3,FALSE),"")</f>
        <v/>
      </c>
      <c r="E152" t="str">
        <f>IFERROR(VLOOKUP(B152,Roster!$A$3:$N$101,4,FALSE),"")</f>
        <v/>
      </c>
      <c r="N152" s="2" t="str">
        <f t="shared" si="8"/>
        <v/>
      </c>
      <c r="O152" t="str">
        <f t="shared" si="9"/>
        <v/>
      </c>
    </row>
    <row r="153" spans="3:15" ht="14.25" x14ac:dyDescent="0.45">
      <c r="C153" t="str">
        <f>IFERROR(VLOOKUP(B153,Roster!$A$3:$N$101,2,FALSE),"")</f>
        <v/>
      </c>
      <c r="D153" t="str">
        <f>IFERROR(VLOOKUP(B153,Roster!$A$3:$N$101,3,FALSE),"")</f>
        <v/>
      </c>
      <c r="E153" t="str">
        <f>IFERROR(VLOOKUP(B153,Roster!$A$3:$N$101,4,FALSE),"")</f>
        <v/>
      </c>
      <c r="N153" s="2" t="str">
        <f t="shared" si="8"/>
        <v/>
      </c>
      <c r="O153" t="str">
        <f t="shared" si="9"/>
        <v/>
      </c>
    </row>
    <row r="154" spans="3:15" ht="14.25" x14ac:dyDescent="0.45">
      <c r="C154" t="str">
        <f>IFERROR(VLOOKUP(B154,Roster!$A$3:$N$101,2,FALSE),"")</f>
        <v/>
      </c>
      <c r="D154" t="str">
        <f>IFERROR(VLOOKUP(B154,Roster!$A$3:$N$101,3,FALSE),"")</f>
        <v/>
      </c>
      <c r="E154" t="str">
        <f>IFERROR(VLOOKUP(B154,Roster!$A$3:$N$101,4,FALSE),"")</f>
        <v/>
      </c>
      <c r="N154" s="2" t="str">
        <f t="shared" si="8"/>
        <v/>
      </c>
      <c r="O154" t="str">
        <f t="shared" si="9"/>
        <v/>
      </c>
    </row>
    <row r="155" spans="3:15" ht="14.25" x14ac:dyDescent="0.45">
      <c r="C155" t="str">
        <f>IFERROR(VLOOKUP(B155,Roster!$A$3:$N$101,2,FALSE),"")</f>
        <v/>
      </c>
      <c r="D155" t="str">
        <f>IFERROR(VLOOKUP(B155,Roster!$A$3:$N$101,3,FALSE),"")</f>
        <v/>
      </c>
      <c r="E155" t="str">
        <f>IFERROR(VLOOKUP(B155,Roster!$A$3:$N$101,4,FALSE),"")</f>
        <v/>
      </c>
      <c r="N155" s="2" t="str">
        <f t="shared" si="8"/>
        <v/>
      </c>
      <c r="O155" t="str">
        <f t="shared" si="9"/>
        <v/>
      </c>
    </row>
    <row r="156" spans="3:15" ht="14.25" x14ac:dyDescent="0.45">
      <c r="C156" t="str">
        <f>IFERROR(VLOOKUP(B156,Roster!$A$3:$N$101,2,FALSE),"")</f>
        <v/>
      </c>
      <c r="D156" t="str">
        <f>IFERROR(VLOOKUP(B156,Roster!$A$3:$N$101,3,FALSE),"")</f>
        <v/>
      </c>
      <c r="E156" t="str">
        <f>IFERROR(VLOOKUP(B156,Roster!$A$3:$N$101,4,FALSE),"")</f>
        <v/>
      </c>
      <c r="N156" s="2" t="str">
        <f t="shared" si="8"/>
        <v/>
      </c>
      <c r="O156" t="str">
        <f t="shared" si="9"/>
        <v/>
      </c>
    </row>
    <row r="157" spans="3:15" ht="14.25" x14ac:dyDescent="0.45">
      <c r="C157" t="str">
        <f>IFERROR(VLOOKUP(B157,Roster!$A$3:$N$101,2,FALSE),"")</f>
        <v/>
      </c>
      <c r="D157" t="str">
        <f>IFERROR(VLOOKUP(B157,Roster!$A$3:$N$101,3,FALSE),"")</f>
        <v/>
      </c>
      <c r="E157" t="str">
        <f>IFERROR(VLOOKUP(B157,Roster!$A$3:$N$101,4,FALSE),"")</f>
        <v/>
      </c>
      <c r="N157" s="2" t="str">
        <f t="shared" si="8"/>
        <v/>
      </c>
      <c r="O157" t="str">
        <f t="shared" si="9"/>
        <v/>
      </c>
    </row>
    <row r="158" spans="3:15" ht="14.25" x14ac:dyDescent="0.45">
      <c r="C158" t="str">
        <f>IFERROR(VLOOKUP(B158,Roster!$A$3:$N$101,2,FALSE),"")</f>
        <v/>
      </c>
      <c r="D158" t="str">
        <f>IFERROR(VLOOKUP(B158,Roster!$A$3:$N$101,3,FALSE),"")</f>
        <v/>
      </c>
      <c r="E158" t="str">
        <f>IFERROR(VLOOKUP(B158,Roster!$A$3:$N$101,4,FALSE),"")</f>
        <v/>
      </c>
      <c r="N158" s="2" t="str">
        <f t="shared" si="8"/>
        <v/>
      </c>
      <c r="O158" t="str">
        <f t="shared" si="9"/>
        <v/>
      </c>
    </row>
    <row r="159" spans="3:15" ht="14.25" x14ac:dyDescent="0.45">
      <c r="C159" t="str">
        <f>IFERROR(VLOOKUP(B159,Roster!$A$3:$N$101,2,FALSE),"")</f>
        <v/>
      </c>
      <c r="D159" t="str">
        <f>IFERROR(VLOOKUP(B159,Roster!$A$3:$N$101,3,FALSE),"")</f>
        <v/>
      </c>
      <c r="E159" t="str">
        <f>IFERROR(VLOOKUP(B159,Roster!$A$3:$N$101,4,FALSE),"")</f>
        <v/>
      </c>
      <c r="N159" s="2" t="str">
        <f t="shared" si="8"/>
        <v/>
      </c>
      <c r="O159" t="str">
        <f t="shared" si="9"/>
        <v/>
      </c>
    </row>
    <row r="160" spans="3:15" ht="14.25" x14ac:dyDescent="0.45">
      <c r="C160" t="str">
        <f>IFERROR(VLOOKUP(B160,Roster!$A$3:$N$101,2,FALSE),"")</f>
        <v/>
      </c>
      <c r="D160" t="str">
        <f>IFERROR(VLOOKUP(B160,Roster!$A$3:$N$101,3,FALSE),"")</f>
        <v/>
      </c>
      <c r="E160" t="str">
        <f>IFERROR(VLOOKUP(B160,Roster!$A$3:$N$101,4,FALSE),"")</f>
        <v/>
      </c>
      <c r="N160" s="2" t="str">
        <f t="shared" si="8"/>
        <v/>
      </c>
      <c r="O160" t="str">
        <f t="shared" si="9"/>
        <v/>
      </c>
    </row>
    <row r="161" spans="3:15" ht="14.25" x14ac:dyDescent="0.45">
      <c r="C161" t="str">
        <f>IFERROR(VLOOKUP(B161,Roster!$A$3:$N$101,2,FALSE),"")</f>
        <v/>
      </c>
      <c r="D161" t="str">
        <f>IFERROR(VLOOKUP(B161,Roster!$A$3:$N$101,3,FALSE),"")</f>
        <v/>
      </c>
      <c r="E161" t="str">
        <f>IFERROR(VLOOKUP(B161,Roster!$A$3:$N$101,4,FALSE),"")</f>
        <v/>
      </c>
      <c r="N161" s="2" t="str">
        <f t="shared" si="8"/>
        <v/>
      </c>
      <c r="O161" t="str">
        <f t="shared" si="9"/>
        <v/>
      </c>
    </row>
    <row r="162" spans="3:15" ht="14.25" x14ac:dyDescent="0.45">
      <c r="C162" t="str">
        <f>IFERROR(VLOOKUP(B162,Roster!$A$3:$N$101,2,FALSE),"")</f>
        <v/>
      </c>
      <c r="D162" t="str">
        <f>IFERROR(VLOOKUP(B162,Roster!$A$3:$N$101,3,FALSE),"")</f>
        <v/>
      </c>
      <c r="E162" t="str">
        <f>IFERROR(VLOOKUP(B162,Roster!$A$3:$N$101,4,FALSE),"")</f>
        <v/>
      </c>
      <c r="N162" s="2" t="str">
        <f t="shared" si="8"/>
        <v/>
      </c>
      <c r="O162" t="str">
        <f t="shared" si="9"/>
        <v/>
      </c>
    </row>
    <row r="163" spans="3:15" ht="14.25" x14ac:dyDescent="0.45">
      <c r="C163" t="str">
        <f>IFERROR(VLOOKUP(B163,Roster!$A$3:$N$101,2,FALSE),"")</f>
        <v/>
      </c>
      <c r="D163" t="str">
        <f>IFERROR(VLOOKUP(B163,Roster!$A$3:$N$101,3,FALSE),"")</f>
        <v/>
      </c>
      <c r="E163" t="str">
        <f>IFERROR(VLOOKUP(B163,Roster!$A$3:$N$101,4,FALSE),"")</f>
        <v/>
      </c>
      <c r="N163" s="2" t="str">
        <f t="shared" ref="N163:N194" si="10">IF(OR(L163="",L163=0,M163=""),"",(L163-M163)/L163)</f>
        <v/>
      </c>
      <c r="O163" t="str">
        <f t="shared" ref="O163:O194" si="11">IF(N163="","",IF(N163&gt;0,"Yes","No"))</f>
        <v/>
      </c>
    </row>
    <row r="164" spans="3:15" ht="14.25" x14ac:dyDescent="0.45">
      <c r="C164" t="str">
        <f>IFERROR(VLOOKUP(B164,Roster!$A$3:$N$101,2,FALSE),"")</f>
        <v/>
      </c>
      <c r="D164" t="str">
        <f>IFERROR(VLOOKUP(B164,Roster!$A$3:$N$101,3,FALSE),"")</f>
        <v/>
      </c>
      <c r="E164" t="str">
        <f>IFERROR(VLOOKUP(B164,Roster!$A$3:$N$101,4,FALSE),"")</f>
        <v/>
      </c>
      <c r="N164" s="2" t="str">
        <f t="shared" si="10"/>
        <v/>
      </c>
      <c r="O164" t="str">
        <f t="shared" si="11"/>
        <v/>
      </c>
    </row>
    <row r="165" spans="3:15" ht="14.25" x14ac:dyDescent="0.45">
      <c r="C165" t="str">
        <f>IFERROR(VLOOKUP(B165,Roster!$A$3:$N$101,2,FALSE),"")</f>
        <v/>
      </c>
      <c r="D165" t="str">
        <f>IFERROR(VLOOKUP(B165,Roster!$A$3:$N$101,3,FALSE),"")</f>
        <v/>
      </c>
      <c r="E165" t="str">
        <f>IFERROR(VLOOKUP(B165,Roster!$A$3:$N$101,4,FALSE),"")</f>
        <v/>
      </c>
      <c r="N165" s="2" t="str">
        <f t="shared" si="10"/>
        <v/>
      </c>
      <c r="O165" t="str">
        <f t="shared" si="11"/>
        <v/>
      </c>
    </row>
    <row r="166" spans="3:15" ht="14.25" x14ac:dyDescent="0.45">
      <c r="C166" t="str">
        <f>IFERROR(VLOOKUP(B166,Roster!$A$3:$N$101,2,FALSE),"")</f>
        <v/>
      </c>
      <c r="D166" t="str">
        <f>IFERROR(VLOOKUP(B166,Roster!$A$3:$N$101,3,FALSE),"")</f>
        <v/>
      </c>
      <c r="E166" t="str">
        <f>IFERROR(VLOOKUP(B166,Roster!$A$3:$N$101,4,FALSE),"")</f>
        <v/>
      </c>
      <c r="N166" s="2" t="str">
        <f t="shared" si="10"/>
        <v/>
      </c>
      <c r="O166" t="str">
        <f t="shared" si="11"/>
        <v/>
      </c>
    </row>
    <row r="167" spans="3:15" ht="14.25" x14ac:dyDescent="0.45">
      <c r="C167" t="str">
        <f>IFERROR(VLOOKUP(B167,Roster!$A$3:$N$101,2,FALSE),"")</f>
        <v/>
      </c>
      <c r="D167" t="str">
        <f>IFERROR(VLOOKUP(B167,Roster!$A$3:$N$101,3,FALSE),"")</f>
        <v/>
      </c>
      <c r="E167" t="str">
        <f>IFERROR(VLOOKUP(B167,Roster!$A$3:$N$101,4,FALSE),"")</f>
        <v/>
      </c>
      <c r="N167" s="2" t="str">
        <f t="shared" si="10"/>
        <v/>
      </c>
      <c r="O167" t="str">
        <f t="shared" si="11"/>
        <v/>
      </c>
    </row>
    <row r="168" spans="3:15" ht="14.25" x14ac:dyDescent="0.45">
      <c r="C168" t="str">
        <f>IFERROR(VLOOKUP(B168,Roster!$A$3:$N$101,2,FALSE),"")</f>
        <v/>
      </c>
      <c r="D168" t="str">
        <f>IFERROR(VLOOKUP(B168,Roster!$A$3:$N$101,3,FALSE),"")</f>
        <v/>
      </c>
      <c r="E168" t="str">
        <f>IFERROR(VLOOKUP(B168,Roster!$A$3:$N$101,4,FALSE),"")</f>
        <v/>
      </c>
      <c r="N168" s="2" t="str">
        <f t="shared" si="10"/>
        <v/>
      </c>
      <c r="O168" t="str">
        <f t="shared" si="11"/>
        <v/>
      </c>
    </row>
    <row r="169" spans="3:15" ht="14.25" x14ac:dyDescent="0.45">
      <c r="C169" t="str">
        <f>IFERROR(VLOOKUP(B169,Roster!$A$3:$N$101,2,FALSE),"")</f>
        <v/>
      </c>
      <c r="D169" t="str">
        <f>IFERROR(VLOOKUP(B169,Roster!$A$3:$N$101,3,FALSE),"")</f>
        <v/>
      </c>
      <c r="E169" t="str">
        <f>IFERROR(VLOOKUP(B169,Roster!$A$3:$N$101,4,FALSE),"")</f>
        <v/>
      </c>
      <c r="N169" s="2" t="str">
        <f t="shared" si="10"/>
        <v/>
      </c>
      <c r="O169" t="str">
        <f t="shared" si="11"/>
        <v/>
      </c>
    </row>
    <row r="170" spans="3:15" ht="14.25" x14ac:dyDescent="0.45">
      <c r="C170" t="str">
        <f>IFERROR(VLOOKUP(B170,Roster!$A$3:$N$101,2,FALSE),"")</f>
        <v/>
      </c>
      <c r="D170" t="str">
        <f>IFERROR(VLOOKUP(B170,Roster!$A$3:$N$101,3,FALSE),"")</f>
        <v/>
      </c>
      <c r="E170" t="str">
        <f>IFERROR(VLOOKUP(B170,Roster!$A$3:$N$101,4,FALSE),"")</f>
        <v/>
      </c>
      <c r="N170" s="2" t="str">
        <f t="shared" si="10"/>
        <v/>
      </c>
      <c r="O170" t="str">
        <f t="shared" si="11"/>
        <v/>
      </c>
    </row>
    <row r="171" spans="3:15" ht="14.25" x14ac:dyDescent="0.45">
      <c r="C171" t="str">
        <f>IFERROR(VLOOKUP(B171,Roster!$A$3:$N$101,2,FALSE),"")</f>
        <v/>
      </c>
      <c r="D171" t="str">
        <f>IFERROR(VLOOKUP(B171,Roster!$A$3:$N$101,3,FALSE),"")</f>
        <v/>
      </c>
      <c r="E171" t="str">
        <f>IFERROR(VLOOKUP(B171,Roster!$A$3:$N$101,4,FALSE),"")</f>
        <v/>
      </c>
      <c r="N171" s="2" t="str">
        <f t="shared" si="10"/>
        <v/>
      </c>
      <c r="O171" t="str">
        <f t="shared" si="11"/>
        <v/>
      </c>
    </row>
    <row r="172" spans="3:15" ht="14.25" x14ac:dyDescent="0.45">
      <c r="C172" t="str">
        <f>IFERROR(VLOOKUP(B172,Roster!$A$3:$N$101,2,FALSE),"")</f>
        <v/>
      </c>
      <c r="D172" t="str">
        <f>IFERROR(VLOOKUP(B172,Roster!$A$3:$N$101,3,FALSE),"")</f>
        <v/>
      </c>
      <c r="E172" t="str">
        <f>IFERROR(VLOOKUP(B172,Roster!$A$3:$N$101,4,FALSE),"")</f>
        <v/>
      </c>
      <c r="N172" s="2" t="str">
        <f t="shared" si="10"/>
        <v/>
      </c>
      <c r="O172" t="str">
        <f t="shared" si="11"/>
        <v/>
      </c>
    </row>
    <row r="173" spans="3:15" ht="14.25" x14ac:dyDescent="0.45">
      <c r="C173" t="str">
        <f>IFERROR(VLOOKUP(B173,Roster!$A$3:$N$101,2,FALSE),"")</f>
        <v/>
      </c>
      <c r="D173" t="str">
        <f>IFERROR(VLOOKUP(B173,Roster!$A$3:$N$101,3,FALSE),"")</f>
        <v/>
      </c>
      <c r="E173" t="str">
        <f>IFERROR(VLOOKUP(B173,Roster!$A$3:$N$101,4,FALSE),"")</f>
        <v/>
      </c>
      <c r="N173" s="2" t="str">
        <f t="shared" si="10"/>
        <v/>
      </c>
      <c r="O173" t="str">
        <f t="shared" si="11"/>
        <v/>
      </c>
    </row>
    <row r="174" spans="3:15" ht="14.25" x14ac:dyDescent="0.45">
      <c r="C174" t="str">
        <f>IFERROR(VLOOKUP(B174,Roster!$A$3:$N$101,2,FALSE),"")</f>
        <v/>
      </c>
      <c r="D174" t="str">
        <f>IFERROR(VLOOKUP(B174,Roster!$A$3:$N$101,3,FALSE),"")</f>
        <v/>
      </c>
      <c r="E174" t="str">
        <f>IFERROR(VLOOKUP(B174,Roster!$A$3:$N$101,4,FALSE),"")</f>
        <v/>
      </c>
      <c r="N174" s="2" t="str">
        <f t="shared" si="10"/>
        <v/>
      </c>
      <c r="O174" t="str">
        <f t="shared" si="11"/>
        <v/>
      </c>
    </row>
    <row r="175" spans="3:15" ht="14.25" x14ac:dyDescent="0.45">
      <c r="C175" t="str">
        <f>IFERROR(VLOOKUP(B175,Roster!$A$3:$N$101,2,FALSE),"")</f>
        <v/>
      </c>
      <c r="D175" t="str">
        <f>IFERROR(VLOOKUP(B175,Roster!$A$3:$N$101,3,FALSE),"")</f>
        <v/>
      </c>
      <c r="E175" t="str">
        <f>IFERROR(VLOOKUP(B175,Roster!$A$3:$N$101,4,FALSE),"")</f>
        <v/>
      </c>
      <c r="N175" s="2" t="str">
        <f t="shared" si="10"/>
        <v/>
      </c>
      <c r="O175" t="str">
        <f t="shared" si="11"/>
        <v/>
      </c>
    </row>
    <row r="176" spans="3:15" ht="14.25" x14ac:dyDescent="0.45">
      <c r="C176" t="str">
        <f>IFERROR(VLOOKUP(B176,Roster!$A$3:$N$101,2,FALSE),"")</f>
        <v/>
      </c>
      <c r="D176" t="str">
        <f>IFERROR(VLOOKUP(B176,Roster!$A$3:$N$101,3,FALSE),"")</f>
        <v/>
      </c>
      <c r="E176" t="str">
        <f>IFERROR(VLOOKUP(B176,Roster!$A$3:$N$101,4,FALSE),"")</f>
        <v/>
      </c>
      <c r="N176" s="2" t="str">
        <f t="shared" si="10"/>
        <v/>
      </c>
      <c r="O176" t="str">
        <f t="shared" si="11"/>
        <v/>
      </c>
    </row>
    <row r="177" spans="3:15" ht="14.25" x14ac:dyDescent="0.45">
      <c r="C177" t="str">
        <f>IFERROR(VLOOKUP(B177,Roster!$A$3:$N$101,2,FALSE),"")</f>
        <v/>
      </c>
      <c r="D177" t="str">
        <f>IFERROR(VLOOKUP(B177,Roster!$A$3:$N$101,3,FALSE),"")</f>
        <v/>
      </c>
      <c r="E177" t="str">
        <f>IFERROR(VLOOKUP(B177,Roster!$A$3:$N$101,4,FALSE),"")</f>
        <v/>
      </c>
      <c r="N177" s="2" t="str">
        <f t="shared" si="10"/>
        <v/>
      </c>
      <c r="O177" t="str">
        <f t="shared" si="11"/>
        <v/>
      </c>
    </row>
    <row r="178" spans="3:15" ht="14.25" x14ac:dyDescent="0.45">
      <c r="C178" t="str">
        <f>IFERROR(VLOOKUP(B178,Roster!$A$3:$N$101,2,FALSE),"")</f>
        <v/>
      </c>
      <c r="D178" t="str">
        <f>IFERROR(VLOOKUP(B178,Roster!$A$3:$N$101,3,FALSE),"")</f>
        <v/>
      </c>
      <c r="E178" t="str">
        <f>IFERROR(VLOOKUP(B178,Roster!$A$3:$N$101,4,FALSE),"")</f>
        <v/>
      </c>
      <c r="N178" s="2" t="str">
        <f t="shared" si="10"/>
        <v/>
      </c>
      <c r="O178" t="str">
        <f t="shared" si="11"/>
        <v/>
      </c>
    </row>
    <row r="179" spans="3:15" ht="14.25" x14ac:dyDescent="0.45">
      <c r="C179" t="str">
        <f>IFERROR(VLOOKUP(B179,Roster!$A$3:$N$101,2,FALSE),"")</f>
        <v/>
      </c>
      <c r="D179" t="str">
        <f>IFERROR(VLOOKUP(B179,Roster!$A$3:$N$101,3,FALSE),"")</f>
        <v/>
      </c>
      <c r="E179" t="str">
        <f>IFERROR(VLOOKUP(B179,Roster!$A$3:$N$101,4,FALSE),"")</f>
        <v/>
      </c>
      <c r="N179" s="2" t="str">
        <f t="shared" si="10"/>
        <v/>
      </c>
      <c r="O179" t="str">
        <f t="shared" si="11"/>
        <v/>
      </c>
    </row>
    <row r="180" spans="3:15" ht="14.25" x14ac:dyDescent="0.45">
      <c r="C180" t="str">
        <f>IFERROR(VLOOKUP(B180,Roster!$A$3:$N$101,2,FALSE),"")</f>
        <v/>
      </c>
      <c r="D180" t="str">
        <f>IFERROR(VLOOKUP(B180,Roster!$A$3:$N$101,3,FALSE),"")</f>
        <v/>
      </c>
      <c r="E180" t="str">
        <f>IFERROR(VLOOKUP(B180,Roster!$A$3:$N$101,4,FALSE),"")</f>
        <v/>
      </c>
      <c r="N180" s="2" t="str">
        <f t="shared" si="10"/>
        <v/>
      </c>
      <c r="O180" t="str">
        <f t="shared" si="11"/>
        <v/>
      </c>
    </row>
    <row r="181" spans="3:15" ht="14.25" x14ac:dyDescent="0.45">
      <c r="C181" t="str">
        <f>IFERROR(VLOOKUP(B181,Roster!$A$3:$N$101,2,FALSE),"")</f>
        <v/>
      </c>
      <c r="D181" t="str">
        <f>IFERROR(VLOOKUP(B181,Roster!$A$3:$N$101,3,FALSE),"")</f>
        <v/>
      </c>
      <c r="E181" t="str">
        <f>IFERROR(VLOOKUP(B181,Roster!$A$3:$N$101,4,FALSE),"")</f>
        <v/>
      </c>
      <c r="N181" s="2" t="str">
        <f t="shared" si="10"/>
        <v/>
      </c>
      <c r="O181" t="str">
        <f t="shared" si="11"/>
        <v/>
      </c>
    </row>
    <row r="182" spans="3:15" ht="14.25" x14ac:dyDescent="0.45">
      <c r="C182" t="str">
        <f>IFERROR(VLOOKUP(B182,Roster!$A$3:$N$101,2,FALSE),"")</f>
        <v/>
      </c>
      <c r="D182" t="str">
        <f>IFERROR(VLOOKUP(B182,Roster!$A$3:$N$101,3,FALSE),"")</f>
        <v/>
      </c>
      <c r="E182" t="str">
        <f>IFERROR(VLOOKUP(B182,Roster!$A$3:$N$101,4,FALSE),"")</f>
        <v/>
      </c>
      <c r="N182" s="2" t="str">
        <f t="shared" si="10"/>
        <v/>
      </c>
      <c r="O182" t="str">
        <f t="shared" si="11"/>
        <v/>
      </c>
    </row>
    <row r="183" spans="3:15" ht="14.25" x14ac:dyDescent="0.45">
      <c r="C183" t="str">
        <f>IFERROR(VLOOKUP(B183,Roster!$A$3:$N$101,2,FALSE),"")</f>
        <v/>
      </c>
      <c r="D183" t="str">
        <f>IFERROR(VLOOKUP(B183,Roster!$A$3:$N$101,3,FALSE),"")</f>
        <v/>
      </c>
      <c r="E183" t="str">
        <f>IFERROR(VLOOKUP(B183,Roster!$A$3:$N$101,4,FALSE),"")</f>
        <v/>
      </c>
      <c r="N183" s="2" t="str">
        <f t="shared" si="10"/>
        <v/>
      </c>
      <c r="O183" t="str">
        <f t="shared" si="11"/>
        <v/>
      </c>
    </row>
    <row r="184" spans="3:15" ht="14.25" x14ac:dyDescent="0.45">
      <c r="C184" t="str">
        <f>IFERROR(VLOOKUP(B184,Roster!$A$3:$N$101,2,FALSE),"")</f>
        <v/>
      </c>
      <c r="D184" t="str">
        <f>IFERROR(VLOOKUP(B184,Roster!$A$3:$N$101,3,FALSE),"")</f>
        <v/>
      </c>
      <c r="E184" t="str">
        <f>IFERROR(VLOOKUP(B184,Roster!$A$3:$N$101,4,FALSE),"")</f>
        <v/>
      </c>
      <c r="N184" s="2" t="str">
        <f t="shared" si="10"/>
        <v/>
      </c>
      <c r="O184" t="str">
        <f t="shared" si="11"/>
        <v/>
      </c>
    </row>
    <row r="185" spans="3:15" ht="14.25" x14ac:dyDescent="0.45">
      <c r="C185" t="str">
        <f>IFERROR(VLOOKUP(B185,Roster!$A$3:$N$101,2,FALSE),"")</f>
        <v/>
      </c>
      <c r="D185" t="str">
        <f>IFERROR(VLOOKUP(B185,Roster!$A$3:$N$101,3,FALSE),"")</f>
        <v/>
      </c>
      <c r="E185" t="str">
        <f>IFERROR(VLOOKUP(B185,Roster!$A$3:$N$101,4,FALSE),"")</f>
        <v/>
      </c>
      <c r="N185" s="2" t="str">
        <f t="shared" si="10"/>
        <v/>
      </c>
      <c r="O185" t="str">
        <f t="shared" si="11"/>
        <v/>
      </c>
    </row>
    <row r="186" spans="3:15" ht="14.25" x14ac:dyDescent="0.45">
      <c r="C186" t="str">
        <f>IFERROR(VLOOKUP(B186,Roster!$A$3:$N$101,2,FALSE),"")</f>
        <v/>
      </c>
      <c r="D186" t="str">
        <f>IFERROR(VLOOKUP(B186,Roster!$A$3:$N$101,3,FALSE),"")</f>
        <v/>
      </c>
      <c r="E186" t="str">
        <f>IFERROR(VLOOKUP(B186,Roster!$A$3:$N$101,4,FALSE),"")</f>
        <v/>
      </c>
      <c r="N186" s="2" t="str">
        <f t="shared" si="10"/>
        <v/>
      </c>
      <c r="O186" t="str">
        <f t="shared" si="11"/>
        <v/>
      </c>
    </row>
    <row r="187" spans="3:15" ht="14.25" x14ac:dyDescent="0.45">
      <c r="C187" t="str">
        <f>IFERROR(VLOOKUP(B187,Roster!$A$3:$N$101,2,FALSE),"")</f>
        <v/>
      </c>
      <c r="D187" t="str">
        <f>IFERROR(VLOOKUP(B187,Roster!$A$3:$N$101,3,FALSE),"")</f>
        <v/>
      </c>
      <c r="E187" t="str">
        <f>IFERROR(VLOOKUP(B187,Roster!$A$3:$N$101,4,FALSE),"")</f>
        <v/>
      </c>
      <c r="N187" s="2" t="str">
        <f t="shared" si="10"/>
        <v/>
      </c>
      <c r="O187" t="str">
        <f t="shared" si="11"/>
        <v/>
      </c>
    </row>
    <row r="188" spans="3:15" ht="14.25" x14ac:dyDescent="0.45">
      <c r="C188" t="str">
        <f>IFERROR(VLOOKUP(B188,Roster!$A$3:$N$101,2,FALSE),"")</f>
        <v/>
      </c>
      <c r="D188" t="str">
        <f>IFERROR(VLOOKUP(B188,Roster!$A$3:$N$101,3,FALSE),"")</f>
        <v/>
      </c>
      <c r="E188" t="str">
        <f>IFERROR(VLOOKUP(B188,Roster!$A$3:$N$101,4,FALSE),"")</f>
        <v/>
      </c>
      <c r="N188" s="2" t="str">
        <f t="shared" si="10"/>
        <v/>
      </c>
      <c r="O188" t="str">
        <f t="shared" si="11"/>
        <v/>
      </c>
    </row>
    <row r="189" spans="3:15" ht="14.25" x14ac:dyDescent="0.45">
      <c r="C189" t="str">
        <f>IFERROR(VLOOKUP(B189,Roster!$A$3:$N$101,2,FALSE),"")</f>
        <v/>
      </c>
      <c r="D189" t="str">
        <f>IFERROR(VLOOKUP(B189,Roster!$A$3:$N$101,3,FALSE),"")</f>
        <v/>
      </c>
      <c r="E189" t="str">
        <f>IFERROR(VLOOKUP(B189,Roster!$A$3:$N$101,4,FALSE),"")</f>
        <v/>
      </c>
      <c r="N189" s="2" t="str">
        <f t="shared" si="10"/>
        <v/>
      </c>
      <c r="O189" t="str">
        <f t="shared" si="11"/>
        <v/>
      </c>
    </row>
    <row r="190" spans="3:15" ht="14.25" x14ac:dyDescent="0.45">
      <c r="C190" t="str">
        <f>IFERROR(VLOOKUP(B190,Roster!$A$3:$N$101,2,FALSE),"")</f>
        <v/>
      </c>
      <c r="D190" t="str">
        <f>IFERROR(VLOOKUP(B190,Roster!$A$3:$N$101,3,FALSE),"")</f>
        <v/>
      </c>
      <c r="E190" t="str">
        <f>IFERROR(VLOOKUP(B190,Roster!$A$3:$N$101,4,FALSE),"")</f>
        <v/>
      </c>
      <c r="N190" s="2" t="str">
        <f t="shared" si="10"/>
        <v/>
      </c>
      <c r="O190" t="str">
        <f t="shared" si="11"/>
        <v/>
      </c>
    </row>
    <row r="191" spans="3:15" ht="14.25" x14ac:dyDescent="0.45">
      <c r="C191" t="str">
        <f>IFERROR(VLOOKUP(B191,Roster!$A$3:$N$101,2,FALSE),"")</f>
        <v/>
      </c>
      <c r="D191" t="str">
        <f>IFERROR(VLOOKUP(B191,Roster!$A$3:$N$101,3,FALSE),"")</f>
        <v/>
      </c>
      <c r="E191" t="str">
        <f>IFERROR(VLOOKUP(B191,Roster!$A$3:$N$101,4,FALSE),"")</f>
        <v/>
      </c>
      <c r="N191" s="2" t="str">
        <f t="shared" si="10"/>
        <v/>
      </c>
      <c r="O191" t="str">
        <f t="shared" si="11"/>
        <v/>
      </c>
    </row>
    <row r="192" spans="3:15" ht="14.25" x14ac:dyDescent="0.45">
      <c r="C192" t="str">
        <f>IFERROR(VLOOKUP(B192,Roster!$A$3:$N$101,2,FALSE),"")</f>
        <v/>
      </c>
      <c r="D192" t="str">
        <f>IFERROR(VLOOKUP(B192,Roster!$A$3:$N$101,3,FALSE),"")</f>
        <v/>
      </c>
      <c r="E192" t="str">
        <f>IFERROR(VLOOKUP(B192,Roster!$A$3:$N$101,4,FALSE),"")</f>
        <v/>
      </c>
      <c r="N192" s="2" t="str">
        <f t="shared" si="10"/>
        <v/>
      </c>
      <c r="O192" t="str">
        <f t="shared" si="11"/>
        <v/>
      </c>
    </row>
    <row r="193" spans="3:15" ht="14.25" x14ac:dyDescent="0.45">
      <c r="C193" t="str">
        <f>IFERROR(VLOOKUP(B193,Roster!$A$3:$N$101,2,FALSE),"")</f>
        <v/>
      </c>
      <c r="D193" t="str">
        <f>IFERROR(VLOOKUP(B193,Roster!$A$3:$N$101,3,FALSE),"")</f>
        <v/>
      </c>
      <c r="E193" t="str">
        <f>IFERROR(VLOOKUP(B193,Roster!$A$3:$N$101,4,FALSE),"")</f>
        <v/>
      </c>
      <c r="N193" s="2" t="str">
        <f t="shared" si="10"/>
        <v/>
      </c>
      <c r="O193" t="str">
        <f t="shared" si="11"/>
        <v/>
      </c>
    </row>
    <row r="194" spans="3:15" ht="14.25" x14ac:dyDescent="0.45">
      <c r="C194" t="str">
        <f>IFERROR(VLOOKUP(B194,Roster!$A$3:$N$101,2,FALSE),"")</f>
        <v/>
      </c>
      <c r="D194" t="str">
        <f>IFERROR(VLOOKUP(B194,Roster!$A$3:$N$101,3,FALSE),"")</f>
        <v/>
      </c>
      <c r="E194" t="str">
        <f>IFERROR(VLOOKUP(B194,Roster!$A$3:$N$101,4,FALSE),"")</f>
        <v/>
      </c>
      <c r="N194" s="2" t="str">
        <f t="shared" si="10"/>
        <v/>
      </c>
      <c r="O194" t="str">
        <f t="shared" si="11"/>
        <v/>
      </c>
    </row>
    <row r="195" spans="3:15" ht="14.25" x14ac:dyDescent="0.45">
      <c r="C195" t="str">
        <f>IFERROR(VLOOKUP(B195,Roster!$A$3:$N$101,2,FALSE),"")</f>
        <v/>
      </c>
      <c r="D195" t="str">
        <f>IFERROR(VLOOKUP(B195,Roster!$A$3:$N$101,3,FALSE),"")</f>
        <v/>
      </c>
      <c r="E195" t="str">
        <f>IFERROR(VLOOKUP(B195,Roster!$A$3:$N$101,4,FALSE),"")</f>
        <v/>
      </c>
      <c r="N195" s="2" t="str">
        <f t="shared" ref="N195:N201" si="12">IF(OR(L195="",L195=0,M195=""),"",(L195-M195)/L195)</f>
        <v/>
      </c>
      <c r="O195" t="str">
        <f t="shared" ref="O195:O201" si="13">IF(N195="","",IF(N195&gt;0,"Yes","No"))</f>
        <v/>
      </c>
    </row>
    <row r="196" spans="3:15" ht="14.25" x14ac:dyDescent="0.45">
      <c r="C196" t="str">
        <f>IFERROR(VLOOKUP(B196,Roster!$A$3:$N$101,2,FALSE),"")</f>
        <v/>
      </c>
      <c r="D196" t="str">
        <f>IFERROR(VLOOKUP(B196,Roster!$A$3:$N$101,3,FALSE),"")</f>
        <v/>
      </c>
      <c r="E196" t="str">
        <f>IFERROR(VLOOKUP(B196,Roster!$A$3:$N$101,4,FALSE),"")</f>
        <v/>
      </c>
      <c r="N196" s="2" t="str">
        <f t="shared" si="12"/>
        <v/>
      </c>
      <c r="O196" t="str">
        <f t="shared" si="13"/>
        <v/>
      </c>
    </row>
    <row r="197" spans="3:15" ht="14.25" x14ac:dyDescent="0.45">
      <c r="C197" t="str">
        <f>IFERROR(VLOOKUP(B197,Roster!$A$3:$N$101,2,FALSE),"")</f>
        <v/>
      </c>
      <c r="D197" t="str">
        <f>IFERROR(VLOOKUP(B197,Roster!$A$3:$N$101,3,FALSE),"")</f>
        <v/>
      </c>
      <c r="E197" t="str">
        <f>IFERROR(VLOOKUP(B197,Roster!$A$3:$N$101,4,FALSE),"")</f>
        <v/>
      </c>
      <c r="N197" s="2" t="str">
        <f t="shared" si="12"/>
        <v/>
      </c>
      <c r="O197" t="str">
        <f t="shared" si="13"/>
        <v/>
      </c>
    </row>
    <row r="198" spans="3:15" ht="14.25" x14ac:dyDescent="0.45">
      <c r="C198" t="str">
        <f>IFERROR(VLOOKUP(B198,Roster!$A$3:$N$101,2,FALSE),"")</f>
        <v/>
      </c>
      <c r="D198" t="str">
        <f>IFERROR(VLOOKUP(B198,Roster!$A$3:$N$101,3,FALSE),"")</f>
        <v/>
      </c>
      <c r="E198" t="str">
        <f>IFERROR(VLOOKUP(B198,Roster!$A$3:$N$101,4,FALSE),"")</f>
        <v/>
      </c>
      <c r="N198" s="2" t="str">
        <f t="shared" si="12"/>
        <v/>
      </c>
      <c r="O198" t="str">
        <f t="shared" si="13"/>
        <v/>
      </c>
    </row>
    <row r="199" spans="3:15" ht="14.25" x14ac:dyDescent="0.45">
      <c r="C199" t="str">
        <f>IFERROR(VLOOKUP(B199,Roster!$A$3:$N$101,2,FALSE),"")</f>
        <v/>
      </c>
      <c r="D199" t="str">
        <f>IFERROR(VLOOKUP(B199,Roster!$A$3:$N$101,3,FALSE),"")</f>
        <v/>
      </c>
      <c r="E199" t="str">
        <f>IFERROR(VLOOKUP(B199,Roster!$A$3:$N$101,4,FALSE),"")</f>
        <v/>
      </c>
      <c r="N199" s="2" t="str">
        <f t="shared" si="12"/>
        <v/>
      </c>
      <c r="O199" t="str">
        <f t="shared" si="13"/>
        <v/>
      </c>
    </row>
    <row r="200" spans="3:15" ht="14.25" x14ac:dyDescent="0.45">
      <c r="C200" t="str">
        <f>IFERROR(VLOOKUP(B200,Roster!$A$3:$N$101,2,FALSE),"")</f>
        <v/>
      </c>
      <c r="D200" t="str">
        <f>IFERROR(VLOOKUP(B200,Roster!$A$3:$N$101,3,FALSE),"")</f>
        <v/>
      </c>
      <c r="E200" t="str">
        <f>IFERROR(VLOOKUP(B200,Roster!$A$3:$N$101,4,FALSE),"")</f>
        <v/>
      </c>
      <c r="N200" s="2" t="str">
        <f t="shared" si="12"/>
        <v/>
      </c>
      <c r="O200" t="str">
        <f t="shared" si="13"/>
        <v/>
      </c>
    </row>
    <row r="201" spans="3:15" ht="14.25" x14ac:dyDescent="0.45">
      <c r="C201" t="str">
        <f>IFERROR(VLOOKUP(B201,Roster!$A$3:$N$101,2,FALSE),"")</f>
        <v/>
      </c>
      <c r="D201" t="str">
        <f>IFERROR(VLOOKUP(B201,Roster!$A$3:$N$101,3,FALSE),"")</f>
        <v/>
      </c>
      <c r="E201" t="str">
        <f>IFERROR(VLOOKUP(B201,Roster!$A$3:$N$101,4,FALSE),"")</f>
        <v/>
      </c>
      <c r="N201" s="2" t="str">
        <f t="shared" si="12"/>
        <v/>
      </c>
      <c r="O201" t="str">
        <f t="shared" si="13"/>
        <v/>
      </c>
    </row>
  </sheetData>
  <mergeCells count="1">
    <mergeCell ref="A1:Q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errorTitle="Invalid Entry" error="Please select from the dropdown list." xr:uid="{00000000-0002-0000-0400-000000000000}">
          <x14:formula1>
            <xm:f>Lists!$D$2:$D$12</xm:f>
          </x14:formula1>
          <xm:sqref>F3:F201</xm:sqref>
        </x14:dataValidation>
        <x14:dataValidation type="list" allowBlank="1" showErrorMessage="1" errorTitle="Invalid Entry" error="Please select from the dropdown list." xr:uid="{00000000-0002-0000-0400-000002000000}">
          <x14:formula1>
            <xm:f>Lists!$I$2:$I$13</xm:f>
          </x14:formula1>
          <xm:sqref>J3:J201</xm:sqref>
        </x14:dataValidation>
        <x14:dataValidation type="list" allowBlank="1" showErrorMessage="1" errorTitle="Invalid Entry" error="Please select from the dropdown list." xr:uid="{00000000-0002-0000-0400-000004000000}">
          <x14:formula1>
            <xm:f>Lists!$H$2:$H$4</xm:f>
          </x14:formula1>
          <xm:sqref>K3:K201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9"/>
  <sheetViews>
    <sheetView zoomScaleNormal="100" workbookViewId="0"/>
  </sheetViews>
  <sheetFormatPr defaultRowHeight="15" customHeight="1" x14ac:dyDescent="0.45"/>
  <cols>
    <col min="1" max="1" width="15" customWidth="1"/>
    <col min="2" max="2" width="25" customWidth="1"/>
    <col min="3" max="7" width="13.33203125" customWidth="1"/>
    <col min="8" max="8" width="15" customWidth="1"/>
    <col min="9" max="9" width="16.6640625" customWidth="1"/>
    <col min="10" max="10" width="13.33203125" customWidth="1"/>
    <col min="11" max="11" width="16.6640625" customWidth="1"/>
  </cols>
  <sheetData>
    <row r="1" spans="1:8" x14ac:dyDescent="0.45">
      <c r="A1" s="4" t="s">
        <v>172</v>
      </c>
      <c r="B1" s="4"/>
      <c r="C1" s="4"/>
      <c r="D1" s="4"/>
      <c r="E1" s="4"/>
      <c r="F1" s="4"/>
      <c r="G1" s="4"/>
      <c r="H1" s="4"/>
    </row>
    <row r="2" spans="1:8" x14ac:dyDescent="0.45">
      <c r="A2" s="4" t="s">
        <v>173</v>
      </c>
      <c r="B2" s="4"/>
      <c r="C2" s="4"/>
      <c r="D2" s="4"/>
      <c r="E2" s="4"/>
      <c r="F2" s="4"/>
      <c r="G2" s="4"/>
      <c r="H2" s="4"/>
    </row>
    <row r="4" spans="1:8" x14ac:dyDescent="0.45">
      <c r="A4" s="4" t="s">
        <v>174</v>
      </c>
      <c r="B4" s="4"/>
      <c r="C4" s="4"/>
      <c r="D4" s="4"/>
      <c r="E4" s="4"/>
      <c r="F4" s="4"/>
      <c r="G4" s="4"/>
      <c r="H4" s="4"/>
    </row>
    <row r="5" spans="1:8" x14ac:dyDescent="0.45">
      <c r="A5" t="s">
        <v>175</v>
      </c>
      <c r="B5" t="s">
        <v>176</v>
      </c>
      <c r="C5" t="s">
        <v>41</v>
      </c>
    </row>
    <row r="6" spans="1:8" x14ac:dyDescent="0.45">
      <c r="A6" t="s">
        <v>177</v>
      </c>
      <c r="B6" t="s">
        <v>178</v>
      </c>
      <c r="C6" t="s">
        <v>179</v>
      </c>
    </row>
    <row r="7" spans="1:8" x14ac:dyDescent="0.45">
      <c r="A7" t="s">
        <v>180</v>
      </c>
      <c r="B7" t="s">
        <v>181</v>
      </c>
      <c r="C7" t="s">
        <v>182</v>
      </c>
    </row>
    <row r="8" spans="1:8" x14ac:dyDescent="0.45">
      <c r="A8" t="s">
        <v>183</v>
      </c>
      <c r="B8" t="s">
        <v>181</v>
      </c>
      <c r="C8" t="s">
        <v>184</v>
      </c>
    </row>
    <row r="9" spans="1:8" x14ac:dyDescent="0.45">
      <c r="A9" t="s">
        <v>185</v>
      </c>
      <c r="B9" t="s">
        <v>186</v>
      </c>
      <c r="C9" t="s">
        <v>187</v>
      </c>
    </row>
    <row r="10" spans="1:8" x14ac:dyDescent="0.45">
      <c r="A10" t="s">
        <v>188</v>
      </c>
      <c r="B10" t="s">
        <v>189</v>
      </c>
      <c r="C10" t="s">
        <v>190</v>
      </c>
    </row>
    <row r="11" spans="1:8" x14ac:dyDescent="0.45">
      <c r="A11" t="s">
        <v>191</v>
      </c>
      <c r="B11" t="s">
        <v>186</v>
      </c>
      <c r="C11" t="s">
        <v>192</v>
      </c>
    </row>
    <row r="12" spans="1:8" x14ac:dyDescent="0.45">
      <c r="A12" t="s">
        <v>193</v>
      </c>
      <c r="B12" t="s">
        <v>186</v>
      </c>
      <c r="C12" t="s">
        <v>194</v>
      </c>
    </row>
    <row r="13" spans="1:8" x14ac:dyDescent="0.45">
      <c r="A13" t="s">
        <v>195</v>
      </c>
      <c r="B13" t="s">
        <v>196</v>
      </c>
      <c r="C13" t="s">
        <v>197</v>
      </c>
    </row>
    <row r="14" spans="1:8" x14ac:dyDescent="0.45">
      <c r="A14" t="s">
        <v>198</v>
      </c>
      <c r="B14" t="s">
        <v>199</v>
      </c>
      <c r="C14" t="s">
        <v>200</v>
      </c>
    </row>
    <row r="15" spans="1:8" x14ac:dyDescent="0.45">
      <c r="A15" t="s">
        <v>201</v>
      </c>
      <c r="B15" t="s">
        <v>202</v>
      </c>
      <c r="C15" t="s">
        <v>203</v>
      </c>
    </row>
    <row r="18" spans="1:11" x14ac:dyDescent="0.45">
      <c r="A18" s="4" t="s">
        <v>204</v>
      </c>
      <c r="B18" s="4"/>
      <c r="C18" s="4"/>
      <c r="D18" s="4"/>
      <c r="E18" s="4"/>
      <c r="F18" s="4"/>
      <c r="G18" s="4"/>
      <c r="H18" s="4"/>
    </row>
    <row r="19" spans="1:11" x14ac:dyDescent="0.45">
      <c r="A19" t="s">
        <v>28</v>
      </c>
      <c r="B19" t="s">
        <v>205</v>
      </c>
      <c r="C19" t="s">
        <v>206</v>
      </c>
      <c r="D19" t="s">
        <v>207</v>
      </c>
      <c r="E19" t="s">
        <v>208</v>
      </c>
      <c r="F19" t="s">
        <v>209</v>
      </c>
      <c r="G19" t="s">
        <v>210</v>
      </c>
      <c r="H19" t="s">
        <v>211</v>
      </c>
      <c r="I19" t="s">
        <v>212</v>
      </c>
      <c r="J19" t="s">
        <v>213</v>
      </c>
      <c r="K19" t="s">
        <v>214</v>
      </c>
    </row>
    <row r="20" spans="1:11" x14ac:dyDescent="0.45">
      <c r="A20" t="s">
        <v>42</v>
      </c>
      <c r="B20" t="s">
        <v>215</v>
      </c>
      <c r="C20">
        <v>1</v>
      </c>
      <c r="D20">
        <v>2</v>
      </c>
      <c r="E20">
        <v>3</v>
      </c>
      <c r="F20">
        <v>1</v>
      </c>
      <c r="G20">
        <v>0</v>
      </c>
      <c r="H20" t="s">
        <v>47</v>
      </c>
      <c r="I20">
        <v>0</v>
      </c>
      <c r="J20">
        <f t="shared" ref="J20:J51" si="0">IF(A20="","",MIN(100,MAX(0,IF(C20&gt;=1,30,0)+IF(C20&gt;=2,15,0)+IF(D20&gt;=2,15,0)+IF(E20&gt;=5,10,0)+IF(F20&gt;=1,25,0)+IF(F20&gt;=2,10,0)+IF(G20&gt;=1,10,0)+IF(H20="Yes",20,0)-(I20*12))))</f>
        <v>70</v>
      </c>
      <c r="K20" t="str">
        <f t="shared" ref="K20:K51" si="1">IF(J20="","",IF(J20&gt;=70,"High",IF(J20&gt;=35,"Medium","Low")))</f>
        <v>High</v>
      </c>
    </row>
    <row r="21" spans="1:11" x14ac:dyDescent="0.45">
      <c r="A21" t="s">
        <v>51</v>
      </c>
      <c r="B21" t="s">
        <v>216</v>
      </c>
      <c r="C21">
        <v>0</v>
      </c>
      <c r="D21">
        <v>1</v>
      </c>
      <c r="E21">
        <v>2</v>
      </c>
      <c r="F21">
        <v>0</v>
      </c>
      <c r="G21">
        <v>1</v>
      </c>
      <c r="H21" t="s">
        <v>47</v>
      </c>
      <c r="I21">
        <v>1</v>
      </c>
      <c r="J21">
        <f t="shared" si="0"/>
        <v>0</v>
      </c>
      <c r="K21" t="str">
        <f t="shared" si="1"/>
        <v>Low</v>
      </c>
    </row>
    <row r="22" spans="1:11" x14ac:dyDescent="0.45">
      <c r="A22" t="s">
        <v>71</v>
      </c>
      <c r="B22" t="s">
        <v>217</v>
      </c>
      <c r="C22">
        <v>0</v>
      </c>
      <c r="D22">
        <v>0</v>
      </c>
      <c r="E22">
        <v>1</v>
      </c>
      <c r="F22">
        <v>0</v>
      </c>
      <c r="G22">
        <v>0</v>
      </c>
      <c r="H22" t="s">
        <v>47</v>
      </c>
      <c r="I22">
        <v>1</v>
      </c>
      <c r="J22">
        <f t="shared" si="0"/>
        <v>0</v>
      </c>
      <c r="K22" t="str">
        <f t="shared" si="1"/>
        <v>Low</v>
      </c>
    </row>
    <row r="23" spans="1:11" x14ac:dyDescent="0.45">
      <c r="J23" t="str">
        <f t="shared" si="0"/>
        <v/>
      </c>
      <c r="K23" t="str">
        <f t="shared" si="1"/>
        <v/>
      </c>
    </row>
    <row r="24" spans="1:11" x14ac:dyDescent="0.45">
      <c r="J24" t="str">
        <f t="shared" si="0"/>
        <v/>
      </c>
      <c r="K24" t="str">
        <f t="shared" si="1"/>
        <v/>
      </c>
    </row>
    <row r="25" spans="1:11" x14ac:dyDescent="0.45">
      <c r="J25" t="str">
        <f t="shared" si="0"/>
        <v/>
      </c>
      <c r="K25" t="str">
        <f t="shared" si="1"/>
        <v/>
      </c>
    </row>
    <row r="26" spans="1:11" x14ac:dyDescent="0.45">
      <c r="J26" t="str">
        <f t="shared" si="0"/>
        <v/>
      </c>
      <c r="K26" t="str">
        <f t="shared" si="1"/>
        <v/>
      </c>
    </row>
    <row r="27" spans="1:11" x14ac:dyDescent="0.45">
      <c r="J27" t="str">
        <f t="shared" si="0"/>
        <v/>
      </c>
      <c r="K27" t="str">
        <f t="shared" si="1"/>
        <v/>
      </c>
    </row>
    <row r="28" spans="1:11" x14ac:dyDescent="0.45">
      <c r="J28" t="str">
        <f t="shared" si="0"/>
        <v/>
      </c>
      <c r="K28" t="str">
        <f t="shared" si="1"/>
        <v/>
      </c>
    </row>
    <row r="29" spans="1:11" x14ac:dyDescent="0.45">
      <c r="J29" t="str">
        <f t="shared" si="0"/>
        <v/>
      </c>
      <c r="K29" t="str">
        <f t="shared" si="1"/>
        <v/>
      </c>
    </row>
    <row r="30" spans="1:11" x14ac:dyDescent="0.45">
      <c r="J30" t="str">
        <f t="shared" si="0"/>
        <v/>
      </c>
      <c r="K30" t="str">
        <f t="shared" si="1"/>
        <v/>
      </c>
    </row>
    <row r="31" spans="1:11" x14ac:dyDescent="0.45">
      <c r="J31" t="str">
        <f t="shared" si="0"/>
        <v/>
      </c>
      <c r="K31" t="str">
        <f t="shared" si="1"/>
        <v/>
      </c>
    </row>
    <row r="32" spans="1:11" x14ac:dyDescent="0.45">
      <c r="J32" t="str">
        <f t="shared" si="0"/>
        <v/>
      </c>
      <c r="K32" t="str">
        <f t="shared" si="1"/>
        <v/>
      </c>
    </row>
    <row r="33" spans="10:11" x14ac:dyDescent="0.45">
      <c r="J33" t="str">
        <f t="shared" si="0"/>
        <v/>
      </c>
      <c r="K33" t="str">
        <f t="shared" si="1"/>
        <v/>
      </c>
    </row>
    <row r="34" spans="10:11" x14ac:dyDescent="0.45">
      <c r="J34" t="str">
        <f t="shared" si="0"/>
        <v/>
      </c>
      <c r="K34" t="str">
        <f t="shared" si="1"/>
        <v/>
      </c>
    </row>
    <row r="35" spans="10:11" x14ac:dyDescent="0.45">
      <c r="J35" t="str">
        <f t="shared" si="0"/>
        <v/>
      </c>
      <c r="K35" t="str">
        <f t="shared" si="1"/>
        <v/>
      </c>
    </row>
    <row r="36" spans="10:11" x14ac:dyDescent="0.45">
      <c r="J36" t="str">
        <f t="shared" si="0"/>
        <v/>
      </c>
      <c r="K36" t="str">
        <f t="shared" si="1"/>
        <v/>
      </c>
    </row>
    <row r="37" spans="10:11" x14ac:dyDescent="0.45">
      <c r="J37" t="str">
        <f t="shared" si="0"/>
        <v/>
      </c>
      <c r="K37" t="str">
        <f t="shared" si="1"/>
        <v/>
      </c>
    </row>
    <row r="38" spans="10:11" x14ac:dyDescent="0.45">
      <c r="J38" t="str">
        <f t="shared" si="0"/>
        <v/>
      </c>
      <c r="K38" t="str">
        <f t="shared" si="1"/>
        <v/>
      </c>
    </row>
    <row r="39" spans="10:11" x14ac:dyDescent="0.45">
      <c r="J39" t="str">
        <f t="shared" si="0"/>
        <v/>
      </c>
      <c r="K39" t="str">
        <f t="shared" si="1"/>
        <v/>
      </c>
    </row>
    <row r="40" spans="10:11" x14ac:dyDescent="0.45">
      <c r="J40" t="str">
        <f t="shared" si="0"/>
        <v/>
      </c>
      <c r="K40" t="str">
        <f t="shared" si="1"/>
        <v/>
      </c>
    </row>
    <row r="41" spans="10:11" x14ac:dyDescent="0.45">
      <c r="J41" t="str">
        <f t="shared" si="0"/>
        <v/>
      </c>
      <c r="K41" t="str">
        <f t="shared" si="1"/>
        <v/>
      </c>
    </row>
    <row r="42" spans="10:11" x14ac:dyDescent="0.45">
      <c r="J42" t="str">
        <f t="shared" si="0"/>
        <v/>
      </c>
      <c r="K42" t="str">
        <f t="shared" si="1"/>
        <v/>
      </c>
    </row>
    <row r="43" spans="10:11" x14ac:dyDescent="0.45">
      <c r="J43" t="str">
        <f t="shared" si="0"/>
        <v/>
      </c>
      <c r="K43" t="str">
        <f t="shared" si="1"/>
        <v/>
      </c>
    </row>
    <row r="44" spans="10:11" x14ac:dyDescent="0.45">
      <c r="J44" t="str">
        <f t="shared" si="0"/>
        <v/>
      </c>
      <c r="K44" t="str">
        <f t="shared" si="1"/>
        <v/>
      </c>
    </row>
    <row r="45" spans="10:11" x14ac:dyDescent="0.45">
      <c r="J45" t="str">
        <f t="shared" si="0"/>
        <v/>
      </c>
      <c r="K45" t="str">
        <f t="shared" si="1"/>
        <v/>
      </c>
    </row>
    <row r="46" spans="10:11" x14ac:dyDescent="0.45">
      <c r="J46" t="str">
        <f t="shared" si="0"/>
        <v/>
      </c>
      <c r="K46" t="str">
        <f t="shared" si="1"/>
        <v/>
      </c>
    </row>
    <row r="47" spans="10:11" x14ac:dyDescent="0.45">
      <c r="J47" t="str">
        <f t="shared" si="0"/>
        <v/>
      </c>
      <c r="K47" t="str">
        <f t="shared" si="1"/>
        <v/>
      </c>
    </row>
    <row r="48" spans="10:11" x14ac:dyDescent="0.45">
      <c r="J48" t="str">
        <f t="shared" si="0"/>
        <v/>
      </c>
      <c r="K48" t="str">
        <f t="shared" si="1"/>
        <v/>
      </c>
    </row>
    <row r="49" spans="10:11" x14ac:dyDescent="0.45">
      <c r="J49" t="str">
        <f t="shared" si="0"/>
        <v/>
      </c>
      <c r="K49" t="str">
        <f t="shared" si="1"/>
        <v/>
      </c>
    </row>
    <row r="50" spans="10:11" x14ac:dyDescent="0.45">
      <c r="J50" t="str">
        <f t="shared" si="0"/>
        <v/>
      </c>
      <c r="K50" t="str">
        <f t="shared" si="1"/>
        <v/>
      </c>
    </row>
    <row r="51" spans="10:11" x14ac:dyDescent="0.45">
      <c r="J51" t="str">
        <f t="shared" si="0"/>
        <v/>
      </c>
      <c r="K51" t="str">
        <f t="shared" si="1"/>
        <v/>
      </c>
    </row>
    <row r="52" spans="10:11" x14ac:dyDescent="0.45">
      <c r="J52" t="str">
        <f t="shared" ref="J52:J69" si="2">IF(A52="","",MIN(100,MAX(0,IF(C52&gt;=1,30,0)+IF(C52&gt;=2,15,0)+IF(D52&gt;=2,15,0)+IF(E52&gt;=5,10,0)+IF(F52&gt;=1,25,0)+IF(F52&gt;=2,10,0)+IF(G52&gt;=1,10,0)+IF(H52="Yes",20,0)-(I52*12))))</f>
        <v/>
      </c>
      <c r="K52" t="str">
        <f t="shared" ref="K52:K69" si="3">IF(J52="","",IF(J52&gt;=70,"High",IF(J52&gt;=35,"Medium","Low")))</f>
        <v/>
      </c>
    </row>
    <row r="53" spans="10:11" x14ac:dyDescent="0.45">
      <c r="J53" t="str">
        <f t="shared" si="2"/>
        <v/>
      </c>
      <c r="K53" t="str">
        <f t="shared" si="3"/>
        <v/>
      </c>
    </row>
    <row r="54" spans="10:11" x14ac:dyDescent="0.45">
      <c r="J54" t="str">
        <f t="shared" si="2"/>
        <v/>
      </c>
      <c r="K54" t="str">
        <f t="shared" si="3"/>
        <v/>
      </c>
    </row>
    <row r="55" spans="10:11" x14ac:dyDescent="0.45">
      <c r="J55" t="str">
        <f t="shared" si="2"/>
        <v/>
      </c>
      <c r="K55" t="str">
        <f t="shared" si="3"/>
        <v/>
      </c>
    </row>
    <row r="56" spans="10:11" x14ac:dyDescent="0.45">
      <c r="J56" t="str">
        <f t="shared" si="2"/>
        <v/>
      </c>
      <c r="K56" t="str">
        <f t="shared" si="3"/>
        <v/>
      </c>
    </row>
    <row r="57" spans="10:11" x14ac:dyDescent="0.45">
      <c r="J57" t="str">
        <f t="shared" si="2"/>
        <v/>
      </c>
      <c r="K57" t="str">
        <f t="shared" si="3"/>
        <v/>
      </c>
    </row>
    <row r="58" spans="10:11" x14ac:dyDescent="0.45">
      <c r="J58" t="str">
        <f t="shared" si="2"/>
        <v/>
      </c>
      <c r="K58" t="str">
        <f t="shared" si="3"/>
        <v/>
      </c>
    </row>
    <row r="59" spans="10:11" x14ac:dyDescent="0.45">
      <c r="J59" t="str">
        <f t="shared" si="2"/>
        <v/>
      </c>
      <c r="K59" t="str">
        <f t="shared" si="3"/>
        <v/>
      </c>
    </row>
    <row r="60" spans="10:11" x14ac:dyDescent="0.45">
      <c r="J60" t="str">
        <f t="shared" si="2"/>
        <v/>
      </c>
      <c r="K60" t="str">
        <f t="shared" si="3"/>
        <v/>
      </c>
    </row>
    <row r="61" spans="10:11" x14ac:dyDescent="0.45">
      <c r="J61" t="str">
        <f t="shared" si="2"/>
        <v/>
      </c>
      <c r="K61" t="str">
        <f t="shared" si="3"/>
        <v/>
      </c>
    </row>
    <row r="62" spans="10:11" x14ac:dyDescent="0.45">
      <c r="J62" t="str">
        <f t="shared" si="2"/>
        <v/>
      </c>
      <c r="K62" t="str">
        <f t="shared" si="3"/>
        <v/>
      </c>
    </row>
    <row r="63" spans="10:11" x14ac:dyDescent="0.45">
      <c r="J63" t="str">
        <f t="shared" si="2"/>
        <v/>
      </c>
      <c r="K63" t="str">
        <f t="shared" si="3"/>
        <v/>
      </c>
    </row>
    <row r="64" spans="10:11" x14ac:dyDescent="0.45">
      <c r="J64" t="str">
        <f t="shared" si="2"/>
        <v/>
      </c>
      <c r="K64" t="str">
        <f t="shared" si="3"/>
        <v/>
      </c>
    </row>
    <row r="65" spans="10:11" x14ac:dyDescent="0.45">
      <c r="J65" t="str">
        <f t="shared" si="2"/>
        <v/>
      </c>
      <c r="K65" t="str">
        <f t="shared" si="3"/>
        <v/>
      </c>
    </row>
    <row r="66" spans="10:11" x14ac:dyDescent="0.45">
      <c r="J66" t="str">
        <f t="shared" si="2"/>
        <v/>
      </c>
      <c r="K66" t="str">
        <f t="shared" si="3"/>
        <v/>
      </c>
    </row>
    <row r="67" spans="10:11" x14ac:dyDescent="0.45">
      <c r="J67" t="str">
        <f t="shared" si="2"/>
        <v/>
      </c>
      <c r="K67" t="str">
        <f t="shared" si="3"/>
        <v/>
      </c>
    </row>
    <row r="68" spans="10:11" x14ac:dyDescent="0.45">
      <c r="J68" t="str">
        <f t="shared" si="2"/>
        <v/>
      </c>
      <c r="K68" t="str">
        <f t="shared" si="3"/>
        <v/>
      </c>
    </row>
    <row r="69" spans="10:11" x14ac:dyDescent="0.45">
      <c r="J69" t="str">
        <f t="shared" si="2"/>
        <v/>
      </c>
      <c r="K69" t="str">
        <f t="shared" si="3"/>
        <v/>
      </c>
    </row>
  </sheetData>
  <mergeCells count="4">
    <mergeCell ref="A18:H18"/>
    <mergeCell ref="A4:H4"/>
    <mergeCell ref="A2:H2"/>
    <mergeCell ref="A1:H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Entry" error="Please select from the dropdown list." xr:uid="{00000000-0002-0000-0500-000000000000}">
          <x14:formula1>
            <xm:f>Lists!$K$2:$K$3</xm:f>
          </x14:formula1>
          <xm:sqref>H20:H69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5"/>
  <sheetViews>
    <sheetView zoomScaleNormal="100" workbookViewId="0"/>
  </sheetViews>
  <sheetFormatPr defaultRowHeight="15" customHeight="1" x14ac:dyDescent="0.45"/>
  <cols>
    <col min="1" max="1" width="40" customWidth="1"/>
    <col min="2" max="2" width="16.6640625" customWidth="1"/>
    <col min="3" max="3" width="13.33203125" customWidth="1"/>
    <col min="4" max="10" width="20" customWidth="1"/>
  </cols>
  <sheetData>
    <row r="1" spans="1:10" x14ac:dyDescent="0.45">
      <c r="A1" s="4" t="s">
        <v>218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45">
      <c r="A2" s="4" t="str">
        <f ca="1">"Reflects data as of: "&amp;TEXT(TODAY(),"MM/DD/YYYY")</f>
        <v>Reflects data as of: 07/14/2026</v>
      </c>
      <c r="B2" s="4"/>
      <c r="C2" s="4"/>
      <c r="D2" s="4"/>
      <c r="E2" s="4"/>
      <c r="F2" s="4"/>
      <c r="G2" s="4"/>
      <c r="H2" s="4"/>
      <c r="I2" s="4"/>
      <c r="J2" s="4"/>
    </row>
    <row r="4" spans="1:10" x14ac:dyDescent="0.45">
      <c r="A4" s="4" t="s">
        <v>219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45">
      <c r="A5" t="s">
        <v>220</v>
      </c>
      <c r="B5">
        <f>MAX(0,COUNTA(Roster!B:B)-2)</f>
        <v>4</v>
      </c>
    </row>
    <row r="6" spans="1:10" x14ac:dyDescent="0.45">
      <c r="A6" t="s">
        <v>221</v>
      </c>
      <c r="B6">
        <f>MAX(0,COUNTA('Referral Log'!A:A)-2)</f>
        <v>7</v>
      </c>
    </row>
    <row r="7" spans="1:10" x14ac:dyDescent="0.45">
      <c r="A7" t="s">
        <v>222</v>
      </c>
      <c r="B7">
        <f>COUNTIF('Referral Log'!M:M,"Open")</f>
        <v>2</v>
      </c>
    </row>
    <row r="8" spans="1:10" x14ac:dyDescent="0.45">
      <c r="A8" t="s">
        <v>223</v>
      </c>
      <c r="B8">
        <f>COUNTIF('Referral Log'!N:N,"Escalated to DAEP")</f>
        <v>0</v>
      </c>
    </row>
    <row r="9" spans="1:10" x14ac:dyDescent="0.45">
      <c r="A9" t="s">
        <v>224</v>
      </c>
      <c r="B9">
        <f ca="1">COUNTIF('ISS-OSS Placements'!K:K,"&gt;"&amp;0)</f>
        <v>0</v>
      </c>
    </row>
    <row r="10" spans="1:10" x14ac:dyDescent="0.45">
      <c r="A10" t="s">
        <v>225</v>
      </c>
      <c r="B10">
        <f>COUNTIFS('ISS-OSS Placements'!F:F,"OSS — Out-of-School Suspension",'ISS-OSS Placements'!H:H,"")</f>
        <v>1</v>
      </c>
    </row>
    <row r="11" spans="1:10" x14ac:dyDescent="0.45">
      <c r="A11" t="s">
        <v>226</v>
      </c>
      <c r="B11">
        <f ca="1">COUNTIF('ISS-OSS Placements'!Q:Q,"&gt;="&amp;3)</f>
        <v>0</v>
      </c>
    </row>
    <row r="12" spans="1:10" x14ac:dyDescent="0.45">
      <c r="A12" t="s">
        <v>212</v>
      </c>
      <c r="B12">
        <f>COUNTIF('Student Supports'!K:K,"Active")</f>
        <v>2</v>
      </c>
    </row>
    <row r="13" spans="1:10" x14ac:dyDescent="0.45">
      <c r="A13" t="s">
        <v>227</v>
      </c>
      <c r="B13">
        <f>COUNTIF('Student Supports'!K:K,"Completed")</f>
        <v>1</v>
      </c>
    </row>
    <row r="14" spans="1:10" x14ac:dyDescent="0.45">
      <c r="A14" t="s">
        <v>228</v>
      </c>
      <c r="B14">
        <f>COUNTIF('Risk Score Calculator'!K:K,"🔴 HIGH")</f>
        <v>0</v>
      </c>
    </row>
    <row r="16" spans="1:10" x14ac:dyDescent="0.45">
      <c r="A16" s="4" t="s">
        <v>229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45">
      <c r="A17" t="s">
        <v>91</v>
      </c>
      <c r="B17">
        <f>COUNTIF('Referral Log'!H:H,"Fighting")</f>
        <v>2</v>
      </c>
      <c r="C17" t="str">
        <f t="shared" ref="C17:C27" si="0">REPT("|",B17)</f>
        <v>||</v>
      </c>
    </row>
    <row r="18" spans="1:10" x14ac:dyDescent="0.45">
      <c r="A18" t="s">
        <v>230</v>
      </c>
      <c r="B18">
        <f>COUNTIF('Referral Log'!H:H,"Drugs/Alcohol")</f>
        <v>0</v>
      </c>
      <c r="C18" t="str">
        <f t="shared" si="0"/>
        <v/>
      </c>
    </row>
    <row r="19" spans="1:10" x14ac:dyDescent="0.45">
      <c r="A19" t="s">
        <v>231</v>
      </c>
      <c r="B19">
        <f>COUNTIF('Referral Log'!H:H,"Weapons")</f>
        <v>0</v>
      </c>
      <c r="C19" t="str">
        <f t="shared" si="0"/>
        <v/>
      </c>
    </row>
    <row r="20" spans="1:10" x14ac:dyDescent="0.45">
      <c r="A20" t="s">
        <v>232</v>
      </c>
      <c r="B20">
        <f>COUNTIF('Referral Log'!H:H,"Harassment/Bullying")</f>
        <v>0</v>
      </c>
      <c r="C20" t="str">
        <f t="shared" si="0"/>
        <v/>
      </c>
    </row>
    <row r="21" spans="1:10" x14ac:dyDescent="0.45">
      <c r="A21" t="s">
        <v>123</v>
      </c>
      <c r="B21">
        <f>COUNTIF('Referral Log'!H:H,"Truancy")</f>
        <v>1</v>
      </c>
      <c r="C21" t="str">
        <f t="shared" si="0"/>
        <v>|</v>
      </c>
    </row>
    <row r="22" spans="1:10" x14ac:dyDescent="0.45">
      <c r="A22" t="s">
        <v>102</v>
      </c>
      <c r="B22">
        <f>COUNTIF('Referral Log'!H:H,"Defiance/Insubordination")</f>
        <v>3</v>
      </c>
      <c r="C22" t="str">
        <f t="shared" si="0"/>
        <v>|||</v>
      </c>
    </row>
    <row r="23" spans="1:10" x14ac:dyDescent="0.45">
      <c r="A23" t="s">
        <v>233</v>
      </c>
      <c r="B23">
        <f>COUNTIF('Referral Log'!H:H,"Theft")</f>
        <v>0</v>
      </c>
      <c r="C23" t="str">
        <f t="shared" si="0"/>
        <v/>
      </c>
    </row>
    <row r="24" spans="1:10" x14ac:dyDescent="0.45">
      <c r="A24" t="s">
        <v>234</v>
      </c>
      <c r="B24">
        <f>COUNTIF('Referral Log'!H:H,"Vandalism")</f>
        <v>0</v>
      </c>
      <c r="C24" t="str">
        <f t="shared" si="0"/>
        <v/>
      </c>
    </row>
    <row r="25" spans="1:10" x14ac:dyDescent="0.45">
      <c r="A25" t="s">
        <v>235</v>
      </c>
      <c r="B25">
        <f>COUNTIF('Referral Log'!H:H,"Sexual Offense")</f>
        <v>0</v>
      </c>
      <c r="C25" t="str">
        <f t="shared" si="0"/>
        <v/>
      </c>
    </row>
    <row r="26" spans="1:10" x14ac:dyDescent="0.45">
      <c r="A26" t="s">
        <v>236</v>
      </c>
      <c r="B26">
        <f>COUNTIF('Referral Log'!H:H,"Gang-Related Activity")</f>
        <v>0</v>
      </c>
      <c r="C26" t="str">
        <f t="shared" si="0"/>
        <v/>
      </c>
    </row>
    <row r="27" spans="1:10" x14ac:dyDescent="0.45">
      <c r="A27" t="s">
        <v>114</v>
      </c>
      <c r="B27">
        <f>COUNTIF('Referral Log'!H:H,"Other")</f>
        <v>1</v>
      </c>
      <c r="C27" t="str">
        <f t="shared" si="0"/>
        <v>|</v>
      </c>
    </row>
    <row r="29" spans="1:10" x14ac:dyDescent="0.45">
      <c r="A29" s="4" t="s">
        <v>237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45">
      <c r="A30" t="s">
        <v>108</v>
      </c>
      <c r="B30">
        <f>COUNTIF('Referral Log'!J:J,"Emotional Regulation")</f>
        <v>2</v>
      </c>
      <c r="C30" t="str">
        <f t="shared" ref="C30:C35" si="1">REPT("|",B30)</f>
        <v>||</v>
      </c>
    </row>
    <row r="31" spans="1:10" x14ac:dyDescent="0.45">
      <c r="A31" t="s">
        <v>125</v>
      </c>
      <c r="B31">
        <f>COUNTIF('Referral Log'!J:J,"Executive Functioning")</f>
        <v>1</v>
      </c>
      <c r="C31" t="str">
        <f t="shared" si="1"/>
        <v>|</v>
      </c>
    </row>
    <row r="32" spans="1:10" x14ac:dyDescent="0.45">
      <c r="A32" t="s">
        <v>93</v>
      </c>
      <c r="B32">
        <f>COUNTIF('Referral Log'!J:J,"Peer Conflict Resolution")</f>
        <v>2</v>
      </c>
      <c r="C32" t="str">
        <f t="shared" si="1"/>
        <v>||</v>
      </c>
    </row>
    <row r="33" spans="1:10" x14ac:dyDescent="0.45">
      <c r="A33" t="s">
        <v>238</v>
      </c>
      <c r="B33">
        <f>COUNTIF('Referral Log'!J:J,"Academic Frustration Tolerance")</f>
        <v>0</v>
      </c>
      <c r="C33" t="str">
        <f t="shared" si="1"/>
        <v/>
      </c>
    </row>
    <row r="34" spans="1:10" x14ac:dyDescent="0.45">
      <c r="A34" t="s">
        <v>104</v>
      </c>
      <c r="B34">
        <f>COUNTIF('Referral Log'!J:J,"Impulse Control")</f>
        <v>1</v>
      </c>
      <c r="C34" t="str">
        <f t="shared" si="1"/>
        <v>|</v>
      </c>
    </row>
    <row r="35" spans="1:10" x14ac:dyDescent="0.45">
      <c r="A35" t="s">
        <v>116</v>
      </c>
      <c r="B35">
        <f>COUNTIF('Referral Log'!J:J,"Adult Communication")</f>
        <v>1</v>
      </c>
      <c r="C35" t="str">
        <f t="shared" si="1"/>
        <v>|</v>
      </c>
    </row>
    <row r="37" spans="1:10" x14ac:dyDescent="0.45">
      <c r="A37" s="4" t="s">
        <v>239</v>
      </c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45">
      <c r="A38" t="s">
        <v>160</v>
      </c>
      <c r="B38">
        <f>COUNTIF('Student Supports'!F:F,"CICO (Check-In / Check-Out)")</f>
        <v>1</v>
      </c>
    </row>
    <row r="39" spans="1:10" x14ac:dyDescent="0.45">
      <c r="A39" t="s">
        <v>240</v>
      </c>
      <c r="B39">
        <f>COUNTIF('Student Supports'!F:F,"Counseling Referral")</f>
        <v>0</v>
      </c>
    </row>
    <row r="40" spans="1:10" x14ac:dyDescent="0.45">
      <c r="A40" t="s">
        <v>241</v>
      </c>
      <c r="B40">
        <f>COUNTIF('Student Supports'!F:F,"Peer Mediation")</f>
        <v>0</v>
      </c>
    </row>
    <row r="41" spans="1:10" x14ac:dyDescent="0.45">
      <c r="A41" t="s">
        <v>164</v>
      </c>
      <c r="B41">
        <f>COUNTIF('Student Supports'!F:F,"Social Skills Group")</f>
        <v>1</v>
      </c>
    </row>
    <row r="42" spans="1:10" x14ac:dyDescent="0.45">
      <c r="A42" t="s">
        <v>169</v>
      </c>
      <c r="B42">
        <f>COUNTIF('Student Supports'!F:F,"Behavior Contract")</f>
        <v>1</v>
      </c>
    </row>
    <row r="43" spans="1:10" x14ac:dyDescent="0.45">
      <c r="A43" t="s">
        <v>242</v>
      </c>
      <c r="B43">
        <f>COUNTIF('Student Supports'!F:F,"Academic Support")</f>
        <v>0</v>
      </c>
    </row>
    <row r="44" spans="1:10" x14ac:dyDescent="0.45">
      <c r="A44" t="s">
        <v>243</v>
      </c>
      <c r="B44">
        <f>COUNTIF('Student Supports'!F:F,"Mindfulness Protocol")</f>
        <v>0</v>
      </c>
    </row>
    <row r="45" spans="1:10" x14ac:dyDescent="0.45">
      <c r="A45" t="s">
        <v>244</v>
      </c>
      <c r="B45">
        <f>COUNTIF('Student Supports'!F:F,"Parent Conference")</f>
        <v>0</v>
      </c>
    </row>
    <row r="46" spans="1:10" x14ac:dyDescent="0.45">
      <c r="A46" t="s">
        <v>245</v>
      </c>
      <c r="B46">
        <f>COUNTIF('Student Supports'!F:F,"Mentoring")</f>
        <v>0</v>
      </c>
    </row>
    <row r="47" spans="1:10" x14ac:dyDescent="0.45">
      <c r="A47" t="s">
        <v>246</v>
      </c>
      <c r="B47">
        <f>COUNTIF('Student Supports'!F:F,"Restorative Circle")</f>
        <v>0</v>
      </c>
    </row>
    <row r="48" spans="1:10" x14ac:dyDescent="0.45">
      <c r="A48" t="s">
        <v>114</v>
      </c>
      <c r="B48">
        <f>COUNTIF('Student Supports'!F:F,"Other")</f>
        <v>0</v>
      </c>
    </row>
    <row r="50" spans="1:10" x14ac:dyDescent="0.45">
      <c r="A50" s="4" t="s">
        <v>247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45">
      <c r="A51" t="s">
        <v>248</v>
      </c>
      <c r="B51">
        <f>COUNTIF('Student Supports'!O:O,"Yes")</f>
        <v>2</v>
      </c>
    </row>
    <row r="52" spans="1:10" x14ac:dyDescent="0.45">
      <c r="A52" t="s">
        <v>249</v>
      </c>
      <c r="B52">
        <f>COUNTIF('Student Supports'!O:O,"No")</f>
        <v>0</v>
      </c>
    </row>
    <row r="53" spans="1:10" x14ac:dyDescent="0.45">
      <c r="A53" s="4" t="s">
        <v>250</v>
      </c>
      <c r="B53" s="4"/>
      <c r="C53" s="4"/>
      <c r="D53" s="4"/>
      <c r="E53" s="4"/>
      <c r="F53" s="4"/>
      <c r="G53" s="4"/>
      <c r="H53" s="4"/>
      <c r="I53" s="4"/>
      <c r="J53" s="4"/>
    </row>
    <row r="55" spans="1:10" x14ac:dyDescent="0.45">
      <c r="A55" s="4" t="s">
        <v>251</v>
      </c>
      <c r="B55" s="4"/>
      <c r="C55" s="4"/>
      <c r="D55" s="4"/>
      <c r="E55" s="4"/>
      <c r="F55" s="4"/>
      <c r="G55" s="4"/>
      <c r="H55" s="4"/>
      <c r="I55" s="4"/>
      <c r="J55" s="4"/>
    </row>
  </sheetData>
  <mergeCells count="9">
    <mergeCell ref="A1:J1"/>
    <mergeCell ref="A37:J37"/>
    <mergeCell ref="A16:J16"/>
    <mergeCell ref="A53:J53"/>
    <mergeCell ref="A55:J55"/>
    <mergeCell ref="A29:J29"/>
    <mergeCell ref="A4:J4"/>
    <mergeCell ref="A50:J50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8"/>
  <sheetViews>
    <sheetView zoomScaleNormal="100" workbookViewId="0"/>
  </sheetViews>
  <sheetFormatPr defaultRowHeight="15" customHeight="1" x14ac:dyDescent="0.45"/>
  <cols>
    <col min="1" max="1" width="16.6640625" customWidth="1"/>
    <col min="2" max="3" width="21.6640625" customWidth="1"/>
    <col min="4" max="4" width="16.6640625" customWidth="1"/>
    <col min="5" max="5" width="25" customWidth="1"/>
    <col min="6" max="7" width="26.6640625" customWidth="1"/>
    <col min="8" max="8" width="20" customWidth="1"/>
    <col min="9" max="9" width="16.6640625" customWidth="1"/>
  </cols>
  <sheetData>
    <row r="1" spans="1:9" x14ac:dyDescent="0.45">
      <c r="A1" t="s">
        <v>252</v>
      </c>
    </row>
    <row r="2" spans="1:9" x14ac:dyDescent="0.45">
      <c r="A2" s="4" t="str">
        <f ca="1">"As of: "&amp;TEXT(TODAY(),"MMMM D, YYYY")</f>
        <v>As of: July 14, 2026</v>
      </c>
      <c r="B2" s="4"/>
      <c r="C2" s="4"/>
      <c r="D2" s="4"/>
      <c r="E2" s="4"/>
      <c r="F2" s="4"/>
      <c r="G2" s="4"/>
      <c r="H2" s="4"/>
      <c r="I2" s="4"/>
    </row>
    <row r="3" spans="1:9" x14ac:dyDescent="0.45">
      <c r="A3" t="s">
        <v>253</v>
      </c>
    </row>
    <row r="5" spans="1:9" x14ac:dyDescent="0.45">
      <c r="A5" t="s">
        <v>254</v>
      </c>
    </row>
    <row r="6" spans="1:9" x14ac:dyDescent="0.4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255</v>
      </c>
      <c r="G6" t="s">
        <v>35</v>
      </c>
    </row>
    <row r="7" spans="1:9" x14ac:dyDescent="0.45">
      <c r="A7" t="str">
        <f ca="1">IF('ISS-OSS Placements'!B3="","",IF(COUNTIFS('ISS-OSS Placements'!$B:$B,'ISS-OSS Placements'!B3,'ISS-OSS Placements'!$F:$F,"OSS — Out-of-School Suspension",'ISS-OSS Placements'!$G:$G,"&gt;="&amp;(TODAY()-90))&gt;=3,'ISS-OSS Placements'!B3,""))</f>
        <v/>
      </c>
      <c r="B7" t="str">
        <f ca="1">IF('ISS-OSS Placements'!B3="","",IF(COUNTIFS('ISS-OSS Placements'!$B:$B,'ISS-OSS Placements'!B3,'ISS-OSS Placements'!$F:$F,"OSS — Out-of-School Suspension",'ISS-OSS Placements'!$G:$G,"&gt;="&amp;(TODAY()-90))&gt;=3,'ISS-OSS Placements'!C3,""))</f>
        <v/>
      </c>
      <c r="C7" t="str">
        <f ca="1">IF('ISS-OSS Placements'!B3="","",IF(COUNTIFS('ISS-OSS Placements'!$B:$B,'ISS-OSS Placements'!B3,'ISS-OSS Placements'!$F:$F,"OSS — Out-of-School Suspension",'ISS-OSS Placements'!$G:$G,"&gt;="&amp;(TODAY()-90))&gt;=3,'ISS-OSS Placements'!D3,""))</f>
        <v/>
      </c>
      <c r="D7" t="str">
        <f ca="1">IF('ISS-OSS Placements'!B3="","",IF(COUNTIFS('ISS-OSS Placements'!$B:$B,'ISS-OSS Placements'!B3,'ISS-OSS Placements'!$F:$F,"OSS — Out-of-School Suspension",'ISS-OSS Placements'!$G:$G,"&gt;="&amp;(TODAY()-90))&gt;=3,'ISS-OSS Placements'!E3,""))</f>
        <v/>
      </c>
      <c r="F7" t="str">
        <f ca="1">'ISS-OSS Placements'!Q3</f>
        <v>0</v>
      </c>
      <c r="G7" t="s">
        <v>256</v>
      </c>
    </row>
    <row r="8" spans="1:9" x14ac:dyDescent="0.45">
      <c r="A8" t="str">
        <f ca="1">IF('ISS-OSS Placements'!B4="","",IF(COUNTIFS('ISS-OSS Placements'!$B:$B,'ISS-OSS Placements'!B4,'ISS-OSS Placements'!$F:$F,"OSS — Out-of-School Suspension",'ISS-OSS Placements'!$G:$G,"&gt;="&amp;(TODAY()-90))&gt;=3,'ISS-OSS Placements'!B4,""))</f>
        <v/>
      </c>
      <c r="B8" t="str">
        <f ca="1">IF('ISS-OSS Placements'!B4="","",IF(COUNTIFS('ISS-OSS Placements'!$B:$B,'ISS-OSS Placements'!B4,'ISS-OSS Placements'!$F:$F,"OSS — Out-of-School Suspension",'ISS-OSS Placements'!$G:$G,"&gt;="&amp;(TODAY()-90))&gt;=3,'ISS-OSS Placements'!C4,""))</f>
        <v/>
      </c>
      <c r="C8" t="str">
        <f ca="1">IF('ISS-OSS Placements'!B4="","",IF(COUNTIFS('ISS-OSS Placements'!$B:$B,'ISS-OSS Placements'!B4,'ISS-OSS Placements'!$F:$F,"OSS — Out-of-School Suspension",'ISS-OSS Placements'!$G:$G,"&gt;="&amp;(TODAY()-90))&gt;=3,'ISS-OSS Placements'!D4,""))</f>
        <v/>
      </c>
      <c r="D8" t="str">
        <f ca="1">IF('ISS-OSS Placements'!B4="","",IF(COUNTIFS('ISS-OSS Placements'!$B:$B,'ISS-OSS Placements'!B4,'ISS-OSS Placements'!$F:$F,"OSS — Out-of-School Suspension",'ISS-OSS Placements'!$G:$G,"&gt;="&amp;(TODAY()-90))&gt;=3,'ISS-OSS Placements'!E4,""))</f>
        <v/>
      </c>
      <c r="F8" t="str">
        <f ca="1">'ISS-OSS Placements'!Q4</f>
        <v>0</v>
      </c>
      <c r="G8" t="s">
        <v>256</v>
      </c>
    </row>
    <row r="9" spans="1:9" x14ac:dyDescent="0.45">
      <c r="A9" t="str">
        <f ca="1">IF('ISS-OSS Placements'!B5="","",IF(COUNTIFS('ISS-OSS Placements'!$B:$B,'ISS-OSS Placements'!B5,'ISS-OSS Placements'!$F:$F,"OSS — Out-of-School Suspension",'ISS-OSS Placements'!$G:$G,"&gt;="&amp;(TODAY()-90))&gt;=3,'ISS-OSS Placements'!B5,""))</f>
        <v/>
      </c>
      <c r="B9" t="str">
        <f ca="1">IF('ISS-OSS Placements'!B5="","",IF(COUNTIFS('ISS-OSS Placements'!$B:$B,'ISS-OSS Placements'!B5,'ISS-OSS Placements'!$F:$F,"OSS — Out-of-School Suspension",'ISS-OSS Placements'!$G:$G,"&gt;="&amp;(TODAY()-90))&gt;=3,'ISS-OSS Placements'!C5,""))</f>
        <v/>
      </c>
      <c r="C9" t="str">
        <f ca="1">IF('ISS-OSS Placements'!B5="","",IF(COUNTIFS('ISS-OSS Placements'!$B:$B,'ISS-OSS Placements'!B5,'ISS-OSS Placements'!$F:$F,"OSS — Out-of-School Suspension",'ISS-OSS Placements'!$G:$G,"&gt;="&amp;(TODAY()-90))&gt;=3,'ISS-OSS Placements'!D5,""))</f>
        <v/>
      </c>
      <c r="D9" t="str">
        <f ca="1">IF('ISS-OSS Placements'!B5="","",IF(COUNTIFS('ISS-OSS Placements'!$B:$B,'ISS-OSS Placements'!B5,'ISS-OSS Placements'!$F:$F,"OSS — Out-of-School Suspension",'ISS-OSS Placements'!$G:$G,"&gt;="&amp;(TODAY()-90))&gt;=3,'ISS-OSS Placements'!E5,""))</f>
        <v/>
      </c>
      <c r="F9" t="str">
        <f ca="1">'ISS-OSS Placements'!Q5</f>
        <v>0</v>
      </c>
      <c r="G9" t="s">
        <v>256</v>
      </c>
    </row>
    <row r="10" spans="1:9" x14ac:dyDescent="0.45">
      <c r="A10" t="str">
        <f ca="1">IF('ISS-OSS Placements'!B6="","",IF(COUNTIFS('ISS-OSS Placements'!$B:$B,'ISS-OSS Placements'!B6,'ISS-OSS Placements'!$F:$F,"OSS — Out-of-School Suspension",'ISS-OSS Placements'!$G:$G,"&gt;="&amp;(TODAY()-90))&gt;=3,'ISS-OSS Placements'!B6,""))</f>
        <v/>
      </c>
      <c r="B10" t="str">
        <f ca="1">IF('ISS-OSS Placements'!B6="","",IF(COUNTIFS('ISS-OSS Placements'!$B:$B,'ISS-OSS Placements'!B6,'ISS-OSS Placements'!$F:$F,"OSS — Out-of-School Suspension",'ISS-OSS Placements'!$G:$G,"&gt;="&amp;(TODAY()-90))&gt;=3,'ISS-OSS Placements'!C6,""))</f>
        <v/>
      </c>
      <c r="C10" t="str">
        <f ca="1">IF('ISS-OSS Placements'!B6="","",IF(COUNTIFS('ISS-OSS Placements'!$B:$B,'ISS-OSS Placements'!B6,'ISS-OSS Placements'!$F:$F,"OSS — Out-of-School Suspension",'ISS-OSS Placements'!$G:$G,"&gt;="&amp;(TODAY()-90))&gt;=3,'ISS-OSS Placements'!D6,""))</f>
        <v/>
      </c>
      <c r="D10" t="str">
        <f ca="1">IF('ISS-OSS Placements'!B6="","",IF(COUNTIFS('ISS-OSS Placements'!$B:$B,'ISS-OSS Placements'!B6,'ISS-OSS Placements'!$F:$F,"OSS — Out-of-School Suspension",'ISS-OSS Placements'!$G:$G,"&gt;="&amp;(TODAY()-90))&gt;=3,'ISS-OSS Placements'!E6,""))</f>
        <v/>
      </c>
      <c r="F10" t="str">
        <f ca="1">'ISS-OSS Placements'!Q6</f>
        <v>0</v>
      </c>
      <c r="G10" t="s">
        <v>256</v>
      </c>
    </row>
    <row r="11" spans="1:9" x14ac:dyDescent="0.45">
      <c r="A11" t="str">
        <f ca="1">IF('ISS-OSS Placements'!B7="","",IF(COUNTIFS('ISS-OSS Placements'!$B:$B,'ISS-OSS Placements'!B7,'ISS-OSS Placements'!$F:$F,"OSS — Out-of-School Suspension",'ISS-OSS Placements'!$G:$G,"&gt;="&amp;(TODAY()-90))&gt;=3,'ISS-OSS Placements'!B7,""))</f>
        <v/>
      </c>
      <c r="B11" t="str">
        <f ca="1">IF('ISS-OSS Placements'!B7="","",IF(COUNTIFS('ISS-OSS Placements'!$B:$B,'ISS-OSS Placements'!B7,'ISS-OSS Placements'!$F:$F,"OSS — Out-of-School Suspension",'ISS-OSS Placements'!$G:$G,"&gt;="&amp;(TODAY()-90))&gt;=3,'ISS-OSS Placements'!C7,""))</f>
        <v/>
      </c>
      <c r="C11" t="str">
        <f ca="1">IF('ISS-OSS Placements'!B7="","",IF(COUNTIFS('ISS-OSS Placements'!$B:$B,'ISS-OSS Placements'!B7,'ISS-OSS Placements'!$F:$F,"OSS — Out-of-School Suspension",'ISS-OSS Placements'!$G:$G,"&gt;="&amp;(TODAY()-90))&gt;=3,'ISS-OSS Placements'!D7,""))</f>
        <v/>
      </c>
      <c r="D11" t="str">
        <f ca="1">IF('ISS-OSS Placements'!B7="","",IF(COUNTIFS('ISS-OSS Placements'!$B:$B,'ISS-OSS Placements'!B7,'ISS-OSS Placements'!$F:$F,"OSS — Out-of-School Suspension",'ISS-OSS Placements'!$G:$G,"&gt;="&amp;(TODAY()-90))&gt;=3,'ISS-OSS Placements'!E7,""))</f>
        <v/>
      </c>
      <c r="F11" t="str">
        <f ca="1">'ISS-OSS Placements'!Q7</f>
        <v/>
      </c>
      <c r="G11" t="s">
        <v>256</v>
      </c>
    </row>
    <row r="12" spans="1:9" x14ac:dyDescent="0.45">
      <c r="A12" t="str">
        <f ca="1">IF('ISS-OSS Placements'!B8="","",IF(COUNTIFS('ISS-OSS Placements'!$B:$B,'ISS-OSS Placements'!B8,'ISS-OSS Placements'!$F:$F,"OSS — Out-of-School Suspension",'ISS-OSS Placements'!$G:$G,"&gt;="&amp;(TODAY()-90))&gt;=3,'ISS-OSS Placements'!B8,""))</f>
        <v/>
      </c>
      <c r="B12" t="str">
        <f ca="1">IF('ISS-OSS Placements'!B8="","",IF(COUNTIFS('ISS-OSS Placements'!$B:$B,'ISS-OSS Placements'!B8,'ISS-OSS Placements'!$F:$F,"OSS — Out-of-School Suspension",'ISS-OSS Placements'!$G:$G,"&gt;="&amp;(TODAY()-90))&gt;=3,'ISS-OSS Placements'!C8,""))</f>
        <v/>
      </c>
      <c r="C12" t="str">
        <f ca="1">IF('ISS-OSS Placements'!B8="","",IF(COUNTIFS('ISS-OSS Placements'!$B:$B,'ISS-OSS Placements'!B8,'ISS-OSS Placements'!$F:$F,"OSS — Out-of-School Suspension",'ISS-OSS Placements'!$G:$G,"&gt;="&amp;(TODAY()-90))&gt;=3,'ISS-OSS Placements'!D8,""))</f>
        <v/>
      </c>
      <c r="D12" t="str">
        <f ca="1">IF('ISS-OSS Placements'!B8="","",IF(COUNTIFS('ISS-OSS Placements'!$B:$B,'ISS-OSS Placements'!B8,'ISS-OSS Placements'!$F:$F,"OSS — Out-of-School Suspension",'ISS-OSS Placements'!$G:$G,"&gt;="&amp;(TODAY()-90))&gt;=3,'ISS-OSS Placements'!E8,""))</f>
        <v/>
      </c>
      <c r="F12" t="str">
        <f ca="1">'ISS-OSS Placements'!Q8</f>
        <v/>
      </c>
      <c r="G12" t="s">
        <v>256</v>
      </c>
    </row>
    <row r="13" spans="1:9" x14ac:dyDescent="0.45">
      <c r="A13" t="str">
        <f ca="1">IF('ISS-OSS Placements'!B9="","",IF(COUNTIFS('ISS-OSS Placements'!$B:$B,'ISS-OSS Placements'!B9,'ISS-OSS Placements'!$F:$F,"OSS — Out-of-School Suspension",'ISS-OSS Placements'!$G:$G,"&gt;="&amp;(TODAY()-90))&gt;=3,'ISS-OSS Placements'!B9,""))</f>
        <v/>
      </c>
      <c r="B13" t="str">
        <f ca="1">IF('ISS-OSS Placements'!B9="","",IF(COUNTIFS('ISS-OSS Placements'!$B:$B,'ISS-OSS Placements'!B9,'ISS-OSS Placements'!$F:$F,"OSS — Out-of-School Suspension",'ISS-OSS Placements'!$G:$G,"&gt;="&amp;(TODAY()-90))&gt;=3,'ISS-OSS Placements'!C9,""))</f>
        <v/>
      </c>
      <c r="C13" t="str">
        <f ca="1">IF('ISS-OSS Placements'!B9="","",IF(COUNTIFS('ISS-OSS Placements'!$B:$B,'ISS-OSS Placements'!B9,'ISS-OSS Placements'!$F:$F,"OSS — Out-of-School Suspension",'ISS-OSS Placements'!$G:$G,"&gt;="&amp;(TODAY()-90))&gt;=3,'ISS-OSS Placements'!D9,""))</f>
        <v/>
      </c>
      <c r="D13" t="str">
        <f ca="1">IF('ISS-OSS Placements'!B9="","",IF(COUNTIFS('ISS-OSS Placements'!$B:$B,'ISS-OSS Placements'!B9,'ISS-OSS Placements'!$F:$F,"OSS — Out-of-School Suspension",'ISS-OSS Placements'!$G:$G,"&gt;="&amp;(TODAY()-90))&gt;=3,'ISS-OSS Placements'!E9,""))</f>
        <v/>
      </c>
      <c r="F13" t="str">
        <f ca="1">'ISS-OSS Placements'!Q9</f>
        <v/>
      </c>
      <c r="G13" t="s">
        <v>256</v>
      </c>
    </row>
    <row r="14" spans="1:9" x14ac:dyDescent="0.45">
      <c r="A14" t="str">
        <f ca="1">IF('ISS-OSS Placements'!B10="","",IF(COUNTIFS('ISS-OSS Placements'!$B:$B,'ISS-OSS Placements'!B10,'ISS-OSS Placements'!$F:$F,"OSS — Out-of-School Suspension",'ISS-OSS Placements'!$G:$G,"&gt;="&amp;(TODAY()-90))&gt;=3,'ISS-OSS Placements'!B10,""))</f>
        <v/>
      </c>
      <c r="B14" t="str">
        <f ca="1">IF('ISS-OSS Placements'!B10="","",IF(COUNTIFS('ISS-OSS Placements'!$B:$B,'ISS-OSS Placements'!B10,'ISS-OSS Placements'!$F:$F,"OSS — Out-of-School Suspension",'ISS-OSS Placements'!$G:$G,"&gt;="&amp;(TODAY()-90))&gt;=3,'ISS-OSS Placements'!C10,""))</f>
        <v/>
      </c>
      <c r="C14" t="str">
        <f ca="1">IF('ISS-OSS Placements'!B10="","",IF(COUNTIFS('ISS-OSS Placements'!$B:$B,'ISS-OSS Placements'!B10,'ISS-OSS Placements'!$F:$F,"OSS — Out-of-School Suspension",'ISS-OSS Placements'!$G:$G,"&gt;="&amp;(TODAY()-90))&gt;=3,'ISS-OSS Placements'!D10,""))</f>
        <v/>
      </c>
      <c r="D14" t="str">
        <f ca="1">IF('ISS-OSS Placements'!B10="","",IF(COUNTIFS('ISS-OSS Placements'!$B:$B,'ISS-OSS Placements'!B10,'ISS-OSS Placements'!$F:$F,"OSS — Out-of-School Suspension",'ISS-OSS Placements'!$G:$G,"&gt;="&amp;(TODAY()-90))&gt;=3,'ISS-OSS Placements'!E10,""))</f>
        <v/>
      </c>
      <c r="F14" t="str">
        <f ca="1">'ISS-OSS Placements'!Q10</f>
        <v/>
      </c>
      <c r="G14" t="s">
        <v>256</v>
      </c>
    </row>
    <row r="15" spans="1:9" x14ac:dyDescent="0.45">
      <c r="A15" t="str">
        <f ca="1">IF('ISS-OSS Placements'!B11="","",IF(COUNTIFS('ISS-OSS Placements'!$B:$B,'ISS-OSS Placements'!B11,'ISS-OSS Placements'!$F:$F,"OSS — Out-of-School Suspension",'ISS-OSS Placements'!$G:$G,"&gt;="&amp;(TODAY()-90))&gt;=3,'ISS-OSS Placements'!B11,""))</f>
        <v/>
      </c>
      <c r="B15" t="str">
        <f ca="1">IF('ISS-OSS Placements'!B11="","",IF(COUNTIFS('ISS-OSS Placements'!$B:$B,'ISS-OSS Placements'!B11,'ISS-OSS Placements'!$F:$F,"OSS — Out-of-School Suspension",'ISS-OSS Placements'!$G:$G,"&gt;="&amp;(TODAY()-90))&gt;=3,'ISS-OSS Placements'!C11,""))</f>
        <v/>
      </c>
      <c r="C15" t="str">
        <f ca="1">IF('ISS-OSS Placements'!B11="","",IF(COUNTIFS('ISS-OSS Placements'!$B:$B,'ISS-OSS Placements'!B11,'ISS-OSS Placements'!$F:$F,"OSS — Out-of-School Suspension",'ISS-OSS Placements'!$G:$G,"&gt;="&amp;(TODAY()-90))&gt;=3,'ISS-OSS Placements'!D11,""))</f>
        <v/>
      </c>
      <c r="D15" t="str">
        <f ca="1">IF('ISS-OSS Placements'!B11="","",IF(COUNTIFS('ISS-OSS Placements'!$B:$B,'ISS-OSS Placements'!B11,'ISS-OSS Placements'!$F:$F,"OSS — Out-of-School Suspension",'ISS-OSS Placements'!$G:$G,"&gt;="&amp;(TODAY()-90))&gt;=3,'ISS-OSS Placements'!E11,""))</f>
        <v/>
      </c>
      <c r="F15" t="str">
        <f ca="1">'ISS-OSS Placements'!Q11</f>
        <v/>
      </c>
      <c r="G15" t="s">
        <v>256</v>
      </c>
    </row>
    <row r="16" spans="1:9" x14ac:dyDescent="0.45">
      <c r="A16" t="str">
        <f ca="1">IF('ISS-OSS Placements'!B12="","",IF(COUNTIFS('ISS-OSS Placements'!$B:$B,'ISS-OSS Placements'!B12,'ISS-OSS Placements'!$F:$F,"OSS — Out-of-School Suspension",'ISS-OSS Placements'!$G:$G,"&gt;="&amp;(TODAY()-90))&gt;=3,'ISS-OSS Placements'!B12,""))</f>
        <v/>
      </c>
      <c r="B16" t="str">
        <f ca="1">IF('ISS-OSS Placements'!B12="","",IF(COUNTIFS('ISS-OSS Placements'!$B:$B,'ISS-OSS Placements'!B12,'ISS-OSS Placements'!$F:$F,"OSS — Out-of-School Suspension",'ISS-OSS Placements'!$G:$G,"&gt;="&amp;(TODAY()-90))&gt;=3,'ISS-OSS Placements'!C12,""))</f>
        <v/>
      </c>
      <c r="C16" t="str">
        <f ca="1">IF('ISS-OSS Placements'!B12="","",IF(COUNTIFS('ISS-OSS Placements'!$B:$B,'ISS-OSS Placements'!B12,'ISS-OSS Placements'!$F:$F,"OSS — Out-of-School Suspension",'ISS-OSS Placements'!$G:$G,"&gt;="&amp;(TODAY()-90))&gt;=3,'ISS-OSS Placements'!D12,""))</f>
        <v/>
      </c>
      <c r="D16" t="str">
        <f ca="1">IF('ISS-OSS Placements'!B12="","",IF(COUNTIFS('ISS-OSS Placements'!$B:$B,'ISS-OSS Placements'!B12,'ISS-OSS Placements'!$F:$F,"OSS — Out-of-School Suspension",'ISS-OSS Placements'!$G:$G,"&gt;="&amp;(TODAY()-90))&gt;=3,'ISS-OSS Placements'!E12,""))</f>
        <v/>
      </c>
      <c r="F16" t="str">
        <f ca="1">'ISS-OSS Placements'!Q12</f>
        <v/>
      </c>
      <c r="G16" t="s">
        <v>256</v>
      </c>
    </row>
    <row r="18" spans="1:7" x14ac:dyDescent="0.45">
      <c r="A18" t="s">
        <v>257</v>
      </c>
    </row>
    <row r="19" spans="1:7" x14ac:dyDescent="0.45">
      <c r="A19" t="s">
        <v>77</v>
      </c>
      <c r="B19" t="s">
        <v>258</v>
      </c>
      <c r="C19" t="s">
        <v>28</v>
      </c>
      <c r="D19" t="s">
        <v>29</v>
      </c>
      <c r="E19" t="s">
        <v>259</v>
      </c>
      <c r="F19" t="s">
        <v>260</v>
      </c>
      <c r="G19" t="s">
        <v>35</v>
      </c>
    </row>
    <row r="20" spans="1:7" x14ac:dyDescent="0.45">
      <c r="A20" t="str">
        <f>IF('Referral Log'!A3="","",IF('Referral Log'!M3="Open",'Referral Log'!A3,""))</f>
        <v/>
      </c>
      <c r="B20" t="str">
        <f>IF('Referral Log'!A3="","",IF('Referral Log'!M3="Open",'Referral Log'!B3,""))</f>
        <v/>
      </c>
      <c r="C20" t="str">
        <f>IF('Referral Log'!A3="","",IF('Referral Log'!M3="Open",'Referral Log'!D3,""))</f>
        <v/>
      </c>
      <c r="D20" t="str">
        <f>IF('Referral Log'!A3="","",IF('Referral Log'!M3="Open",'Referral Log'!E3,""))</f>
        <v/>
      </c>
      <c r="E20" t="str">
        <f>IF('Referral Log'!A3="","",IF('Referral Log'!M3="Open",'Referral Log'!H3,""))</f>
        <v/>
      </c>
      <c r="F20" t="str">
        <f>IF('Referral Log'!A3="","",IF('Referral Log'!M3="Open",'Referral Log'!J3,""))</f>
        <v/>
      </c>
      <c r="G20" t="str">
        <f>IF('Referral Log'!A3="","",IF('Referral Log'!M3="Open",'Referral Log'!M3,""))</f>
        <v/>
      </c>
    </row>
    <row r="21" spans="1:7" x14ac:dyDescent="0.45">
      <c r="A21" t="str">
        <f>IF('Referral Log'!A4="","",IF('Referral Log'!M4="Open",'Referral Log'!A4,""))</f>
        <v/>
      </c>
      <c r="B21" t="str">
        <f>IF('Referral Log'!A4="","",IF('Referral Log'!M4="Open",'Referral Log'!B4,""))</f>
        <v/>
      </c>
      <c r="C21" t="str">
        <f>IF('Referral Log'!A4="","",IF('Referral Log'!M4="Open",'Referral Log'!D4,""))</f>
        <v/>
      </c>
      <c r="D21" t="str">
        <f>IF('Referral Log'!A4="","",IF('Referral Log'!M4="Open",'Referral Log'!E4,""))</f>
        <v/>
      </c>
      <c r="E21" t="str">
        <f>IF('Referral Log'!A4="","",IF('Referral Log'!M4="Open",'Referral Log'!H4,""))</f>
        <v/>
      </c>
      <c r="F21" t="str">
        <f>IF('Referral Log'!A4="","",IF('Referral Log'!M4="Open",'Referral Log'!J4,""))</f>
        <v/>
      </c>
      <c r="G21" t="str">
        <f>IF('Referral Log'!A4="","",IF('Referral Log'!M4="Open",'Referral Log'!M4,""))</f>
        <v/>
      </c>
    </row>
    <row r="22" spans="1:7" x14ac:dyDescent="0.45">
      <c r="A22" t="str">
        <f>IF('Referral Log'!A5="","",IF('Referral Log'!M5="Open",'Referral Log'!A5,""))</f>
        <v/>
      </c>
      <c r="B22" t="str">
        <f>IF('Referral Log'!A5="","",IF('Referral Log'!M5="Open",'Referral Log'!B5,""))</f>
        <v/>
      </c>
      <c r="C22" t="str">
        <f>IF('Referral Log'!A5="","",IF('Referral Log'!M5="Open",'Referral Log'!D5,""))</f>
        <v/>
      </c>
      <c r="D22" t="str">
        <f>IF('Referral Log'!A5="","",IF('Referral Log'!M5="Open",'Referral Log'!E5,""))</f>
        <v/>
      </c>
      <c r="E22" t="str">
        <f>IF('Referral Log'!A5="","",IF('Referral Log'!M5="Open",'Referral Log'!H5,""))</f>
        <v/>
      </c>
      <c r="F22" t="str">
        <f>IF('Referral Log'!A5="","",IF('Referral Log'!M5="Open",'Referral Log'!J5,""))</f>
        <v/>
      </c>
      <c r="G22" t="str">
        <f>IF('Referral Log'!A5="","",IF('Referral Log'!M5="Open",'Referral Log'!M5,""))</f>
        <v/>
      </c>
    </row>
    <row r="23" spans="1:7" x14ac:dyDescent="0.45">
      <c r="A23" t="str">
        <f>IF('Referral Log'!A6="","",IF('Referral Log'!M6="Open",'Referral Log'!A6,""))</f>
        <v/>
      </c>
      <c r="B23" t="str">
        <f>IF('Referral Log'!A6="","",IF('Referral Log'!M6="Open",'Referral Log'!B6,""))</f>
        <v/>
      </c>
      <c r="C23" t="str">
        <f>IF('Referral Log'!A6="","",IF('Referral Log'!M6="Open",'Referral Log'!D6,""))</f>
        <v/>
      </c>
      <c r="D23" t="str">
        <f>IF('Referral Log'!A6="","",IF('Referral Log'!M6="Open",'Referral Log'!E6,""))</f>
        <v/>
      </c>
      <c r="E23" t="str">
        <f>IF('Referral Log'!A6="","",IF('Referral Log'!M6="Open",'Referral Log'!H6,""))</f>
        <v/>
      </c>
      <c r="F23" t="str">
        <f>IF('Referral Log'!A6="","",IF('Referral Log'!M6="Open",'Referral Log'!J6,""))</f>
        <v/>
      </c>
      <c r="G23" t="str">
        <f>IF('Referral Log'!A6="","",IF('Referral Log'!M6="Open",'Referral Log'!M6,""))</f>
        <v/>
      </c>
    </row>
    <row r="24" spans="1:7" x14ac:dyDescent="0.45">
      <c r="A24" t="str">
        <f>IF('Referral Log'!A7="","",IF('Referral Log'!M7="Open",'Referral Log'!A7,""))</f>
        <v>REF-005</v>
      </c>
      <c r="B24">
        <f>IF('Referral Log'!A7="","",IF('Referral Log'!M7="Open",'Referral Log'!B7,""))</f>
        <v>46059</v>
      </c>
      <c r="C24" t="str">
        <f>IF('Referral Log'!A7="","",IF('Referral Log'!M7="Open",'Referral Log'!D7,""))</f>
        <v>NAV-002</v>
      </c>
      <c r="D24" t="str">
        <f>IF('Referral Log'!A7="","",IF('Referral Log'!M7="Open",'Referral Log'!E7,""))</f>
        <v>Chen</v>
      </c>
      <c r="E24" t="str">
        <f>IF('Referral Log'!A7="","",IF('Referral Log'!M7="Open",'Referral Log'!H7,""))</f>
        <v>Other</v>
      </c>
      <c r="F24" t="str">
        <f>IF('Referral Log'!A7="","",IF('Referral Log'!M7="Open",'Referral Log'!J7,""))</f>
        <v>Adult Communication</v>
      </c>
      <c r="G24" t="str">
        <f>IF('Referral Log'!A7="","",IF('Referral Log'!M7="Open",'Referral Log'!M7,""))</f>
        <v>Open</v>
      </c>
    </row>
    <row r="25" spans="1:7" x14ac:dyDescent="0.45">
      <c r="A25" t="str">
        <f>IF('Referral Log'!A8="","",IF('Referral Log'!M8="Open",'Referral Log'!A8,""))</f>
        <v/>
      </c>
      <c r="B25" t="str">
        <f>IF('Referral Log'!A8="","",IF('Referral Log'!M8="Open",'Referral Log'!B8,""))</f>
        <v/>
      </c>
      <c r="C25" t="str">
        <f>IF('Referral Log'!A8="","",IF('Referral Log'!M8="Open",'Referral Log'!D8,""))</f>
        <v/>
      </c>
      <c r="D25" t="str">
        <f>IF('Referral Log'!A8="","",IF('Referral Log'!M8="Open",'Referral Log'!E8,""))</f>
        <v/>
      </c>
      <c r="E25" t="str">
        <f>IF('Referral Log'!A8="","",IF('Referral Log'!M8="Open",'Referral Log'!H8,""))</f>
        <v/>
      </c>
      <c r="F25" t="str">
        <f>IF('Referral Log'!A8="","",IF('Referral Log'!M8="Open",'Referral Log'!J8,""))</f>
        <v/>
      </c>
      <c r="G25" t="str">
        <f>IF('Referral Log'!A8="","",IF('Referral Log'!M8="Open",'Referral Log'!M8,""))</f>
        <v/>
      </c>
    </row>
    <row r="26" spans="1:7" x14ac:dyDescent="0.45">
      <c r="A26" t="str">
        <f>IF('Referral Log'!A9="","",IF('Referral Log'!M9="Open",'Referral Log'!A9,""))</f>
        <v>REF-007</v>
      </c>
      <c r="B26">
        <f>IF('Referral Log'!A9="","",IF('Referral Log'!M9="Open",'Referral Log'!B9,""))</f>
        <v>46083</v>
      </c>
      <c r="C26" t="str">
        <f>IF('Referral Log'!A9="","",IF('Referral Log'!M9="Open",'Referral Log'!D9,""))</f>
        <v>NAV-004</v>
      </c>
      <c r="D26" t="str">
        <f>IF('Referral Log'!A9="","",IF('Referral Log'!M9="Open",'Referral Log'!E9,""))</f>
        <v>Martinez</v>
      </c>
      <c r="E26" t="str">
        <f>IF('Referral Log'!A9="","",IF('Referral Log'!M9="Open",'Referral Log'!H9,""))</f>
        <v>Truancy</v>
      </c>
      <c r="F26" t="str">
        <f>IF('Referral Log'!A9="","",IF('Referral Log'!M9="Open",'Referral Log'!J9,""))</f>
        <v>Executive Functioning</v>
      </c>
      <c r="G26" t="str">
        <f>IF('Referral Log'!A9="","",IF('Referral Log'!M9="Open",'Referral Log'!M9,""))</f>
        <v>Open</v>
      </c>
    </row>
    <row r="27" spans="1:7" x14ac:dyDescent="0.45">
      <c r="A27" t="str">
        <f>IF('Referral Log'!A10="","",IF('Referral Log'!M10="Open",'Referral Log'!A10,""))</f>
        <v/>
      </c>
      <c r="B27" t="str">
        <f>IF('Referral Log'!A10="","",IF('Referral Log'!M10="Open",'Referral Log'!B10,""))</f>
        <v/>
      </c>
      <c r="C27" t="str">
        <f>IF('Referral Log'!A10="","",IF('Referral Log'!M10="Open",'Referral Log'!D10,""))</f>
        <v/>
      </c>
      <c r="D27" t="str">
        <f>IF('Referral Log'!A10="","",IF('Referral Log'!M10="Open",'Referral Log'!E10,""))</f>
        <v/>
      </c>
      <c r="E27" t="str">
        <f>IF('Referral Log'!A10="","",IF('Referral Log'!M10="Open",'Referral Log'!H10,""))</f>
        <v/>
      </c>
      <c r="F27" t="str">
        <f>IF('Referral Log'!A10="","",IF('Referral Log'!M10="Open",'Referral Log'!J10,""))</f>
        <v/>
      </c>
      <c r="G27" t="str">
        <f>IF('Referral Log'!A10="","",IF('Referral Log'!M10="Open",'Referral Log'!M10,""))</f>
        <v/>
      </c>
    </row>
    <row r="28" spans="1:7" x14ac:dyDescent="0.45">
      <c r="A28" t="str">
        <f>IF('Referral Log'!A11="","",IF('Referral Log'!M11="Open",'Referral Log'!A11,""))</f>
        <v/>
      </c>
      <c r="B28" t="str">
        <f>IF('Referral Log'!A11="","",IF('Referral Log'!M11="Open",'Referral Log'!B11,""))</f>
        <v/>
      </c>
      <c r="C28" t="str">
        <f>IF('Referral Log'!A11="","",IF('Referral Log'!M11="Open",'Referral Log'!D11,""))</f>
        <v/>
      </c>
      <c r="D28" t="str">
        <f>IF('Referral Log'!A11="","",IF('Referral Log'!M11="Open",'Referral Log'!E11,""))</f>
        <v/>
      </c>
      <c r="E28" t="str">
        <f>IF('Referral Log'!A11="","",IF('Referral Log'!M11="Open",'Referral Log'!H11,""))</f>
        <v/>
      </c>
      <c r="F28" t="str">
        <f>IF('Referral Log'!A11="","",IF('Referral Log'!M11="Open",'Referral Log'!J11,""))</f>
        <v/>
      </c>
      <c r="G28" t="str">
        <f>IF('Referral Log'!A11="","",IF('Referral Log'!M11="Open",'Referral Log'!M11,""))</f>
        <v/>
      </c>
    </row>
    <row r="29" spans="1:7" x14ac:dyDescent="0.45">
      <c r="A29" t="str">
        <f>IF('Referral Log'!A12="","",IF('Referral Log'!M12="Open",'Referral Log'!A12,""))</f>
        <v/>
      </c>
      <c r="B29" t="str">
        <f>IF('Referral Log'!A12="","",IF('Referral Log'!M12="Open",'Referral Log'!B12,""))</f>
        <v/>
      </c>
      <c r="C29" t="str">
        <f>IF('Referral Log'!A12="","",IF('Referral Log'!M12="Open",'Referral Log'!D12,""))</f>
        <v/>
      </c>
      <c r="D29" t="str">
        <f>IF('Referral Log'!A12="","",IF('Referral Log'!M12="Open",'Referral Log'!E12,""))</f>
        <v/>
      </c>
      <c r="E29" t="str">
        <f>IF('Referral Log'!A12="","",IF('Referral Log'!M12="Open",'Referral Log'!H12,""))</f>
        <v/>
      </c>
      <c r="F29" t="str">
        <f>IF('Referral Log'!A12="","",IF('Referral Log'!M12="Open",'Referral Log'!J12,""))</f>
        <v/>
      </c>
      <c r="G29" t="str">
        <f>IF('Referral Log'!A12="","",IF('Referral Log'!M12="Open",'Referral Log'!M12,""))</f>
        <v/>
      </c>
    </row>
    <row r="31" spans="1:7" x14ac:dyDescent="0.45">
      <c r="A31" t="s">
        <v>261</v>
      </c>
    </row>
    <row r="32" spans="1:7" x14ac:dyDescent="0.45">
      <c r="A32" t="s">
        <v>212</v>
      </c>
      <c r="B32">
        <f>COUNTIF('Student Supports'!K:K,"Active")</f>
        <v>2</v>
      </c>
    </row>
    <row r="33" spans="1:9" x14ac:dyDescent="0.45">
      <c r="A33" t="s">
        <v>222</v>
      </c>
      <c r="B33">
        <f>COUNTIF('Referral Log'!M:M,"Open")</f>
        <v>2</v>
      </c>
    </row>
    <row r="34" spans="1:9" x14ac:dyDescent="0.45">
      <c r="A34" t="s">
        <v>262</v>
      </c>
      <c r="B34">
        <f ca="1">SUMPRODUCT((COUNTIFS('ISS-OSS Placements'!$B:$B,IF('ISS-OSS Placements'!$B:$B&lt;&gt;"",Roster!$A:$A,"NOMATCH"),'ISS-OSS Placements'!$F:$F,"OSS — Out-of-School Suspension",'ISS-OSS Placements'!$G:$G,"&gt;="&amp;(TODAY()-90))&gt;=3)*1)</f>
        <v>0</v>
      </c>
    </row>
    <row r="35" spans="1:9" x14ac:dyDescent="0.45">
      <c r="A35" t="s">
        <v>221</v>
      </c>
      <c r="B35">
        <f>MAX(0,COUNTA('Referral Log'!A:A)-2)</f>
        <v>7</v>
      </c>
    </row>
    <row r="36" spans="1:9" x14ac:dyDescent="0.45">
      <c r="A36" t="s">
        <v>263</v>
      </c>
      <c r="B36">
        <f>COUNTIF('Student Supports'!K:K,"Completed")</f>
        <v>1</v>
      </c>
    </row>
    <row r="38" spans="1:9" x14ac:dyDescent="0.45">
      <c r="A38" s="4" t="s">
        <v>264</v>
      </c>
      <c r="B38" s="4"/>
      <c r="C38" s="4"/>
      <c r="D38" s="4"/>
      <c r="E38" s="4"/>
      <c r="F38" s="4"/>
      <c r="G38" s="4"/>
      <c r="H38" s="4"/>
      <c r="I38" s="4"/>
    </row>
  </sheetData>
  <mergeCells count="2">
    <mergeCell ref="A2:I2"/>
    <mergeCell ref="A38:I3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2"/>
  <sheetViews>
    <sheetView zoomScaleNormal="100" workbookViewId="0"/>
  </sheetViews>
  <sheetFormatPr defaultRowHeight="15" customHeight="1" x14ac:dyDescent="0.45"/>
  <cols>
    <col min="1" max="1" width="36.6640625" customWidth="1"/>
    <col min="2" max="2" width="46.6640625" customWidth="1"/>
    <col min="3" max="4" width="40" customWidth="1"/>
  </cols>
  <sheetData>
    <row r="1" spans="1:4" x14ac:dyDescent="0.45">
      <c r="A1" t="s">
        <v>265</v>
      </c>
    </row>
    <row r="2" spans="1:4" x14ac:dyDescent="0.45">
      <c r="A2" t="s">
        <v>266</v>
      </c>
    </row>
    <row r="4" spans="1:4" x14ac:dyDescent="0.45">
      <c r="A4" t="s">
        <v>267</v>
      </c>
    </row>
    <row r="5" spans="1:4" x14ac:dyDescent="0.45">
      <c r="A5" t="s">
        <v>268</v>
      </c>
      <c r="B5" t="s">
        <v>269</v>
      </c>
      <c r="C5" t="s">
        <v>270</v>
      </c>
      <c r="D5" t="s">
        <v>271</v>
      </c>
    </row>
    <row r="6" spans="1:4" x14ac:dyDescent="0.45">
      <c r="A6" t="s">
        <v>272</v>
      </c>
      <c r="B6" t="s">
        <v>273</v>
      </c>
      <c r="C6" t="s">
        <v>274</v>
      </c>
      <c r="D6" t="s">
        <v>275</v>
      </c>
    </row>
    <row r="7" spans="1:4" x14ac:dyDescent="0.45">
      <c r="A7" t="s">
        <v>276</v>
      </c>
      <c r="B7" t="s">
        <v>277</v>
      </c>
      <c r="C7" t="s">
        <v>278</v>
      </c>
      <c r="D7" t="s">
        <v>279</v>
      </c>
    </row>
    <row r="8" spans="1:4" x14ac:dyDescent="0.45">
      <c r="A8" t="s">
        <v>280</v>
      </c>
      <c r="B8" t="s">
        <v>281</v>
      </c>
      <c r="C8" t="s">
        <v>282</v>
      </c>
      <c r="D8" t="s">
        <v>283</v>
      </c>
    </row>
    <row r="10" spans="1:4" x14ac:dyDescent="0.45">
      <c r="A10" t="s">
        <v>284</v>
      </c>
    </row>
    <row r="11" spans="1:4" x14ac:dyDescent="0.45">
      <c r="A11" t="s">
        <v>285</v>
      </c>
      <c r="B11" t="s">
        <v>286</v>
      </c>
      <c r="C11" t="s">
        <v>287</v>
      </c>
      <c r="D11" t="s">
        <v>288</v>
      </c>
    </row>
    <row r="12" spans="1:4" x14ac:dyDescent="0.45">
      <c r="A12" t="s">
        <v>289</v>
      </c>
      <c r="B12" t="s">
        <v>290</v>
      </c>
      <c r="C12" t="s">
        <v>291</v>
      </c>
      <c r="D12" t="s">
        <v>292</v>
      </c>
    </row>
    <row r="13" spans="1:4" x14ac:dyDescent="0.45">
      <c r="A13" t="s">
        <v>293</v>
      </c>
      <c r="B13" t="s">
        <v>294</v>
      </c>
      <c r="C13" t="s">
        <v>295</v>
      </c>
      <c r="D13" t="s">
        <v>296</v>
      </c>
    </row>
    <row r="14" spans="1:4" x14ac:dyDescent="0.45">
      <c r="A14" t="s">
        <v>297</v>
      </c>
      <c r="B14" t="s">
        <v>294</v>
      </c>
      <c r="C14" t="s">
        <v>298</v>
      </c>
      <c r="D14" t="s">
        <v>299</v>
      </c>
    </row>
    <row r="15" spans="1:4" x14ac:dyDescent="0.45">
      <c r="A15" t="s">
        <v>300</v>
      </c>
      <c r="B15" t="s">
        <v>301</v>
      </c>
      <c r="C15" t="s">
        <v>302</v>
      </c>
      <c r="D15" t="s">
        <v>303</v>
      </c>
    </row>
    <row r="16" spans="1:4" x14ac:dyDescent="0.45">
      <c r="A16" t="s">
        <v>304</v>
      </c>
      <c r="B16" t="s">
        <v>305</v>
      </c>
      <c r="C16" t="s">
        <v>306</v>
      </c>
      <c r="D16" t="s">
        <v>307</v>
      </c>
    </row>
    <row r="17" spans="1:4" x14ac:dyDescent="0.45">
      <c r="A17" t="s">
        <v>308</v>
      </c>
      <c r="B17" t="s">
        <v>301</v>
      </c>
      <c r="C17" t="s">
        <v>309</v>
      </c>
      <c r="D17" t="s">
        <v>310</v>
      </c>
    </row>
    <row r="18" spans="1:4" x14ac:dyDescent="0.45">
      <c r="A18" t="s">
        <v>311</v>
      </c>
      <c r="B18" t="s">
        <v>312</v>
      </c>
      <c r="C18" t="s">
        <v>194</v>
      </c>
      <c r="D18" t="s">
        <v>313</v>
      </c>
    </row>
    <row r="19" spans="1:4" x14ac:dyDescent="0.45">
      <c r="A19" t="s">
        <v>314</v>
      </c>
      <c r="B19" t="s">
        <v>315</v>
      </c>
      <c r="C19" t="s">
        <v>316</v>
      </c>
      <c r="D19" t="s">
        <v>317</v>
      </c>
    </row>
    <row r="20" spans="1:4" x14ac:dyDescent="0.45">
      <c r="A20" t="s">
        <v>318</v>
      </c>
      <c r="B20" t="s">
        <v>319</v>
      </c>
      <c r="C20" t="s">
        <v>320</v>
      </c>
      <c r="D20" t="s">
        <v>321</v>
      </c>
    </row>
    <row r="22" spans="1:4" x14ac:dyDescent="0.45">
      <c r="A22" t="s">
        <v>322</v>
      </c>
    </row>
    <row r="24" spans="1:4" x14ac:dyDescent="0.45">
      <c r="A24" t="s">
        <v>323</v>
      </c>
    </row>
    <row r="25" spans="1:4" x14ac:dyDescent="0.45">
      <c r="A25" t="s">
        <v>260</v>
      </c>
      <c r="B25" t="s">
        <v>324</v>
      </c>
      <c r="C25" t="s">
        <v>325</v>
      </c>
      <c r="D25" t="s">
        <v>326</v>
      </c>
    </row>
    <row r="26" spans="1:4" x14ac:dyDescent="0.45">
      <c r="A26" t="s">
        <v>108</v>
      </c>
      <c r="B26" t="s">
        <v>327</v>
      </c>
      <c r="C26" t="s">
        <v>328</v>
      </c>
      <c r="D26" t="s">
        <v>329</v>
      </c>
    </row>
    <row r="27" spans="1:4" x14ac:dyDescent="0.45">
      <c r="A27" t="s">
        <v>125</v>
      </c>
      <c r="B27" t="s">
        <v>330</v>
      </c>
      <c r="C27" t="s">
        <v>331</v>
      </c>
      <c r="D27" t="s">
        <v>332</v>
      </c>
    </row>
    <row r="28" spans="1:4" x14ac:dyDescent="0.45">
      <c r="A28" t="s">
        <v>93</v>
      </c>
      <c r="B28" t="s">
        <v>333</v>
      </c>
      <c r="C28" t="s">
        <v>334</v>
      </c>
      <c r="D28" t="s">
        <v>335</v>
      </c>
    </row>
    <row r="29" spans="1:4" x14ac:dyDescent="0.45">
      <c r="A29" t="s">
        <v>238</v>
      </c>
      <c r="B29" t="s">
        <v>336</v>
      </c>
      <c r="C29" t="s">
        <v>337</v>
      </c>
      <c r="D29" t="s">
        <v>338</v>
      </c>
    </row>
    <row r="30" spans="1:4" x14ac:dyDescent="0.45">
      <c r="A30" t="s">
        <v>104</v>
      </c>
      <c r="B30" t="s">
        <v>339</v>
      </c>
      <c r="C30" t="s">
        <v>340</v>
      </c>
      <c r="D30" t="s">
        <v>341</v>
      </c>
    </row>
    <row r="31" spans="1:4" x14ac:dyDescent="0.45">
      <c r="A31" t="s">
        <v>116</v>
      </c>
      <c r="B31" t="s">
        <v>342</v>
      </c>
      <c r="C31" t="s">
        <v>343</v>
      </c>
      <c r="D31" t="s">
        <v>344</v>
      </c>
    </row>
    <row r="33" spans="1:4" x14ac:dyDescent="0.45">
      <c r="A33" t="s">
        <v>345</v>
      </c>
    </row>
    <row r="34" spans="1:4" x14ac:dyDescent="0.45">
      <c r="A34" t="s">
        <v>346</v>
      </c>
      <c r="B34" t="s">
        <v>268</v>
      </c>
      <c r="C34" t="s">
        <v>269</v>
      </c>
      <c r="D34" t="s">
        <v>347</v>
      </c>
    </row>
    <row r="35" spans="1:4" x14ac:dyDescent="0.45">
      <c r="A35" t="s">
        <v>160</v>
      </c>
      <c r="B35" t="s">
        <v>348</v>
      </c>
      <c r="C35" t="s">
        <v>349</v>
      </c>
      <c r="D35" t="s">
        <v>350</v>
      </c>
    </row>
    <row r="36" spans="1:4" x14ac:dyDescent="0.45">
      <c r="A36" t="s">
        <v>240</v>
      </c>
      <c r="B36" t="s">
        <v>351</v>
      </c>
      <c r="C36" t="s">
        <v>352</v>
      </c>
      <c r="D36" t="s">
        <v>353</v>
      </c>
    </row>
    <row r="37" spans="1:4" x14ac:dyDescent="0.45">
      <c r="A37" t="s">
        <v>241</v>
      </c>
      <c r="B37" t="s">
        <v>348</v>
      </c>
      <c r="C37" t="s">
        <v>354</v>
      </c>
      <c r="D37" t="s">
        <v>355</v>
      </c>
    </row>
    <row r="38" spans="1:4" x14ac:dyDescent="0.45">
      <c r="A38" t="s">
        <v>164</v>
      </c>
      <c r="B38" t="s">
        <v>348</v>
      </c>
      <c r="C38" t="s">
        <v>356</v>
      </c>
      <c r="D38" t="s">
        <v>357</v>
      </c>
    </row>
    <row r="39" spans="1:4" x14ac:dyDescent="0.45">
      <c r="A39" t="s">
        <v>169</v>
      </c>
      <c r="B39" t="s">
        <v>351</v>
      </c>
      <c r="C39" t="s">
        <v>358</v>
      </c>
      <c r="D39" t="s">
        <v>359</v>
      </c>
    </row>
    <row r="40" spans="1:4" x14ac:dyDescent="0.45">
      <c r="A40" t="s">
        <v>242</v>
      </c>
      <c r="B40" t="s">
        <v>348</v>
      </c>
      <c r="C40" t="s">
        <v>360</v>
      </c>
      <c r="D40" t="s">
        <v>361</v>
      </c>
    </row>
    <row r="41" spans="1:4" x14ac:dyDescent="0.45">
      <c r="A41" t="s">
        <v>243</v>
      </c>
      <c r="B41" t="s">
        <v>348</v>
      </c>
      <c r="C41" t="s">
        <v>362</v>
      </c>
      <c r="D41" t="s">
        <v>363</v>
      </c>
    </row>
    <row r="42" spans="1:4" x14ac:dyDescent="0.45">
      <c r="A42" t="s">
        <v>244</v>
      </c>
      <c r="B42" t="s">
        <v>351</v>
      </c>
      <c r="C42" t="s">
        <v>364</v>
      </c>
      <c r="D42" t="s">
        <v>365</v>
      </c>
    </row>
    <row r="43" spans="1:4" x14ac:dyDescent="0.45">
      <c r="A43" t="s">
        <v>246</v>
      </c>
      <c r="B43" t="s">
        <v>348</v>
      </c>
      <c r="C43" t="s">
        <v>366</v>
      </c>
      <c r="D43" t="s">
        <v>367</v>
      </c>
    </row>
    <row r="44" spans="1:4" x14ac:dyDescent="0.45">
      <c r="A44" t="s">
        <v>245</v>
      </c>
      <c r="B44" t="s">
        <v>351</v>
      </c>
      <c r="C44" t="s">
        <v>368</v>
      </c>
      <c r="D44" t="s">
        <v>369</v>
      </c>
    </row>
    <row r="45" spans="1:4" x14ac:dyDescent="0.45">
      <c r="A45" t="s">
        <v>370</v>
      </c>
      <c r="B45" t="s">
        <v>371</v>
      </c>
      <c r="C45" t="s">
        <v>372</v>
      </c>
      <c r="D45" t="s">
        <v>373</v>
      </c>
    </row>
    <row r="46" spans="1:4" x14ac:dyDescent="0.45">
      <c r="A46" t="s">
        <v>374</v>
      </c>
      <c r="B46" t="s">
        <v>371</v>
      </c>
      <c r="C46" t="s">
        <v>375</v>
      </c>
      <c r="D46" t="s">
        <v>376</v>
      </c>
    </row>
    <row r="48" spans="1:4" x14ac:dyDescent="0.45">
      <c r="A48" t="s">
        <v>377</v>
      </c>
    </row>
    <row r="49" spans="1:2" x14ac:dyDescent="0.45">
      <c r="A49" t="s">
        <v>378</v>
      </c>
      <c r="B49" t="s">
        <v>324</v>
      </c>
    </row>
    <row r="50" spans="1:2" x14ac:dyDescent="0.45">
      <c r="A50" t="s">
        <v>379</v>
      </c>
      <c r="B50" t="s">
        <v>380</v>
      </c>
    </row>
    <row r="51" spans="1:2" x14ac:dyDescent="0.45">
      <c r="A51" t="s">
        <v>381</v>
      </c>
      <c r="B51" t="s">
        <v>382</v>
      </c>
    </row>
    <row r="52" spans="1:2" x14ac:dyDescent="0.45">
      <c r="A52" t="s">
        <v>383</v>
      </c>
      <c r="B52" t="s">
        <v>384</v>
      </c>
    </row>
    <row r="53" spans="1:2" x14ac:dyDescent="0.45">
      <c r="A53" t="s">
        <v>385</v>
      </c>
      <c r="B53" t="s">
        <v>386</v>
      </c>
    </row>
    <row r="54" spans="1:2" x14ac:dyDescent="0.45">
      <c r="A54" t="s">
        <v>387</v>
      </c>
      <c r="B54" t="s">
        <v>388</v>
      </c>
    </row>
    <row r="55" spans="1:2" x14ac:dyDescent="0.45">
      <c r="A55" t="s">
        <v>389</v>
      </c>
      <c r="B55" t="s">
        <v>390</v>
      </c>
    </row>
    <row r="56" spans="1:2" x14ac:dyDescent="0.45">
      <c r="A56" t="s">
        <v>391</v>
      </c>
      <c r="B56" t="s">
        <v>392</v>
      </c>
    </row>
    <row r="57" spans="1:2" x14ac:dyDescent="0.45">
      <c r="A57" t="s">
        <v>393</v>
      </c>
      <c r="B57" t="s">
        <v>394</v>
      </c>
    </row>
    <row r="58" spans="1:2" x14ac:dyDescent="0.45">
      <c r="A58" t="s">
        <v>395</v>
      </c>
      <c r="B58" t="s">
        <v>396</v>
      </c>
    </row>
    <row r="59" spans="1:2" x14ac:dyDescent="0.45">
      <c r="A59" t="s">
        <v>397</v>
      </c>
      <c r="B59" t="s">
        <v>398</v>
      </c>
    </row>
    <row r="60" spans="1:2" x14ac:dyDescent="0.45">
      <c r="A60" t="s">
        <v>399</v>
      </c>
      <c r="B60" t="s">
        <v>400</v>
      </c>
    </row>
    <row r="62" spans="1:2" x14ac:dyDescent="0.45">
      <c r="A62" t="s">
        <v>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"/>
  <sheetViews>
    <sheetView zoomScaleNormal="100" workbookViewId="0"/>
  </sheetViews>
  <sheetFormatPr defaultRowHeight="15" customHeight="1" x14ac:dyDescent="0.45"/>
  <cols>
    <col min="1" max="1" width="50" customWidth="1"/>
    <col min="2" max="2" width="33.33203125" customWidth="1"/>
    <col min="3" max="3" width="50" customWidth="1"/>
  </cols>
  <sheetData>
    <row r="1" spans="1:3" x14ac:dyDescent="0.45">
      <c r="A1" t="s">
        <v>402</v>
      </c>
    </row>
    <row r="2" spans="1:3" x14ac:dyDescent="0.45">
      <c r="A2" t="s">
        <v>403</v>
      </c>
    </row>
    <row r="4" spans="1:3" x14ac:dyDescent="0.45">
      <c r="A4" t="s">
        <v>404</v>
      </c>
    </row>
    <row r="6" spans="1:3" x14ac:dyDescent="0.45">
      <c r="A6" t="s">
        <v>405</v>
      </c>
    </row>
    <row r="7" spans="1:3" x14ac:dyDescent="0.45">
      <c r="A7" t="s">
        <v>406</v>
      </c>
      <c r="B7" t="s">
        <v>407</v>
      </c>
      <c r="C7" t="s">
        <v>408</v>
      </c>
    </row>
    <row r="8" spans="1:3" x14ac:dyDescent="0.45">
      <c r="A8" t="s">
        <v>409</v>
      </c>
      <c r="B8" t="s">
        <v>410</v>
      </c>
      <c r="C8" t="s">
        <v>411</v>
      </c>
    </row>
    <row r="9" spans="1:3" x14ac:dyDescent="0.45">
      <c r="A9" t="s">
        <v>412</v>
      </c>
      <c r="B9" t="s">
        <v>413</v>
      </c>
      <c r="C9" t="s">
        <v>414</v>
      </c>
    </row>
    <row r="10" spans="1:3" x14ac:dyDescent="0.45">
      <c r="A10" t="s">
        <v>415</v>
      </c>
      <c r="B10" t="s">
        <v>416</v>
      </c>
      <c r="C10" t="s">
        <v>417</v>
      </c>
    </row>
    <row r="11" spans="1:3" x14ac:dyDescent="0.45">
      <c r="A11" t="s">
        <v>418</v>
      </c>
      <c r="B11" t="s">
        <v>419</v>
      </c>
      <c r="C11" t="s">
        <v>420</v>
      </c>
    </row>
    <row r="12" spans="1:3" x14ac:dyDescent="0.45">
      <c r="A12" t="s">
        <v>421</v>
      </c>
      <c r="B12" t="s">
        <v>422</v>
      </c>
      <c r="C12" t="s">
        <v>423</v>
      </c>
    </row>
    <row r="13" spans="1:3" x14ac:dyDescent="0.45">
      <c r="A13" t="s">
        <v>424</v>
      </c>
      <c r="B13" t="s">
        <v>425</v>
      </c>
      <c r="C13" t="s">
        <v>426</v>
      </c>
    </row>
    <row r="14" spans="1:3" x14ac:dyDescent="0.45">
      <c r="A14" t="s">
        <v>427</v>
      </c>
      <c r="B14" t="s">
        <v>428</v>
      </c>
      <c r="C14" t="s">
        <v>429</v>
      </c>
    </row>
    <row r="15" spans="1:3" x14ac:dyDescent="0.45">
      <c r="A15" t="s">
        <v>430</v>
      </c>
      <c r="B15" t="s">
        <v>431</v>
      </c>
      <c r="C15" t="s">
        <v>432</v>
      </c>
    </row>
    <row r="16" spans="1:3" x14ac:dyDescent="0.45">
      <c r="A16" t="s">
        <v>433</v>
      </c>
      <c r="B16" t="s">
        <v>434</v>
      </c>
      <c r="C16" t="s">
        <v>435</v>
      </c>
    </row>
    <row r="17" spans="1:3" x14ac:dyDescent="0.45">
      <c r="A17" t="s">
        <v>436</v>
      </c>
      <c r="B17" t="s">
        <v>437</v>
      </c>
      <c r="C17" t="s">
        <v>438</v>
      </c>
    </row>
    <row r="18" spans="1:3" x14ac:dyDescent="0.45">
      <c r="A18" t="s">
        <v>439</v>
      </c>
      <c r="B18" t="s">
        <v>437</v>
      </c>
      <c r="C18" t="s">
        <v>440</v>
      </c>
    </row>
    <row r="19" spans="1:3" x14ac:dyDescent="0.45">
      <c r="A19" t="s">
        <v>441</v>
      </c>
      <c r="B19" t="s">
        <v>442</v>
      </c>
      <c r="C19" t="s">
        <v>443</v>
      </c>
    </row>
    <row r="21" spans="1:3" x14ac:dyDescent="0.45">
      <c r="A21" t="s">
        <v>444</v>
      </c>
    </row>
    <row r="22" spans="1:3" x14ac:dyDescent="0.45">
      <c r="A22" t="s">
        <v>445</v>
      </c>
    </row>
    <row r="23" spans="1:3" x14ac:dyDescent="0.45">
      <c r="A23" t="s">
        <v>446</v>
      </c>
    </row>
    <row r="25" spans="1:3" x14ac:dyDescent="0.45">
      <c r="A25" t="s">
        <v>447</v>
      </c>
    </row>
    <row r="26" spans="1:3" x14ac:dyDescent="0.45">
      <c r="A26" t="s">
        <v>448</v>
      </c>
    </row>
    <row r="27" spans="1:3" x14ac:dyDescent="0.45">
      <c r="A27" t="s">
        <v>449</v>
      </c>
    </row>
    <row r="29" spans="1:3" x14ac:dyDescent="0.45">
      <c r="A29" t="s">
        <v>450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8"/>
  <sheetViews>
    <sheetView zoomScaleNormal="100" workbookViewId="0"/>
  </sheetViews>
  <sheetFormatPr defaultRowHeight="15" customHeight="1" x14ac:dyDescent="0.45"/>
  <cols>
    <col min="1" max="1" width="23.33203125" customWidth="1"/>
    <col min="2" max="2" width="26.6640625" customWidth="1"/>
    <col min="3" max="3" width="30" customWidth="1"/>
    <col min="4" max="4" width="33.33203125" customWidth="1"/>
    <col min="5" max="5" width="21.6640625" customWidth="1"/>
    <col min="6" max="7" width="30" customWidth="1"/>
    <col min="8" max="8" width="21.6640625" customWidth="1"/>
    <col min="9" max="9" width="26.6640625" customWidth="1"/>
    <col min="10" max="10" width="21.6640625" customWidth="1"/>
    <col min="11" max="11" width="13.33203125" customWidth="1"/>
    <col min="12" max="12" width="16.6640625" customWidth="1"/>
  </cols>
  <sheetData>
    <row r="1" spans="1:12" x14ac:dyDescent="0.45">
      <c r="A1" t="s">
        <v>451</v>
      </c>
      <c r="B1" t="s">
        <v>452</v>
      </c>
      <c r="C1" t="s">
        <v>453</v>
      </c>
      <c r="D1" t="s">
        <v>454</v>
      </c>
      <c r="E1" t="s">
        <v>455</v>
      </c>
      <c r="F1" t="s">
        <v>456</v>
      </c>
      <c r="G1" t="s">
        <v>457</v>
      </c>
      <c r="H1" t="s">
        <v>458</v>
      </c>
      <c r="I1" t="s">
        <v>459</v>
      </c>
      <c r="J1" t="s">
        <v>460</v>
      </c>
      <c r="K1" t="s">
        <v>461</v>
      </c>
      <c r="L1" t="s">
        <v>462</v>
      </c>
    </row>
    <row r="2" spans="1:12" x14ac:dyDescent="0.45">
      <c r="A2" t="s">
        <v>463</v>
      </c>
      <c r="B2" t="s">
        <v>91</v>
      </c>
      <c r="C2" t="s">
        <v>108</v>
      </c>
      <c r="D2" t="s">
        <v>160</v>
      </c>
      <c r="E2" t="s">
        <v>117</v>
      </c>
      <c r="F2" t="s">
        <v>126</v>
      </c>
      <c r="G2" t="s">
        <v>149</v>
      </c>
      <c r="H2" t="s">
        <v>48</v>
      </c>
      <c r="I2" t="s">
        <v>464</v>
      </c>
      <c r="J2" t="s">
        <v>48</v>
      </c>
      <c r="K2" t="s">
        <v>62</v>
      </c>
      <c r="L2" t="s">
        <v>62</v>
      </c>
    </row>
    <row r="3" spans="1:12" x14ac:dyDescent="0.45">
      <c r="A3" t="s">
        <v>465</v>
      </c>
      <c r="B3" t="s">
        <v>230</v>
      </c>
      <c r="C3" t="s">
        <v>125</v>
      </c>
      <c r="D3" t="s">
        <v>240</v>
      </c>
      <c r="E3" t="s">
        <v>110</v>
      </c>
      <c r="F3" t="s">
        <v>111</v>
      </c>
      <c r="G3" t="s">
        <v>143</v>
      </c>
      <c r="H3" t="s">
        <v>166</v>
      </c>
      <c r="I3" t="s">
        <v>466</v>
      </c>
      <c r="J3" t="s">
        <v>467</v>
      </c>
      <c r="K3" t="s">
        <v>47</v>
      </c>
      <c r="L3" t="s">
        <v>47</v>
      </c>
    </row>
    <row r="4" spans="1:12" x14ac:dyDescent="0.45">
      <c r="A4" t="s">
        <v>468</v>
      </c>
      <c r="B4" t="s">
        <v>231</v>
      </c>
      <c r="C4" t="s">
        <v>93</v>
      </c>
      <c r="D4" t="s">
        <v>241</v>
      </c>
      <c r="E4" t="s">
        <v>96</v>
      </c>
      <c r="F4" t="s">
        <v>469</v>
      </c>
      <c r="H4" t="s">
        <v>470</v>
      </c>
      <c r="I4" t="s">
        <v>95</v>
      </c>
      <c r="J4" t="s">
        <v>471</v>
      </c>
      <c r="L4" t="s">
        <v>472</v>
      </c>
    </row>
    <row r="5" spans="1:12" x14ac:dyDescent="0.45">
      <c r="A5" t="s">
        <v>473</v>
      </c>
      <c r="B5" t="s">
        <v>232</v>
      </c>
      <c r="C5" t="s">
        <v>238</v>
      </c>
      <c r="D5" t="s">
        <v>164</v>
      </c>
      <c r="E5" t="s">
        <v>223</v>
      </c>
      <c r="F5" t="s">
        <v>97</v>
      </c>
      <c r="I5" t="s">
        <v>109</v>
      </c>
      <c r="J5" t="s">
        <v>474</v>
      </c>
    </row>
    <row r="6" spans="1:12" x14ac:dyDescent="0.45">
      <c r="A6" t="s">
        <v>475</v>
      </c>
      <c r="B6" t="s">
        <v>123</v>
      </c>
      <c r="C6" t="s">
        <v>104</v>
      </c>
      <c r="D6" t="s">
        <v>169</v>
      </c>
      <c r="F6" t="s">
        <v>223</v>
      </c>
      <c r="I6" t="s">
        <v>120</v>
      </c>
      <c r="J6" t="s">
        <v>476</v>
      </c>
    </row>
    <row r="7" spans="1:12" x14ac:dyDescent="0.45">
      <c r="A7" t="s">
        <v>477</v>
      </c>
      <c r="B7" t="s">
        <v>102</v>
      </c>
      <c r="C7" t="s">
        <v>116</v>
      </c>
      <c r="D7" t="s">
        <v>242</v>
      </c>
      <c r="F7" t="s">
        <v>478</v>
      </c>
      <c r="I7" t="s">
        <v>94</v>
      </c>
    </row>
    <row r="8" spans="1:12" x14ac:dyDescent="0.45">
      <c r="A8" t="s">
        <v>479</v>
      </c>
      <c r="B8" t="s">
        <v>233</v>
      </c>
      <c r="D8" t="s">
        <v>243</v>
      </c>
      <c r="F8" t="s">
        <v>480</v>
      </c>
      <c r="I8" t="s">
        <v>481</v>
      </c>
    </row>
    <row r="9" spans="1:12" x14ac:dyDescent="0.45">
      <c r="A9" t="s">
        <v>67</v>
      </c>
      <c r="B9" t="s">
        <v>234</v>
      </c>
      <c r="D9" t="s">
        <v>244</v>
      </c>
      <c r="F9" t="s">
        <v>482</v>
      </c>
      <c r="I9" t="s">
        <v>483</v>
      </c>
    </row>
    <row r="10" spans="1:12" x14ac:dyDescent="0.45">
      <c r="A10" t="s">
        <v>54</v>
      </c>
      <c r="B10" t="s">
        <v>235</v>
      </c>
      <c r="D10" t="s">
        <v>245</v>
      </c>
      <c r="I10" t="s">
        <v>484</v>
      </c>
    </row>
    <row r="11" spans="1:12" x14ac:dyDescent="0.45">
      <c r="A11" t="s">
        <v>74</v>
      </c>
      <c r="B11" t="s">
        <v>236</v>
      </c>
      <c r="D11" t="s">
        <v>246</v>
      </c>
      <c r="I11" t="s">
        <v>485</v>
      </c>
    </row>
    <row r="12" spans="1:12" x14ac:dyDescent="0.45">
      <c r="A12" t="s">
        <v>45</v>
      </c>
      <c r="B12" t="s">
        <v>114</v>
      </c>
      <c r="D12" t="s">
        <v>114</v>
      </c>
      <c r="I12" t="s">
        <v>486</v>
      </c>
    </row>
    <row r="13" spans="1:12" x14ac:dyDescent="0.45">
      <c r="A13" t="s">
        <v>61</v>
      </c>
      <c r="I13" t="s">
        <v>114</v>
      </c>
    </row>
    <row r="14" spans="1:12" x14ac:dyDescent="0.45">
      <c r="A14" t="s">
        <v>487</v>
      </c>
    </row>
    <row r="15" spans="1:12" x14ac:dyDescent="0.45">
      <c r="A15" t="s">
        <v>488</v>
      </c>
    </row>
    <row r="17" spans="1:1" x14ac:dyDescent="0.45">
      <c r="A17" t="s">
        <v>489</v>
      </c>
    </row>
    <row r="18" spans="1:1" x14ac:dyDescent="0.45">
      <c r="A18" t="s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Roster</vt:lpstr>
      <vt:lpstr>Referral Log</vt:lpstr>
      <vt:lpstr>ISS-OSS Placements</vt:lpstr>
      <vt:lpstr>Student Supports</vt:lpstr>
      <vt:lpstr>Risk Score Calculator</vt:lpstr>
      <vt:lpstr>Dashboard</vt:lpstr>
      <vt:lpstr>🚨 Risk Alert Board</vt:lpstr>
      <vt:lpstr>Reference</vt:lpstr>
      <vt:lpstr>↑ Upgrade to Navigator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Kim Culley</cp:lastModifiedBy>
  <dcterms:created xsi:type="dcterms:W3CDTF">2026-03-24T22:52:24Z</dcterms:created>
  <dcterms:modified xsi:type="dcterms:W3CDTF">2026-07-14T19:41:29Z</dcterms:modified>
</cp:coreProperties>
</file>