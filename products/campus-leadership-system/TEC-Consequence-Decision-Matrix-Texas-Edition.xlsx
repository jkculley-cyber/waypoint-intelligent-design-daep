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kcul\waypoint-intelligent-design-daep-master\products\campus-leadership-system\"/>
    </mc:Choice>
  </mc:AlternateContent>
  <xr:revisionPtr revIDLastSave="0" documentId="13_ncr:1_{B0C0A33F-FEB5-4ACF-A340-2080F79029E4}" xr6:coauthVersionLast="47" xr6:coauthVersionMax="47" xr10:uidLastSave="{00000000-0000-0000-0000-000000000000}"/>
  <bookViews>
    <workbookView xWindow="2940" yWindow="2940" windowWidth="16200" windowHeight="9982" tabRatio="500" xr2:uid="{00000000-000D-0000-FFFF-FFFF00000000}"/>
  </bookViews>
  <sheets>
    <sheet name="Cover" sheetId="1" r:id="rId1"/>
    <sheet name="TEC Decision Matrix" sheetId="2" r:id="rId2"/>
    <sheet name="Restorative Protocols" sheetId="3" r:id="rId3"/>
    <sheet name="Offense Lookup" sheetId="4" r:id="rId4"/>
    <sheet name="CBC Workflow" sheetId="5" r:id="rId5"/>
    <sheet name="SPED Safeguards" sheetId="6" r:id="rId6"/>
    <sheet name="Parent Communication" sheetId="7" r:id="rId7"/>
    <sheet name="Documentation Checklist" sheetId="8" r:id="rId8"/>
    <sheet name="Dashboard" sheetId="9" r:id="rId9"/>
    <sheet name="Reference" sheetId="10" r:id="rId10"/>
    <sheet name="Lists" sheetId="11" r:id="rId11"/>
    <sheet name="↑ Upgrade to Waypoint" sheetId="12" r:id="rId12"/>
  </sheets>
  <definedNames>
    <definedName name="_xlnm.Print_Titles" localSheetId="4">'CBC Workflow'!$1:$4</definedName>
    <definedName name="_xlnm.Print_Titles" localSheetId="7">'Documentation Checklist'!$1:$3</definedName>
    <definedName name="_xlnm.Print_Titles" localSheetId="3">'Offense Lookup'!$1:$5</definedName>
    <definedName name="_xlnm.Print_Titles" localSheetId="6">'Parent Communication'!$1:$3</definedName>
    <definedName name="_xlnm.Print_Titles" localSheetId="9">Reference!$1:$2</definedName>
    <definedName name="_xlnm.Print_Titles" localSheetId="2">'Restorative Protocols'!$1:$3</definedName>
    <definedName name="_xlnm.Print_Titles" localSheetId="5">'SPED Safeguards'!$1:$3</definedName>
    <definedName name="_xlnm.Print_Titles" localSheetId="1">'TEC Decision Matrix'!$1:$4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9" l="1"/>
  <c r="B24" i="9"/>
  <c r="B23" i="9"/>
  <c r="B22" i="9"/>
  <c r="B19" i="9"/>
  <c r="B18" i="9"/>
  <c r="B13" i="9"/>
  <c r="B12" i="9"/>
  <c r="B11" i="9"/>
  <c r="B10" i="9"/>
  <c r="B7" i="9"/>
  <c r="B6" i="9"/>
  <c r="B5" i="9"/>
  <c r="B4" i="9"/>
  <c r="A2" i="9"/>
  <c r="O153" i="8"/>
  <c r="N153" i="8"/>
  <c r="O152" i="8"/>
  <c r="N152" i="8"/>
  <c r="O151" i="8"/>
  <c r="N151" i="8"/>
  <c r="O150" i="8"/>
  <c r="N150" i="8"/>
  <c r="O149" i="8"/>
  <c r="N149" i="8"/>
  <c r="O148" i="8"/>
  <c r="N148" i="8"/>
  <c r="O147" i="8"/>
  <c r="N147" i="8"/>
  <c r="O146" i="8"/>
  <c r="N146" i="8"/>
  <c r="O145" i="8"/>
  <c r="N145" i="8"/>
  <c r="O144" i="8"/>
  <c r="N144" i="8"/>
  <c r="O143" i="8"/>
  <c r="N143" i="8"/>
  <c r="O142" i="8"/>
  <c r="N142" i="8"/>
  <c r="O141" i="8"/>
  <c r="N141" i="8"/>
  <c r="O140" i="8"/>
  <c r="N140" i="8"/>
  <c r="O139" i="8"/>
  <c r="N139" i="8"/>
  <c r="O138" i="8"/>
  <c r="N138" i="8"/>
  <c r="O137" i="8"/>
  <c r="N137" i="8"/>
  <c r="O136" i="8"/>
  <c r="N136" i="8"/>
  <c r="O135" i="8"/>
  <c r="N135" i="8"/>
  <c r="O134" i="8"/>
  <c r="N134" i="8"/>
  <c r="O133" i="8"/>
  <c r="N133" i="8"/>
  <c r="O132" i="8"/>
  <c r="N132" i="8"/>
  <c r="O131" i="8"/>
  <c r="N131" i="8"/>
  <c r="O130" i="8"/>
  <c r="N130" i="8"/>
  <c r="O129" i="8"/>
  <c r="N129" i="8"/>
  <c r="O128" i="8"/>
  <c r="N128" i="8"/>
  <c r="O127" i="8"/>
  <c r="N127" i="8"/>
  <c r="O126" i="8"/>
  <c r="N126" i="8"/>
  <c r="O125" i="8"/>
  <c r="N125" i="8"/>
  <c r="O124" i="8"/>
  <c r="N124" i="8"/>
  <c r="O123" i="8"/>
  <c r="N123" i="8"/>
  <c r="O122" i="8"/>
  <c r="N122" i="8"/>
  <c r="O121" i="8"/>
  <c r="N121" i="8"/>
  <c r="O120" i="8"/>
  <c r="N120" i="8"/>
  <c r="O119" i="8"/>
  <c r="N119" i="8"/>
  <c r="O118" i="8"/>
  <c r="N118" i="8"/>
  <c r="O117" i="8"/>
  <c r="N117" i="8"/>
  <c r="O116" i="8"/>
  <c r="N116" i="8"/>
  <c r="O115" i="8"/>
  <c r="N115" i="8"/>
  <c r="O114" i="8"/>
  <c r="N114" i="8"/>
  <c r="O113" i="8"/>
  <c r="N113" i="8"/>
  <c r="O112" i="8"/>
  <c r="N112" i="8"/>
  <c r="O111" i="8"/>
  <c r="N111" i="8"/>
  <c r="O110" i="8"/>
  <c r="N110" i="8"/>
  <c r="O109" i="8"/>
  <c r="N109" i="8"/>
  <c r="O108" i="8"/>
  <c r="N108" i="8"/>
  <c r="O107" i="8"/>
  <c r="N107" i="8"/>
  <c r="O106" i="8"/>
  <c r="N106" i="8"/>
  <c r="O105" i="8"/>
  <c r="N105" i="8"/>
  <c r="O104" i="8"/>
  <c r="N104" i="8"/>
  <c r="O103" i="8"/>
  <c r="N103" i="8"/>
  <c r="O102" i="8"/>
  <c r="N102" i="8"/>
  <c r="O101" i="8"/>
  <c r="N101" i="8"/>
  <c r="O100" i="8"/>
  <c r="N100" i="8"/>
  <c r="O99" i="8"/>
  <c r="N99" i="8"/>
  <c r="O98" i="8"/>
  <c r="N98" i="8"/>
  <c r="O97" i="8"/>
  <c r="N97" i="8"/>
  <c r="O96" i="8"/>
  <c r="N96" i="8"/>
  <c r="O95" i="8"/>
  <c r="N95" i="8"/>
  <c r="O94" i="8"/>
  <c r="N94" i="8"/>
  <c r="O93" i="8"/>
  <c r="N93" i="8"/>
  <c r="O92" i="8"/>
  <c r="N92" i="8"/>
  <c r="O91" i="8"/>
  <c r="N91" i="8"/>
  <c r="O90" i="8"/>
  <c r="N90" i="8"/>
  <c r="O89" i="8"/>
  <c r="N89" i="8"/>
  <c r="O88" i="8"/>
  <c r="N88" i="8"/>
  <c r="O87" i="8"/>
  <c r="N87" i="8"/>
  <c r="O86" i="8"/>
  <c r="N86" i="8"/>
  <c r="O85" i="8"/>
  <c r="N85" i="8"/>
  <c r="O84" i="8"/>
  <c r="N84" i="8"/>
  <c r="O83" i="8"/>
  <c r="N83" i="8"/>
  <c r="O82" i="8"/>
  <c r="N82" i="8"/>
  <c r="O81" i="8"/>
  <c r="N81" i="8"/>
  <c r="O80" i="8"/>
  <c r="N80" i="8"/>
  <c r="O79" i="8"/>
  <c r="N79" i="8"/>
  <c r="O78" i="8"/>
  <c r="N78" i="8"/>
  <c r="O77" i="8"/>
  <c r="N77" i="8"/>
  <c r="O76" i="8"/>
  <c r="N76" i="8"/>
  <c r="O75" i="8"/>
  <c r="N75" i="8"/>
  <c r="O74" i="8"/>
  <c r="N74" i="8"/>
  <c r="O73" i="8"/>
  <c r="N73" i="8"/>
  <c r="O72" i="8"/>
  <c r="N72" i="8"/>
  <c r="O71" i="8"/>
  <c r="N71" i="8"/>
  <c r="O70" i="8"/>
  <c r="N70" i="8"/>
  <c r="O69" i="8"/>
  <c r="N69" i="8"/>
  <c r="O68" i="8"/>
  <c r="N68" i="8"/>
  <c r="O67" i="8"/>
  <c r="N67" i="8"/>
  <c r="O66" i="8"/>
  <c r="N66" i="8"/>
  <c r="O65" i="8"/>
  <c r="N65" i="8"/>
  <c r="O64" i="8"/>
  <c r="N64" i="8"/>
  <c r="O63" i="8"/>
  <c r="N63" i="8"/>
  <c r="O62" i="8"/>
  <c r="N62" i="8"/>
  <c r="O61" i="8"/>
  <c r="N61" i="8"/>
  <c r="O60" i="8"/>
  <c r="N60" i="8"/>
  <c r="O59" i="8"/>
  <c r="N59" i="8"/>
  <c r="O58" i="8"/>
  <c r="N58" i="8"/>
  <c r="O57" i="8"/>
  <c r="N57" i="8"/>
  <c r="O56" i="8"/>
  <c r="N56" i="8"/>
  <c r="O55" i="8"/>
  <c r="N55" i="8"/>
  <c r="O54" i="8"/>
  <c r="N54" i="8"/>
  <c r="O53" i="8"/>
  <c r="N53" i="8"/>
  <c r="O52" i="8"/>
  <c r="N52" i="8"/>
  <c r="O51" i="8"/>
  <c r="N51" i="8"/>
  <c r="O50" i="8"/>
  <c r="N50" i="8"/>
  <c r="O49" i="8"/>
  <c r="N49" i="8"/>
  <c r="O48" i="8"/>
  <c r="N48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O36" i="8"/>
  <c r="N36" i="8"/>
  <c r="O35" i="8"/>
  <c r="N35" i="8"/>
  <c r="O34" i="8"/>
  <c r="N34" i="8"/>
  <c r="O33" i="8"/>
  <c r="N33" i="8"/>
  <c r="O32" i="8"/>
  <c r="N32" i="8"/>
  <c r="O31" i="8"/>
  <c r="N31" i="8"/>
  <c r="O30" i="8"/>
  <c r="N30" i="8"/>
  <c r="O29" i="8"/>
  <c r="N29" i="8"/>
  <c r="O28" i="8"/>
  <c r="N28" i="8"/>
  <c r="O27" i="8"/>
  <c r="N27" i="8"/>
  <c r="O26" i="8"/>
  <c r="N26" i="8"/>
  <c r="O25" i="8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O7" i="8"/>
  <c r="N7" i="8"/>
  <c r="O6" i="8"/>
  <c r="N6" i="8"/>
  <c r="O5" i="8"/>
  <c r="N5" i="8"/>
  <c r="O4" i="8"/>
  <c r="N4" i="8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  <c r="H7" i="4"/>
  <c r="G7" i="4"/>
  <c r="F7" i="4"/>
  <c r="E7" i="4"/>
  <c r="D7" i="4"/>
  <c r="C7" i="4"/>
  <c r="H6" i="4"/>
  <c r="G6" i="4"/>
  <c r="F6" i="4"/>
  <c r="E6" i="4"/>
  <c r="D6" i="4"/>
  <c r="C6" i="4"/>
  <c r="B17" i="9" l="1"/>
  <c r="B16" i="9"/>
</calcChain>
</file>

<file path=xl/sharedStrings.xml><?xml version="1.0" encoding="utf-8"?>
<sst xmlns="http://schemas.openxmlformats.org/spreadsheetml/2006/main" count="1136" uniqueCount="894">
  <si>
    <t>TEC Consequence Decision Matrix &amp; Restorative Alternatives — Texas Edition</t>
  </si>
  <si>
    <t>Clear Path Education Group, LLC   ·   clearpathedgroup.com</t>
  </si>
  <si>
    <t>Built for Texas campus administrators, CBCs, and counselors.</t>
  </si>
  <si>
    <t>The Texas Education Code tells you what you CAN do — this tool tells you what you SHOULD do. Every TEC §37 offense mapped to mandatory consequences, discretionary options, and research-backed restorative alternatives. Make better decisions faster, document them completely, and build a campus culture that actually changes behavior.</t>
  </si>
  <si>
    <t>▸  DISTRICT &amp; CAMPUS INFORMATION</t>
  </si>
  <si>
    <t>District Name</t>
  </si>
  <si>
    <t>Campus Name</t>
  </si>
  <si>
    <t>Department / Team</t>
  </si>
  <si>
    <t>Coordinator</t>
  </si>
  <si>
    <t>School Year</t>
  </si>
  <si>
    <t>2025–2026</t>
  </si>
  <si>
    <t>Prepared By</t>
  </si>
  <si>
    <t>▸  HOW TO USE THIS TRACKER</t>
  </si>
  <si>
    <t xml:space="preserve">  1.  TEC Decision Matrix</t>
  </si>
  <si>
    <t>Every TEC §37 offense in one row. Mandatory vs. discretionary, consequence range, restorative alternatives, SPED flags, and required documentation.</t>
  </si>
  <si>
    <t xml:space="preserve">  2.  Restorative Protocols</t>
  </si>
  <si>
    <t>18 research-backed restorative and proactive alternatives. Step-by-step instructions, facilitator roles, time required, and success indicators.</t>
  </si>
  <si>
    <t xml:space="preserve">  3.  Offense Lookup</t>
  </si>
  <si>
    <t>Enter an offense type and instantly see: TEC section, consequence options, restorative alternatives, SPED flags, and required documents.</t>
  </si>
  <si>
    <t xml:space="preserve">  4.  CBC Workflow</t>
  </si>
  <si>
    <t>Campus Behavior Coordinator decision log. Documents the TEC §37.0012 required review: alternatives considered, SPED review, decision rationale.</t>
  </si>
  <si>
    <t xml:space="preserve">  5.  SPED Safeguards</t>
  </si>
  <si>
    <t>Every TEC offense mapped to SPED/504 considerations: MDR triggers, 10-day rule tracking, FAPE requirements, ARD implications.</t>
  </si>
  <si>
    <t xml:space="preserve">  6.  Parent Communication</t>
  </si>
  <si>
    <t>Required parent notice log by offense type. Documents method, date, and content — builds the audit trail you need for compliance.</t>
  </si>
  <si>
    <t xml:space="preserve">  7.  Documentation Checklist</t>
  </si>
  <si>
    <t>Per-incident checklist of every required document by TEC section. Never miss a required form again.</t>
  </si>
  <si>
    <t xml:space="preserve">  8.  Dashboard</t>
  </si>
  <si>
    <t>Campus-wide offense patterns, alternative consequence usage rates, SPED compliance flags, and CBC documentation completeness.</t>
  </si>
  <si>
    <t>⚠  FOR ORGANIZATIONAL USE ONLY — Not legal advice. Consult district counsel for all placement and consequence decisions.</t>
  </si>
  <si>
    <t>🚀  Ready to scale?  Visit clearpathedgroup.com to upgrade to the full platform</t>
  </si>
  <si>
    <t>TEC §37 Consequence Decision Matrix — Texas Edition</t>
  </si>
  <si>
    <t>Every TEC §37 offense. Mandatory vs. discretionary. Restorative alternatives. SPED flags. Required documentation. All in one row.</t>
  </si>
  <si>
    <t>⚠  This matrix is a decision-support tool — not legal advice. Consult district counsel. Each row represents TEA/TEC guidance as of 2025.</t>
  </si>
  <si>
    <t>TEC Section</t>
  </si>
  <si>
    <t>Offense Category</t>
  </si>
  <si>
    <t>Specific Offense</t>
  </si>
  <si>
    <t>Consequence Type</t>
  </si>
  <si>
    <t>Minimum Consequence</t>
  </si>
  <si>
    <t>Maximum Consequence</t>
  </si>
  <si>
    <t>Days Range</t>
  </si>
  <si>
    <t>DAEP Required?</t>
  </si>
  <si>
    <t>Expulsion Eligible?</t>
  </si>
  <si>
    <t>SPED MDR Required?</t>
  </si>
  <si>
    <t>SPED 10-Day Rule?</t>
  </si>
  <si>
    <t>Alt 1 — Restorative</t>
  </si>
  <si>
    <t>Alt 2 — Proactive</t>
  </si>
  <si>
    <t>Alt 3 — Support-Based</t>
  </si>
  <si>
    <t>Required Documentation</t>
  </si>
  <si>
    <t>Parent Notice Required?</t>
  </si>
  <si>
    <t>Notice Timeline</t>
  </si>
  <si>
    <t>CBC Required?</t>
  </si>
  <si>
    <t>Conference Required?</t>
  </si>
  <si>
    <t>Notes / TEA Guidance</t>
  </si>
  <si>
    <t>TEC §37.002(b)</t>
  </si>
  <si>
    <t>Teacher Removal</t>
  </si>
  <si>
    <t>Documented: student interferes with teacher's ability to teach OR student engages in conduct that is unruly, disruptive, or abusive</t>
  </si>
  <si>
    <t>Discretionary</t>
  </si>
  <si>
    <t>Teacher Removal to Reset Space</t>
  </si>
  <si>
    <t>ISS / Counselor Referral</t>
  </si>
  <si>
    <t>1–3 days ISS</t>
  </si>
  <si>
    <t>No</t>
  </si>
  <si>
    <t>Only if SPED pattern</t>
  </si>
  <si>
    <t>Yes — track</t>
  </si>
  <si>
    <t>Restorative Circle — Student + Teacher (counselor-facilitated) — addresses root cause of classroom conflict</t>
  </si>
  <si>
    <t>Behavior Contract with Daily Check-In — student and teacher agree on behavioral expectations with measurable goals</t>
  </si>
  <si>
    <t>Counselor Individual Sessions — 4-week plan addressing root cause (dysregulation, academic frustration, peer dynamics)</t>
  </si>
  <si>
    <t>Written Referral; Parent Contact Log</t>
  </si>
  <si>
    <t>Yes</t>
  </si>
  <si>
    <t>Same day — verbal</t>
  </si>
  <si>
    <t>Recommended</t>
  </si>
  <si>
    <t>Yes — student, parent, teacher</t>
  </si>
  <si>
    <t>Teacher must document each removal. CBC must review if student is repeatedly removed.</t>
  </si>
  <si>
    <t>TEC §37.002(d)</t>
  </si>
  <si>
    <t>Teacher Removal — Mandatory</t>
  </si>
  <si>
    <t>Teacher MUST remove: student commits sexual assault, causes serious bodily injury, exhibits behavior that teacher reasonably believes poses a threat</t>
  </si>
  <si>
    <t>Mandatory</t>
  </si>
  <si>
    <t>Removal to Admin — immediate</t>
  </si>
  <si>
    <t>DAEP or campus alternative placement</t>
  </si>
  <si>
    <t>Until admin determination</t>
  </si>
  <si>
    <t>Likely</t>
  </si>
  <si>
    <t>Possible</t>
  </si>
  <si>
    <t>Yes — if SPED</t>
  </si>
  <si>
    <t>Yes — track cumulative</t>
  </si>
  <si>
    <t>Threat Assessment Protocol — safety-first; restorative work begins only after safety is confirmed</t>
  </si>
  <si>
    <t>Parent-Student-Admin Conference + written safety agreement before any return to classroom</t>
  </si>
  <si>
    <t>FBA + BIP Development if behavior is recurring</t>
  </si>
  <si>
    <t>Written Referral; Incident Report; Parent Notification</t>
  </si>
  <si>
    <t>Same day — written</t>
  </si>
  <si>
    <t>Yes — required</t>
  </si>
  <si>
    <t>Admin must determine placement within 3 school days of removal. Cannot return student to same class without teacher consent.</t>
  </si>
  <si>
    <t>TEC §37.005</t>
  </si>
  <si>
    <t>Suspension — General</t>
  </si>
  <si>
    <t>Conduct not covered by §37.006 or §37.007 that violates student code of conduct and is grounds for suspension per district policy</t>
  </si>
  <si>
    <t>Warning / Parent Contact</t>
  </si>
  <si>
    <t>OSS — max 3 days per occurrence</t>
  </si>
  <si>
    <t>1–3 days OSS</t>
  </si>
  <si>
    <t>Only if SPED + pattern</t>
  </si>
  <si>
    <t>Parent-Student-Admin Conference + written behavior agreement as condition of return to campus</t>
  </si>
  <si>
    <t>ISS Alternative: structured in-school placement with assigned intervention track instead of OSS</t>
  </si>
  <si>
    <t>Community Service on Campus: student contributes positively to school community during ISS</t>
  </si>
  <si>
    <t>Parent Notification Form; Conference Summary</t>
  </si>
  <si>
    <t>Same day — verbal or written</t>
  </si>
  <si>
    <t>OSS suspends learning without changing behavior. Consider ISS + intervention as first response for Tier 1-2 offenses.</t>
  </si>
  <si>
    <t>TEC §37.005(c)</t>
  </si>
  <si>
    <t>Suspension — SPED Student</t>
  </si>
  <si>
    <t>Student with disability may be suspended up to 3 days without triggering IDEA change-of-placement rules — but cumulative days count</t>
  </si>
  <si>
    <t>Parent Contact + Plan Review</t>
  </si>
  <si>
    <t>OSS max 3 days — cumulative days track toward 10</t>
  </si>
  <si>
    <t>1–3 days (track cumulative)</t>
  </si>
  <si>
    <t>Yes — track cumulative days</t>
  </si>
  <si>
    <t>YES — mandatory</t>
  </si>
  <si>
    <t>Coordinate with ARD team before suspension if possible; document that suspension is not related to disability</t>
  </si>
  <si>
    <t>Offer ISS with FAPE-compliant services as alternative — student receives educational benefit, days still count but learning continues</t>
  </si>
  <si>
    <t>FBA/BIP Review — if behavior is related to disability, suspension alone is never sufficient</t>
  </si>
  <si>
    <t>Parent Notification; IEP/ARD Notes; CBC Decision Log</t>
  </si>
  <si>
    <t>Before placement</t>
  </si>
  <si>
    <t>Yes — ARD team may need to convene</t>
  </si>
  <si>
    <t>If cumulative days reach 10, MDR is required. FAPE must continue during any removal over 10 days.</t>
  </si>
  <si>
    <t>TEC §37.006(a)</t>
  </si>
  <si>
    <t>Mandatory DAEP — Felony Conduct</t>
  </si>
  <si>
    <t>Student engages in conduct punishable as a felony, regardless of whether charges are filed</t>
  </si>
  <si>
    <t>DAEP placement — mandatory</t>
  </si>
  <si>
    <t>DAEP — up to end of year or beyond</t>
  </si>
  <si>
    <t>Until conditions met</t>
  </si>
  <si>
    <t>YES</t>
  </si>
  <si>
    <t>Yes if SPED — MDR within 10 days</t>
  </si>
  <si>
    <t>Restorative work WITHIN DAEP: facilitated accountability conference with affected party (does not reduce placement)</t>
  </si>
  <si>
    <t>Weekly parent update calls + written progress summary every 2 weeks during placement</t>
  </si>
  <si>
    <t>Counselor-led sessions at DAEP campus: Track H crisis support + Track F behavioral skills building</t>
  </si>
  <si>
    <t>Placement Order; Written Referral; Parent Notification; Conference Summary</t>
  </si>
  <si>
    <t>Before placement begins</t>
  </si>
  <si>
    <t>MDR required if student has IEP/504. Even during mandatory placement, restorative work should begin. Develop re-entry plan from Day 1.</t>
  </si>
  <si>
    <t>TEC §37.006(a)(2)</t>
  </si>
  <si>
    <t>Mandatory DAEP — Assault (Staff)</t>
  </si>
  <si>
    <t>Student commits assault resulting in bodily injury to school employee, causes school employee to fear imminent bodily injury</t>
  </si>
  <si>
    <t>DAEP placement</t>
  </si>
  <si>
    <t>DAEP — minimum until end of semester in which incident occurs</t>
  </si>
  <si>
    <t>Until end of semester minimum</t>
  </si>
  <si>
    <t>Accountability Circle (after safety clearance): student meets with CBC, counselor, and staff member with support</t>
  </si>
  <si>
    <t>Anger Management + Behavioral Skills (Track F) during DAEP placement — daily structured sessions</t>
  </si>
  <si>
    <t>Family Engagement Plan: family receives weekly updates; family conference required before re-entry</t>
  </si>
  <si>
    <t>Placement Order; Incident Report; Police Report if applicable; Parent Notification; MDR if SPED</t>
  </si>
  <si>
    <t>Student may NOT be placed in a program with students assigned to DAEP for non-assault reasons per §37.006(h).</t>
  </si>
  <si>
    <t>TEC §37.006(b)</t>
  </si>
  <si>
    <t>Mandatory DAEP — Drug/Alcohol</t>
  </si>
  <si>
    <t>Possession/use/distribution of controlled substance, alcohol, or dangerous drug on school property or at school-sponsored event</t>
  </si>
  <si>
    <t>DAEP — discretionary length</t>
  </si>
  <si>
    <t>Varies — minimum 1 semester for distribution</t>
  </si>
  <si>
    <t>YES — distribution</t>
  </si>
  <si>
    <t>Yes if SPED</t>
  </si>
  <si>
    <t>YES — track</t>
  </si>
  <si>
    <t>Substance Awareness Education assigned within DAEP — district or community-based program</t>
  </si>
  <si>
    <t>Parent-Student counselor conference on Day 1 of placement — substance risk assessment</t>
  </si>
  <si>
    <t>Community referral: connect family with community substance support resources</t>
  </si>
  <si>
    <t>Placement Order; Parent Notification; CBC Decision Log; MDR if SPED</t>
  </si>
  <si>
    <t>Distribution is expulsion-eligible under §37.007(e). Campus counsel should be consulted immediately.</t>
  </si>
  <si>
    <t>TEC §37.006(c)</t>
  </si>
  <si>
    <t>Mandatory DAEP — Retaliation</t>
  </si>
  <si>
    <t>Student retaliates against school employee or volunteer by making a threat or causing bodily injury</t>
  </si>
  <si>
    <t>DAEP — until end of year</t>
  </si>
  <si>
    <t>Until end of year</t>
  </si>
  <si>
    <t>Yes if SPED — MDR</t>
  </si>
  <si>
    <t>Threat Assessment Protocol first — safety confirmation before any restorative work begins</t>
  </si>
  <si>
    <t>CBC-facilitated individual accountability plan: student documents understanding of harm caused</t>
  </si>
  <si>
    <t>Trauma-informed counseling (Track H): explore what drove the retaliation; address root cause</t>
  </si>
  <si>
    <t>Threat Assessment Record; Placement Order; Incident Report; Parent Notification</t>
  </si>
  <si>
    <t>Threat assessment team must convene. Document all steps. Coordinate with law enforcement if threat credible.</t>
  </si>
  <si>
    <t>TEC §37.007(a)</t>
  </si>
  <si>
    <t>Discretionary DAEP — Serious Misconduct</t>
  </si>
  <si>
    <t>Conduct occurring on campus/event that is not §37.006 but is so serious campus safety is threatened — at district discretion</t>
  </si>
  <si>
    <t>ISS or OSS</t>
  </si>
  <si>
    <t>DAEP — discretionary</t>
  </si>
  <si>
    <t>Varies by severity and pattern</t>
  </si>
  <si>
    <t>Yes if SPED — review pattern</t>
  </si>
  <si>
    <t>YES — track cumulative</t>
  </si>
  <si>
    <t>Restorative Circle: student + affected parties + counselor — structured accountability and repair</t>
  </si>
  <si>
    <t>Graduated response: escalate from ISS → DAEP only if restorative alternative is tried and documented</t>
  </si>
  <si>
    <t>Behavior Support Plan: individualized plan with measurable goals before DAEP considered</t>
  </si>
  <si>
    <t>Written Referral; CBC Decision Log (alternatives documented); Parent Notification</t>
  </si>
  <si>
    <t>Within 24 hours</t>
  </si>
  <si>
    <t>CBC must document that alternatives to DAEP were considered. TEC requires this review. Undocumented decisions create legal risk.</t>
  </si>
  <si>
    <t>TEC §37.007(b)(1)</t>
  </si>
  <si>
    <t>Discretionary DAEP — Off-Campus Felony</t>
  </si>
  <si>
    <t>Student engages in conduct off campus that would be a felony if committed by an adult and poses a continuing danger</t>
  </si>
  <si>
    <t>No required campus response</t>
  </si>
  <si>
    <t>DAEP — discretionary if danger exists</t>
  </si>
  <si>
    <t>Until danger resolved</t>
  </si>
  <si>
    <t>Risk assessment first: Threat Assessment Team convenes to determine actual campus danger level</t>
  </si>
  <si>
    <t>Conditional return plan: student may return with structured monitoring, check-ins, behavior contract</t>
  </si>
  <si>
    <t>Family Engagement Plan: coordinate with family and outside supports</t>
  </si>
  <si>
    <t>CBC Decision Log; Threat Assessment Record; Parent Notification</t>
  </si>
  <si>
    <t>Campus is not required to act on off-campus conduct unless it poses a continuing danger. Document the danger finding explicitly.</t>
  </si>
  <si>
    <t>TEC §37.007(c)</t>
  </si>
  <si>
    <t>Discretionary DAEP — Aggravated Robbery or Terroristic Threat</t>
  </si>
  <si>
    <t>Student commits aggravated robbery or makes terroristic threat off campus</t>
  </si>
  <si>
    <t>Contact campus counsel immediately</t>
  </si>
  <si>
    <t>DAEP — strongly recommended</t>
  </si>
  <si>
    <t>Until criminal process resolved</t>
  </si>
  <si>
    <t>Yes if SPED — MDR if DAEP used</t>
  </si>
  <si>
    <t>YES — mandatory if DAEP</t>
  </si>
  <si>
    <t>Threat Assessment Protocol — immediate team convening</t>
  </si>
  <si>
    <t>Conditional return plan with law enforcement coordination</t>
  </si>
  <si>
    <t>Intensive counseling (Track H) + FBA/BIP during any placement</t>
  </si>
  <si>
    <t>Threat Assessment Record; CBC Decision Log; Parent Notification; Counsel notification</t>
  </si>
  <si>
    <t>Before any placement</t>
  </si>
  <si>
    <t>Consult district legal counsel before any action. Document all steps. Coordinate with law enforcement throughout.</t>
  </si>
  <si>
    <t>TEC §37.007(d)</t>
  </si>
  <si>
    <t>Discretionary DAEP — Repeated TEC §37.006 Conduct</t>
  </si>
  <si>
    <t>Student who has previously been removed under §37.006 and engages in similar conduct again</t>
  </si>
  <si>
    <t>Review prior placement</t>
  </si>
  <si>
    <t>Extended DAEP or expulsion referral</t>
  </si>
  <si>
    <t>Extended — pattern case</t>
  </si>
  <si>
    <t>Yes if SPED — full MDR review of pattern</t>
  </si>
  <si>
    <t>Full behavioral review: Why did prior placement not change behavior? What intervention was provided? What is different this time?</t>
  </si>
  <si>
    <t>Intensive Family Engagement Plan (Track G): family is core partner in behavior change</t>
  </si>
  <si>
    <t>Outside agency referral: is this a mental health, substance, or trauma issue requiring community services beyond campus?</t>
  </si>
  <si>
    <t>Prior placement records; New CBC Decision Log; MDR if SPED; Pattern documentation</t>
  </si>
  <si>
    <t>Repeated DAEP without behavior change suggests the intervention model needs to change, not just the consequence.</t>
  </si>
  <si>
    <t>TEC §37.007(e)(1)</t>
  </si>
  <si>
    <t>Mandatory Expulsion — Firearm</t>
  </si>
  <si>
    <t>Student brings a firearm (as defined by federal law) to school or a school-sponsored event</t>
  </si>
  <si>
    <t>Contact law enforcement immediately</t>
  </si>
  <si>
    <t>Expulsion — minimum 1 year (GFSA)</t>
  </si>
  <si>
    <t>Minimum 1 year (superintendent may modify)</t>
  </si>
  <si>
    <t>Yes — MDR within 10 days if SPED</t>
  </si>
  <si>
    <t>YES — mandatory change of placement</t>
  </si>
  <si>
    <t>No restorative alternative replaces expulsion for firearms — required by federal law (GFSA 1994)</t>
  </si>
  <si>
    <t>Restorative work DURING expulsion: if student placed in JJAEP, structured accountability and re-entry planning</t>
  </si>
  <si>
    <t>Re-entry plan built from Day 1: what does this student need to be safe to return?</t>
  </si>
  <si>
    <t>Law Enforcement Report; Expulsion Order; MDR if SPED; Annual Review before any return</t>
  </si>
  <si>
    <t>Immediate</t>
  </si>
  <si>
    <t>Yes — Superintendent hearing required</t>
  </si>
  <si>
    <t>Federal Gun-Free Schools Act requires minimum 1-year expulsion. Superintendent may modify on case-by-case basis. Legal counsel required.</t>
  </si>
  <si>
    <t>TEC §37.007(e)(2)</t>
  </si>
  <si>
    <t>Mandatory Expulsion — Controlled Substance Distribution</t>
  </si>
  <si>
    <t>Student engages in conduct that constitutes a felony offense under Health &amp; Safety Code Chapter 481 on school property</t>
  </si>
  <si>
    <t>Contact law enforcement</t>
  </si>
  <si>
    <t>Expulsion — mandatory</t>
  </si>
  <si>
    <t>Varies — see legal counsel</t>
  </si>
  <si>
    <t>No alternative replaces mandatory expulsion</t>
  </si>
  <si>
    <t>JJAEP placement: structured educational alternative with intervention during expulsion</t>
  </si>
  <si>
    <t>Substance treatment referral through community resources — family coordination required</t>
  </si>
  <si>
    <t>Law Enforcement Report; Expulsion Order; MDR if SPED</t>
  </si>
  <si>
    <t>Yes — hearing required</t>
  </si>
  <si>
    <t>Consult legal counsel immediately. DA referral likely. Document every step.</t>
  </si>
  <si>
    <t>TEC §37.0081</t>
  </si>
  <si>
    <t>JJAEP Alternative Placement</t>
  </si>
  <si>
    <t>Student who would otherwise be expelled may be placed in JJAEP instead, if JJAEP agrees to accept</t>
  </si>
  <si>
    <t>Discretionary (alternative to expulsion)</t>
  </si>
  <si>
    <t>Expulsion referral</t>
  </si>
  <si>
    <t>JJAEP placement — alternative</t>
  </si>
  <si>
    <t>Duration set by JJAEP agreement</t>
  </si>
  <si>
    <t>Yes if SPED — FAPE must continue in JJAEP</t>
  </si>
  <si>
    <t>JJAEP as a restorative placement: structured education + behavior intervention + re-entry planning</t>
  </si>
  <si>
    <t>District + JJAEP + family meeting before placement: shared re-entry plan established</t>
  </si>
  <si>
    <t>Counseling services continue: coordinate IEP/504 services with JJAEP program</t>
  </si>
  <si>
    <t>JJAEP Agreement; Placement Order; MDR if SPED; Parent Notification</t>
  </si>
  <si>
    <t>JJAEP must provide FAPE for SPED students. District is still responsible for IEP implementation.</t>
  </si>
  <si>
    <t>TEC §37.0012</t>
  </si>
  <si>
    <t>CBC — Alternative Consideration Requirement</t>
  </si>
  <si>
    <t>Campus Behavior Coordinator must consider alternatives before recommending DAEP or expulsion</t>
  </si>
  <si>
    <t>Mandatory Process</t>
  </si>
  <si>
    <t>Review and document alternatives</t>
  </si>
  <si>
    <t>Alternative consequence if appropriate</t>
  </si>
  <si>
    <t>N/A — process requirement</t>
  </si>
  <si>
    <t>N/A</t>
  </si>
  <si>
    <t>Always — review for SPED students</t>
  </si>
  <si>
    <t>Always — review cumulative days</t>
  </si>
  <si>
    <t>Restorative Circle as documented alternative: log that this was considered and whether it was offered or why not</t>
  </si>
  <si>
    <t>ISS + Intervention Track as documented alternative: log tier-matched intervention assignment</t>
  </si>
  <si>
    <t>Behavior Support Plan as documented alternative: log that plan was reviewed or created</t>
  </si>
  <si>
    <t>CBC Decision Log (required); Parent Notification</t>
  </si>
  <si>
    <t>Per offense requirements</t>
  </si>
  <si>
    <t>Yes — this IS the CBC step</t>
  </si>
  <si>
    <t>Yes — CBC must conference with student</t>
  </si>
  <si>
    <t>Failure to document alternatives consideration creates significant legal exposure. Use the CBC Workflow tab for every DAEP/expulsion recommendation.</t>
  </si>
  <si>
    <t>TEC §37.009</t>
  </si>
  <si>
    <t>Conference Requirement</t>
  </si>
  <si>
    <t>Before placing a student in DAEP, district must hold a conference with student and parent/guardian</t>
  </si>
  <si>
    <t>Schedule conference</t>
  </si>
  <si>
    <t>Hold conference before placement</t>
  </si>
  <si>
    <t>Before placement — no time limit but prompt</t>
  </si>
  <si>
    <t>N/A — prerequisite</t>
  </si>
  <si>
    <t>Always include ARD team member if SPED</t>
  </si>
  <si>
    <t>Always</t>
  </si>
  <si>
    <t>Use the conference as a restorative opportunity: what does the student need? What commitment will the family make?</t>
  </si>
  <si>
    <t>At the conference: introduce the re-entry plan. Student should know from Day 1 what success looks like</t>
  </si>
  <si>
    <t>Document any alternative consequence offered at conference and student/family response</t>
  </si>
  <si>
    <t>Conference Summary (signed); Parent Notification</t>
  </si>
  <si>
    <t>Yes — this IS the conference</t>
  </si>
  <si>
    <t>Conference cannot be waived except in emergency safety situations. Document any waiver explicitly.</t>
  </si>
  <si>
    <t>TEC §37.006(f)</t>
  </si>
  <si>
    <t>Affirmative Defense — Self-Defense</t>
  </si>
  <si>
    <t>Student who acts in self-defense cannot be removed to DAEP for that conduct. But campus must still investigate.</t>
  </si>
  <si>
    <t>Affirmative Defense — applies to §37.006(a)(2) assault cases</t>
  </si>
  <si>
    <t>Investigation required — no automatic placement</t>
  </si>
  <si>
    <t>Alternative consequence if self-defense confirmed</t>
  </si>
  <si>
    <t>Case-by-case</t>
  </si>
  <si>
    <t>No — if self-defense confirmed</t>
  </si>
  <si>
    <t>Yes if SPED — still investigate</t>
  </si>
  <si>
    <t>Track if any removal occurs</t>
  </si>
  <si>
    <t>Restorative Circle for the original conflict: address what led to the altercation even if this student acted in self-defense</t>
  </si>
  <si>
    <t>Safety plan: what does this student need to feel safe at school?</t>
  </si>
  <si>
    <t>Counselor meeting: process the incident; build de-escalation skills for future conflicts</t>
  </si>
  <si>
    <t>Investigation Report; CBC Decision Log documenting self-defense finding</t>
  </si>
  <si>
    <t>Yes — investigate before any action</t>
  </si>
  <si>
    <t>Document the self-defense investigation explicitly. Cannot remove a student who acted in lawful self-defense without legal exposure.</t>
  </si>
  <si>
    <t>🚀  Upgrade to the full platform  ·  clearpathedgroup.com  ·  Clear Path Education Group, LLC</t>
  </si>
  <si>
    <t>Restorative &amp; Proactive Protocols — Step-by-Step Reference</t>
  </si>
  <si>
    <t>18 protocols. Each row is a complete implementation guide — assign the right protocol from the TEC Decision Matrix tab.</t>
  </si>
  <si>
    <t>Protocol ID</t>
  </si>
  <si>
    <t>Protocol Name</t>
  </si>
  <si>
    <t>Best For (Offense Types)</t>
  </si>
  <si>
    <t>Tier</t>
  </si>
  <si>
    <t>Time Required</t>
  </si>
  <si>
    <t>Facilitator</t>
  </si>
  <si>
    <t>Student Prep Required</t>
  </si>
  <si>
    <t>Parent Involved?</t>
  </si>
  <si>
    <t>Affected Party Involved?</t>
  </si>
  <si>
    <t>Step 1</t>
  </si>
  <si>
    <t>Step 2</t>
  </si>
  <si>
    <t>Step 3</t>
  </si>
  <si>
    <t>Step 4</t>
  </si>
  <si>
    <t>Step 5</t>
  </si>
  <si>
    <t>Success Indicators</t>
  </si>
  <si>
    <t>Research Basis</t>
  </si>
  <si>
    <t>Notes</t>
  </si>
  <si>
    <t>RP-01</t>
  </si>
  <si>
    <t>Restorative Circle (Dyadic)</t>
  </si>
  <si>
    <t>Peer conflict, minor assault, bullying (perpetrator)</t>
  </si>
  <si>
    <t>Tier 2–3</t>
  </si>
  <si>
    <t>60–90 min total</t>
  </si>
  <si>
    <t>Counselor or trained CBC</t>
  </si>
  <si>
    <t>Student writes account of incident + impact on others</t>
  </si>
  <si>
    <t>Optional</t>
  </si>
  <si>
    <t>Pre-conference: Meet with each party separately. Explain the process. Confirm willingness to participate. Safety check.</t>
  </si>
  <si>
    <t>Opening: Facilitator sets norms. Each person shares their perspective without interruption.</t>
  </si>
  <si>
    <t>Impact sharing: Affected party describes harm experienced. Student who caused harm listens fully.</t>
  </si>
  <si>
    <t>Accountability: Student who caused harm acknowledges impact. Brainstorm repair options together.</t>
  </si>
  <si>
    <t>Agreement: Create written repair agreement. Both parties sign. CBC countersigns. Follow-up date set.</t>
  </si>
  <si>
    <t>Restorative Agreement (signed by all parties); Facilitator notes; CBC sign-off</t>
  </si>
  <si>
    <t>Both parties report feeling heard; agreement terms are realistic and specific; no retaliation within 30 days</t>
  </si>
  <si>
    <t>Gonzalez (2012): schools using RP reduce suspensions by 44%. IIRP research database.</t>
  </si>
  <si>
    <t>Do not proceed if either party is unwilling or if safety cannot be confirmed.</t>
  </si>
  <si>
    <t>RP-02</t>
  </si>
  <si>
    <t>Restorative Circle (Whole Class)</t>
  </si>
  <si>
    <t>Class disruption pattern, bullying affecting group, trust breakdown between student and class</t>
  </si>
  <si>
    <t>Tier 1–2</t>
  </si>
  <si>
    <t>45–60 min</t>
  </si>
  <si>
    <t>Counselor + Teacher</t>
  </si>
  <si>
    <t>Teacher prepares class with circle norms</t>
  </si>
  <si>
    <t>Group</t>
  </si>
  <si>
    <t>Teacher and counselor co-facilitate. Set community agreements: confidentiality, respect, no blame.</t>
  </si>
  <si>
    <t>Circle question 1: What has been happening in our classroom that isn't working?</t>
  </si>
  <si>
    <t>Circle question 2: How has it affected you personally?</t>
  </si>
  <si>
    <t>Circle question 3: What do we need from each other to make this classroom feel safe and productive?</t>
  </si>
  <si>
    <t>Create 3–5 class agreements. Post in classroom. Review in 2 weeks.</t>
  </si>
  <si>
    <t>Counselor notes; Class Agreement document; Teacher follow-up log</t>
  </si>
  <si>
    <t>Improved classroom climate report from teacher at 2-week follow-up; no further incidents involving same group</t>
  </si>
  <si>
    <t>Costello, Wachtel &amp; Wachtel (2009): Restorative Circles build social capital and reduce exclusionary discipline.</t>
  </si>
  <si>
    <t>Requires trained facilitator. Do not use when one student's behavior is the sole issue — use RP-01 instead.</t>
  </si>
  <si>
    <t>RP-03</t>
  </si>
  <si>
    <t>Mediated Conversation</t>
  </si>
  <si>
    <t>Peer conflict, verbal altercation, social media conflict</t>
  </si>
  <si>
    <t>30–45 min</t>
  </si>
  <si>
    <t>Counselor</t>
  </si>
  <si>
    <t>Each student writes 3 sentences: what happened, how I feel, what I need</t>
  </si>
  <si>
    <t>Yes (both students)</t>
  </si>
  <si>
    <t>Separate pre-meetings: counselor meets with each student to review their written statement and explain the process.</t>
  </si>
  <si>
    <t>Joint meeting: each student reads their statement without interruption. Counselor reflects back.</t>
  </si>
  <si>
    <t>Counselor asks: What do you need from this person to move forward?</t>
  </si>
  <si>
    <t>Negotiated agreement: agree on 1–3 specific behavioral commitments each.</t>
  </si>
  <si>
    <t>Written agreement signed by both students. Counselor files copy. Follow-up in 1 week.</t>
  </si>
  <si>
    <t>Mediation Summary; Signed Agreement; Counselor follow-up note</t>
  </si>
  <si>
    <t>Both students can articulate the other's perspective; no further incidents between same students within 30 days</t>
  </si>
  <si>
    <t>Johnson &amp; Johnson (2009): peer mediation reduces aggressive incidents by 38% in middle school.</t>
  </si>
  <si>
    <t>Both students must be willing. Counselor should not proceed if one party is coerced.</t>
  </si>
  <si>
    <t>RP-04</t>
  </si>
  <si>
    <t>Written Apology + Repair Plan</t>
  </si>
  <si>
    <t>Minor offense with identifiable harm; first offense; Tier 1</t>
  </si>
  <si>
    <t>Tier 1</t>
  </si>
  <si>
    <t>Teacher or Counselor</t>
  </si>
  <si>
    <t>Student writes draft apology before meeting</t>
  </si>
  <si>
    <t>Indirectly</t>
  </si>
  <si>
    <t>Student writes structured apology: (1) What I did, (2) Why it was wrong, (3) How it affected you, (4) What I will do differently.</t>
  </si>
  <si>
    <t>Counselor reviews draft with student. Coach for specificity and accountability language.</t>
  </si>
  <si>
    <t>Student presents apology to affected party (in writing or in person, based on comfort level of affected party).</t>
  </si>
  <si>
    <t>Student writes 'repair plan': one specific action they will take to make things better.</t>
  </si>
  <si>
    <t>Counselor files completed apology and repair plan. Share copy with admin and parent.</t>
  </si>
  <si>
    <t>Completed Apology (signed); Repair Plan; Counselor note</t>
  </si>
  <si>
    <t>Affected party reports feeling acknowledged; student can articulate why their behavior was harmful</t>
  </si>
  <si>
    <t>Braithwaite (2002): Reintegrative shaming theory — public accountability paired with community support reduces reoffending.</t>
  </si>
  <si>
    <t>Apology must be voluntary and genuine to be effective. Forced apologies can backfire.</t>
  </si>
  <si>
    <t>RP-05</t>
  </si>
  <si>
    <t>Parent-Student-Admin Conference + Agreement</t>
  </si>
  <si>
    <t>Any Tier 2+ offense; repeated Tier 1; before DAEP consideration</t>
  </si>
  <si>
    <t>CBC or Principal</t>
  </si>
  <si>
    <t>Student writes reflection on incident before meeting</t>
  </si>
  <si>
    <t>Admin reviews incident facts, prior history, and any SPED considerations before meeting.</t>
  </si>
  <si>
    <t>Conference: student shares their perspective. Parent shares concerns. Admin shares school's perspective.</t>
  </si>
  <si>
    <t>Collaborative problem-solving: What does this student need to succeed? What will the school provide? What will the family provide?</t>
  </si>
  <si>
    <t>Written behavior agreement: 3–5 specific, measurable commitments. Roles for student, parent, and school named.</t>
  </si>
  <si>
    <t>Signed agreement filed. Follow-up meeting or call scheduled within 30 days.</t>
  </si>
  <si>
    <t>Conference Summary; Signed Behavior Agreement; Parent Notification Form</t>
  </si>
  <si>
    <t>Family reports feeling heard and respected; student can state their commitments; no repeat offense within 30 days</t>
  </si>
  <si>
    <t>Epstein (2011): Family involvement is the single strongest predictor of behavior change in school settings.</t>
  </si>
  <si>
    <t>This conference satisfies the TEC §37.009 requirement when DAEP placement is being considered.</t>
  </si>
  <si>
    <t>RP-06</t>
  </si>
  <si>
    <t>Behavior Contract with Daily Check-In</t>
  </si>
  <si>
    <t>Pattern behavior (2–3 same offense); Tier 2; as condition of return from ISS</t>
  </si>
  <si>
    <t>Tier 2</t>
  </si>
  <si>
    <t>Initial: 20 min setup; 5 min/day ongoing</t>
  </si>
  <si>
    <t>Counselor or designated mentor</t>
  </si>
  <si>
    <t>Student co-creates contract goals</t>
  </si>
  <si>
    <t>Student and counselor identify: (1) specific trigger behaviors, (2) alternative responses to use instead.</t>
  </si>
  <si>
    <t>Contract drafted: 3 specific, observable goals. 'I will ___' not 'I will not ___'. Positive framing.</t>
  </si>
  <si>
    <t>Contract signed by student, counselor, parent, and admin. Copy to homeroom teacher.</t>
  </si>
  <si>
    <t>Daily 5-min check-in with designated adult: Did I meet my goals today? What was hard? What helped?</t>
  </si>
  <si>
    <t>Weekly review at 4 weeks: goals met → celebrate + reduce check-in frequency. Not met → revise plan.</t>
  </si>
  <si>
    <t>Signed Behavior Contract; Daily Check-In Log; Weekly Review Notes</t>
  </si>
  <si>
    <t>Student meets goals on 80%+ of school days by week 4; self-reports improved confidence in behavior management</t>
  </si>
  <si>
    <t>Sugai &amp; Horner (2002): Behavior contracts are core Tier 2 PBIS intervention with strong evidence base.</t>
  </si>
  <si>
    <t>Check-in must be consistent. If the adult changes frequently, effectiveness drops significantly.</t>
  </si>
  <si>
    <t>RP-07</t>
  </si>
  <si>
    <t>Threat Assessment Protocol</t>
  </si>
  <si>
    <t>Any threat — written, verbal, or gestural; social media threats; Tier 3–4</t>
  </si>
  <si>
    <t>Tier 3–4</t>
  </si>
  <si>
    <t>Variable — team-driven</t>
  </si>
  <si>
    <t>Threat Assessment Team (admin + counselor + SPED if applicable)</t>
  </si>
  <si>
    <t>N/A — student may be removed during process</t>
  </si>
  <si>
    <t>Remove student from situation. Notify CBC and principal immediately. Contact law enforcement if credible imminent threat.</t>
  </si>
  <si>
    <t>Threat Assessment Team convenes within 24 hours: evaluate nature and credibility of threat (substantive vs. transient).</t>
  </si>
  <si>
    <t>Student interview (with parent present). Review prior history, mental health indicators, stressors.</t>
  </si>
  <si>
    <t>Determine threat level. Assign safety plan. Connect to counseling and outside resources as needed.</t>
  </si>
  <si>
    <t>Create written safety plan. Share with all staff who interact with student. Set re-evaluation date.</t>
  </si>
  <si>
    <t>Threat Assessment Record; Safety Plan; Parent Notification; Law Enforcement Report if applicable</t>
  </si>
  <si>
    <t>Threat is resolved (transient) or managed (substantive); student is connected to appropriate support</t>
  </si>
  <si>
    <t>Cornell &amp; Sheras (2006): Virginia Threat Assessment Guidelines — most validated school threat assessment model.</t>
  </si>
  <si>
    <t>All staff who receive a threat must report to admin immediately. Document the report time and method.</t>
  </si>
  <si>
    <t>RP-08</t>
  </si>
  <si>
    <t>Community Service on Campus</t>
  </si>
  <si>
    <t>Tier 1–2 offenses with property/environmental harm; vandalism; general misconduct</t>
  </si>
  <si>
    <t>1–5 days, during ISS or after school</t>
  </si>
  <si>
    <t>Any trusted adult supervisor</t>
  </si>
  <si>
    <t>Student reflects on connection between offense and service</t>
  </si>
  <si>
    <t>CBC identifies service assignment connected to the offense (vandalism → clean/repair; disruption → help younger students).</t>
  </si>
  <si>
    <t>Student meets with supervisor. Explain purpose: this is not punishment — it is contribution.</t>
  </si>
  <si>
    <t>Student completes service. Daily reflection: What did I do today? Who did I help? What did I learn?</t>
  </si>
  <si>
    <t>Final reflection: What is different about how I see this school after serving it?</t>
  </si>
  <si>
    <t>Present completed reflection to CBC or counselor. Acknowledge contribution.</t>
  </si>
  <si>
    <t>Service Log; Daily Reflection; Final Reflection; CBC Sign-Off</t>
  </si>
  <si>
    <t>Student can articulate connection between service and offense; reports feeling more connected to school community</t>
  </si>
  <si>
    <t>Bazemore &amp; Schiff (2005): Community service as reparation — most effective when personally meaningful to student.</t>
  </si>
  <si>
    <t>Generic service (picking up trash with no reflection) has weak effect. The reflection component is essential.</t>
  </si>
  <si>
    <t>RP-09</t>
  </si>
  <si>
    <t>Mentoring Assignment (30-Day Plan)</t>
  </si>
  <si>
    <t>First DAEP return; Tier 2 pattern; student identified as Tier 2 MTSS risk</t>
  </si>
  <si>
    <t>15 min/day for 30 days</t>
  </si>
  <si>
    <t>Trusted adult (teacher, coach, counselor, admin)</t>
  </si>
  <si>
    <t>Student completes brief interest inventory to match with mentor</t>
  </si>
  <si>
    <t>CBC or counselor identifies mentor based on student interest and trust. Confirm mentor availability.</t>
  </si>
  <si>
    <t>Mentor and student meet for intake: What are you good at? What's hard about school right now? What's one goal?</t>
  </si>
  <si>
    <t>Daily 15-min check-in: 1 positive observation + 1 area to strengthen. Student logs in journal.</t>
  </si>
  <si>
    <t>Week 3 review: is mentoring working? Adjust frequency or mentor if needed.</t>
  </si>
  <si>
    <t>30-day celebration: acknowledge growth. Transition to bi-weekly check-ins if going well.</t>
  </si>
  <si>
    <t>Mentoring Log; Student Journal; 30-Day Review Summary</t>
  </si>
  <si>
    <t>Student attends school more consistently; no new referrals in 30 days; student names mentor as trusted adult</t>
  </si>
  <si>
    <t>Balfanz et al. (2014): One trusted adult relationship is the single strongest protective factor against dropout.</t>
  </si>
  <si>
    <t>Mentor must be consistent. Do not assign a mentor who travels frequently or has inconsistent availability.</t>
  </si>
  <si>
    <t>RP-10</t>
  </si>
  <si>
    <t>Academic Support + Catch-Up Plan</t>
  </si>
  <si>
    <t>Any placement where student misses instruction; academic frustration as root cause</t>
  </si>
  <si>
    <t>Tier 1–4 (universal)</t>
  </si>
  <si>
    <t>Daily during placement + 2-week follow-up</t>
  </si>
  <si>
    <t>Subject teachers + counselor</t>
  </si>
  <si>
    <t>Student completes learning inventory: what do I understand? where am I stuck?</t>
  </si>
  <si>
    <t>On Day 1 of any placement: counselor contacts each teacher for assignment list and priority learning targets.</t>
  </si>
  <si>
    <t>Student works on assignments during ISS with structured time for each subject.</t>
  </si>
  <si>
    <t>Teacher check-in (by phone, email, or brief visit): one positive + one area of focus for this student.</t>
  </si>
  <si>
    <t>CBC ensures no student accumulates more than 3 days of missing work without a catch-up plan.</t>
  </si>
  <si>
    <t>Return-to-class plan: for multi-day absence, teacher provides 2-week extended deadline schedule.</t>
  </si>
  <si>
    <t>Academic Catch-Up Plan; Teacher Contact Log; Completion Checklist</t>
  </si>
  <si>
    <t>Student returns with no more than 1 day of outstanding work; teacher reports student is re-engaged academically</t>
  </si>
  <si>
    <t>Balfanz et al. (2014): Academic disengagement during discipline placements is a top driver of dropout.</t>
  </si>
  <si>
    <t>This is not optional. Every student in any placement needs an academic catch-up plan by end of Day 1.</t>
  </si>
  <si>
    <t>⚡  Offense Lookup — Instant Decision Support for Administrators</t>
  </si>
  <si>
    <t>Select an offense from the dropdown in column B. Columns C–H auto-populate from the TEC Decision Matrix.</t>
  </si>
  <si>
    <t>⚠  Results auto-populate from your TEC Decision Matrix tab. All data is live — if you update the matrix, this updates too.</t>
  </si>
  <si>
    <t>SELECT OFFENSE BELOW — Use the dropdown ▼ in column B</t>
  </si>
  <si>
    <t>Offense Type (select ▼)</t>
  </si>
  <si>
    <t>Consequence Options (Mandatory / Discretionary)</t>
  </si>
  <si>
    <t>Restorative Alternatives</t>
  </si>
  <si>
    <t>SPED Flags</t>
  </si>
  <si>
    <t>— REFERENCE TABLE (do not edit) —</t>
  </si>
  <si>
    <t>Offense Key</t>
  </si>
  <si>
    <t>Consequence Options</t>
  </si>
  <si>
    <t>Assault — Bodily Injury (staff)</t>
  </si>
  <si>
    <t>Mandatory DAEP; Law Enforcement Referral required</t>
  </si>
  <si>
    <t>Threat Assessment Protocol (RP-07); Accountability Circle during DAEP placement</t>
  </si>
  <si>
    <t>Incident Report; Placement Order; Law Enforcement Report; Parent Notification; MDR if SPED</t>
  </si>
  <si>
    <t>IEP — IDEA: MDR within 10 days; FAPE must continue at DAEP</t>
  </si>
  <si>
    <t>Assault — Bodily Injury (student)</t>
  </si>
  <si>
    <t>Mandatory DAEP</t>
  </si>
  <si>
    <t>Restorative Circle RP-01 WITHIN DAEP (does not replace placement); Counselor Track H</t>
  </si>
  <si>
    <t>Incident Report; Placement Order; Parent Notification; MDR if SPED</t>
  </si>
  <si>
    <t>IEP — IDEA: MDR within 10 days; FAPE must continue</t>
  </si>
  <si>
    <t>Assault — Threat / Fear of Injury</t>
  </si>
  <si>
    <t>Mandatory DAEP or ISS following threat assessment</t>
  </si>
  <si>
    <t>Threat Assessment RP-07; Mediated Conversation RP-03 if transient threat determined</t>
  </si>
  <si>
    <t>Threat Assessment Record; CBC Decision Log; Parent Notification</t>
  </si>
  <si>
    <t>Review IEP if SPED; track cumulative days</t>
  </si>
  <si>
    <t>Bullying / Cyberbullying</t>
  </si>
  <si>
    <t>TEC §37.0832</t>
  </si>
  <si>
    <t>ISS; OSS; DAEP at discretion</t>
  </si>
  <si>
    <t>Restorative Circle RP-01; Empathy Mapping; Mentoring RP-09</t>
  </si>
  <si>
    <t>Written Referral; Parent Notification; Counselor Notes</t>
  </si>
  <si>
    <t>IEP — review if behavior relates to disability</t>
  </si>
  <si>
    <t>Controlled Substance — Possession</t>
  </si>
  <si>
    <t>Substance Awareness Education during DAEP; Community Referral</t>
  </si>
  <si>
    <t>Placement Order; Parent Notification; MDR if SPED</t>
  </si>
  <si>
    <t>MDR required if IEP/504; FAPE must continue at DAEP</t>
  </si>
  <si>
    <t>Controlled Substance — Distribution</t>
  </si>
  <si>
    <t>TEC §37.006(b)/§37.007(e)</t>
  </si>
  <si>
    <t>Mandatory DAEP; Expulsion-eligible; Law Enforcement</t>
  </si>
  <si>
    <t>No alternative replaces placement; JJAEP as expulsion alternative</t>
  </si>
  <si>
    <t>Law Enforcement Report; Expulsion Referral; MDR if SPED; Counsel Notification</t>
  </si>
  <si>
    <t>MDR required; Consult legal counsel immediately</t>
  </si>
  <si>
    <t>Dangerous Weapon — Possession</t>
  </si>
  <si>
    <t>Mandatory DAEP; Law Enforcement if firearm-adjacent</t>
  </si>
  <si>
    <t>No alternative to placement; begin Re-Entry Plan on Day 1</t>
  </si>
  <si>
    <t>Placement Order; Incident Report; Law Enforcement Report if applicable</t>
  </si>
  <si>
    <t>MDR required if IEP/504; FAPE must continue</t>
  </si>
  <si>
    <t>Firearm — Possession</t>
  </si>
  <si>
    <t>Mandatory Expulsion — minimum 1 year (GFSA)</t>
  </si>
  <si>
    <t>JJAEP as expulsion alternative; re-entry plan built during expulsion</t>
  </si>
  <si>
    <t>Law Enforcement Report; Expulsion Order; MDR if SPED; Counsel Notification</t>
  </si>
  <si>
    <t>MDR required; FAPE must continue in JJAEP; Consult counsel</t>
  </si>
  <si>
    <t>Defiance / Insubordination</t>
  </si>
  <si>
    <t>Campus Policy / TEC §37.002</t>
  </si>
  <si>
    <t>Warning → Detention → ISS (graduated)</t>
  </si>
  <si>
    <t>Behavior Contract + Daily Check-In RP-06; Parent-Admin Conference RP-05</t>
  </si>
  <si>
    <t>Written Referral; Parent Contact Log; Conference Summary</t>
  </si>
  <si>
    <t>Review IEP accommodations — may be disability-related</t>
  </si>
  <si>
    <t>Disruption of Class</t>
  </si>
  <si>
    <t>TEC §37.002 / Campus Policy</t>
  </si>
  <si>
    <t>Teacher Removal; Detention; ISS</t>
  </si>
  <si>
    <t>Restorative Circle RP-02 (whole class); Mediated Conversation RP-03</t>
  </si>
  <si>
    <t>Written Referral; Teacher Documentation</t>
  </si>
  <si>
    <t>Review IEP — may need BIP update if recurring</t>
  </si>
  <si>
    <t>If pattern</t>
  </si>
  <si>
    <t>Fighting — Minor Physical Altercation</t>
  </si>
  <si>
    <t>TEC §37.005 / §37.007(a)</t>
  </si>
  <si>
    <t>ISS 1–3 days; OSS; DAEP for pattern</t>
  </si>
  <si>
    <t>Restorative Circle RP-01; Mediated Conversation RP-03; Behavior Contract RP-06</t>
  </si>
  <si>
    <t>Incident Report; Parent Notification; CBC Decision Log</t>
  </si>
  <si>
    <t>Track cumulative days if SPED</t>
  </si>
  <si>
    <t>Harassment / Sexual Harassment</t>
  </si>
  <si>
    <t>TEC §37.0052 / Title IX</t>
  </si>
  <si>
    <t>ISS; OSS; DAEP; Mandatory Title IX investigation</t>
  </si>
  <si>
    <t>Threat Assessment if pattern; Counselor Sessions; Behavior Contract RP-06</t>
  </si>
  <si>
    <t>Title IX Report; Written Referral; Parent Notification; Counselor Notes</t>
  </si>
  <si>
    <t>IEP — review if disability-related; Title IX coordinator required</t>
  </si>
  <si>
    <t>Mandatory Expulsion Offense</t>
  </si>
  <si>
    <t>TEC §37.007(e)</t>
  </si>
  <si>
    <t>Mandatory Expulsion; Law Enforcement required</t>
  </si>
  <si>
    <t>JJAEP as expulsion alternative; re-entry plan from Day 1</t>
  </si>
  <si>
    <t>Law Enforcement Report; Expulsion Order; Counsel Notification; MDR if SPED</t>
  </si>
  <si>
    <t>MDR required; FAPE must continue in JJAEP</t>
  </si>
  <si>
    <t>Public School Felony</t>
  </si>
  <si>
    <t>Mandatory DAEP; Law Enforcement</t>
  </si>
  <si>
    <t>Restorative work within DAEP (does not replace); Weekly parent updates</t>
  </si>
  <si>
    <t>Placement Order; Law Enforcement Report; Parent Notification; MDR if SPED</t>
  </si>
  <si>
    <t>Repeated Misconduct (same violation)</t>
  </si>
  <si>
    <t>Escalated ISS; DAEP discretionary</t>
  </si>
  <si>
    <t>Full behavioral review; Family Engagement Plan RP-09; Outside agency referral</t>
  </si>
  <si>
    <t>Pattern Documentation; Prior Referrals; CBC Decision Log</t>
  </si>
  <si>
    <t>IEP — full MDR review of pattern; BIP review required</t>
  </si>
  <si>
    <t>Self-Defense (affirmative defense)</t>
  </si>
  <si>
    <t>No mandatory removal — investigate first</t>
  </si>
  <si>
    <t>Safety Plan; Counselor Session; Conflict Prevention Plan RP-03</t>
  </si>
  <si>
    <t>Investigation Report; CBC Decision Log (self-defense finding)</t>
  </si>
  <si>
    <t>Cannot remove SPED student for lawful self-defense; document investigation</t>
  </si>
  <si>
    <t>Terroristic Threat</t>
  </si>
  <si>
    <t>DAEP strongly recommended; Law Enforcement required</t>
  </si>
  <si>
    <t>Threat Assessment RP-07 — safety first; no restorative step until safety confirmed</t>
  </si>
  <si>
    <t>Threat Assessment Record; Law Enforcement Report; Counsel Notification</t>
  </si>
  <si>
    <t>MDR if SPED and DAEP used; FAPE must continue</t>
  </si>
  <si>
    <t>Theft / Vandalism</t>
  </si>
  <si>
    <t>Campus Policy / Penal Code</t>
  </si>
  <si>
    <t>Detention; ISS; Restitution required</t>
  </si>
  <si>
    <t>Community Service RP-08; Written Apology + Repair Plan RP-04</t>
  </si>
  <si>
    <t>Written Referral; Restitution Agreement; Parent Notification</t>
  </si>
  <si>
    <t>Review IEP if recurring</t>
  </si>
  <si>
    <t>Tobacco / E-Cigarette</t>
  </si>
  <si>
    <t>Campus Policy / H&amp;S Code</t>
  </si>
  <si>
    <t>Confiscation; Parent Contact; ISS (pattern)</t>
  </si>
  <si>
    <t>Substance Awareness Education; Parent-Admin Conference RP-05</t>
  </si>
  <si>
    <t>Review IEP if substance use may be disability-related</t>
  </si>
  <si>
    <t>Truancy / Attendance</t>
  </si>
  <si>
    <t>TEC §25.085 / §25.094</t>
  </si>
  <si>
    <t>Parent Notice; Attendance Plan; Court referral (10+ unexcused)</t>
  </si>
  <si>
    <t>Mentoring Assignment RP-09; Family Engagement Plan; Academic Support</t>
  </si>
  <si>
    <t>Parent Notification; Attendance Improvement Plan; Court Referral if 10+ days</t>
  </si>
  <si>
    <t>IEP — attendance barriers may be disability-related; ARD review</t>
  </si>
  <si>
    <t>Other — Campus Policy</t>
  </si>
  <si>
    <t>Campus Code of Conduct</t>
  </si>
  <si>
    <t>Per campus policy — graduated response recommended</t>
  </si>
  <si>
    <t>Review Decision Matrix; Consider ISS + Intervention Track first</t>
  </si>
  <si>
    <t>Written Referral; CBC Decision Log</t>
  </si>
  <si>
    <t>Review SPED status before any removal</t>
  </si>
  <si>
    <t>CBC Workflow — TEC §37.0012 Required Decision Log</t>
  </si>
  <si>
    <t>Complete one row per incident where DAEP or expulsion is being considered. This log documents required TEC §37.0012 alternative consideration.</t>
  </si>
  <si>
    <t>⚠  Failure to document this review creates legal exposure. Every DAEP/expulsion recommendation must have a completed CBC Workflow row.</t>
  </si>
  <si>
    <t>Incident ID</t>
  </si>
  <si>
    <t>Date</t>
  </si>
  <si>
    <t>Student ID</t>
  </si>
  <si>
    <t>Campus</t>
  </si>
  <si>
    <t>Offense</t>
  </si>
  <si>
    <t>TEC Reference</t>
  </si>
  <si>
    <t>Step 1: Alternatives Considered?</t>
  </si>
  <si>
    <t>Alternatives Reviewed</t>
  </si>
  <si>
    <t>Step 2: SPED Review Done?</t>
  </si>
  <si>
    <t>Step 3: Pattern Review?</t>
  </si>
  <si>
    <t>Prior Incidents (90 days)</t>
  </si>
  <si>
    <t>Step 4: Decision Made</t>
  </si>
  <si>
    <t>Rationale Documented?</t>
  </si>
  <si>
    <t>Parent Notified?</t>
  </si>
  <si>
    <t>Notification Date</t>
  </si>
  <si>
    <t>Notification Method</t>
  </si>
  <si>
    <t>Step 5: Consequence Assigned</t>
  </si>
  <si>
    <t>Alternative Assigned (if any)</t>
  </si>
  <si>
    <t>Step 6: Follow-Up Scheduled?</t>
  </si>
  <si>
    <t>Follow-Up Date</t>
  </si>
  <si>
    <t>CBC Signature / Initials</t>
  </si>
  <si>
    <t>SPED Safeguards — Per-Offense IDEA &amp; 504 Compliance Reference</t>
  </si>
  <si>
    <t>Every TEC §37 offense mapped to SPED/504 considerations. Use this tab when the student has an IEP, 504 Plan, or ARD history.</t>
  </si>
  <si>
    <t>Offense Type</t>
  </si>
  <si>
    <t>SPED Consideration</t>
  </si>
  <si>
    <t>MDR Required?</t>
  </si>
  <si>
    <t>10-Day Rule?</t>
  </si>
  <si>
    <t>FAPE Must Continue?</t>
  </si>
  <si>
    <t>ARD Action Required</t>
  </si>
  <si>
    <t>Any suspension (ISS or OSS)</t>
  </si>
  <si>
    <t>Each removal day counts toward the 10-school-day cumulative total. At day 10: FAPE obligation triggers, MDR required if pattern constitutes change of placement.</t>
  </si>
  <si>
    <t>Only if change of placement</t>
  </si>
  <si>
    <t>YES — track every day</t>
  </si>
  <si>
    <t>Triggers at day 11+</t>
  </si>
  <si>
    <t>Review cumulative days at each new removal. Notify SPED coordinator at day 7.</t>
  </si>
  <si>
    <t>Suspension alone never addresses the IEP behavioral goals. Ensure BIP is in place.</t>
  </si>
  <si>
    <t>Mandatory DAEP — Felony / Assault</t>
  </si>
  <si>
    <t>DAEP constitutes a change of placement. MDR must occur within 10 school days of placement decision. If behavior is manifestation of disability, cannot proceed with DAEP without IEP team agreement.</t>
  </si>
  <si>
    <t>YES — within 10 school days</t>
  </si>
  <si>
    <t>YES — counts as change of placement</t>
  </si>
  <si>
    <t>YES — must continue at DAEP campus</t>
  </si>
  <si>
    <t>ARD must convene within 10 school days to conduct MDR</t>
  </si>
  <si>
    <t>District must provide services at DAEP that allow student to progress toward IEP goals.</t>
  </si>
  <si>
    <t>Same as above — DAEP triggers MDR requirement. Special exception: if student was not identified as SPED at time of incident AND district had no basis to believe student had a disability, MDR is not required.</t>
  </si>
  <si>
    <t>YES unless exception applies</t>
  </si>
  <si>
    <t>ARD to conduct MDR; determine if substance use is related to disability</t>
  </si>
  <si>
    <t>Special circumstance exception (IDEA §615(k)(4)): document that district had no prior knowledge of disability if applicable.</t>
  </si>
  <si>
    <t>TEC §37.007(a)-(c)</t>
  </si>
  <si>
    <t>Discretionary DAEP</t>
  </si>
  <si>
    <t>Discretionary placement still triggers MDR requirement if student has IEP/504. CBC must consult with SPED coordinator before making recommendation.</t>
  </si>
  <si>
    <t>YES if IEP/504</t>
  </si>
  <si>
    <t>Pre-placement ARD consultation required; MDR at or before placement</t>
  </si>
  <si>
    <t>CBC Decision Log must note that SPED coordinator was consulted before placement decision.</t>
  </si>
  <si>
    <t>Special circumstances exception: student with disability can still be expelled for firearm offense, but services must continue. JJAEP must provide FAPE.</t>
  </si>
  <si>
    <t>YES — change of placement</t>
  </si>
  <si>
    <t>YES — even during expulsion</t>
  </si>
  <si>
    <t>Emergency ARD; MDR; JJAEP IEP coordination</t>
  </si>
  <si>
    <t>IDEA allows expulsion for dangerous behavior regardless of manifestation, but FAPE must continue. JJAEP must receive and implement the IEP.</t>
  </si>
  <si>
    <t>Mandatory Expulsion — Drug Distribution</t>
  </si>
  <si>
    <t>Same as firearm — special circumstances. Services must continue even if behavior is manifestation of disability.</t>
  </si>
  <si>
    <t>Emergency ARD; coordinate with JJAEP</t>
  </si>
  <si>
    <t>Document that the special circumstances determination was reviewed by legal counsel.</t>
  </si>
  <si>
    <t>Any — 10-Day Rule</t>
  </si>
  <si>
    <t>Cumulative Removal Tracking</t>
  </si>
  <si>
    <t>Once a student with a disability has been removed for more than 10 school days in a year, the district must provide FAPE during each additional removal. A pattern of removals (similar conduct, same circumstances) may constitute a change of placement even before 10 days.</t>
  </si>
  <si>
    <t>Pattern-based MDR possible before day 10</t>
  </si>
  <si>
    <t>YES — track from day 1</t>
  </si>
  <si>
    <t>Triggers at day 11 OR pattern determination</t>
  </si>
  <si>
    <t>Set alert at day 7 — CBC must notify SPED coordinator</t>
  </si>
  <si>
    <t>Use the Student Roster tab cumulative day counter. Never rely on memory alone.</t>
  </si>
  <si>
    <t>Any — MDR Process</t>
  </si>
  <si>
    <t>Manifestation Determination Review</t>
  </si>
  <si>
    <t>MDR must occur within 10 school days. Team determines: (1) Was the conduct caused by or had direct substantial relationship to disability? (2) Was conduct a direct result of district's failure to implement IEP? If YES to either: cannot proceed with DAEP/expulsion except under special circumstances.</t>
  </si>
  <si>
    <t>Within 10 school days of decision</t>
  </si>
  <si>
    <t>N/A — MDR is the review</t>
  </si>
  <si>
    <t>FAPE continues regardless of MDR outcome</t>
  </si>
  <si>
    <t>ARD team conducts MDR; documents findings; revises BIP if needed</t>
  </si>
  <si>
    <t>If district fails to conduct timely MDR, any placement is legally vulnerable to reversal. Document date MDR was initiated immediately.</t>
  </si>
  <si>
    <t>Any — FBA/BIP</t>
  </si>
  <si>
    <t>Functional Behavioral Assessment &amp; Behavior Intervention Plan</t>
  </si>
  <si>
    <t>When a student with a disability is removed for behavior, the IEP team must review/revise the BIP (or create an FBA if no BIP exists). This is not optional — it is required under IDEA when removal is for behavior related to disability.</t>
  </si>
  <si>
    <t>Triggers FBA/BIP review requirement</t>
  </si>
  <si>
    <t>N/A — ongoing obligation</t>
  </si>
  <si>
    <t>N/A — proactive requirement</t>
  </si>
  <si>
    <t>IEP team must convene to review/revise FBA and BIP within placement period</t>
  </si>
  <si>
    <t>A BIP that was created 2 years ago and has never been revised does not satisfy IDEA requirements. Update it.</t>
  </si>
  <si>
    <t>Any — 504</t>
  </si>
  <si>
    <t>Section 504 Plan — All Offenses</t>
  </si>
  <si>
    <t>Students with 504 plans have similar (though not identical) protections. District must conduct a §504 review before significant discipline change. 504 plans may include behavioral accommodations that were not followed — document whether accommodations were in place at time of incident.</t>
  </si>
  <si>
    <t>Review required (not MDR) before DAEP</t>
  </si>
  <si>
    <t>Track cumulative days — FAPE obligation similar</t>
  </si>
  <si>
    <t>504 services must continue if removal is extended</t>
  </si>
  <si>
    <t>504 coordinator must be notified; review whether 504 accommodations were in place</t>
  </si>
  <si>
    <t>504 compliance violations can result in OCR complaints. Always document that accommodations were implemented.</t>
  </si>
  <si>
    <t>Parent Communication Log — Required Notices by TEC Section</t>
  </si>
  <si>
    <t>Log every parent contact related to discipline. TEC requires specific notices — this log is your audit trail.</t>
  </si>
  <si>
    <t>Log ID</t>
  </si>
  <si>
    <t>Student Last Name</t>
  </si>
  <si>
    <t>Offense / Reason</t>
  </si>
  <si>
    <t>TEC-Required Notice?</t>
  </si>
  <si>
    <t>Notice Deadline</t>
  </si>
  <si>
    <t>Contact Name</t>
  </si>
  <si>
    <t>Contact Relationship</t>
  </si>
  <si>
    <t>Summary of Communication</t>
  </si>
  <si>
    <t>Follow-Up Required?</t>
  </si>
  <si>
    <t>CBC / Staff Initials</t>
  </si>
  <si>
    <t>Documentation Checklist — Required Documents by Incident &amp; TEC Section</t>
  </si>
  <si>
    <t>Check off each document as it is completed. ⚙ Auto-counts documents complete. Red = incomplete package.</t>
  </si>
  <si>
    <t>Checklist ID</t>
  </si>
  <si>
    <t>Incident Date</t>
  </si>
  <si>
    <t>Offense Summary</t>
  </si>
  <si>
    <t>Doc 1: Written Referral</t>
  </si>
  <si>
    <t>Doc 2: Parent Notification</t>
  </si>
  <si>
    <t>Doc 3: Conference Summary</t>
  </si>
  <si>
    <t>Doc 4: Placement Order</t>
  </si>
  <si>
    <t>Doc 5: CBC Decision Log</t>
  </si>
  <si>
    <t>Doc 6: MDR (if SPED)</t>
  </si>
  <si>
    <t>Doc 7: BIP/FBA Review</t>
  </si>
  <si>
    <t>Doc 8: Alternative Considered</t>
  </si>
  <si>
    <t>⚙ Docs Complete</t>
  </si>
  <si>
    <t>⚙ Docs Remaining</t>
  </si>
  <si>
    <t>Consequence Decision Matrix — Campus Dashboard</t>
  </si>
  <si>
    <t>INCIDENT OVERVIEW</t>
  </si>
  <si>
    <t>Total Incidents Logged (CBC Workflow)</t>
  </si>
  <si>
    <t>DAEP Placements This Year</t>
  </si>
  <si>
    <t>Expulsion Referrals</t>
  </si>
  <si>
    <t>SPED Students in CBC Log</t>
  </si>
  <si>
    <t>ALTERNATIVE CONSEQUENCE USAGE</t>
  </si>
  <si>
    <t>Restorative Alternative Used</t>
  </si>
  <si>
    <t>Alternatives NOT Considered</t>
  </si>
  <si>
    <t>Rationale Not Documented</t>
  </si>
  <si>
    <t>Follow-Ups Scheduled</t>
  </si>
  <si>
    <t>DOCUMENTATION COMPLIANCE</t>
  </si>
  <si>
    <t>Incidents with Complete Doc Package</t>
  </si>
  <si>
    <t>Incidents with Incomplete Docs</t>
  </si>
  <si>
    <t>Parent Notices Overdue</t>
  </si>
  <si>
    <t>Parent Follow-Ups Needed</t>
  </si>
  <si>
    <t>SPED &amp; COMPLIANCE FLAGS</t>
  </si>
  <si>
    <t>SPED Students — MDR Required</t>
  </si>
  <si>
    <t>CBC Rows with No SPED Review</t>
  </si>
  <si>
    <t>Restorative Circles Completed (RP-01)</t>
  </si>
  <si>
    <t>Behavior Contracts Assigned</t>
  </si>
  <si>
    <t>🚀  Automate this across all campuses at  clearpathedgroup.com/waypoint  ·  Clear Path Education Group, LLC</t>
  </si>
  <si>
    <t>Reference — TEC §37 Text Summaries, TEA Guidance, &amp; Research</t>
  </si>
  <si>
    <t>Clear Path Education Group, LLC  ·  For organizational use only — not legal advice</t>
  </si>
  <si>
    <t>TEC §37 KEY SECTIONS SUMMARY</t>
  </si>
  <si>
    <t>§37.002</t>
  </si>
  <si>
    <t>Teacher removal. Teacher may remove a student who substantially disrupts class. Teacher MUST remove for assault/serious threat. Admin must place within 3 days.</t>
  </si>
  <si>
    <t>§37.0012</t>
  </si>
  <si>
    <t>Campus Behavior Coordinator. CBC must consider alternatives before DAEP/expulsion. Must document decision. Cannot use DAEP for academic failure or truancy alone.</t>
  </si>
  <si>
    <t>§37.005</t>
  </si>
  <si>
    <t>Suspension. Maximum 3 days per occurrence. Cannot be used as regular discipline. Cannot suspend for academic failure, minor disruption, or truancy (2023 amendment).</t>
  </si>
  <si>
    <t>§37.006</t>
  </si>
  <si>
    <t>Mandatory DAEP. Specific offenses require DAEP: felony conduct, assault on staff, drug/alcohol possession, retaliation against school employee.</t>
  </si>
  <si>
    <t>§37.007</t>
  </si>
  <si>
    <t>Discretionary DAEP. District MAY place for serious misconduct, off-campus felony, aggravated robbery, terroristic threat. CBC must document alternatives considered.</t>
  </si>
  <si>
    <t>§37.007(e)</t>
  </si>
  <si>
    <t>Mandatory Expulsion. Firearm possession requires minimum 1-year expulsion (GFSA). Drug distribution and other specific felonies require expulsion referral.</t>
  </si>
  <si>
    <t>§37.0081</t>
  </si>
  <si>
    <t>JJAEP Alternative. Student who would be expelled may be placed in JJAEP instead. JJAEP must provide FAPE for SPED students.</t>
  </si>
  <si>
    <t>§37.009</t>
  </si>
  <si>
    <t>Conference Requirement. District MUST hold conference before DAEP placement. Student and parent must have opportunity to be heard.</t>
  </si>
  <si>
    <t>§37.0832</t>
  </si>
  <si>
    <t>Bullying. Requires investigation, parent notification, and protective action. May result in transfer of bully or victim to different class/campus.</t>
  </si>
  <si>
    <t>2023 TEC AMENDMENTS — KEY CHANGES</t>
  </si>
  <si>
    <t>SB 11 (2023)</t>
  </si>
  <si>
    <t>Requires districts to conduct threat assessments. Establishes threat assessment teams. Threat assessment training required for CBC and admin.</t>
  </si>
  <si>
    <t>HB 3928 (2021)</t>
  </si>
  <si>
    <t>Dyslexia — annual review required for all identified students. 504 plans with dyslexia must include MDT verification.</t>
  </si>
  <si>
    <t>Suspension Reform (2023)</t>
  </si>
  <si>
    <t>Prohibits suspension for: academic failure (making Fs), truancy, tardiness, dress code first offense, profanity not directed at person, and minor campus policy violations.</t>
  </si>
  <si>
    <t>RESTORATIVE PRACTICES — EVIDENCE BASE</t>
  </si>
  <si>
    <t>Gonzalez (2012)</t>
  </si>
  <si>
    <t>Schools implementing restorative practices reported 44% reduction in ISS/OSS and significant improvement in school climate scores.</t>
  </si>
  <si>
    <t>IIRP Research</t>
  </si>
  <si>
    <t>Reintegrative shaming theory: accountability paired with community support reduces reoffending more effectively than punitive isolation.</t>
  </si>
  <si>
    <t>Durlak et al. (2011)</t>
  </si>
  <si>
    <t>CASEL meta-analysis: SEL programs reduce behavior incidents by 25% and improve academic outcomes by 11% across K-12 settings.</t>
  </si>
  <si>
    <t>Balfanz et al. (2014)</t>
  </si>
  <si>
    <t>Students who return from suspensions/DAEP without re-entry planning re-offend within 30 days at 3x the rate of students with structured re-entry.</t>
  </si>
  <si>
    <t>Cornell &amp; Sheras (2006)</t>
  </si>
  <si>
    <t>Virginia Threat Assessment Guidelines: structured threat assessment reduces both false alarms and missed genuine threats compared to zero-tolerance policies.</t>
  </si>
  <si>
    <t>OffenseTypes</t>
  </si>
  <si>
    <t>ConsequenceTypes</t>
  </si>
  <si>
    <t>ConsequenceOptions</t>
  </si>
  <si>
    <t>RestorativeOptions</t>
  </si>
  <si>
    <t>YesNo</t>
  </si>
  <si>
    <t>YesNoNA</t>
  </si>
  <si>
    <t>NoticeTimelines</t>
  </si>
  <si>
    <t>ComplianceStatus</t>
  </si>
  <si>
    <t>DocTypes</t>
  </si>
  <si>
    <t>StaffRoles</t>
  </si>
  <si>
    <t>NotificationMethods</t>
  </si>
  <si>
    <t>SpedFlags</t>
  </si>
  <si>
    <t>Warning / Verbal Redirection</t>
  </si>
  <si>
    <t>Restorative Circle — Student + Affected Party</t>
  </si>
  <si>
    <t>Complete</t>
  </si>
  <si>
    <t>Written Referral</t>
  </si>
  <si>
    <t>Principal</t>
  </si>
  <si>
    <t>Phone Call</t>
  </si>
  <si>
    <t>None</t>
  </si>
  <si>
    <t>Parent Contact</t>
  </si>
  <si>
    <t>Restorative Circle — Whole Class</t>
  </si>
  <si>
    <t>In Progress</t>
  </si>
  <si>
    <t>Parent Notification Form</t>
  </si>
  <si>
    <t>AP</t>
  </si>
  <si>
    <t>Email</t>
  </si>
  <si>
    <t>IEP — IDEA (MDR may apply)</t>
  </si>
  <si>
    <t>Campus Policy — Not TEC</t>
  </si>
  <si>
    <t>Lunch Detention</t>
  </si>
  <si>
    <t>Mediated Conversation (counselor-facilitated)</t>
  </si>
  <si>
    <t>Not Started</t>
  </si>
  <si>
    <t>Conference Summary</t>
  </si>
  <si>
    <t>Written Notice</t>
  </si>
  <si>
    <t>504 Plan (review required)</t>
  </si>
  <si>
    <t>After-School Detention</t>
  </si>
  <si>
    <t>Within 3 school days</t>
  </si>
  <si>
    <t>Overdue</t>
  </si>
  <si>
    <t>Placement Order / Removal Notice</t>
  </si>
  <si>
    <t>CBC</t>
  </si>
  <si>
    <t>In-Person</t>
  </si>
  <si>
    <t>ARD Required</t>
  </si>
  <si>
    <t>Teacher Removal — Reset Room</t>
  </si>
  <si>
    <t>Alternative Consequence Agreement</t>
  </si>
  <si>
    <t>SPED Coordinator</t>
  </si>
  <si>
    <t>Portal Message</t>
  </si>
  <si>
    <t>10-Day Rule — Track cumulative days</t>
  </si>
  <si>
    <t>ISS — In-School Suspension (1 day)</t>
  </si>
  <si>
    <t>Mentoring Assignment (30 days)</t>
  </si>
  <si>
    <t>Not required</t>
  </si>
  <si>
    <t>Restorative Agreement (signed)</t>
  </si>
  <si>
    <t>Teacher</t>
  </si>
  <si>
    <t>FAPE must continue</t>
  </si>
  <si>
    <t>ISS — In-School Suspension (2-3 days)</t>
  </si>
  <si>
    <t>Behavior Contract (signed)</t>
  </si>
  <si>
    <t>SRO</t>
  </si>
  <si>
    <t>Change of Placement trigger</t>
  </si>
  <si>
    <t>ISS — In-School Suspension (max 3 days)</t>
  </si>
  <si>
    <t>MDR Documentation</t>
  </si>
  <si>
    <t>Other</t>
  </si>
  <si>
    <t>OSS — Out-of-School Suspension (1-3 days)</t>
  </si>
  <si>
    <t>Academic Support Plan</t>
  </si>
  <si>
    <t>IEP / ARD Notes</t>
  </si>
  <si>
    <t>OSS — Out-of-School Suspension (TEC §37.005 max 3)</t>
  </si>
  <si>
    <t>Peer Mediation Program</t>
  </si>
  <si>
    <t>CBC Decision Log</t>
  </si>
  <si>
    <t>DAEP Placement — Discretionary</t>
  </si>
  <si>
    <t>Social-Emotional Learning Module (assigned)</t>
  </si>
  <si>
    <t>Threat Assessment Record</t>
  </si>
  <si>
    <t>DAEP Placement — Mandatory (TEC §37.006)</t>
  </si>
  <si>
    <t>Counselor Individual Sessions (4-week plan)</t>
  </si>
  <si>
    <t>Law Enforcement Report</t>
  </si>
  <si>
    <t>DAEP — Extended (up to end of year)</t>
  </si>
  <si>
    <t>Family Engagement Plan</t>
  </si>
  <si>
    <t>Expulsion — Discretionary</t>
  </si>
  <si>
    <t>Re-Entry Transition Plan</t>
  </si>
  <si>
    <t>Expulsion — Mandatory (TEC §37.007(e))</t>
  </si>
  <si>
    <t>JJAEP Placement</t>
  </si>
  <si>
    <t>Manifestation Determination Review (SPED)</t>
  </si>
  <si>
    <t>Law Enforcement Referral</t>
  </si>
  <si>
    <t>FBA + BIP Development / Update</t>
  </si>
  <si>
    <t>↑  UPGRADE TO WAYPOINT</t>
  </si>
  <si>
    <t>Clear Path Education Group, LLC  ·  clearpathedgroup.com/waypoint</t>
  </si>
  <si>
    <t>Embed TEC-aligned decision logic into your district workflow.</t>
  </si>
  <si>
    <t>Waypoint by Clear Path builds the TEC §37 consequence framework directly into incident documentation — so CBCs always see restorative alternatives, SPED safeguards, and required documentation at the point of decision.</t>
  </si>
  <si>
    <t>THIS SPREADSHEET  vs.  WAYPOINT</t>
  </si>
  <si>
    <t>📋  One campus at a time</t>
  </si>
  <si>
    <t>🚀  One campus or every campus — your scale</t>
  </si>
  <si>
    <t>📋  Manual data entry</t>
  </si>
  <si>
    <t>🚀  Auto-pulls from your SIS</t>
  </si>
  <si>
    <t>📋  Download &amp; open a file</t>
  </si>
  <si>
    <t>🚀  Live web dashboard — always current</t>
  </si>
  <si>
    <t>📋  You calculate compliance status</t>
  </si>
  <si>
    <t>🚀  Automatic alerts at every threshold</t>
  </si>
  <si>
    <t>📋  Email files between staff</t>
  </si>
  <si>
    <t>🚀  Role-based access for every team member</t>
  </si>
  <si>
    <t>📋  This tool: included</t>
  </si>
  <si>
    <t>🚀  Waypoint: request a demo for pricing</t>
  </si>
  <si>
    <t>Request a Free Demo  →  clearpathedgroup.com/waypoint</t>
  </si>
  <si>
    <t>Also find us on TpT  →  teacherspayteachers.com/kimberly-culley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</si>
</sst>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sz val="10"/>
      <color rgb="FFFFFFFF"/>
      <name val="Calibri"/>
      <charset val="1"/>
    </font>
    <font>
      <b/>
      <sz val="13"/>
      <color rgb="FF4B2D7F"/>
      <name val="Calibri"/>
      <charset val="1"/>
    </font>
    <font>
      <sz val="10"/>
      <color rgb="FF444444"/>
      <name val="Calibri"/>
      <charset val="1"/>
    </font>
    <font>
      <b/>
      <sz val="11"/>
      <color rgb="FFFFFFFF"/>
      <name val="Calibri"/>
      <charset val="1"/>
    </font>
    <font>
      <b/>
      <sz val="10"/>
      <color rgb="FF4B2D7F"/>
      <name val="Calibri"/>
      <charset val="1"/>
    </font>
    <font>
      <sz val="10"/>
      <color rgb="FF1A1A2E"/>
      <name val="Calibri"/>
      <charset val="1"/>
    </font>
    <font>
      <b/>
      <sz val="9"/>
      <color rgb="FFFFFFFF"/>
      <name val="Calibri"/>
      <charset val="1"/>
    </font>
    <font>
      <sz val="9"/>
      <color rgb="FF1A1A2E"/>
      <name val="Calibri"/>
      <charset val="1"/>
    </font>
    <font>
      <b/>
      <sz val="14"/>
      <color rgb="FFFFFFFF"/>
      <name val="Calibri"/>
      <charset val="1"/>
    </font>
    <font>
      <sz val="9"/>
      <color rgb="FF4B2D7F"/>
      <name val="Calibri"/>
      <charset val="1"/>
    </font>
    <font>
      <sz val="8"/>
      <color rgb="FF4B2D7F"/>
      <name val="Calibri"/>
      <charset val="1"/>
    </font>
    <font>
      <b/>
      <sz val="9"/>
      <color rgb="FF444444"/>
      <name val="Calibri"/>
      <charset val="1"/>
    </font>
    <font>
      <sz val="9"/>
      <color rgb="FF1E8449"/>
      <name val="Calibri"/>
      <charset val="1"/>
    </font>
    <font>
      <i/>
      <sz val="9"/>
      <color rgb="FF444444"/>
      <name val="Calibri"/>
      <charset val="1"/>
    </font>
    <font>
      <b/>
      <sz val="9"/>
      <color rgb="FFC0392B"/>
      <name val="Calibri"/>
      <charset val="1"/>
    </font>
    <font>
      <i/>
      <sz val="9"/>
      <color rgb="FF4B2D7F"/>
      <name val="Calibri"/>
      <charset val="1"/>
    </font>
    <font>
      <sz val="9"/>
      <color rgb="FF0E7490"/>
      <name val="Calibri"/>
      <charset val="1"/>
    </font>
    <font>
      <b/>
      <sz val="11"/>
      <color rgb="FF4B2D7F"/>
      <name val="Calibri"/>
      <charset val="1"/>
    </font>
    <font>
      <b/>
      <sz val="10"/>
      <color rgb="FF0E7490"/>
      <name val="Calibri"/>
      <charset val="1"/>
    </font>
    <font>
      <sz val="10"/>
      <color rgb="FF4B2D7F"/>
      <name val="Calibri"/>
      <charset val="1"/>
    </font>
    <font>
      <sz val="10"/>
      <color rgb="FFC0392B"/>
      <name val="Calibri"/>
      <charset val="1"/>
    </font>
    <font>
      <i/>
      <sz val="8"/>
      <color rgb="FF888888"/>
      <name val="Calibri"/>
      <charset val="1"/>
    </font>
    <font>
      <b/>
      <sz val="8"/>
      <color rgb="FF888888"/>
      <name val="Calibri"/>
      <charset val="1"/>
    </font>
    <font>
      <sz val="8"/>
      <color rgb="FF888888"/>
      <name val="Calibri"/>
      <charset val="1"/>
    </font>
    <font>
      <i/>
      <sz val="9"/>
      <color rgb="FF888888"/>
      <name val="Calibri"/>
      <charset val="1"/>
    </font>
    <font>
      <b/>
      <sz val="18"/>
      <color rgb="FFFFFFFF"/>
      <name val="Calibri"/>
      <charset val="1"/>
    </font>
    <font>
      <i/>
      <sz val="10"/>
      <color rgb="FF4B2D7F"/>
      <name val="Calibri"/>
      <charset val="1"/>
    </font>
    <font>
      <sz val="11"/>
      <color rgb="FF1A1A2E"/>
      <name val="Calibri"/>
      <charset val="1"/>
    </font>
    <font>
      <b/>
      <sz val="16"/>
      <color rgb="FF4B2D7F"/>
      <name val="Calibri"/>
      <charset val="1"/>
    </font>
    <font>
      <b/>
      <sz val="16"/>
      <color rgb="FFE8650A"/>
      <name val="Calibri"/>
      <charset val="1"/>
    </font>
    <font>
      <b/>
      <sz val="16"/>
      <color rgb="FF0E7490"/>
      <name val="Calibri"/>
      <charset val="1"/>
    </font>
    <font>
      <b/>
      <sz val="16"/>
      <color rgb="FFC0392B"/>
      <name val="Calibri"/>
      <charset val="1"/>
    </font>
    <font>
      <b/>
      <sz val="13"/>
      <color rgb="FFFFFFFF"/>
      <name val="Calibri"/>
      <charset val="1"/>
    </font>
    <font>
      <b/>
      <sz val="9"/>
      <color rgb="FF4B2D7F"/>
      <name val="Calibri"/>
      <charset val="1"/>
    </font>
    <font>
      <b/>
      <sz val="14"/>
      <color rgb="FFFFFFFF"/>
      <name val="Calibri"/>
    </font>
    <font>
      <sz val="11"/>
      <color rgb="FFFFFFFF"/>
      <name val="Calibri"/>
    </font>
    <font>
      <b/>
      <sz val="14"/>
      <color rgb="FF4B2D7F"/>
      <name val="Calibri"/>
    </font>
    <font>
      <sz val="11"/>
      <color rgb="FF444444"/>
      <name val="Calibri"/>
    </font>
    <font>
      <b/>
      <sz val="11"/>
      <color rgb="FFFFFFFF"/>
      <name val="Calibri"/>
    </font>
    <font>
      <b/>
      <sz val="11"/>
      <color rgb="FF4B2D7F"/>
      <name val="Calibri"/>
    </font>
    <font>
      <b/>
      <sz val="13"/>
      <color rgb="FFFFFFFF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4B2D7F"/>
        <bgColor rgb="FF444444"/>
      </patternFill>
    </fill>
    <fill>
      <patternFill patternType="solid">
        <fgColor rgb="FFE8650A"/>
        <bgColor rgb="FFC0392B"/>
      </patternFill>
    </fill>
    <fill>
      <patternFill patternType="solid">
        <fgColor rgb="FFEDE7F6"/>
        <bgColor rgb="FFF0F0F0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6B4BA1"/>
        <bgColor rgb="FF4B2D7F"/>
      </patternFill>
    </fill>
    <fill>
      <patternFill patternType="solid">
        <fgColor rgb="FFC0392B"/>
        <bgColor rgb="FF993366"/>
      </patternFill>
    </fill>
    <fill>
      <patternFill patternType="solid">
        <fgColor rgb="FFFDE8D8"/>
        <bgColor rgb="FFFDECEA"/>
      </patternFill>
    </fill>
    <fill>
      <patternFill patternType="solid">
        <fgColor rgb="FF392B22"/>
        <bgColor rgb="FF222222"/>
      </patternFill>
    </fill>
    <fill>
      <patternFill patternType="solid">
        <fgColor rgb="FFFFF8E1"/>
        <bgColor rgb="FFFAFAFA"/>
      </patternFill>
    </fill>
    <fill>
      <patternFill patternType="solid">
        <fgColor rgb="FFE9F7EF"/>
        <bgColor rgb="FFE0F7FA"/>
      </patternFill>
    </fill>
    <fill>
      <patternFill patternType="solid">
        <fgColor rgb="FFFDECEA"/>
        <bgColor rgb="FFFDE8D8"/>
      </patternFill>
    </fill>
    <fill>
      <patternFill patternType="solid">
        <fgColor rgb="FFE0F7FA"/>
        <bgColor rgb="FFE9F7EF"/>
      </patternFill>
    </fill>
    <fill>
      <patternFill patternType="solid">
        <fgColor rgb="FFF0F0F0"/>
        <bgColor rgb="FFF5F0FF"/>
      </patternFill>
    </fill>
    <fill>
      <patternFill patternType="solid">
        <fgColor rgb="FF0E7490"/>
        <bgColor rgb="FF008080"/>
      </patternFill>
    </fill>
    <fill>
      <patternFill patternType="solid">
        <fgColor rgb="FF4B2D7F"/>
      </patternFill>
    </fill>
    <fill>
      <patternFill patternType="solid">
        <fgColor rgb="FFE8650A"/>
      </patternFill>
    </fill>
    <fill>
      <patternFill patternType="solid">
        <fgColor rgb="FFEDE7F6"/>
      </patternFill>
    </fill>
    <fill>
      <patternFill patternType="solid">
        <fgColor rgb="FFFFFFFF"/>
      </patternFill>
    </fill>
    <fill>
      <patternFill patternType="solid">
        <fgColor rgb="FF6B4BA1"/>
      </patternFill>
    </fill>
  </fills>
  <borders count="5">
    <border>
      <left/>
      <right/>
      <top/>
      <bottom/>
      <diagonal/>
    </border>
    <border>
      <left style="thin">
        <color rgb="FFD4C8F0"/>
      </left>
      <right style="thin">
        <color rgb="FFD4C8F0"/>
      </right>
      <top style="thin">
        <color rgb="FFD4C8F0"/>
      </top>
      <bottom style="thin">
        <color rgb="FFD4C8F0"/>
      </bottom>
      <diagonal/>
    </border>
    <border>
      <left style="thin">
        <color rgb="FFD4C8F0"/>
      </left>
      <right style="thin">
        <color rgb="FFD4C8F0"/>
      </right>
      <top/>
      <bottom style="medium">
        <color rgb="FF4B2D7F"/>
      </bottom>
      <diagonal/>
    </border>
    <border>
      <left style="thin">
        <color rgb="FF4B2D7F"/>
      </left>
      <right style="thin">
        <color rgb="FF4B2D7F"/>
      </right>
      <top style="thin">
        <color rgb="FF4B2D7F"/>
      </top>
      <bottom style="thin">
        <color rgb="FF4B2D7F"/>
      </bottom>
      <diagonal/>
    </border>
    <border>
      <left style="thin">
        <color rgb="FFD4C8F0"/>
      </left>
      <right style="thin">
        <color rgb="FFD4C8F0"/>
      </right>
      <top style="thin">
        <color rgb="FFD4C8F0"/>
      </top>
      <bottom style="thin">
        <color rgb="FFD4C8F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6" fillId="4" borderId="1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0" fillId="2" borderId="3" xfId="0" applyFill="1" applyBorder="1"/>
    <xf numFmtId="0" fontId="20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23" fillId="0" borderId="0" xfId="0" applyFont="1"/>
    <xf numFmtId="0" fontId="24" fillId="15" borderId="1" xfId="0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left" vertical="center" wrapText="1"/>
    </xf>
    <xf numFmtId="1" fontId="26" fillId="15" borderId="1" xfId="0" applyNumberFormat="1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 wrapText="1"/>
    </xf>
    <xf numFmtId="1" fontId="30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29" fillId="6" borderId="1" xfId="0" applyFont="1" applyFill="1" applyBorder="1" applyAlignment="1">
      <alignment horizontal="left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1" fontId="31" fillId="4" borderId="1" xfId="0" applyNumberFormat="1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 wrapText="1"/>
    </xf>
    <xf numFmtId="1" fontId="32" fillId="4" borderId="1" xfId="0" applyNumberFormat="1" applyFont="1" applyFill="1" applyBorder="1" applyAlignment="1">
      <alignment horizontal="center" vertical="center" wrapText="1"/>
    </xf>
    <xf numFmtId="1" fontId="32" fillId="6" borderId="1" xfId="0" applyNumberFormat="1" applyFont="1" applyFill="1" applyBorder="1" applyAlignment="1">
      <alignment horizontal="center" vertical="center" wrapText="1"/>
    </xf>
    <xf numFmtId="1" fontId="33" fillId="4" borderId="1" xfId="0" applyNumberFormat="1" applyFont="1" applyFill="1" applyBorder="1" applyAlignment="1">
      <alignment horizontal="center" vertical="center" wrapText="1"/>
    </xf>
    <xf numFmtId="1" fontId="33" fillId="6" borderId="1" xfId="0" applyNumberFormat="1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left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38" fillId="19" borderId="4" xfId="0" applyFont="1" applyFill="1" applyBorder="1" applyAlignment="1">
      <alignment horizontal="left" vertical="top" wrapText="1"/>
    </xf>
    <xf numFmtId="0" fontId="39" fillId="20" borderId="4" xfId="0" applyFont="1" applyFill="1" applyBorder="1" applyAlignment="1">
      <alignment horizontal="left" vertical="top" wrapText="1"/>
    </xf>
    <xf numFmtId="0" fontId="39" fillId="19" borderId="4" xfId="0" applyFont="1" applyFill="1" applyBorder="1" applyAlignment="1">
      <alignment horizontal="left" vertical="center"/>
    </xf>
    <xf numFmtId="0" fontId="41" fillId="19" borderId="4" xfId="0" applyFont="1" applyFill="1" applyBorder="1" applyAlignment="1">
      <alignment horizontal="left" vertical="center"/>
    </xf>
    <xf numFmtId="0" fontId="39" fillId="20" borderId="4" xfId="0" applyFont="1" applyFill="1" applyBorder="1" applyAlignment="1">
      <alignment horizontal="left" vertical="center"/>
    </xf>
    <xf numFmtId="0" fontId="41" fillId="20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horizontal="center" vertical="center" wrapText="1"/>
    </xf>
    <xf numFmtId="0" fontId="37" fillId="18" borderId="0" xfId="0" applyFont="1" applyFill="1" applyAlignment="1">
      <alignment horizontal="center" vertical="center" wrapText="1"/>
    </xf>
    <xf numFmtId="0" fontId="40" fillId="21" borderId="0" xfId="0" applyFont="1" applyFill="1" applyAlignment="1">
      <alignment horizontal="center" vertical="center" wrapText="1"/>
    </xf>
    <xf numFmtId="0" fontId="37" fillId="17" borderId="0" xfId="0" applyFont="1" applyFill="1" applyAlignment="1">
      <alignment horizontal="center" vertical="center" wrapText="1"/>
    </xf>
    <xf numFmtId="0" fontId="36" fillId="17" borderId="0" xfId="0" applyFont="1" applyFill="1" applyAlignment="1">
      <alignment horizontal="center" vertical="center" wrapText="1"/>
    </xf>
    <xf numFmtId="0" fontId="42" fillId="18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1E8449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color rgb="FFFFFFFF"/>
      </font>
      <fill>
        <patternFill>
          <bgColor rgb="FF1E8449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color rgb="FF1E8449"/>
      </font>
      <fill>
        <patternFill>
          <bgColor rgb="FFE9F7EF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color rgb="FF1A1A2E"/>
        <name val="Calibri"/>
        <charset val="1"/>
      </font>
      <fill>
        <patternFill>
          <bgColor rgb="FFF5F0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DE7F6"/>
      <rgbColor rgb="FF888888"/>
      <rgbColor rgb="FF9999FF"/>
      <rgbColor rgb="FF993366"/>
      <rgbColor rgb="FFFFF8E1"/>
      <rgbColor rgb="FFE0F7FA"/>
      <rgbColor rgb="FF660066"/>
      <rgbColor rgb="FFFF8080"/>
      <rgbColor rgb="FF0066CC"/>
      <rgbColor rgb="FFD4C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7EF"/>
      <rgbColor rgb="FFF0F0F0"/>
      <rgbColor rgb="FFFDE8D8"/>
      <rgbColor rgb="FFF5F0FF"/>
      <rgbColor rgb="FFFAFAFA"/>
      <rgbColor rgb="FFCC99FF"/>
      <rgbColor rgb="FFFDECEA"/>
      <rgbColor rgb="FF3366FF"/>
      <rgbColor rgb="FF33CCCC"/>
      <rgbColor rgb="FF99CC00"/>
      <rgbColor rgb="FFFFCC00"/>
      <rgbColor rgb="FFF4A620"/>
      <rgbColor rgb="FFE8650A"/>
      <rgbColor rgb="FF6B4BA1"/>
      <rgbColor rgb="FF969696"/>
      <rgbColor rgb="FF444444"/>
      <rgbColor rgb="FF1E8449"/>
      <rgbColor rgb="FF1A1A2E"/>
      <rgbColor rgb="FF222222"/>
      <rgbColor rgb="FFC0392B"/>
      <rgbColor rgb="FF993366"/>
      <rgbColor rgb="FF4B2D7F"/>
      <rgbColor rgb="FF392B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650A"/>
  </sheetPr>
  <dimension ref="A1:D26"/>
  <sheetViews>
    <sheetView tabSelected="1" zoomScaleNormal="100" workbookViewId="0">
      <selection sqref="A1:D1"/>
    </sheetView>
  </sheetViews>
  <sheetFormatPr defaultColWidth="8.6640625" defaultRowHeight="14.25" x14ac:dyDescent="0.45"/>
  <cols>
    <col min="1" max="1" width="3" customWidth="1"/>
    <col min="2" max="3" width="34" customWidth="1"/>
    <col min="4" max="4" width="3" customWidth="1"/>
  </cols>
  <sheetData>
    <row r="1" spans="1:4" ht="57.75" customHeight="1" x14ac:dyDescent="0.45">
      <c r="A1" s="53" t="s">
        <v>0</v>
      </c>
      <c r="B1" s="54"/>
      <c r="C1" s="54"/>
      <c r="D1" s="54"/>
    </row>
    <row r="2" spans="1:4" ht="24" customHeight="1" x14ac:dyDescent="0.45">
      <c r="A2" s="60" t="s">
        <v>1</v>
      </c>
      <c r="B2" s="54"/>
      <c r="C2" s="54"/>
      <c r="D2" s="54"/>
    </row>
    <row r="3" spans="1:4" ht="36" customHeight="1" x14ac:dyDescent="0.45">
      <c r="A3" s="58" t="s">
        <v>2</v>
      </c>
      <c r="B3" s="54"/>
      <c r="C3" s="54"/>
      <c r="D3" s="54"/>
    </row>
    <row r="4" spans="1:4" ht="51.75" customHeight="1" x14ac:dyDescent="0.45">
      <c r="A4" s="56" t="s">
        <v>3</v>
      </c>
      <c r="B4" s="54"/>
      <c r="C4" s="54"/>
      <c r="D4" s="54"/>
    </row>
    <row r="5" spans="1:4" ht="7.5" customHeight="1" x14ac:dyDescent="0.45"/>
    <row r="6" spans="1:4" ht="25.5" customHeight="1" x14ac:dyDescent="0.45">
      <c r="A6" s="55" t="s">
        <v>4</v>
      </c>
      <c r="B6" s="54"/>
      <c r="C6" s="54"/>
      <c r="D6" s="54"/>
    </row>
    <row r="7" spans="1:4" ht="21.75" customHeight="1" x14ac:dyDescent="0.45">
      <c r="B7" s="1" t="s">
        <v>5</v>
      </c>
      <c r="C7" s="2"/>
    </row>
    <row r="8" spans="1:4" ht="21.75" customHeight="1" x14ac:dyDescent="0.45">
      <c r="B8" s="1" t="s">
        <v>6</v>
      </c>
      <c r="C8" s="2"/>
    </row>
    <row r="9" spans="1:4" ht="21.75" customHeight="1" x14ac:dyDescent="0.45">
      <c r="B9" s="1" t="s">
        <v>7</v>
      </c>
      <c r="C9" s="2"/>
    </row>
    <row r="10" spans="1:4" ht="21.75" customHeight="1" x14ac:dyDescent="0.45">
      <c r="B10" s="1" t="s">
        <v>8</v>
      </c>
      <c r="C10" s="2"/>
    </row>
    <row r="11" spans="1:4" ht="21.75" customHeight="1" x14ac:dyDescent="0.45">
      <c r="B11" s="1" t="s">
        <v>9</v>
      </c>
      <c r="C11" s="2" t="s">
        <v>10</v>
      </c>
    </row>
    <row r="12" spans="1:4" ht="21.75" customHeight="1" x14ac:dyDescent="0.45">
      <c r="B12" s="1" t="s">
        <v>11</v>
      </c>
      <c r="C12" s="2"/>
    </row>
    <row r="13" spans="1:4" ht="7.5" customHeight="1" x14ac:dyDescent="0.45"/>
    <row r="14" spans="1:4" ht="25.5" customHeight="1" x14ac:dyDescent="0.45">
      <c r="A14" s="61" t="s">
        <v>12</v>
      </c>
      <c r="B14" s="54"/>
      <c r="C14" s="54"/>
      <c r="D14" s="54"/>
    </row>
    <row r="15" spans="1:4" ht="37.5" customHeight="1" x14ac:dyDescent="0.45">
      <c r="B15" s="3" t="s">
        <v>13</v>
      </c>
      <c r="C15" s="4" t="s">
        <v>14</v>
      </c>
    </row>
    <row r="16" spans="1:4" ht="37.5" customHeight="1" x14ac:dyDescent="0.45">
      <c r="B16" s="5" t="s">
        <v>15</v>
      </c>
      <c r="C16" s="6" t="s">
        <v>16</v>
      </c>
    </row>
    <row r="17" spans="1:4" ht="37.5" customHeight="1" x14ac:dyDescent="0.45">
      <c r="B17" s="3" t="s">
        <v>17</v>
      </c>
      <c r="C17" s="4" t="s">
        <v>18</v>
      </c>
    </row>
    <row r="18" spans="1:4" ht="37.5" customHeight="1" x14ac:dyDescent="0.45">
      <c r="B18" s="5" t="s">
        <v>19</v>
      </c>
      <c r="C18" s="6" t="s">
        <v>20</v>
      </c>
    </row>
    <row r="19" spans="1:4" ht="37.5" customHeight="1" x14ac:dyDescent="0.45">
      <c r="B19" s="3" t="s">
        <v>21</v>
      </c>
      <c r="C19" s="4" t="s">
        <v>22</v>
      </c>
    </row>
    <row r="20" spans="1:4" ht="37.5" customHeight="1" x14ac:dyDescent="0.45">
      <c r="B20" s="5" t="s">
        <v>23</v>
      </c>
      <c r="C20" s="6" t="s">
        <v>24</v>
      </c>
    </row>
    <row r="21" spans="1:4" ht="37.5" customHeight="1" x14ac:dyDescent="0.45">
      <c r="B21" s="3" t="s">
        <v>25</v>
      </c>
      <c r="C21" s="4" t="s">
        <v>26</v>
      </c>
    </row>
    <row r="22" spans="1:4" ht="37.5" customHeight="1" x14ac:dyDescent="0.45">
      <c r="B22" s="5" t="s">
        <v>27</v>
      </c>
      <c r="C22" s="6" t="s">
        <v>28</v>
      </c>
    </row>
    <row r="23" spans="1:4" ht="7.5" customHeight="1" x14ac:dyDescent="0.45"/>
    <row r="24" spans="1:4" ht="31.5" customHeight="1" x14ac:dyDescent="0.45">
      <c r="A24" s="59" t="s">
        <v>29</v>
      </c>
      <c r="B24" s="54"/>
      <c r="C24" s="54"/>
      <c r="D24" s="54"/>
    </row>
    <row r="26" spans="1:4" ht="31.5" customHeight="1" x14ac:dyDescent="0.45">
      <c r="A26" s="57" t="s">
        <v>30</v>
      </c>
      <c r="B26" s="54"/>
      <c r="C26" s="54"/>
      <c r="D26" s="54"/>
    </row>
  </sheetData>
  <mergeCells count="8">
    <mergeCell ref="A1:D1"/>
    <mergeCell ref="A6:D6"/>
    <mergeCell ref="A4:D4"/>
    <mergeCell ref="A26:D26"/>
    <mergeCell ref="A3:D3"/>
    <mergeCell ref="A24:D24"/>
    <mergeCell ref="A2:D2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B2D7F"/>
    <pageSetUpPr fitToPage="1"/>
  </sheetPr>
  <dimension ref="A1:T23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18" customWidth="1"/>
    <col min="2" max="2" width="28" customWidth="1"/>
    <col min="3" max="3" width="36" customWidth="1"/>
    <col min="4" max="4" width="16" customWidth="1"/>
    <col min="5" max="6" width="28" customWidth="1"/>
    <col min="7" max="8" width="12" customWidth="1"/>
    <col min="9" max="11" width="14" customWidth="1"/>
    <col min="12" max="14" width="34" customWidth="1"/>
    <col min="15" max="15" width="36" customWidth="1"/>
    <col min="16" max="16" width="14" customWidth="1"/>
    <col min="17" max="17" width="20" customWidth="1"/>
    <col min="18" max="18" width="12" customWidth="1"/>
    <col min="19" max="19" width="16" customWidth="1"/>
    <col min="20" max="20" width="36" customWidth="1"/>
  </cols>
  <sheetData>
    <row r="1" spans="1:20" ht="43.5" customHeight="1" x14ac:dyDescent="0.45">
      <c r="A1" s="62" t="s">
        <v>31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21.75" customHeight="1" x14ac:dyDescent="0.45">
      <c r="A2" s="65" t="s">
        <v>32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8" customHeight="1" x14ac:dyDescent="0.45">
      <c r="A3" s="64" t="s">
        <v>33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spans="1:20" ht="36" customHeight="1" x14ac:dyDescent="0.45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41</v>
      </c>
      <c r="I4" s="7" t="s">
        <v>42</v>
      </c>
      <c r="J4" s="7" t="s">
        <v>43</v>
      </c>
      <c r="K4" s="7" t="s">
        <v>44</v>
      </c>
      <c r="L4" s="7" t="s">
        <v>45</v>
      </c>
      <c r="M4" s="7" t="s">
        <v>46</v>
      </c>
      <c r="N4" s="7" t="s">
        <v>47</v>
      </c>
      <c r="O4" s="7" t="s">
        <v>48</v>
      </c>
      <c r="P4" s="7" t="s">
        <v>49</v>
      </c>
      <c r="Q4" s="7" t="s">
        <v>50</v>
      </c>
      <c r="R4" s="7" t="s">
        <v>51</v>
      </c>
      <c r="S4" s="7" t="s">
        <v>52</v>
      </c>
      <c r="T4" s="7" t="s">
        <v>53</v>
      </c>
    </row>
    <row r="5" spans="1:20" ht="60" customHeight="1" x14ac:dyDescent="0.45">
      <c r="A5" s="7" t="s">
        <v>54</v>
      </c>
      <c r="B5" s="4" t="s">
        <v>55</v>
      </c>
      <c r="C5" s="4" t="s">
        <v>56</v>
      </c>
      <c r="D5" s="8" t="s">
        <v>57</v>
      </c>
      <c r="E5" s="4" t="s">
        <v>58</v>
      </c>
      <c r="F5" s="4" t="s">
        <v>59</v>
      </c>
      <c r="G5" s="4" t="s">
        <v>60</v>
      </c>
      <c r="H5" s="9" t="s">
        <v>61</v>
      </c>
      <c r="I5" s="9" t="s">
        <v>61</v>
      </c>
      <c r="J5" s="10" t="s">
        <v>62</v>
      </c>
      <c r="K5" s="11" t="s">
        <v>63</v>
      </c>
      <c r="L5" s="12" t="s">
        <v>64</v>
      </c>
      <c r="M5" s="12" t="s">
        <v>65</v>
      </c>
      <c r="N5" s="12" t="s">
        <v>66</v>
      </c>
      <c r="O5" s="4" t="s">
        <v>67</v>
      </c>
      <c r="P5" s="4" t="s">
        <v>68</v>
      </c>
      <c r="Q5" s="4" t="s">
        <v>69</v>
      </c>
      <c r="R5" s="4" t="s">
        <v>70</v>
      </c>
      <c r="S5" s="4" t="s">
        <v>71</v>
      </c>
      <c r="T5" s="4" t="s">
        <v>72</v>
      </c>
    </row>
    <row r="6" spans="1:20" ht="60" customHeight="1" x14ac:dyDescent="0.45">
      <c r="A6" s="7" t="s">
        <v>73</v>
      </c>
      <c r="B6" s="6" t="s">
        <v>74</v>
      </c>
      <c r="C6" s="6" t="s">
        <v>75</v>
      </c>
      <c r="D6" s="11" t="s">
        <v>76</v>
      </c>
      <c r="E6" s="6" t="s">
        <v>77</v>
      </c>
      <c r="F6" s="6" t="s">
        <v>78</v>
      </c>
      <c r="G6" s="6" t="s">
        <v>79</v>
      </c>
      <c r="H6" s="10" t="s">
        <v>80</v>
      </c>
      <c r="I6" s="10" t="s">
        <v>81</v>
      </c>
      <c r="J6" s="11" t="s">
        <v>82</v>
      </c>
      <c r="K6" s="11" t="s">
        <v>83</v>
      </c>
      <c r="L6" s="13" t="s">
        <v>84</v>
      </c>
      <c r="M6" s="13" t="s">
        <v>85</v>
      </c>
      <c r="N6" s="13" t="s">
        <v>86</v>
      </c>
      <c r="O6" s="6" t="s">
        <v>87</v>
      </c>
      <c r="P6" s="6" t="s">
        <v>68</v>
      </c>
      <c r="Q6" s="6" t="s">
        <v>88</v>
      </c>
      <c r="R6" s="6" t="s">
        <v>68</v>
      </c>
      <c r="S6" s="6" t="s">
        <v>89</v>
      </c>
      <c r="T6" s="6" t="s">
        <v>90</v>
      </c>
    </row>
    <row r="7" spans="1:20" ht="60" customHeight="1" x14ac:dyDescent="0.45">
      <c r="A7" s="7" t="s">
        <v>91</v>
      </c>
      <c r="B7" s="4" t="s">
        <v>92</v>
      </c>
      <c r="C7" s="4" t="s">
        <v>93</v>
      </c>
      <c r="D7" s="8" t="s">
        <v>57</v>
      </c>
      <c r="E7" s="4" t="s">
        <v>94</v>
      </c>
      <c r="F7" s="4" t="s">
        <v>95</v>
      </c>
      <c r="G7" s="4" t="s">
        <v>96</v>
      </c>
      <c r="H7" s="9" t="s">
        <v>61</v>
      </c>
      <c r="I7" s="9" t="s">
        <v>61</v>
      </c>
      <c r="J7" s="10" t="s">
        <v>97</v>
      </c>
      <c r="K7" s="11" t="s">
        <v>63</v>
      </c>
      <c r="L7" s="12" t="s">
        <v>98</v>
      </c>
      <c r="M7" s="12" t="s">
        <v>99</v>
      </c>
      <c r="N7" s="12" t="s">
        <v>100</v>
      </c>
      <c r="O7" s="4" t="s">
        <v>101</v>
      </c>
      <c r="P7" s="4" t="s">
        <v>68</v>
      </c>
      <c r="Q7" s="4" t="s">
        <v>102</v>
      </c>
      <c r="R7" s="4" t="s">
        <v>70</v>
      </c>
      <c r="S7" s="4" t="s">
        <v>70</v>
      </c>
      <c r="T7" s="4" t="s">
        <v>103</v>
      </c>
    </row>
    <row r="8" spans="1:20" ht="60" customHeight="1" x14ac:dyDescent="0.45">
      <c r="A8" s="7" t="s">
        <v>104</v>
      </c>
      <c r="B8" s="6" t="s">
        <v>105</v>
      </c>
      <c r="C8" s="6" t="s">
        <v>106</v>
      </c>
      <c r="D8" s="8" t="s">
        <v>57</v>
      </c>
      <c r="E8" s="6" t="s">
        <v>107</v>
      </c>
      <c r="F8" s="6" t="s">
        <v>108</v>
      </c>
      <c r="G8" s="6" t="s">
        <v>109</v>
      </c>
      <c r="H8" s="9" t="s">
        <v>61</v>
      </c>
      <c r="I8" s="9" t="s">
        <v>61</v>
      </c>
      <c r="J8" s="11" t="s">
        <v>110</v>
      </c>
      <c r="K8" s="11" t="s">
        <v>111</v>
      </c>
      <c r="L8" s="13" t="s">
        <v>112</v>
      </c>
      <c r="M8" s="13" t="s">
        <v>113</v>
      </c>
      <c r="N8" s="13" t="s">
        <v>114</v>
      </c>
      <c r="O8" s="6" t="s">
        <v>115</v>
      </c>
      <c r="P8" s="6" t="s">
        <v>68</v>
      </c>
      <c r="Q8" s="6" t="s">
        <v>116</v>
      </c>
      <c r="R8" s="6" t="s">
        <v>68</v>
      </c>
      <c r="S8" s="6" t="s">
        <v>117</v>
      </c>
      <c r="T8" s="6" t="s">
        <v>118</v>
      </c>
    </row>
    <row r="9" spans="1:20" ht="60" customHeight="1" x14ac:dyDescent="0.45">
      <c r="A9" s="7" t="s">
        <v>119</v>
      </c>
      <c r="B9" s="4" t="s">
        <v>120</v>
      </c>
      <c r="C9" s="4" t="s">
        <v>121</v>
      </c>
      <c r="D9" s="11" t="s">
        <v>76</v>
      </c>
      <c r="E9" s="4" t="s">
        <v>122</v>
      </c>
      <c r="F9" s="4" t="s">
        <v>123</v>
      </c>
      <c r="G9" s="4" t="s">
        <v>124</v>
      </c>
      <c r="H9" s="11" t="s">
        <v>125</v>
      </c>
      <c r="I9" s="10" t="s">
        <v>81</v>
      </c>
      <c r="J9" s="11" t="s">
        <v>126</v>
      </c>
      <c r="K9" s="11" t="s">
        <v>111</v>
      </c>
      <c r="L9" s="12" t="s">
        <v>127</v>
      </c>
      <c r="M9" s="12" t="s">
        <v>128</v>
      </c>
      <c r="N9" s="12" t="s">
        <v>129</v>
      </c>
      <c r="O9" s="4" t="s">
        <v>130</v>
      </c>
      <c r="P9" s="4" t="s">
        <v>68</v>
      </c>
      <c r="Q9" s="4" t="s">
        <v>131</v>
      </c>
      <c r="R9" s="4" t="s">
        <v>68</v>
      </c>
      <c r="S9" s="4" t="s">
        <v>89</v>
      </c>
      <c r="T9" s="4" t="s">
        <v>132</v>
      </c>
    </row>
    <row r="10" spans="1:20" ht="60" customHeight="1" x14ac:dyDescent="0.45">
      <c r="A10" s="7" t="s">
        <v>133</v>
      </c>
      <c r="B10" s="6" t="s">
        <v>134</v>
      </c>
      <c r="C10" s="6" t="s">
        <v>135</v>
      </c>
      <c r="D10" s="11" t="s">
        <v>76</v>
      </c>
      <c r="E10" s="6" t="s">
        <v>136</v>
      </c>
      <c r="F10" s="6" t="s">
        <v>137</v>
      </c>
      <c r="G10" s="6" t="s">
        <v>138</v>
      </c>
      <c r="H10" s="11" t="s">
        <v>125</v>
      </c>
      <c r="I10" s="11" t="s">
        <v>125</v>
      </c>
      <c r="J10" s="11" t="s">
        <v>126</v>
      </c>
      <c r="K10" s="11" t="s">
        <v>111</v>
      </c>
      <c r="L10" s="13" t="s">
        <v>139</v>
      </c>
      <c r="M10" s="13" t="s">
        <v>140</v>
      </c>
      <c r="N10" s="13" t="s">
        <v>141</v>
      </c>
      <c r="O10" s="6" t="s">
        <v>142</v>
      </c>
      <c r="P10" s="6" t="s">
        <v>68</v>
      </c>
      <c r="Q10" s="6" t="s">
        <v>116</v>
      </c>
      <c r="R10" s="6" t="s">
        <v>68</v>
      </c>
      <c r="S10" s="6" t="s">
        <v>89</v>
      </c>
      <c r="T10" s="6" t="s">
        <v>143</v>
      </c>
    </row>
    <row r="11" spans="1:20" ht="60" customHeight="1" x14ac:dyDescent="0.45">
      <c r="A11" s="7" t="s">
        <v>144</v>
      </c>
      <c r="B11" s="4" t="s">
        <v>145</v>
      </c>
      <c r="C11" s="4" t="s">
        <v>146</v>
      </c>
      <c r="D11" s="11" t="s">
        <v>76</v>
      </c>
      <c r="E11" s="4" t="s">
        <v>136</v>
      </c>
      <c r="F11" s="4" t="s">
        <v>147</v>
      </c>
      <c r="G11" s="4" t="s">
        <v>148</v>
      </c>
      <c r="H11" s="11" t="s">
        <v>125</v>
      </c>
      <c r="I11" s="11" t="s">
        <v>149</v>
      </c>
      <c r="J11" s="11" t="s">
        <v>150</v>
      </c>
      <c r="K11" s="11" t="s">
        <v>151</v>
      </c>
      <c r="L11" s="12" t="s">
        <v>152</v>
      </c>
      <c r="M11" s="12" t="s">
        <v>153</v>
      </c>
      <c r="N11" s="12" t="s">
        <v>154</v>
      </c>
      <c r="O11" s="4" t="s">
        <v>155</v>
      </c>
      <c r="P11" s="4" t="s">
        <v>68</v>
      </c>
      <c r="Q11" s="4" t="s">
        <v>116</v>
      </c>
      <c r="R11" s="4" t="s">
        <v>68</v>
      </c>
      <c r="S11" s="4" t="s">
        <v>68</v>
      </c>
      <c r="T11" s="4" t="s">
        <v>156</v>
      </c>
    </row>
    <row r="12" spans="1:20" ht="60" customHeight="1" x14ac:dyDescent="0.45">
      <c r="A12" s="7" t="s">
        <v>157</v>
      </c>
      <c r="B12" s="6" t="s">
        <v>158</v>
      </c>
      <c r="C12" s="6" t="s">
        <v>159</v>
      </c>
      <c r="D12" s="11" t="s">
        <v>76</v>
      </c>
      <c r="E12" s="6" t="s">
        <v>136</v>
      </c>
      <c r="F12" s="6" t="s">
        <v>160</v>
      </c>
      <c r="G12" s="6" t="s">
        <v>161</v>
      </c>
      <c r="H12" s="11" t="s">
        <v>125</v>
      </c>
      <c r="I12" s="11" t="s">
        <v>125</v>
      </c>
      <c r="J12" s="11" t="s">
        <v>162</v>
      </c>
      <c r="K12" s="11" t="s">
        <v>111</v>
      </c>
      <c r="L12" s="13" t="s">
        <v>163</v>
      </c>
      <c r="M12" s="13" t="s">
        <v>164</v>
      </c>
      <c r="N12" s="13" t="s">
        <v>165</v>
      </c>
      <c r="O12" s="6" t="s">
        <v>166</v>
      </c>
      <c r="P12" s="6" t="s">
        <v>68</v>
      </c>
      <c r="Q12" s="6" t="s">
        <v>116</v>
      </c>
      <c r="R12" s="6" t="s">
        <v>68</v>
      </c>
      <c r="S12" s="6" t="s">
        <v>89</v>
      </c>
      <c r="T12" s="6" t="s">
        <v>167</v>
      </c>
    </row>
    <row r="13" spans="1:20" ht="60" customHeight="1" x14ac:dyDescent="0.45">
      <c r="A13" s="7" t="s">
        <v>168</v>
      </c>
      <c r="B13" s="4" t="s">
        <v>169</v>
      </c>
      <c r="C13" s="4" t="s">
        <v>170</v>
      </c>
      <c r="D13" s="8" t="s">
        <v>57</v>
      </c>
      <c r="E13" s="4" t="s">
        <v>171</v>
      </c>
      <c r="F13" s="4" t="s">
        <v>172</v>
      </c>
      <c r="G13" s="4" t="s">
        <v>173</v>
      </c>
      <c r="H13" s="10" t="s">
        <v>57</v>
      </c>
      <c r="I13" s="9" t="s">
        <v>61</v>
      </c>
      <c r="J13" s="11" t="s">
        <v>174</v>
      </c>
      <c r="K13" s="11" t="s">
        <v>175</v>
      </c>
      <c r="L13" s="12" t="s">
        <v>176</v>
      </c>
      <c r="M13" s="12" t="s">
        <v>177</v>
      </c>
      <c r="N13" s="12" t="s">
        <v>178</v>
      </c>
      <c r="O13" s="4" t="s">
        <v>179</v>
      </c>
      <c r="P13" s="4" t="s">
        <v>68</v>
      </c>
      <c r="Q13" s="4" t="s">
        <v>180</v>
      </c>
      <c r="R13" s="4" t="s">
        <v>68</v>
      </c>
      <c r="S13" s="4" t="s">
        <v>89</v>
      </c>
      <c r="T13" s="4" t="s">
        <v>181</v>
      </c>
    </row>
    <row r="14" spans="1:20" ht="60" customHeight="1" x14ac:dyDescent="0.45">
      <c r="A14" s="7" t="s">
        <v>182</v>
      </c>
      <c r="B14" s="6" t="s">
        <v>183</v>
      </c>
      <c r="C14" s="6" t="s">
        <v>184</v>
      </c>
      <c r="D14" s="8" t="s">
        <v>57</v>
      </c>
      <c r="E14" s="6" t="s">
        <v>185</v>
      </c>
      <c r="F14" s="6" t="s">
        <v>186</v>
      </c>
      <c r="G14" s="6" t="s">
        <v>187</v>
      </c>
      <c r="H14" s="10" t="s">
        <v>57</v>
      </c>
      <c r="I14" s="10" t="s">
        <v>81</v>
      </c>
      <c r="J14" s="11" t="s">
        <v>150</v>
      </c>
      <c r="K14" s="11" t="s">
        <v>151</v>
      </c>
      <c r="L14" s="13" t="s">
        <v>188</v>
      </c>
      <c r="M14" s="13" t="s">
        <v>189</v>
      </c>
      <c r="N14" s="13" t="s">
        <v>190</v>
      </c>
      <c r="O14" s="6" t="s">
        <v>191</v>
      </c>
      <c r="P14" s="6" t="s">
        <v>68</v>
      </c>
      <c r="Q14" s="6" t="s">
        <v>180</v>
      </c>
      <c r="R14" s="6" t="s">
        <v>68</v>
      </c>
      <c r="S14" s="6" t="s">
        <v>68</v>
      </c>
      <c r="T14" s="6" t="s">
        <v>192</v>
      </c>
    </row>
    <row r="15" spans="1:20" ht="60" customHeight="1" x14ac:dyDescent="0.45">
      <c r="A15" s="7" t="s">
        <v>193</v>
      </c>
      <c r="B15" s="4" t="s">
        <v>194</v>
      </c>
      <c r="C15" s="4" t="s">
        <v>195</v>
      </c>
      <c r="D15" s="8" t="s">
        <v>57</v>
      </c>
      <c r="E15" s="4" t="s">
        <v>196</v>
      </c>
      <c r="F15" s="4" t="s">
        <v>197</v>
      </c>
      <c r="G15" s="4" t="s">
        <v>198</v>
      </c>
      <c r="H15" s="10" t="s">
        <v>57</v>
      </c>
      <c r="I15" s="11" t="s">
        <v>125</v>
      </c>
      <c r="J15" s="11" t="s">
        <v>199</v>
      </c>
      <c r="K15" s="11" t="s">
        <v>200</v>
      </c>
      <c r="L15" s="12" t="s">
        <v>201</v>
      </c>
      <c r="M15" s="12" t="s">
        <v>202</v>
      </c>
      <c r="N15" s="12" t="s">
        <v>203</v>
      </c>
      <c r="O15" s="4" t="s">
        <v>204</v>
      </c>
      <c r="P15" s="4" t="s">
        <v>68</v>
      </c>
      <c r="Q15" s="4" t="s">
        <v>205</v>
      </c>
      <c r="R15" s="4" t="s">
        <v>68</v>
      </c>
      <c r="S15" s="4" t="s">
        <v>89</v>
      </c>
      <c r="T15" s="4" t="s">
        <v>206</v>
      </c>
    </row>
    <row r="16" spans="1:20" ht="60" customHeight="1" x14ac:dyDescent="0.45">
      <c r="A16" s="7" t="s">
        <v>207</v>
      </c>
      <c r="B16" s="6" t="s">
        <v>208</v>
      </c>
      <c r="C16" s="6" t="s">
        <v>209</v>
      </c>
      <c r="D16" s="8" t="s">
        <v>57</v>
      </c>
      <c r="E16" s="6" t="s">
        <v>210</v>
      </c>
      <c r="F16" s="6" t="s">
        <v>211</v>
      </c>
      <c r="G16" s="6" t="s">
        <v>212</v>
      </c>
      <c r="H16" s="10" t="s">
        <v>57</v>
      </c>
      <c r="I16" s="11" t="s">
        <v>125</v>
      </c>
      <c r="J16" s="11" t="s">
        <v>213</v>
      </c>
      <c r="K16" s="11" t="s">
        <v>111</v>
      </c>
      <c r="L16" s="13" t="s">
        <v>214</v>
      </c>
      <c r="M16" s="13" t="s">
        <v>215</v>
      </c>
      <c r="N16" s="13" t="s">
        <v>216</v>
      </c>
      <c r="O16" s="6" t="s">
        <v>217</v>
      </c>
      <c r="P16" s="6" t="s">
        <v>68</v>
      </c>
      <c r="Q16" s="6" t="s">
        <v>116</v>
      </c>
      <c r="R16" s="6" t="s">
        <v>68</v>
      </c>
      <c r="S16" s="6" t="s">
        <v>89</v>
      </c>
      <c r="T16" s="6" t="s">
        <v>218</v>
      </c>
    </row>
    <row r="17" spans="1:20" ht="60" customHeight="1" x14ac:dyDescent="0.45">
      <c r="A17" s="7" t="s">
        <v>219</v>
      </c>
      <c r="B17" s="4" t="s">
        <v>220</v>
      </c>
      <c r="C17" s="4" t="s">
        <v>221</v>
      </c>
      <c r="D17" s="11" t="s">
        <v>76</v>
      </c>
      <c r="E17" s="4" t="s">
        <v>222</v>
      </c>
      <c r="F17" s="4" t="s">
        <v>223</v>
      </c>
      <c r="G17" s="4" t="s">
        <v>224</v>
      </c>
      <c r="H17" s="11" t="s">
        <v>125</v>
      </c>
      <c r="I17" s="11" t="s">
        <v>111</v>
      </c>
      <c r="J17" s="11" t="s">
        <v>225</v>
      </c>
      <c r="K17" s="11" t="s">
        <v>226</v>
      </c>
      <c r="L17" s="12" t="s">
        <v>227</v>
      </c>
      <c r="M17" s="12" t="s">
        <v>228</v>
      </c>
      <c r="N17" s="12" t="s">
        <v>229</v>
      </c>
      <c r="O17" s="4" t="s">
        <v>230</v>
      </c>
      <c r="P17" s="4" t="s">
        <v>68</v>
      </c>
      <c r="Q17" s="4" t="s">
        <v>231</v>
      </c>
      <c r="R17" s="4" t="s">
        <v>68</v>
      </c>
      <c r="S17" s="4" t="s">
        <v>232</v>
      </c>
      <c r="T17" s="4" t="s">
        <v>233</v>
      </c>
    </row>
    <row r="18" spans="1:20" ht="60" customHeight="1" x14ac:dyDescent="0.45">
      <c r="A18" s="7" t="s">
        <v>234</v>
      </c>
      <c r="B18" s="6" t="s">
        <v>235</v>
      </c>
      <c r="C18" s="6" t="s">
        <v>236</v>
      </c>
      <c r="D18" s="11" t="s">
        <v>76</v>
      </c>
      <c r="E18" s="6" t="s">
        <v>237</v>
      </c>
      <c r="F18" s="6" t="s">
        <v>238</v>
      </c>
      <c r="G18" s="6" t="s">
        <v>239</v>
      </c>
      <c r="H18" s="11" t="s">
        <v>125</v>
      </c>
      <c r="I18" s="11" t="s">
        <v>125</v>
      </c>
      <c r="J18" s="11" t="s">
        <v>162</v>
      </c>
      <c r="K18" s="11" t="s">
        <v>125</v>
      </c>
      <c r="L18" s="13" t="s">
        <v>240</v>
      </c>
      <c r="M18" s="13" t="s">
        <v>241</v>
      </c>
      <c r="N18" s="13" t="s">
        <v>242</v>
      </c>
      <c r="O18" s="6" t="s">
        <v>243</v>
      </c>
      <c r="P18" s="6" t="s">
        <v>68</v>
      </c>
      <c r="Q18" s="6" t="s">
        <v>231</v>
      </c>
      <c r="R18" s="6" t="s">
        <v>68</v>
      </c>
      <c r="S18" s="6" t="s">
        <v>244</v>
      </c>
      <c r="T18" s="6" t="s">
        <v>245</v>
      </c>
    </row>
    <row r="19" spans="1:20" ht="60" customHeight="1" x14ac:dyDescent="0.45">
      <c r="A19" s="7" t="s">
        <v>246</v>
      </c>
      <c r="B19" s="4" t="s">
        <v>247</v>
      </c>
      <c r="C19" s="4" t="s">
        <v>248</v>
      </c>
      <c r="D19" s="14" t="s">
        <v>249</v>
      </c>
      <c r="E19" s="4" t="s">
        <v>250</v>
      </c>
      <c r="F19" s="4" t="s">
        <v>251</v>
      </c>
      <c r="G19" s="4" t="s">
        <v>252</v>
      </c>
      <c r="H19" s="11" t="s">
        <v>125</v>
      </c>
      <c r="I19" s="11" t="s">
        <v>125</v>
      </c>
      <c r="J19" s="11" t="s">
        <v>253</v>
      </c>
      <c r="K19" s="11" t="s">
        <v>125</v>
      </c>
      <c r="L19" s="12" t="s">
        <v>254</v>
      </c>
      <c r="M19" s="12" t="s">
        <v>255</v>
      </c>
      <c r="N19" s="12" t="s">
        <v>256</v>
      </c>
      <c r="O19" s="4" t="s">
        <v>257</v>
      </c>
      <c r="P19" s="4" t="s">
        <v>68</v>
      </c>
      <c r="Q19" s="4" t="s">
        <v>116</v>
      </c>
      <c r="R19" s="4" t="s">
        <v>68</v>
      </c>
      <c r="S19" s="4" t="s">
        <v>68</v>
      </c>
      <c r="T19" s="4" t="s">
        <v>258</v>
      </c>
    </row>
    <row r="20" spans="1:20" ht="60" customHeight="1" x14ac:dyDescent="0.45">
      <c r="A20" s="7" t="s">
        <v>259</v>
      </c>
      <c r="B20" s="6" t="s">
        <v>260</v>
      </c>
      <c r="C20" s="6" t="s">
        <v>261</v>
      </c>
      <c r="D20" s="14" t="s">
        <v>262</v>
      </c>
      <c r="E20" s="6" t="s">
        <v>263</v>
      </c>
      <c r="F20" s="6" t="s">
        <v>264</v>
      </c>
      <c r="G20" s="6" t="s">
        <v>265</v>
      </c>
      <c r="H20" s="10" t="s">
        <v>266</v>
      </c>
      <c r="I20" s="10" t="s">
        <v>266</v>
      </c>
      <c r="J20" s="10" t="s">
        <v>267</v>
      </c>
      <c r="K20" s="10" t="s">
        <v>268</v>
      </c>
      <c r="L20" s="13" t="s">
        <v>269</v>
      </c>
      <c r="M20" s="13" t="s">
        <v>270</v>
      </c>
      <c r="N20" s="13" t="s">
        <v>271</v>
      </c>
      <c r="O20" s="6" t="s">
        <v>272</v>
      </c>
      <c r="P20" s="6" t="s">
        <v>68</v>
      </c>
      <c r="Q20" s="6" t="s">
        <v>273</v>
      </c>
      <c r="R20" s="6" t="s">
        <v>274</v>
      </c>
      <c r="S20" s="6" t="s">
        <v>275</v>
      </c>
      <c r="T20" s="6" t="s">
        <v>276</v>
      </c>
    </row>
    <row r="21" spans="1:20" ht="60" customHeight="1" x14ac:dyDescent="0.45">
      <c r="A21" s="7" t="s">
        <v>277</v>
      </c>
      <c r="B21" s="4" t="s">
        <v>278</v>
      </c>
      <c r="C21" s="4" t="s">
        <v>279</v>
      </c>
      <c r="D21" s="14" t="s">
        <v>262</v>
      </c>
      <c r="E21" s="4" t="s">
        <v>280</v>
      </c>
      <c r="F21" s="4" t="s">
        <v>281</v>
      </c>
      <c r="G21" s="4" t="s">
        <v>282</v>
      </c>
      <c r="H21" s="10" t="s">
        <v>283</v>
      </c>
      <c r="I21" s="10" t="s">
        <v>266</v>
      </c>
      <c r="J21" s="10" t="s">
        <v>284</v>
      </c>
      <c r="K21" s="10" t="s">
        <v>285</v>
      </c>
      <c r="L21" s="12" t="s">
        <v>286</v>
      </c>
      <c r="M21" s="12" t="s">
        <v>287</v>
      </c>
      <c r="N21" s="12" t="s">
        <v>288</v>
      </c>
      <c r="O21" s="4" t="s">
        <v>289</v>
      </c>
      <c r="P21" s="4" t="s">
        <v>68</v>
      </c>
      <c r="Q21" s="4" t="s">
        <v>116</v>
      </c>
      <c r="R21" s="4" t="s">
        <v>68</v>
      </c>
      <c r="S21" s="4" t="s">
        <v>290</v>
      </c>
      <c r="T21" s="4" t="s">
        <v>291</v>
      </c>
    </row>
    <row r="22" spans="1:20" ht="60" customHeight="1" x14ac:dyDescent="0.45">
      <c r="A22" s="7" t="s">
        <v>292</v>
      </c>
      <c r="B22" s="6" t="s">
        <v>293</v>
      </c>
      <c r="C22" s="6" t="s">
        <v>294</v>
      </c>
      <c r="D22" s="14" t="s">
        <v>295</v>
      </c>
      <c r="E22" s="6" t="s">
        <v>296</v>
      </c>
      <c r="F22" s="6" t="s">
        <v>297</v>
      </c>
      <c r="G22" s="6" t="s">
        <v>298</v>
      </c>
      <c r="H22" s="9" t="s">
        <v>299</v>
      </c>
      <c r="I22" s="9" t="s">
        <v>61</v>
      </c>
      <c r="J22" s="11" t="s">
        <v>300</v>
      </c>
      <c r="K22" s="10" t="s">
        <v>301</v>
      </c>
      <c r="L22" s="13" t="s">
        <v>302</v>
      </c>
      <c r="M22" s="13" t="s">
        <v>303</v>
      </c>
      <c r="N22" s="13" t="s">
        <v>304</v>
      </c>
      <c r="O22" s="6" t="s">
        <v>305</v>
      </c>
      <c r="P22" s="6" t="s">
        <v>68</v>
      </c>
      <c r="Q22" s="6" t="s">
        <v>180</v>
      </c>
      <c r="R22" s="6" t="s">
        <v>68</v>
      </c>
      <c r="S22" s="6" t="s">
        <v>306</v>
      </c>
      <c r="T22" s="6" t="s">
        <v>307</v>
      </c>
    </row>
    <row r="23" spans="1:20" ht="19.5" customHeight="1" x14ac:dyDescent="0.45">
      <c r="A23" s="63" t="s">
        <v>308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</sheetData>
  <mergeCells count="4">
    <mergeCell ref="A1:T1"/>
    <mergeCell ref="A23:T23"/>
    <mergeCell ref="A3:T3"/>
    <mergeCell ref="A2:T2"/>
  </mergeCells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Lists!$B$2:$B$4</xm:f>
          </x14:formula1>
          <x14:formula2>
            <xm:f>0</xm:f>
          </x14:formula2>
          <xm:sqref>D5:D30</xm:sqref>
        </x14:dataValidation>
        <x14:dataValidation type="list" allowBlank="1" xr:uid="{00000000-0002-0000-0100-000001000000}">
          <x14:formula1>
            <xm:f>Lists!$E$2:$E$3</xm:f>
          </x14:formula1>
          <x14:formula2>
            <xm:f>0</xm:f>
          </x14:formula2>
          <xm:sqref>H5:K30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B2D7F"/>
    <pageSetUpPr fitToPage="1"/>
  </sheetPr>
  <dimension ref="A1:R14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25" x14ac:dyDescent="0.45"/>
  <cols>
    <col min="1" max="1" width="10" customWidth="1"/>
    <col min="2" max="2" width="28" customWidth="1"/>
    <col min="3" max="3" width="34" customWidth="1"/>
    <col min="4" max="4" width="28" customWidth="1"/>
    <col min="5" max="5" width="16" customWidth="1"/>
    <col min="6" max="6" width="22" customWidth="1"/>
    <col min="7" max="7" width="28" customWidth="1"/>
    <col min="8" max="8" width="14" customWidth="1"/>
    <col min="9" max="9" width="16" customWidth="1"/>
    <col min="10" max="14" width="40" customWidth="1"/>
    <col min="15" max="17" width="36" customWidth="1"/>
    <col min="18" max="18" width="28" customWidth="1"/>
  </cols>
  <sheetData>
    <row r="1" spans="1:18" ht="43.5" customHeight="1" x14ac:dyDescent="0.45">
      <c r="A1" s="62" t="s">
        <v>309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21.75" customHeight="1" x14ac:dyDescent="0.45">
      <c r="A2" s="65" t="s">
        <v>310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1:18" ht="36" customHeight="1" x14ac:dyDescent="0.45">
      <c r="A3" s="7" t="s">
        <v>311</v>
      </c>
      <c r="B3" s="7" t="s">
        <v>312</v>
      </c>
      <c r="C3" s="7" t="s">
        <v>313</v>
      </c>
      <c r="D3" s="7" t="s">
        <v>314</v>
      </c>
      <c r="E3" s="7" t="s">
        <v>315</v>
      </c>
      <c r="F3" s="7" t="s">
        <v>316</v>
      </c>
      <c r="G3" s="7" t="s">
        <v>317</v>
      </c>
      <c r="H3" s="7" t="s">
        <v>318</v>
      </c>
      <c r="I3" s="7" t="s">
        <v>319</v>
      </c>
      <c r="J3" s="7" t="s">
        <v>320</v>
      </c>
      <c r="K3" s="7" t="s">
        <v>321</v>
      </c>
      <c r="L3" s="7" t="s">
        <v>322</v>
      </c>
      <c r="M3" s="7" t="s">
        <v>323</v>
      </c>
      <c r="N3" s="7" t="s">
        <v>324</v>
      </c>
      <c r="O3" s="7" t="s">
        <v>48</v>
      </c>
      <c r="P3" s="7" t="s">
        <v>325</v>
      </c>
      <c r="Q3" s="7" t="s">
        <v>326</v>
      </c>
      <c r="R3" s="7" t="s">
        <v>327</v>
      </c>
    </row>
    <row r="4" spans="1:18" ht="72" customHeight="1" x14ac:dyDescent="0.45">
      <c r="A4" s="7" t="s">
        <v>328</v>
      </c>
      <c r="B4" s="3" t="s">
        <v>329</v>
      </c>
      <c r="C4" s="6" t="s">
        <v>330</v>
      </c>
      <c r="D4" s="6" t="s">
        <v>331</v>
      </c>
      <c r="E4" s="6" t="s">
        <v>332</v>
      </c>
      <c r="F4" s="6" t="s">
        <v>333</v>
      </c>
      <c r="G4" s="6" t="s">
        <v>334</v>
      </c>
      <c r="H4" s="6" t="s">
        <v>335</v>
      </c>
      <c r="I4" s="6" t="s">
        <v>68</v>
      </c>
      <c r="J4" s="15" t="s">
        <v>336</v>
      </c>
      <c r="K4" s="15" t="s">
        <v>337</v>
      </c>
      <c r="L4" s="15" t="s">
        <v>338</v>
      </c>
      <c r="M4" s="15" t="s">
        <v>339</v>
      </c>
      <c r="N4" s="15" t="s">
        <v>340</v>
      </c>
      <c r="O4" s="6" t="s">
        <v>341</v>
      </c>
      <c r="P4" s="6" t="s">
        <v>342</v>
      </c>
      <c r="Q4" s="6" t="s">
        <v>343</v>
      </c>
      <c r="R4" s="6" t="s">
        <v>344</v>
      </c>
    </row>
    <row r="5" spans="1:18" ht="72" customHeight="1" x14ac:dyDescent="0.45">
      <c r="A5" s="7" t="s">
        <v>345</v>
      </c>
      <c r="B5" s="3" t="s">
        <v>346</v>
      </c>
      <c r="C5" s="4" t="s">
        <v>347</v>
      </c>
      <c r="D5" s="4" t="s">
        <v>348</v>
      </c>
      <c r="E5" s="4" t="s">
        <v>349</v>
      </c>
      <c r="F5" s="4" t="s">
        <v>350</v>
      </c>
      <c r="G5" s="4" t="s">
        <v>351</v>
      </c>
      <c r="H5" s="4" t="s">
        <v>61</v>
      </c>
      <c r="I5" s="4" t="s">
        <v>352</v>
      </c>
      <c r="J5" s="4" t="s">
        <v>353</v>
      </c>
      <c r="K5" s="4" t="s">
        <v>354</v>
      </c>
      <c r="L5" s="4" t="s">
        <v>355</v>
      </c>
      <c r="M5" s="4" t="s">
        <v>356</v>
      </c>
      <c r="N5" s="4" t="s">
        <v>357</v>
      </c>
      <c r="O5" s="4" t="s">
        <v>358</v>
      </c>
      <c r="P5" s="4" t="s">
        <v>359</v>
      </c>
      <c r="Q5" s="4" t="s">
        <v>360</v>
      </c>
      <c r="R5" s="4" t="s">
        <v>361</v>
      </c>
    </row>
    <row r="6" spans="1:18" ht="72" customHeight="1" x14ac:dyDescent="0.45">
      <c r="A6" s="7" t="s">
        <v>362</v>
      </c>
      <c r="B6" s="3" t="s">
        <v>363</v>
      </c>
      <c r="C6" s="6" t="s">
        <v>364</v>
      </c>
      <c r="D6" s="6" t="s">
        <v>348</v>
      </c>
      <c r="E6" s="6" t="s">
        <v>365</v>
      </c>
      <c r="F6" s="6" t="s">
        <v>366</v>
      </c>
      <c r="G6" s="6" t="s">
        <v>367</v>
      </c>
      <c r="H6" s="6" t="s">
        <v>335</v>
      </c>
      <c r="I6" s="6" t="s">
        <v>368</v>
      </c>
      <c r="J6" s="15" t="s">
        <v>369</v>
      </c>
      <c r="K6" s="15" t="s">
        <v>370</v>
      </c>
      <c r="L6" s="15" t="s">
        <v>371</v>
      </c>
      <c r="M6" s="15" t="s">
        <v>372</v>
      </c>
      <c r="N6" s="15" t="s">
        <v>373</v>
      </c>
      <c r="O6" s="6" t="s">
        <v>374</v>
      </c>
      <c r="P6" s="6" t="s">
        <v>375</v>
      </c>
      <c r="Q6" s="6" t="s">
        <v>376</v>
      </c>
      <c r="R6" s="6" t="s">
        <v>377</v>
      </c>
    </row>
    <row r="7" spans="1:18" ht="72" customHeight="1" x14ac:dyDescent="0.45">
      <c r="A7" s="7" t="s">
        <v>378</v>
      </c>
      <c r="B7" s="3" t="s">
        <v>379</v>
      </c>
      <c r="C7" s="4" t="s">
        <v>380</v>
      </c>
      <c r="D7" s="4" t="s">
        <v>381</v>
      </c>
      <c r="E7" s="4" t="s">
        <v>365</v>
      </c>
      <c r="F7" s="4" t="s">
        <v>382</v>
      </c>
      <c r="G7" s="4" t="s">
        <v>383</v>
      </c>
      <c r="H7" s="4" t="s">
        <v>335</v>
      </c>
      <c r="I7" s="4" t="s">
        <v>384</v>
      </c>
      <c r="J7" s="4" t="s">
        <v>385</v>
      </c>
      <c r="K7" s="4" t="s">
        <v>386</v>
      </c>
      <c r="L7" s="4" t="s">
        <v>387</v>
      </c>
      <c r="M7" s="4" t="s">
        <v>388</v>
      </c>
      <c r="N7" s="4" t="s">
        <v>389</v>
      </c>
      <c r="O7" s="4" t="s">
        <v>390</v>
      </c>
      <c r="P7" s="4" t="s">
        <v>391</v>
      </c>
      <c r="Q7" s="4" t="s">
        <v>392</v>
      </c>
      <c r="R7" s="4" t="s">
        <v>393</v>
      </c>
    </row>
    <row r="8" spans="1:18" ht="72" customHeight="1" x14ac:dyDescent="0.45">
      <c r="A8" s="7" t="s">
        <v>394</v>
      </c>
      <c r="B8" s="3" t="s">
        <v>395</v>
      </c>
      <c r="C8" s="6" t="s">
        <v>396</v>
      </c>
      <c r="D8" s="6" t="s">
        <v>331</v>
      </c>
      <c r="E8" s="6" t="s">
        <v>349</v>
      </c>
      <c r="F8" s="6" t="s">
        <v>397</v>
      </c>
      <c r="G8" s="6" t="s">
        <v>398</v>
      </c>
      <c r="H8" s="6" t="s">
        <v>89</v>
      </c>
      <c r="I8" s="6" t="s">
        <v>61</v>
      </c>
      <c r="J8" s="15" t="s">
        <v>399</v>
      </c>
      <c r="K8" s="15" t="s">
        <v>400</v>
      </c>
      <c r="L8" s="15" t="s">
        <v>401</v>
      </c>
      <c r="M8" s="15" t="s">
        <v>402</v>
      </c>
      <c r="N8" s="15" t="s">
        <v>403</v>
      </c>
      <c r="O8" s="6" t="s">
        <v>404</v>
      </c>
      <c r="P8" s="6" t="s">
        <v>405</v>
      </c>
      <c r="Q8" s="6" t="s">
        <v>406</v>
      </c>
      <c r="R8" s="6" t="s">
        <v>407</v>
      </c>
    </row>
    <row r="9" spans="1:18" ht="72" customHeight="1" x14ac:dyDescent="0.45">
      <c r="A9" s="7" t="s">
        <v>408</v>
      </c>
      <c r="B9" s="3" t="s">
        <v>409</v>
      </c>
      <c r="C9" s="4" t="s">
        <v>410</v>
      </c>
      <c r="D9" s="4" t="s">
        <v>411</v>
      </c>
      <c r="E9" s="4" t="s">
        <v>412</v>
      </c>
      <c r="F9" s="4" t="s">
        <v>413</v>
      </c>
      <c r="G9" s="4" t="s">
        <v>414</v>
      </c>
      <c r="H9" s="4" t="s">
        <v>68</v>
      </c>
      <c r="I9" s="4" t="s">
        <v>61</v>
      </c>
      <c r="J9" s="4" t="s">
        <v>415</v>
      </c>
      <c r="K9" s="4" t="s">
        <v>416</v>
      </c>
      <c r="L9" s="4" t="s">
        <v>417</v>
      </c>
      <c r="M9" s="4" t="s">
        <v>418</v>
      </c>
      <c r="N9" s="4" t="s">
        <v>419</v>
      </c>
      <c r="O9" s="4" t="s">
        <v>420</v>
      </c>
      <c r="P9" s="4" t="s">
        <v>421</v>
      </c>
      <c r="Q9" s="4" t="s">
        <v>422</v>
      </c>
      <c r="R9" s="4" t="s">
        <v>423</v>
      </c>
    </row>
    <row r="10" spans="1:18" ht="72" customHeight="1" x14ac:dyDescent="0.45">
      <c r="A10" s="7" t="s">
        <v>424</v>
      </c>
      <c r="B10" s="3" t="s">
        <v>425</v>
      </c>
      <c r="C10" s="6" t="s">
        <v>426</v>
      </c>
      <c r="D10" s="6" t="s">
        <v>427</v>
      </c>
      <c r="E10" s="6" t="s">
        <v>428</v>
      </c>
      <c r="F10" s="6" t="s">
        <v>429</v>
      </c>
      <c r="G10" s="6" t="s">
        <v>430</v>
      </c>
      <c r="H10" s="6" t="s">
        <v>89</v>
      </c>
      <c r="I10" s="6" t="s">
        <v>61</v>
      </c>
      <c r="J10" s="15" t="s">
        <v>431</v>
      </c>
      <c r="K10" s="15" t="s">
        <v>432</v>
      </c>
      <c r="L10" s="15" t="s">
        <v>433</v>
      </c>
      <c r="M10" s="15" t="s">
        <v>434</v>
      </c>
      <c r="N10" s="15" t="s">
        <v>435</v>
      </c>
      <c r="O10" s="6" t="s">
        <v>436</v>
      </c>
      <c r="P10" s="6" t="s">
        <v>437</v>
      </c>
      <c r="Q10" s="6" t="s">
        <v>438</v>
      </c>
      <c r="R10" s="6" t="s">
        <v>439</v>
      </c>
    </row>
    <row r="11" spans="1:18" ht="72" customHeight="1" x14ac:dyDescent="0.45">
      <c r="A11" s="7" t="s">
        <v>440</v>
      </c>
      <c r="B11" s="3" t="s">
        <v>441</v>
      </c>
      <c r="C11" s="4" t="s">
        <v>442</v>
      </c>
      <c r="D11" s="4" t="s">
        <v>348</v>
      </c>
      <c r="E11" s="4" t="s">
        <v>443</v>
      </c>
      <c r="F11" s="4" t="s">
        <v>444</v>
      </c>
      <c r="G11" s="4" t="s">
        <v>445</v>
      </c>
      <c r="H11" s="4" t="s">
        <v>68</v>
      </c>
      <c r="I11" s="4" t="s">
        <v>384</v>
      </c>
      <c r="J11" s="4" t="s">
        <v>446</v>
      </c>
      <c r="K11" s="4" t="s">
        <v>447</v>
      </c>
      <c r="L11" s="4" t="s">
        <v>448</v>
      </c>
      <c r="M11" s="4" t="s">
        <v>449</v>
      </c>
      <c r="N11" s="4" t="s">
        <v>450</v>
      </c>
      <c r="O11" s="4" t="s">
        <v>451</v>
      </c>
      <c r="P11" s="4" t="s">
        <v>452</v>
      </c>
      <c r="Q11" s="4" t="s">
        <v>453</v>
      </c>
      <c r="R11" s="4" t="s">
        <v>454</v>
      </c>
    </row>
    <row r="12" spans="1:18" ht="72" customHeight="1" x14ac:dyDescent="0.45">
      <c r="A12" s="7" t="s">
        <v>455</v>
      </c>
      <c r="B12" s="3" t="s">
        <v>456</v>
      </c>
      <c r="C12" s="6" t="s">
        <v>457</v>
      </c>
      <c r="D12" s="6" t="s">
        <v>411</v>
      </c>
      <c r="E12" s="6" t="s">
        <v>458</v>
      </c>
      <c r="F12" s="6" t="s">
        <v>459</v>
      </c>
      <c r="G12" s="6" t="s">
        <v>460</v>
      </c>
      <c r="H12" s="6" t="s">
        <v>68</v>
      </c>
      <c r="I12" s="6" t="s">
        <v>61</v>
      </c>
      <c r="J12" s="15" t="s">
        <v>461</v>
      </c>
      <c r="K12" s="15" t="s">
        <v>462</v>
      </c>
      <c r="L12" s="15" t="s">
        <v>463</v>
      </c>
      <c r="M12" s="15" t="s">
        <v>464</v>
      </c>
      <c r="N12" s="15" t="s">
        <v>465</v>
      </c>
      <c r="O12" s="6" t="s">
        <v>466</v>
      </c>
      <c r="P12" s="6" t="s">
        <v>467</v>
      </c>
      <c r="Q12" s="6" t="s">
        <v>468</v>
      </c>
      <c r="R12" s="6" t="s">
        <v>469</v>
      </c>
    </row>
    <row r="13" spans="1:18" ht="72" customHeight="1" x14ac:dyDescent="0.45">
      <c r="A13" s="7" t="s">
        <v>470</v>
      </c>
      <c r="B13" s="3" t="s">
        <v>471</v>
      </c>
      <c r="C13" s="4" t="s">
        <v>472</v>
      </c>
      <c r="D13" s="4" t="s">
        <v>473</v>
      </c>
      <c r="E13" s="4" t="s">
        <v>474</v>
      </c>
      <c r="F13" s="4" t="s">
        <v>475</v>
      </c>
      <c r="G13" s="4" t="s">
        <v>476</v>
      </c>
      <c r="H13" s="4" t="s">
        <v>68</v>
      </c>
      <c r="I13" s="4" t="s">
        <v>61</v>
      </c>
      <c r="J13" s="4" t="s">
        <v>477</v>
      </c>
      <c r="K13" s="4" t="s">
        <v>478</v>
      </c>
      <c r="L13" s="4" t="s">
        <v>479</v>
      </c>
      <c r="M13" s="4" t="s">
        <v>480</v>
      </c>
      <c r="N13" s="4" t="s">
        <v>481</v>
      </c>
      <c r="O13" s="4" t="s">
        <v>482</v>
      </c>
      <c r="P13" s="4" t="s">
        <v>483</v>
      </c>
      <c r="Q13" s="4" t="s">
        <v>484</v>
      </c>
      <c r="R13" s="4" t="s">
        <v>485</v>
      </c>
    </row>
    <row r="14" spans="1:18" ht="19.5" customHeight="1" x14ac:dyDescent="0.45">
      <c r="A14" s="63" t="s">
        <v>308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</row>
  </sheetData>
  <mergeCells count="3">
    <mergeCell ref="A2:R2"/>
    <mergeCell ref="A14:R14"/>
    <mergeCell ref="A1:R1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650A"/>
    <pageSetUpPr fitToPage="1"/>
  </sheetPr>
  <dimension ref="A1:I53"/>
  <sheetViews>
    <sheetView zoomScaleNormal="100" workbookViewId="0"/>
  </sheetViews>
  <sheetFormatPr defaultColWidth="8.6640625" defaultRowHeight="14.25" x14ac:dyDescent="0.45"/>
  <cols>
    <col min="1" max="1" width="3" customWidth="1"/>
    <col min="2" max="2" width="34" customWidth="1"/>
    <col min="3" max="5" width="20" customWidth="1"/>
    <col min="6" max="6" width="36" customWidth="1"/>
    <col min="7" max="7" width="28" customWidth="1"/>
    <col min="8" max="8" width="14" customWidth="1"/>
    <col min="9" max="9" width="3" customWidth="1"/>
  </cols>
  <sheetData>
    <row r="1" spans="1:9" ht="43.5" customHeight="1" x14ac:dyDescent="0.45">
      <c r="A1" s="62" t="s">
        <v>486</v>
      </c>
      <c r="B1" s="54"/>
      <c r="C1" s="54"/>
      <c r="D1" s="54"/>
      <c r="E1" s="54"/>
      <c r="F1" s="54"/>
      <c r="G1" s="54"/>
      <c r="H1" s="54"/>
      <c r="I1" s="54"/>
    </row>
    <row r="2" spans="1:9" ht="21.75" customHeight="1" x14ac:dyDescent="0.45">
      <c r="A2" s="65" t="s">
        <v>487</v>
      </c>
      <c r="B2" s="54"/>
      <c r="C2" s="54"/>
      <c r="D2" s="54"/>
      <c r="E2" s="54"/>
      <c r="F2" s="54"/>
      <c r="G2" s="54"/>
      <c r="H2" s="54"/>
      <c r="I2" s="54"/>
    </row>
    <row r="3" spans="1:9" ht="18" customHeight="1" x14ac:dyDescent="0.45">
      <c r="A3" s="66" t="s">
        <v>488</v>
      </c>
      <c r="B3" s="54"/>
      <c r="C3" s="54"/>
      <c r="D3" s="54"/>
      <c r="E3" s="54"/>
      <c r="F3" s="54"/>
      <c r="G3" s="54"/>
      <c r="H3" s="54"/>
      <c r="I3" s="54"/>
    </row>
    <row r="4" spans="1:9" ht="27.75" customHeight="1" x14ac:dyDescent="0.45">
      <c r="A4" s="57" t="s">
        <v>489</v>
      </c>
      <c r="B4" s="54"/>
      <c r="C4" s="54"/>
      <c r="D4" s="54"/>
      <c r="E4" s="54"/>
      <c r="F4" s="54"/>
      <c r="G4" s="54"/>
      <c r="H4" s="54"/>
      <c r="I4" s="54"/>
    </row>
    <row r="5" spans="1:9" ht="36" customHeight="1" x14ac:dyDescent="0.45">
      <c r="A5" s="7"/>
      <c r="B5" s="7" t="s">
        <v>490</v>
      </c>
      <c r="C5" s="7" t="s">
        <v>34</v>
      </c>
      <c r="D5" s="7" t="s">
        <v>491</v>
      </c>
      <c r="E5" s="7" t="s">
        <v>492</v>
      </c>
      <c r="F5" s="7" t="s">
        <v>48</v>
      </c>
      <c r="G5" s="7" t="s">
        <v>493</v>
      </c>
      <c r="H5" s="7" t="s">
        <v>51</v>
      </c>
      <c r="I5" s="7"/>
    </row>
    <row r="6" spans="1:9" ht="48" customHeight="1" x14ac:dyDescent="0.45">
      <c r="A6" s="16"/>
      <c r="B6" s="17"/>
      <c r="C6" s="18" t="str">
        <f t="shared" ref="C6:C26" si="0">IFERROR(VLOOKUP(B6,$B$33:$H$53,2,FALSE()),IF(B6="","— select offense above —","Not found"))</f>
        <v>— select offense above —</v>
      </c>
      <c r="D6" s="19" t="str">
        <f t="shared" ref="D6:D26" si="1">IFERROR(VLOOKUP(B6,$B$33:$H$53,3,FALSE()),IF(B6="","— select offense above —","Not found"))</f>
        <v>— select offense above —</v>
      </c>
      <c r="E6" s="20" t="str">
        <f t="shared" ref="E6:E26" si="2">IFERROR(VLOOKUP(B6,$B$33:$H$53,4,FALSE()),IF(B6="","— select offense above —","Not found"))</f>
        <v>— select offense above —</v>
      </c>
      <c r="F6" s="19" t="str">
        <f t="shared" ref="F6:F26" si="3">IFERROR(VLOOKUP(B6,$B$33:$H$53,5,FALSE()),IF(B6="","— select offense above —","Not found"))</f>
        <v>— select offense above —</v>
      </c>
      <c r="G6" s="21" t="str">
        <f t="shared" ref="G6:G26" si="4">IFERROR(VLOOKUP(B6,$B$33:$H$53,6,FALSE()),IF(B6="","— select offense above —","Not found"))</f>
        <v>— select offense above —</v>
      </c>
      <c r="H6" s="1" t="str">
        <f t="shared" ref="H6:H26" si="5">IFERROR(VLOOKUP(B6,$B$33:$H$53,7,FALSE()),IF(B6="","— select offense above —","Not found"))</f>
        <v>— select offense above —</v>
      </c>
      <c r="I6" s="22"/>
    </row>
    <row r="7" spans="1:9" ht="48" customHeight="1" x14ac:dyDescent="0.45">
      <c r="A7" s="16"/>
      <c r="B7" s="17"/>
      <c r="C7" s="23" t="str">
        <f t="shared" si="0"/>
        <v>— select offense above —</v>
      </c>
      <c r="D7" s="24" t="str">
        <f t="shared" si="1"/>
        <v>— select offense above —</v>
      </c>
      <c r="E7" s="25" t="str">
        <f t="shared" si="2"/>
        <v>— select offense above —</v>
      </c>
      <c r="F7" s="24" t="str">
        <f t="shared" si="3"/>
        <v>— select offense above —</v>
      </c>
      <c r="G7" s="26" t="str">
        <f t="shared" si="4"/>
        <v>— select offense above —</v>
      </c>
      <c r="H7" s="27" t="str">
        <f t="shared" si="5"/>
        <v>— select offense above —</v>
      </c>
      <c r="I7" s="22"/>
    </row>
    <row r="8" spans="1:9" ht="48" customHeight="1" x14ac:dyDescent="0.45">
      <c r="A8" s="16"/>
      <c r="B8" s="17"/>
      <c r="C8" s="18" t="str">
        <f t="shared" si="0"/>
        <v>— select offense above —</v>
      </c>
      <c r="D8" s="19" t="str">
        <f t="shared" si="1"/>
        <v>— select offense above —</v>
      </c>
      <c r="E8" s="20" t="str">
        <f t="shared" si="2"/>
        <v>— select offense above —</v>
      </c>
      <c r="F8" s="19" t="str">
        <f t="shared" si="3"/>
        <v>— select offense above —</v>
      </c>
      <c r="G8" s="21" t="str">
        <f t="shared" si="4"/>
        <v>— select offense above —</v>
      </c>
      <c r="H8" s="1" t="str">
        <f t="shared" si="5"/>
        <v>— select offense above —</v>
      </c>
      <c r="I8" s="22"/>
    </row>
    <row r="9" spans="1:9" ht="48" customHeight="1" x14ac:dyDescent="0.45">
      <c r="A9" s="16"/>
      <c r="B9" s="17"/>
      <c r="C9" s="23" t="str">
        <f t="shared" si="0"/>
        <v>— select offense above —</v>
      </c>
      <c r="D9" s="24" t="str">
        <f t="shared" si="1"/>
        <v>— select offense above —</v>
      </c>
      <c r="E9" s="25" t="str">
        <f t="shared" si="2"/>
        <v>— select offense above —</v>
      </c>
      <c r="F9" s="24" t="str">
        <f t="shared" si="3"/>
        <v>— select offense above —</v>
      </c>
      <c r="G9" s="26" t="str">
        <f t="shared" si="4"/>
        <v>— select offense above —</v>
      </c>
      <c r="H9" s="27" t="str">
        <f t="shared" si="5"/>
        <v>— select offense above —</v>
      </c>
      <c r="I9" s="22"/>
    </row>
    <row r="10" spans="1:9" ht="48" customHeight="1" x14ac:dyDescent="0.45">
      <c r="A10" s="16"/>
      <c r="B10" s="17"/>
      <c r="C10" s="18" t="str">
        <f t="shared" si="0"/>
        <v>— select offense above —</v>
      </c>
      <c r="D10" s="19" t="str">
        <f t="shared" si="1"/>
        <v>— select offense above —</v>
      </c>
      <c r="E10" s="20" t="str">
        <f t="shared" si="2"/>
        <v>— select offense above —</v>
      </c>
      <c r="F10" s="19" t="str">
        <f t="shared" si="3"/>
        <v>— select offense above —</v>
      </c>
      <c r="G10" s="21" t="str">
        <f t="shared" si="4"/>
        <v>— select offense above —</v>
      </c>
      <c r="H10" s="1" t="str">
        <f t="shared" si="5"/>
        <v>— select offense above —</v>
      </c>
      <c r="I10" s="22"/>
    </row>
    <row r="11" spans="1:9" ht="48" customHeight="1" x14ac:dyDescent="0.45">
      <c r="A11" s="16"/>
      <c r="B11" s="17"/>
      <c r="C11" s="23" t="str">
        <f t="shared" si="0"/>
        <v>— select offense above —</v>
      </c>
      <c r="D11" s="24" t="str">
        <f t="shared" si="1"/>
        <v>— select offense above —</v>
      </c>
      <c r="E11" s="25" t="str">
        <f t="shared" si="2"/>
        <v>— select offense above —</v>
      </c>
      <c r="F11" s="24" t="str">
        <f t="shared" si="3"/>
        <v>— select offense above —</v>
      </c>
      <c r="G11" s="26" t="str">
        <f t="shared" si="4"/>
        <v>— select offense above —</v>
      </c>
      <c r="H11" s="27" t="str">
        <f t="shared" si="5"/>
        <v>— select offense above —</v>
      </c>
      <c r="I11" s="22"/>
    </row>
    <row r="12" spans="1:9" ht="48" customHeight="1" x14ac:dyDescent="0.45">
      <c r="A12" s="16"/>
      <c r="B12" s="17"/>
      <c r="C12" s="18" t="str">
        <f t="shared" si="0"/>
        <v>— select offense above —</v>
      </c>
      <c r="D12" s="19" t="str">
        <f t="shared" si="1"/>
        <v>— select offense above —</v>
      </c>
      <c r="E12" s="20" t="str">
        <f t="shared" si="2"/>
        <v>— select offense above —</v>
      </c>
      <c r="F12" s="19" t="str">
        <f t="shared" si="3"/>
        <v>— select offense above —</v>
      </c>
      <c r="G12" s="21" t="str">
        <f t="shared" si="4"/>
        <v>— select offense above —</v>
      </c>
      <c r="H12" s="1" t="str">
        <f t="shared" si="5"/>
        <v>— select offense above —</v>
      </c>
      <c r="I12" s="22"/>
    </row>
    <row r="13" spans="1:9" ht="48" customHeight="1" x14ac:dyDescent="0.45">
      <c r="A13" s="16"/>
      <c r="B13" s="17"/>
      <c r="C13" s="23" t="str">
        <f t="shared" si="0"/>
        <v>— select offense above —</v>
      </c>
      <c r="D13" s="24" t="str">
        <f t="shared" si="1"/>
        <v>— select offense above —</v>
      </c>
      <c r="E13" s="25" t="str">
        <f t="shared" si="2"/>
        <v>— select offense above —</v>
      </c>
      <c r="F13" s="24" t="str">
        <f t="shared" si="3"/>
        <v>— select offense above —</v>
      </c>
      <c r="G13" s="26" t="str">
        <f t="shared" si="4"/>
        <v>— select offense above —</v>
      </c>
      <c r="H13" s="27" t="str">
        <f t="shared" si="5"/>
        <v>— select offense above —</v>
      </c>
      <c r="I13" s="22"/>
    </row>
    <row r="14" spans="1:9" ht="48" customHeight="1" x14ac:dyDescent="0.45">
      <c r="A14" s="16"/>
      <c r="B14" s="17"/>
      <c r="C14" s="18" t="str">
        <f t="shared" si="0"/>
        <v>— select offense above —</v>
      </c>
      <c r="D14" s="19" t="str">
        <f t="shared" si="1"/>
        <v>— select offense above —</v>
      </c>
      <c r="E14" s="20" t="str">
        <f t="shared" si="2"/>
        <v>— select offense above —</v>
      </c>
      <c r="F14" s="19" t="str">
        <f t="shared" si="3"/>
        <v>— select offense above —</v>
      </c>
      <c r="G14" s="21" t="str">
        <f t="shared" si="4"/>
        <v>— select offense above —</v>
      </c>
      <c r="H14" s="1" t="str">
        <f t="shared" si="5"/>
        <v>— select offense above —</v>
      </c>
      <c r="I14" s="22"/>
    </row>
    <row r="15" spans="1:9" ht="48" customHeight="1" x14ac:dyDescent="0.45">
      <c r="A15" s="16"/>
      <c r="B15" s="17"/>
      <c r="C15" s="23" t="str">
        <f t="shared" si="0"/>
        <v>— select offense above —</v>
      </c>
      <c r="D15" s="24" t="str">
        <f t="shared" si="1"/>
        <v>— select offense above —</v>
      </c>
      <c r="E15" s="25" t="str">
        <f t="shared" si="2"/>
        <v>— select offense above —</v>
      </c>
      <c r="F15" s="24" t="str">
        <f t="shared" si="3"/>
        <v>— select offense above —</v>
      </c>
      <c r="G15" s="26" t="str">
        <f t="shared" si="4"/>
        <v>— select offense above —</v>
      </c>
      <c r="H15" s="27" t="str">
        <f t="shared" si="5"/>
        <v>— select offense above —</v>
      </c>
      <c r="I15" s="22"/>
    </row>
    <row r="16" spans="1:9" ht="48" customHeight="1" x14ac:dyDescent="0.45">
      <c r="A16" s="16"/>
      <c r="B16" s="17"/>
      <c r="C16" s="18" t="str">
        <f t="shared" si="0"/>
        <v>— select offense above —</v>
      </c>
      <c r="D16" s="19" t="str">
        <f t="shared" si="1"/>
        <v>— select offense above —</v>
      </c>
      <c r="E16" s="20" t="str">
        <f t="shared" si="2"/>
        <v>— select offense above —</v>
      </c>
      <c r="F16" s="19" t="str">
        <f t="shared" si="3"/>
        <v>— select offense above —</v>
      </c>
      <c r="G16" s="21" t="str">
        <f t="shared" si="4"/>
        <v>— select offense above —</v>
      </c>
      <c r="H16" s="1" t="str">
        <f t="shared" si="5"/>
        <v>— select offense above —</v>
      </c>
      <c r="I16" s="22"/>
    </row>
    <row r="17" spans="1:9" ht="48" customHeight="1" x14ac:dyDescent="0.45">
      <c r="A17" s="16"/>
      <c r="B17" s="17"/>
      <c r="C17" s="23" t="str">
        <f t="shared" si="0"/>
        <v>— select offense above —</v>
      </c>
      <c r="D17" s="24" t="str">
        <f t="shared" si="1"/>
        <v>— select offense above —</v>
      </c>
      <c r="E17" s="25" t="str">
        <f t="shared" si="2"/>
        <v>— select offense above —</v>
      </c>
      <c r="F17" s="24" t="str">
        <f t="shared" si="3"/>
        <v>— select offense above —</v>
      </c>
      <c r="G17" s="26" t="str">
        <f t="shared" si="4"/>
        <v>— select offense above —</v>
      </c>
      <c r="H17" s="27" t="str">
        <f t="shared" si="5"/>
        <v>— select offense above —</v>
      </c>
      <c r="I17" s="22"/>
    </row>
    <row r="18" spans="1:9" ht="48" customHeight="1" x14ac:dyDescent="0.45">
      <c r="A18" s="16"/>
      <c r="B18" s="17"/>
      <c r="C18" s="18" t="str">
        <f t="shared" si="0"/>
        <v>— select offense above —</v>
      </c>
      <c r="D18" s="19" t="str">
        <f t="shared" si="1"/>
        <v>— select offense above —</v>
      </c>
      <c r="E18" s="20" t="str">
        <f t="shared" si="2"/>
        <v>— select offense above —</v>
      </c>
      <c r="F18" s="19" t="str">
        <f t="shared" si="3"/>
        <v>— select offense above —</v>
      </c>
      <c r="G18" s="21" t="str">
        <f t="shared" si="4"/>
        <v>— select offense above —</v>
      </c>
      <c r="H18" s="1" t="str">
        <f t="shared" si="5"/>
        <v>— select offense above —</v>
      </c>
      <c r="I18" s="22"/>
    </row>
    <row r="19" spans="1:9" ht="48" customHeight="1" x14ac:dyDescent="0.45">
      <c r="A19" s="16"/>
      <c r="B19" s="17"/>
      <c r="C19" s="23" t="str">
        <f t="shared" si="0"/>
        <v>— select offense above —</v>
      </c>
      <c r="D19" s="24" t="str">
        <f t="shared" si="1"/>
        <v>— select offense above —</v>
      </c>
      <c r="E19" s="25" t="str">
        <f t="shared" si="2"/>
        <v>— select offense above —</v>
      </c>
      <c r="F19" s="24" t="str">
        <f t="shared" si="3"/>
        <v>— select offense above —</v>
      </c>
      <c r="G19" s="26" t="str">
        <f t="shared" si="4"/>
        <v>— select offense above —</v>
      </c>
      <c r="H19" s="27" t="str">
        <f t="shared" si="5"/>
        <v>— select offense above —</v>
      </c>
      <c r="I19" s="22"/>
    </row>
    <row r="20" spans="1:9" ht="48" customHeight="1" x14ac:dyDescent="0.45">
      <c r="A20" s="16"/>
      <c r="B20" s="17"/>
      <c r="C20" s="18" t="str">
        <f t="shared" si="0"/>
        <v>— select offense above —</v>
      </c>
      <c r="D20" s="19" t="str">
        <f t="shared" si="1"/>
        <v>— select offense above —</v>
      </c>
      <c r="E20" s="20" t="str">
        <f t="shared" si="2"/>
        <v>— select offense above —</v>
      </c>
      <c r="F20" s="19" t="str">
        <f t="shared" si="3"/>
        <v>— select offense above —</v>
      </c>
      <c r="G20" s="21" t="str">
        <f t="shared" si="4"/>
        <v>— select offense above —</v>
      </c>
      <c r="H20" s="1" t="str">
        <f t="shared" si="5"/>
        <v>— select offense above —</v>
      </c>
      <c r="I20" s="22"/>
    </row>
    <row r="21" spans="1:9" ht="48" customHeight="1" x14ac:dyDescent="0.45">
      <c r="A21" s="16"/>
      <c r="B21" s="17"/>
      <c r="C21" s="23" t="str">
        <f t="shared" si="0"/>
        <v>— select offense above —</v>
      </c>
      <c r="D21" s="24" t="str">
        <f t="shared" si="1"/>
        <v>— select offense above —</v>
      </c>
      <c r="E21" s="25" t="str">
        <f t="shared" si="2"/>
        <v>— select offense above —</v>
      </c>
      <c r="F21" s="24" t="str">
        <f t="shared" si="3"/>
        <v>— select offense above —</v>
      </c>
      <c r="G21" s="26" t="str">
        <f t="shared" si="4"/>
        <v>— select offense above —</v>
      </c>
      <c r="H21" s="27" t="str">
        <f t="shared" si="5"/>
        <v>— select offense above —</v>
      </c>
      <c r="I21" s="22"/>
    </row>
    <row r="22" spans="1:9" ht="48" customHeight="1" x14ac:dyDescent="0.45">
      <c r="A22" s="16"/>
      <c r="B22" s="17"/>
      <c r="C22" s="18" t="str">
        <f t="shared" si="0"/>
        <v>— select offense above —</v>
      </c>
      <c r="D22" s="19" t="str">
        <f t="shared" si="1"/>
        <v>— select offense above —</v>
      </c>
      <c r="E22" s="20" t="str">
        <f t="shared" si="2"/>
        <v>— select offense above —</v>
      </c>
      <c r="F22" s="19" t="str">
        <f t="shared" si="3"/>
        <v>— select offense above —</v>
      </c>
      <c r="G22" s="21" t="str">
        <f t="shared" si="4"/>
        <v>— select offense above —</v>
      </c>
      <c r="H22" s="1" t="str">
        <f t="shared" si="5"/>
        <v>— select offense above —</v>
      </c>
      <c r="I22" s="22"/>
    </row>
    <row r="23" spans="1:9" ht="48" customHeight="1" x14ac:dyDescent="0.45">
      <c r="A23" s="16"/>
      <c r="B23" s="17"/>
      <c r="C23" s="23" t="str">
        <f t="shared" si="0"/>
        <v>— select offense above —</v>
      </c>
      <c r="D23" s="24" t="str">
        <f t="shared" si="1"/>
        <v>— select offense above —</v>
      </c>
      <c r="E23" s="25" t="str">
        <f t="shared" si="2"/>
        <v>— select offense above —</v>
      </c>
      <c r="F23" s="24" t="str">
        <f t="shared" si="3"/>
        <v>— select offense above —</v>
      </c>
      <c r="G23" s="26" t="str">
        <f t="shared" si="4"/>
        <v>— select offense above —</v>
      </c>
      <c r="H23" s="27" t="str">
        <f t="shared" si="5"/>
        <v>— select offense above —</v>
      </c>
      <c r="I23" s="22"/>
    </row>
    <row r="24" spans="1:9" ht="48" customHeight="1" x14ac:dyDescent="0.45">
      <c r="A24" s="16"/>
      <c r="B24" s="17"/>
      <c r="C24" s="18" t="str">
        <f t="shared" si="0"/>
        <v>— select offense above —</v>
      </c>
      <c r="D24" s="19" t="str">
        <f t="shared" si="1"/>
        <v>— select offense above —</v>
      </c>
      <c r="E24" s="20" t="str">
        <f t="shared" si="2"/>
        <v>— select offense above —</v>
      </c>
      <c r="F24" s="19" t="str">
        <f t="shared" si="3"/>
        <v>— select offense above —</v>
      </c>
      <c r="G24" s="21" t="str">
        <f t="shared" si="4"/>
        <v>— select offense above —</v>
      </c>
      <c r="H24" s="1" t="str">
        <f t="shared" si="5"/>
        <v>— select offense above —</v>
      </c>
      <c r="I24" s="22"/>
    </row>
    <row r="25" spans="1:9" ht="48" customHeight="1" x14ac:dyDescent="0.45">
      <c r="A25" s="16"/>
      <c r="B25" s="17"/>
      <c r="C25" s="23" t="str">
        <f t="shared" si="0"/>
        <v>— select offense above —</v>
      </c>
      <c r="D25" s="24" t="str">
        <f t="shared" si="1"/>
        <v>— select offense above —</v>
      </c>
      <c r="E25" s="25" t="str">
        <f t="shared" si="2"/>
        <v>— select offense above —</v>
      </c>
      <c r="F25" s="24" t="str">
        <f t="shared" si="3"/>
        <v>— select offense above —</v>
      </c>
      <c r="G25" s="26" t="str">
        <f t="shared" si="4"/>
        <v>— select offense above —</v>
      </c>
      <c r="H25" s="27" t="str">
        <f t="shared" si="5"/>
        <v>— select offense above —</v>
      </c>
      <c r="I25" s="22"/>
    </row>
    <row r="26" spans="1:9" ht="48" customHeight="1" x14ac:dyDescent="0.45">
      <c r="A26" s="7" t="s">
        <v>308</v>
      </c>
      <c r="B26" s="17"/>
      <c r="C26" s="18" t="str">
        <f t="shared" si="0"/>
        <v>— select offense above —</v>
      </c>
      <c r="D26" s="19" t="str">
        <f t="shared" si="1"/>
        <v>— select offense above —</v>
      </c>
      <c r="E26" s="20" t="str">
        <f t="shared" si="2"/>
        <v>— select offense above —</v>
      </c>
      <c r="F26" s="19" t="str">
        <f t="shared" si="3"/>
        <v>— select offense above —</v>
      </c>
      <c r="G26" s="21" t="str">
        <f t="shared" si="4"/>
        <v>— select offense above —</v>
      </c>
      <c r="H26" s="1" t="str">
        <f t="shared" si="5"/>
        <v>— select offense above —</v>
      </c>
      <c r="I26" s="22"/>
    </row>
    <row r="31" spans="1:9" ht="15" customHeight="1" x14ac:dyDescent="0.45">
      <c r="B31" s="28" t="s">
        <v>494</v>
      </c>
    </row>
    <row r="32" spans="1:9" ht="15" customHeight="1" x14ac:dyDescent="0.45">
      <c r="B32" s="29" t="s">
        <v>495</v>
      </c>
      <c r="C32" s="29" t="s">
        <v>34</v>
      </c>
      <c r="D32" s="29" t="s">
        <v>496</v>
      </c>
      <c r="E32" s="29" t="s">
        <v>492</v>
      </c>
      <c r="F32" s="29" t="s">
        <v>48</v>
      </c>
      <c r="G32" s="29" t="s">
        <v>493</v>
      </c>
      <c r="H32" s="29" t="s">
        <v>51</v>
      </c>
    </row>
    <row r="33" spans="2:8" ht="30.6" customHeight="1" x14ac:dyDescent="0.45">
      <c r="B33" s="30" t="s">
        <v>497</v>
      </c>
      <c r="C33" s="30" t="s">
        <v>133</v>
      </c>
      <c r="D33" s="30" t="s">
        <v>498</v>
      </c>
      <c r="E33" s="30" t="s">
        <v>499</v>
      </c>
      <c r="F33" s="30" t="s">
        <v>500</v>
      </c>
      <c r="G33" s="30" t="s">
        <v>501</v>
      </c>
      <c r="H33" s="30" t="s">
        <v>68</v>
      </c>
    </row>
    <row r="34" spans="2:8" ht="40.25" customHeight="1" x14ac:dyDescent="0.45">
      <c r="B34" s="30" t="s">
        <v>502</v>
      </c>
      <c r="C34" s="30" t="s">
        <v>119</v>
      </c>
      <c r="D34" s="30" t="s">
        <v>503</v>
      </c>
      <c r="E34" s="30" t="s">
        <v>504</v>
      </c>
      <c r="F34" s="30" t="s">
        <v>505</v>
      </c>
      <c r="G34" s="30" t="s">
        <v>506</v>
      </c>
      <c r="H34" s="30" t="s">
        <v>68</v>
      </c>
    </row>
    <row r="35" spans="2:8" ht="30.6" customHeight="1" x14ac:dyDescent="0.45">
      <c r="B35" s="30" t="s">
        <v>507</v>
      </c>
      <c r="C35" s="30" t="s">
        <v>119</v>
      </c>
      <c r="D35" s="30" t="s">
        <v>508</v>
      </c>
      <c r="E35" s="30" t="s">
        <v>509</v>
      </c>
      <c r="F35" s="30" t="s">
        <v>510</v>
      </c>
      <c r="G35" s="30" t="s">
        <v>511</v>
      </c>
      <c r="H35" s="30" t="s">
        <v>68</v>
      </c>
    </row>
    <row r="36" spans="2:8" ht="30.6" customHeight="1" x14ac:dyDescent="0.45">
      <c r="B36" s="30" t="s">
        <v>512</v>
      </c>
      <c r="C36" s="30" t="s">
        <v>513</v>
      </c>
      <c r="D36" s="30" t="s">
        <v>514</v>
      </c>
      <c r="E36" s="30" t="s">
        <v>515</v>
      </c>
      <c r="F36" s="30" t="s">
        <v>516</v>
      </c>
      <c r="G36" s="30" t="s">
        <v>517</v>
      </c>
      <c r="H36" s="30" t="s">
        <v>70</v>
      </c>
    </row>
    <row r="37" spans="2:8" ht="30.6" customHeight="1" x14ac:dyDescent="0.45">
      <c r="B37" s="30" t="s">
        <v>518</v>
      </c>
      <c r="C37" s="30" t="s">
        <v>144</v>
      </c>
      <c r="D37" s="30" t="s">
        <v>503</v>
      </c>
      <c r="E37" s="30" t="s">
        <v>519</v>
      </c>
      <c r="F37" s="30" t="s">
        <v>520</v>
      </c>
      <c r="G37" s="30" t="s">
        <v>521</v>
      </c>
      <c r="H37" s="30" t="s">
        <v>68</v>
      </c>
    </row>
    <row r="38" spans="2:8" ht="30.6" customHeight="1" x14ac:dyDescent="0.45">
      <c r="B38" s="30" t="s">
        <v>522</v>
      </c>
      <c r="C38" s="30" t="s">
        <v>523</v>
      </c>
      <c r="D38" s="30" t="s">
        <v>524</v>
      </c>
      <c r="E38" s="30" t="s">
        <v>525</v>
      </c>
      <c r="F38" s="30" t="s">
        <v>526</v>
      </c>
      <c r="G38" s="30" t="s">
        <v>527</v>
      </c>
      <c r="H38" s="30" t="s">
        <v>68</v>
      </c>
    </row>
    <row r="39" spans="2:8" ht="30.6" customHeight="1" x14ac:dyDescent="0.45">
      <c r="B39" s="30" t="s">
        <v>528</v>
      </c>
      <c r="C39" s="30" t="s">
        <v>119</v>
      </c>
      <c r="D39" s="30" t="s">
        <v>529</v>
      </c>
      <c r="E39" s="30" t="s">
        <v>530</v>
      </c>
      <c r="F39" s="30" t="s">
        <v>531</v>
      </c>
      <c r="G39" s="30" t="s">
        <v>532</v>
      </c>
      <c r="H39" s="30" t="s">
        <v>68</v>
      </c>
    </row>
    <row r="40" spans="2:8" ht="30.6" customHeight="1" x14ac:dyDescent="0.45">
      <c r="B40" s="30" t="s">
        <v>533</v>
      </c>
      <c r="C40" s="30" t="s">
        <v>219</v>
      </c>
      <c r="D40" s="30" t="s">
        <v>534</v>
      </c>
      <c r="E40" s="30" t="s">
        <v>535</v>
      </c>
      <c r="F40" s="30" t="s">
        <v>536</v>
      </c>
      <c r="G40" s="30" t="s">
        <v>537</v>
      </c>
      <c r="H40" s="30" t="s">
        <v>68</v>
      </c>
    </row>
    <row r="41" spans="2:8" ht="30.6" customHeight="1" x14ac:dyDescent="0.45">
      <c r="B41" s="30" t="s">
        <v>538</v>
      </c>
      <c r="C41" s="30" t="s">
        <v>539</v>
      </c>
      <c r="D41" s="30" t="s">
        <v>540</v>
      </c>
      <c r="E41" s="30" t="s">
        <v>541</v>
      </c>
      <c r="F41" s="30" t="s">
        <v>542</v>
      </c>
      <c r="G41" s="30" t="s">
        <v>543</v>
      </c>
      <c r="H41" s="30" t="s">
        <v>70</v>
      </c>
    </row>
    <row r="42" spans="2:8" ht="30.6" customHeight="1" x14ac:dyDescent="0.45">
      <c r="B42" s="30" t="s">
        <v>544</v>
      </c>
      <c r="C42" s="30" t="s">
        <v>545</v>
      </c>
      <c r="D42" s="30" t="s">
        <v>546</v>
      </c>
      <c r="E42" s="30" t="s">
        <v>547</v>
      </c>
      <c r="F42" s="30" t="s">
        <v>548</v>
      </c>
      <c r="G42" s="30" t="s">
        <v>549</v>
      </c>
      <c r="H42" s="30" t="s">
        <v>550</v>
      </c>
    </row>
    <row r="43" spans="2:8" ht="30.6" customHeight="1" x14ac:dyDescent="0.45">
      <c r="B43" s="30" t="s">
        <v>551</v>
      </c>
      <c r="C43" s="30" t="s">
        <v>552</v>
      </c>
      <c r="D43" s="30" t="s">
        <v>553</v>
      </c>
      <c r="E43" s="30" t="s">
        <v>554</v>
      </c>
      <c r="F43" s="30" t="s">
        <v>555</v>
      </c>
      <c r="G43" s="30" t="s">
        <v>556</v>
      </c>
      <c r="H43" s="30" t="s">
        <v>68</v>
      </c>
    </row>
    <row r="44" spans="2:8" ht="30.6" customHeight="1" x14ac:dyDescent="0.45">
      <c r="B44" s="30" t="s">
        <v>557</v>
      </c>
      <c r="C44" s="30" t="s">
        <v>558</v>
      </c>
      <c r="D44" s="30" t="s">
        <v>559</v>
      </c>
      <c r="E44" s="30" t="s">
        <v>560</v>
      </c>
      <c r="F44" s="30" t="s">
        <v>561</v>
      </c>
      <c r="G44" s="30" t="s">
        <v>562</v>
      </c>
      <c r="H44" s="30" t="s">
        <v>68</v>
      </c>
    </row>
    <row r="45" spans="2:8" ht="20.85" customHeight="1" x14ac:dyDescent="0.45">
      <c r="B45" s="30" t="s">
        <v>563</v>
      </c>
      <c r="C45" s="30" t="s">
        <v>564</v>
      </c>
      <c r="D45" s="30" t="s">
        <v>565</v>
      </c>
      <c r="E45" s="30" t="s">
        <v>566</v>
      </c>
      <c r="F45" s="30" t="s">
        <v>567</v>
      </c>
      <c r="G45" s="30" t="s">
        <v>568</v>
      </c>
      <c r="H45" s="30" t="s">
        <v>68</v>
      </c>
    </row>
    <row r="46" spans="2:8" ht="30.6" customHeight="1" x14ac:dyDescent="0.45">
      <c r="B46" s="30" t="s">
        <v>569</v>
      </c>
      <c r="C46" s="30" t="s">
        <v>119</v>
      </c>
      <c r="D46" s="30" t="s">
        <v>570</v>
      </c>
      <c r="E46" s="30" t="s">
        <v>571</v>
      </c>
      <c r="F46" s="30" t="s">
        <v>572</v>
      </c>
      <c r="G46" s="30" t="s">
        <v>532</v>
      </c>
      <c r="H46" s="30" t="s">
        <v>68</v>
      </c>
    </row>
    <row r="47" spans="2:8" ht="30.6" customHeight="1" x14ac:dyDescent="0.45">
      <c r="B47" s="30" t="s">
        <v>573</v>
      </c>
      <c r="C47" s="30" t="s">
        <v>168</v>
      </c>
      <c r="D47" s="30" t="s">
        <v>574</v>
      </c>
      <c r="E47" s="30" t="s">
        <v>575</v>
      </c>
      <c r="F47" s="30" t="s">
        <v>576</v>
      </c>
      <c r="G47" s="30" t="s">
        <v>577</v>
      </c>
      <c r="H47" s="30" t="s">
        <v>68</v>
      </c>
    </row>
    <row r="48" spans="2:8" ht="20.85" customHeight="1" x14ac:dyDescent="0.45">
      <c r="B48" s="30" t="s">
        <v>578</v>
      </c>
      <c r="C48" s="30" t="s">
        <v>292</v>
      </c>
      <c r="D48" s="30" t="s">
        <v>579</v>
      </c>
      <c r="E48" s="30" t="s">
        <v>580</v>
      </c>
      <c r="F48" s="30" t="s">
        <v>581</v>
      </c>
      <c r="G48" s="30" t="s">
        <v>582</v>
      </c>
      <c r="H48" s="30" t="s">
        <v>68</v>
      </c>
    </row>
    <row r="49" spans="2:8" ht="30.6" customHeight="1" x14ac:dyDescent="0.45">
      <c r="B49" s="30" t="s">
        <v>583</v>
      </c>
      <c r="C49" s="30" t="s">
        <v>193</v>
      </c>
      <c r="D49" s="30" t="s">
        <v>584</v>
      </c>
      <c r="E49" s="30" t="s">
        <v>585</v>
      </c>
      <c r="F49" s="30" t="s">
        <v>586</v>
      </c>
      <c r="G49" s="30" t="s">
        <v>587</v>
      </c>
      <c r="H49" s="30" t="s">
        <v>68</v>
      </c>
    </row>
    <row r="50" spans="2:8" ht="30.6" customHeight="1" x14ac:dyDescent="0.45">
      <c r="B50" s="30" t="s">
        <v>588</v>
      </c>
      <c r="C50" s="30" t="s">
        <v>589</v>
      </c>
      <c r="D50" s="30" t="s">
        <v>590</v>
      </c>
      <c r="E50" s="30" t="s">
        <v>591</v>
      </c>
      <c r="F50" s="30" t="s">
        <v>592</v>
      </c>
      <c r="G50" s="30" t="s">
        <v>593</v>
      </c>
      <c r="H50" s="30" t="s">
        <v>70</v>
      </c>
    </row>
    <row r="51" spans="2:8" ht="30.6" customHeight="1" x14ac:dyDescent="0.45">
      <c r="B51" s="30" t="s">
        <v>594</v>
      </c>
      <c r="C51" s="30" t="s">
        <v>595</v>
      </c>
      <c r="D51" s="30" t="s">
        <v>596</v>
      </c>
      <c r="E51" s="30" t="s">
        <v>597</v>
      </c>
      <c r="F51" s="30" t="s">
        <v>67</v>
      </c>
      <c r="G51" s="30" t="s">
        <v>598</v>
      </c>
      <c r="H51" s="30" t="s">
        <v>550</v>
      </c>
    </row>
    <row r="52" spans="2:8" ht="30.6" customHeight="1" x14ac:dyDescent="0.45">
      <c r="B52" s="30" t="s">
        <v>599</v>
      </c>
      <c r="C52" s="30" t="s">
        <v>600</v>
      </c>
      <c r="D52" s="30" t="s">
        <v>601</v>
      </c>
      <c r="E52" s="30" t="s">
        <v>602</v>
      </c>
      <c r="F52" s="30" t="s">
        <v>603</v>
      </c>
      <c r="G52" s="30" t="s">
        <v>604</v>
      </c>
      <c r="H52" s="30" t="s">
        <v>68</v>
      </c>
    </row>
    <row r="53" spans="2:8" ht="30.6" customHeight="1" x14ac:dyDescent="0.45">
      <c r="B53" s="30" t="s">
        <v>605</v>
      </c>
      <c r="C53" s="30" t="s">
        <v>606</v>
      </c>
      <c r="D53" s="30" t="s">
        <v>607</v>
      </c>
      <c r="E53" s="30" t="s">
        <v>608</v>
      </c>
      <c r="F53" s="30" t="s">
        <v>609</v>
      </c>
      <c r="G53" s="30" t="s">
        <v>610</v>
      </c>
      <c r="H53" s="30" t="s">
        <v>70</v>
      </c>
    </row>
  </sheetData>
  <mergeCells count="4">
    <mergeCell ref="A1:I1"/>
    <mergeCell ref="A4:I4"/>
    <mergeCell ref="A2:I2"/>
    <mergeCell ref="A3:I3"/>
  </mergeCells>
  <conditionalFormatting sqref="B6:H26">
    <cfRule type="expression" dxfId="9" priority="2">
      <formula>$B6&lt;&gt;""</formula>
    </cfRule>
  </conditionalFormatting>
  <pageMargins left="0.75" right="0.75" top="1" bottom="1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Lists!$A$2:$A$22</xm:f>
          </x14:formula1>
          <x14:formula2>
            <xm:f>0</xm:f>
          </x14:formula2>
          <xm:sqref>B6:B26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B2D7F"/>
    <pageSetUpPr fitToPage="1"/>
  </sheetPr>
  <dimension ref="A1:V15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14" customWidth="1"/>
    <col min="2" max="2" width="13" customWidth="1"/>
    <col min="3" max="3" width="12" customWidth="1"/>
    <col min="4" max="4" width="18" customWidth="1"/>
    <col min="5" max="5" width="28" customWidth="1"/>
    <col min="6" max="6" width="22" customWidth="1"/>
    <col min="7" max="7" width="20" customWidth="1"/>
    <col min="8" max="8" width="36" customWidth="1"/>
    <col min="9" max="9" width="18" customWidth="1"/>
    <col min="10" max="10" width="16" customWidth="1"/>
    <col min="11" max="11" width="14" customWidth="1"/>
    <col min="12" max="12" width="28" customWidth="1"/>
    <col min="13" max="13" width="18" customWidth="1"/>
    <col min="14" max="14" width="14" customWidth="1"/>
    <col min="15" max="15" width="15" customWidth="1"/>
    <col min="16" max="16" width="18" customWidth="1"/>
    <col min="17" max="18" width="28" customWidth="1"/>
    <col min="19" max="19" width="18" customWidth="1"/>
    <col min="20" max="20" width="15" customWidth="1"/>
    <col min="21" max="21" width="20" customWidth="1"/>
    <col min="22" max="22" width="28" customWidth="1"/>
  </cols>
  <sheetData>
    <row r="1" spans="1:22" ht="43.5" customHeight="1" x14ac:dyDescent="0.45">
      <c r="A1" s="62" t="s">
        <v>611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2" ht="21.75" customHeight="1" x14ac:dyDescent="0.45">
      <c r="A2" s="65" t="s">
        <v>612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22" ht="18" customHeight="1" x14ac:dyDescent="0.45">
      <c r="A3" s="64" t="s">
        <v>613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</row>
    <row r="4" spans="1:22" ht="36" customHeight="1" x14ac:dyDescent="0.45">
      <c r="A4" s="7" t="s">
        <v>614</v>
      </c>
      <c r="B4" s="7" t="s">
        <v>615</v>
      </c>
      <c r="C4" s="7" t="s">
        <v>616</v>
      </c>
      <c r="D4" s="7" t="s">
        <v>617</v>
      </c>
      <c r="E4" s="7" t="s">
        <v>618</v>
      </c>
      <c r="F4" s="7" t="s">
        <v>619</v>
      </c>
      <c r="G4" s="7" t="s">
        <v>620</v>
      </c>
      <c r="H4" s="7" t="s">
        <v>621</v>
      </c>
      <c r="I4" s="7" t="s">
        <v>622</v>
      </c>
      <c r="J4" s="7" t="s">
        <v>623</v>
      </c>
      <c r="K4" s="7" t="s">
        <v>624</v>
      </c>
      <c r="L4" s="7" t="s">
        <v>625</v>
      </c>
      <c r="M4" s="7" t="s">
        <v>626</v>
      </c>
      <c r="N4" s="7" t="s">
        <v>627</v>
      </c>
      <c r="O4" s="7" t="s">
        <v>628</v>
      </c>
      <c r="P4" s="7" t="s">
        <v>629</v>
      </c>
      <c r="Q4" s="7" t="s">
        <v>630</v>
      </c>
      <c r="R4" s="7" t="s">
        <v>631</v>
      </c>
      <c r="S4" s="7" t="s">
        <v>632</v>
      </c>
      <c r="T4" s="7" t="s">
        <v>633</v>
      </c>
      <c r="U4" s="7" t="s">
        <v>634</v>
      </c>
      <c r="V4" s="7" t="s">
        <v>327</v>
      </c>
    </row>
    <row r="5" spans="1:22" ht="18" customHeight="1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8" customHeight="1" x14ac:dyDescent="0.4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8" customHeight="1" x14ac:dyDescent="0.4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8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8" customHeight="1" x14ac:dyDescent="0.4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8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8" customHeight="1" x14ac:dyDescent="0.4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8" customHeight="1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8" customHeight="1" x14ac:dyDescent="0.4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8" customHeigh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8" customHeight="1" x14ac:dyDescent="0.4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8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8" customHeight="1" x14ac:dyDescent="0.4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8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8" customHeight="1" x14ac:dyDescent="0.4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8" customHeight="1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8" customHeight="1" x14ac:dyDescent="0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8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8" customHeight="1" x14ac:dyDescent="0.4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8" customHeigh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8" customHeight="1" x14ac:dyDescent="0.4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8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18" customHeight="1" x14ac:dyDescent="0.4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8" customHeight="1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8" customHeight="1" x14ac:dyDescent="0.4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8" customHeight="1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8" customHeight="1" x14ac:dyDescent="0.4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8" customHeigh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8" customHeight="1" x14ac:dyDescent="0.4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8" customHeigh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8" customHeight="1" x14ac:dyDescent="0.4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8" customHeight="1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8" customHeight="1" x14ac:dyDescent="0.4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8" customHeight="1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18" customHeight="1" x14ac:dyDescent="0.4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8" customHeight="1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8" customHeight="1" x14ac:dyDescent="0.4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8" customHeight="1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8" customHeight="1" x14ac:dyDescent="0.4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8" customHeight="1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8" customHeight="1" x14ac:dyDescent="0.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8" customHeight="1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8" customHeight="1" x14ac:dyDescent="0.4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8" customHeight="1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8" customHeight="1" x14ac:dyDescent="0.4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8" customHeight="1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8" customHeight="1" x14ac:dyDescent="0.4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8" customHeight="1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ht="18" customHeight="1" x14ac:dyDescent="0.4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8" customHeight="1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ht="18" customHeight="1" x14ac:dyDescent="0.4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8" customHeight="1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ht="18" customHeight="1" x14ac:dyDescent="0.4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8" customHeight="1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ht="18" customHeight="1" x14ac:dyDescent="0.4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8" customHeight="1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ht="18" customHeight="1" x14ac:dyDescent="0.4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8" customHeight="1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18" customHeight="1" x14ac:dyDescent="0.4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8" customHeight="1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18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8" customHeight="1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8" customHeight="1" x14ac:dyDescent="0.4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8" customHeight="1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18" customHeight="1" x14ac:dyDescent="0.4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8" customHeight="1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ht="18" customHeight="1" x14ac:dyDescent="0.4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8" customHeight="1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18" customHeight="1" x14ac:dyDescent="0.4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8" customHeight="1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18" customHeight="1" x14ac:dyDescent="0.4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8" customHeight="1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18" customHeight="1" x14ac:dyDescent="0.4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8" customHeight="1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18" customHeight="1" x14ac:dyDescent="0.4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8" customHeight="1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18" customHeight="1" x14ac:dyDescent="0.4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8" customHeight="1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18" customHeight="1" x14ac:dyDescent="0.4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8" customHeight="1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18" customHeight="1" x14ac:dyDescent="0.4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8" customHeight="1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18" customHeight="1" x14ac:dyDescent="0.4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8" customHeight="1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18" customHeight="1" x14ac:dyDescent="0.4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8" customHeight="1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18" customHeight="1" x14ac:dyDescent="0.4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8" customHeight="1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18" customHeight="1" x14ac:dyDescent="0.4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8" customHeight="1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18" customHeight="1" x14ac:dyDescent="0.4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8" customHeight="1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18" customHeight="1" x14ac:dyDescent="0.4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8" customHeight="1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ht="18" customHeight="1" x14ac:dyDescent="0.4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8" customHeight="1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8" customHeight="1" x14ac:dyDescent="0.4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8" customHeight="1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8" customHeight="1" x14ac:dyDescent="0.4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8" customHeight="1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8" customHeight="1" x14ac:dyDescent="0.4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8" customHeight="1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8" customHeight="1" x14ac:dyDescent="0.4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8" customHeight="1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8" customHeight="1" x14ac:dyDescent="0.4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8" customHeight="1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8" customHeight="1" x14ac:dyDescent="0.4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8" customHeight="1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8" customHeight="1" x14ac:dyDescent="0.4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8" customHeight="1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8" customHeight="1" x14ac:dyDescent="0.4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8" customHeight="1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8" customHeight="1" x14ac:dyDescent="0.4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8" customHeight="1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8" customHeight="1" x14ac:dyDescent="0.4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8" customHeight="1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8" customHeight="1" x14ac:dyDescent="0.4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8" customHeight="1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8" customHeight="1" x14ac:dyDescent="0.4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8" customHeight="1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8" customHeight="1" x14ac:dyDescent="0.4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8" customHeight="1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8" customHeight="1" x14ac:dyDescent="0.4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8" customHeight="1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8" customHeight="1" x14ac:dyDescent="0.4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8" customHeight="1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8" customHeight="1" x14ac:dyDescent="0.4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8" customHeight="1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8" customHeight="1" x14ac:dyDescent="0.4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8" customHeight="1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8" customHeight="1" x14ac:dyDescent="0.4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8" customHeight="1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8" customHeight="1" x14ac:dyDescent="0.4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8" customHeight="1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8" customHeight="1" x14ac:dyDescent="0.4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8" customHeight="1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8" customHeight="1" x14ac:dyDescent="0.4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8" customHeight="1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8" customHeight="1" x14ac:dyDescent="0.4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8" customHeight="1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8" customHeight="1" x14ac:dyDescent="0.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8" customHeight="1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8" customHeight="1" x14ac:dyDescent="0.4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8" customHeight="1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8" customHeight="1" x14ac:dyDescent="0.4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8" customHeight="1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8" customHeight="1" x14ac:dyDescent="0.4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8" customHeight="1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8" customHeight="1" x14ac:dyDescent="0.4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8" customHeight="1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9.5" customHeight="1" x14ac:dyDescent="0.45">
      <c r="A155" s="63" t="s">
        <v>308</v>
      </c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</row>
  </sheetData>
  <mergeCells count="4">
    <mergeCell ref="A2:V2"/>
    <mergeCell ref="A1:V1"/>
    <mergeCell ref="A155:V155"/>
    <mergeCell ref="A3:V3"/>
  </mergeCells>
  <conditionalFormatting sqref="A5:V154">
    <cfRule type="expression" dxfId="8" priority="2">
      <formula>$G5="No"</formula>
    </cfRule>
    <cfRule type="expression" dxfId="7" priority="3">
      <formula>$I5="No"</formula>
    </cfRule>
    <cfRule type="expression" dxfId="6" priority="4">
      <formula>$M5="No"</formula>
    </cfRule>
    <cfRule type="expression" dxfId="5" priority="5">
      <formula>AND($G5="Yes",$M5="Yes",$N5="Yes")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Lists!$E$2:$E$3</xm:f>
          </x14:formula1>
          <x14:formula2>
            <xm:f>0</xm:f>
          </x14:formula2>
          <xm:sqref>G5:G154 S5:S154 M5:N154 I5:J154</xm:sqref>
        </x14:dataValidation>
        <x14:dataValidation type="list" allowBlank="1" xr:uid="{00000000-0002-0000-0400-000001000000}">
          <x14:formula1>
            <xm:f>Lists!$D$2:$D$18</xm:f>
          </x14:formula1>
          <x14:formula2>
            <xm:f>0</xm:f>
          </x14:formula2>
          <xm:sqref>H5:H154 R5:R154</xm:sqref>
        </x14:dataValidation>
        <x14:dataValidation type="list" allowBlank="1" xr:uid="{00000000-0002-0000-0400-000006000000}">
          <x14:formula1>
            <xm:f>Lists!$K$2:$K$6</xm:f>
          </x14:formula1>
          <x14:formula2>
            <xm:f>0</xm:f>
          </x14:formula2>
          <xm:sqref>P5:P154</xm:sqref>
        </x14:dataValidation>
        <x14:dataValidation type="list" allowBlank="1" xr:uid="{00000000-0002-0000-0400-000007000000}">
          <x14:formula1>
            <xm:f>Lists!$C$2:$C$17</xm:f>
          </x14:formula1>
          <x14:formula2>
            <xm:f>0</xm:f>
          </x14:formula2>
          <xm:sqref>Q5:Q154</xm:sqref>
        </x14:dataValidation>
        <x14:dataValidation type="list" allowBlank="1" xr:uid="{00000000-0002-0000-0400-00000A000000}">
          <x14:formula1>
            <xm:f>Lists!$H$2:$H$6</xm:f>
          </x14:formula1>
          <x14:formula2>
            <xm:f>0</xm:f>
          </x14:formula2>
          <xm:sqref>U5:U154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B2D7F"/>
    <pageSetUpPr fitToPage="1"/>
  </sheetPr>
  <dimension ref="A1:H14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25" x14ac:dyDescent="0.45"/>
  <cols>
    <col min="1" max="1" width="18" customWidth="1"/>
    <col min="2" max="2" width="28" customWidth="1"/>
    <col min="3" max="3" width="40" customWidth="1"/>
    <col min="4" max="4" width="14" customWidth="1"/>
    <col min="5" max="5" width="12" customWidth="1"/>
    <col min="6" max="6" width="14" customWidth="1"/>
    <col min="7" max="8" width="36" customWidth="1"/>
  </cols>
  <sheetData>
    <row r="1" spans="1:8" ht="43.5" customHeight="1" x14ac:dyDescent="0.45">
      <c r="A1" s="62" t="s">
        <v>635</v>
      </c>
      <c r="B1" s="54"/>
      <c r="C1" s="54"/>
      <c r="D1" s="54"/>
      <c r="E1" s="54"/>
      <c r="F1" s="54"/>
      <c r="G1" s="54"/>
      <c r="H1" s="54"/>
    </row>
    <row r="2" spans="1:8" ht="21.75" customHeight="1" x14ac:dyDescent="0.45">
      <c r="A2" s="65" t="s">
        <v>636</v>
      </c>
      <c r="B2" s="54"/>
      <c r="C2" s="54"/>
      <c r="D2" s="54"/>
      <c r="E2" s="54"/>
      <c r="F2" s="54"/>
      <c r="G2" s="54"/>
      <c r="H2" s="54"/>
    </row>
    <row r="3" spans="1:8" ht="36" customHeight="1" x14ac:dyDescent="0.45">
      <c r="A3" s="7" t="s">
        <v>34</v>
      </c>
      <c r="B3" s="7" t="s">
        <v>637</v>
      </c>
      <c r="C3" s="7" t="s">
        <v>638</v>
      </c>
      <c r="D3" s="7" t="s">
        <v>639</v>
      </c>
      <c r="E3" s="7" t="s">
        <v>640</v>
      </c>
      <c r="F3" s="7" t="s">
        <v>641</v>
      </c>
      <c r="G3" s="7" t="s">
        <v>642</v>
      </c>
      <c r="H3" s="7" t="s">
        <v>53</v>
      </c>
    </row>
    <row r="4" spans="1:8" ht="61.5" customHeight="1" x14ac:dyDescent="0.45">
      <c r="A4" s="7" t="s">
        <v>91</v>
      </c>
      <c r="B4" s="6" t="s">
        <v>643</v>
      </c>
      <c r="C4" s="6" t="s">
        <v>644</v>
      </c>
      <c r="D4" s="9" t="s">
        <v>645</v>
      </c>
      <c r="E4" s="11" t="s">
        <v>646</v>
      </c>
      <c r="F4" s="9" t="s">
        <v>647</v>
      </c>
      <c r="G4" s="6" t="s">
        <v>648</v>
      </c>
      <c r="H4" s="6" t="s">
        <v>649</v>
      </c>
    </row>
    <row r="5" spans="1:8" ht="61.5" customHeight="1" x14ac:dyDescent="0.45">
      <c r="A5" s="7" t="s">
        <v>119</v>
      </c>
      <c r="B5" s="4" t="s">
        <v>650</v>
      </c>
      <c r="C5" s="4" t="s">
        <v>651</v>
      </c>
      <c r="D5" s="11" t="s">
        <v>652</v>
      </c>
      <c r="E5" s="11" t="s">
        <v>653</v>
      </c>
      <c r="F5" s="11" t="s">
        <v>654</v>
      </c>
      <c r="G5" s="4" t="s">
        <v>655</v>
      </c>
      <c r="H5" s="4" t="s">
        <v>656</v>
      </c>
    </row>
    <row r="6" spans="1:8" ht="61.5" customHeight="1" x14ac:dyDescent="0.45">
      <c r="A6" s="7" t="s">
        <v>144</v>
      </c>
      <c r="B6" s="6" t="s">
        <v>145</v>
      </c>
      <c r="C6" s="6" t="s">
        <v>657</v>
      </c>
      <c r="D6" s="11" t="s">
        <v>658</v>
      </c>
      <c r="E6" s="11" t="s">
        <v>125</v>
      </c>
      <c r="F6" s="11" t="s">
        <v>125</v>
      </c>
      <c r="G6" s="6" t="s">
        <v>659</v>
      </c>
      <c r="H6" s="6" t="s">
        <v>660</v>
      </c>
    </row>
    <row r="7" spans="1:8" ht="61.5" customHeight="1" x14ac:dyDescent="0.45">
      <c r="A7" s="7" t="s">
        <v>661</v>
      </c>
      <c r="B7" s="4" t="s">
        <v>662</v>
      </c>
      <c r="C7" s="4" t="s">
        <v>663</v>
      </c>
      <c r="D7" s="11" t="s">
        <v>664</v>
      </c>
      <c r="E7" s="11" t="s">
        <v>125</v>
      </c>
      <c r="F7" s="11" t="s">
        <v>125</v>
      </c>
      <c r="G7" s="4" t="s">
        <v>665</v>
      </c>
      <c r="H7" s="4" t="s">
        <v>666</v>
      </c>
    </row>
    <row r="8" spans="1:8" ht="61.5" customHeight="1" x14ac:dyDescent="0.45">
      <c r="A8" s="7" t="s">
        <v>219</v>
      </c>
      <c r="B8" s="6" t="s">
        <v>220</v>
      </c>
      <c r="C8" s="6" t="s">
        <v>667</v>
      </c>
      <c r="D8" s="11" t="s">
        <v>652</v>
      </c>
      <c r="E8" s="11" t="s">
        <v>668</v>
      </c>
      <c r="F8" s="11" t="s">
        <v>669</v>
      </c>
      <c r="G8" s="6" t="s">
        <v>670</v>
      </c>
      <c r="H8" s="6" t="s">
        <v>671</v>
      </c>
    </row>
    <row r="9" spans="1:8" ht="61.5" customHeight="1" x14ac:dyDescent="0.45">
      <c r="A9" s="7" t="s">
        <v>234</v>
      </c>
      <c r="B9" s="4" t="s">
        <v>672</v>
      </c>
      <c r="C9" s="4" t="s">
        <v>673</v>
      </c>
      <c r="D9" s="11" t="s">
        <v>125</v>
      </c>
      <c r="E9" s="11" t="s">
        <v>125</v>
      </c>
      <c r="F9" s="11" t="s">
        <v>125</v>
      </c>
      <c r="G9" s="4" t="s">
        <v>674</v>
      </c>
      <c r="H9" s="4" t="s">
        <v>675</v>
      </c>
    </row>
    <row r="10" spans="1:8" ht="61.5" customHeight="1" x14ac:dyDescent="0.45">
      <c r="A10" s="7" t="s">
        <v>676</v>
      </c>
      <c r="B10" s="6" t="s">
        <v>677</v>
      </c>
      <c r="C10" s="6" t="s">
        <v>678</v>
      </c>
      <c r="D10" s="9" t="s">
        <v>679</v>
      </c>
      <c r="E10" s="11" t="s">
        <v>680</v>
      </c>
      <c r="F10" s="9" t="s">
        <v>681</v>
      </c>
      <c r="G10" s="6" t="s">
        <v>682</v>
      </c>
      <c r="H10" s="6" t="s">
        <v>683</v>
      </c>
    </row>
    <row r="11" spans="1:8" ht="61.5" customHeight="1" x14ac:dyDescent="0.45">
      <c r="A11" s="7" t="s">
        <v>684</v>
      </c>
      <c r="B11" s="4" t="s">
        <v>685</v>
      </c>
      <c r="C11" s="4" t="s">
        <v>686</v>
      </c>
      <c r="D11" s="9" t="s">
        <v>687</v>
      </c>
      <c r="E11" s="9" t="s">
        <v>688</v>
      </c>
      <c r="F11" s="9" t="s">
        <v>689</v>
      </c>
      <c r="G11" s="4" t="s">
        <v>690</v>
      </c>
      <c r="H11" s="4" t="s">
        <v>691</v>
      </c>
    </row>
    <row r="12" spans="1:8" ht="61.5" customHeight="1" x14ac:dyDescent="0.45">
      <c r="A12" s="7" t="s">
        <v>692</v>
      </c>
      <c r="B12" s="6" t="s">
        <v>693</v>
      </c>
      <c r="C12" s="6" t="s">
        <v>694</v>
      </c>
      <c r="D12" s="9" t="s">
        <v>695</v>
      </c>
      <c r="E12" s="9" t="s">
        <v>696</v>
      </c>
      <c r="F12" s="9" t="s">
        <v>697</v>
      </c>
      <c r="G12" s="6" t="s">
        <v>698</v>
      </c>
      <c r="H12" s="6" t="s">
        <v>699</v>
      </c>
    </row>
    <row r="13" spans="1:8" ht="61.5" customHeight="1" x14ac:dyDescent="0.45">
      <c r="A13" s="7" t="s">
        <v>700</v>
      </c>
      <c r="B13" s="4" t="s">
        <v>701</v>
      </c>
      <c r="C13" s="4" t="s">
        <v>702</v>
      </c>
      <c r="D13" s="9" t="s">
        <v>703</v>
      </c>
      <c r="E13" s="9" t="s">
        <v>704</v>
      </c>
      <c r="F13" s="9" t="s">
        <v>705</v>
      </c>
      <c r="G13" s="4" t="s">
        <v>706</v>
      </c>
      <c r="H13" s="4" t="s">
        <v>707</v>
      </c>
    </row>
    <row r="14" spans="1:8" ht="19.5" customHeight="1" x14ac:dyDescent="0.45">
      <c r="A14" s="63" t="s">
        <v>308</v>
      </c>
      <c r="B14" s="54"/>
      <c r="C14" s="54"/>
      <c r="D14" s="54"/>
      <c r="E14" s="54"/>
      <c r="F14" s="54"/>
      <c r="G14" s="54"/>
      <c r="H14" s="54"/>
    </row>
  </sheetData>
  <mergeCells count="3">
    <mergeCell ref="A2:H2"/>
    <mergeCell ref="A14:H14"/>
    <mergeCell ref="A1:H1"/>
  </mergeCells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B2D7F"/>
    <pageSetUpPr fitToPage="1"/>
  </sheetPr>
  <dimension ref="A1:N204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25" x14ac:dyDescent="0.45"/>
  <cols>
    <col min="1" max="1" width="10" customWidth="1"/>
    <col min="2" max="3" width="12" customWidth="1"/>
    <col min="4" max="4" width="16" customWidth="1"/>
    <col min="5" max="5" width="18" customWidth="1"/>
    <col min="6" max="6" width="28" customWidth="1"/>
    <col min="7" max="8" width="16" customWidth="1"/>
    <col min="9" max="9" width="18" customWidth="1"/>
    <col min="10" max="10" width="22" customWidth="1"/>
    <col min="11" max="11" width="16" customWidth="1"/>
    <col min="12" max="12" width="40" customWidth="1"/>
    <col min="13" max="13" width="16" customWidth="1"/>
    <col min="14" max="14" width="18" customWidth="1"/>
  </cols>
  <sheetData>
    <row r="1" spans="1:14" ht="43.5" customHeight="1" x14ac:dyDescent="0.45">
      <c r="A1" s="62" t="s">
        <v>708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1.75" customHeight="1" x14ac:dyDescent="0.45">
      <c r="A2" s="65" t="s">
        <v>709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36" customHeight="1" x14ac:dyDescent="0.45">
      <c r="A3" s="7" t="s">
        <v>710</v>
      </c>
      <c r="B3" s="7" t="s">
        <v>615</v>
      </c>
      <c r="C3" s="7" t="s">
        <v>616</v>
      </c>
      <c r="D3" s="7" t="s">
        <v>711</v>
      </c>
      <c r="E3" s="7" t="s">
        <v>617</v>
      </c>
      <c r="F3" s="7" t="s">
        <v>712</v>
      </c>
      <c r="G3" s="7" t="s">
        <v>713</v>
      </c>
      <c r="H3" s="7" t="s">
        <v>714</v>
      </c>
      <c r="I3" s="7" t="s">
        <v>629</v>
      </c>
      <c r="J3" s="7" t="s">
        <v>715</v>
      </c>
      <c r="K3" s="7" t="s">
        <v>716</v>
      </c>
      <c r="L3" s="7" t="s">
        <v>717</v>
      </c>
      <c r="M3" s="7" t="s">
        <v>718</v>
      </c>
      <c r="N3" s="7" t="s">
        <v>719</v>
      </c>
    </row>
    <row r="4" spans="1:14" ht="18" customHeight="1" x14ac:dyDescent="0.4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8" customHeight="1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8" customHeight="1" x14ac:dyDescent="0.4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8" customHeight="1" x14ac:dyDescent="0.4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8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8" customHeight="1" x14ac:dyDescent="0.4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8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18" customHeight="1" x14ac:dyDescent="0.4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8" customHeight="1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8" customHeight="1" x14ac:dyDescent="0.4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8" customHeigh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8" customHeight="1" x14ac:dyDescent="0.4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8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8" customHeight="1" x14ac:dyDescent="0.4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8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8" customHeight="1" x14ac:dyDescent="0.4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8" customHeight="1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8" customHeight="1" x14ac:dyDescent="0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8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8" customHeight="1" x14ac:dyDescent="0.4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8" customHeigh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8" customHeight="1" x14ac:dyDescent="0.4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8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8" customHeight="1" x14ac:dyDescent="0.4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8" customHeight="1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8" customHeight="1" x14ac:dyDescent="0.4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8" customHeight="1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8" customHeight="1" x14ac:dyDescent="0.4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8" customHeigh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8" customHeight="1" x14ac:dyDescent="0.4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8" customHeigh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8" customHeight="1" x14ac:dyDescent="0.4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8" customHeight="1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8" customHeight="1" x14ac:dyDescent="0.4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8" customHeight="1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8" customHeight="1" x14ac:dyDescent="0.4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8" customHeight="1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8" customHeight="1" x14ac:dyDescent="0.4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8" customHeight="1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8" customHeight="1" x14ac:dyDescent="0.4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8" customHeight="1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8" customHeight="1" x14ac:dyDescent="0.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8" customHeight="1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8" customHeight="1" x14ac:dyDescent="0.4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8" customHeight="1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8" customHeight="1" x14ac:dyDescent="0.4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8" customHeight="1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8" customHeight="1" x14ac:dyDescent="0.4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8" customHeight="1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ht="18" customHeight="1" x14ac:dyDescent="0.4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8" customHeight="1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8" customHeight="1" x14ac:dyDescent="0.4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8" customHeight="1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8" customHeight="1" x14ac:dyDescent="0.4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18" customHeight="1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8" customHeight="1" x14ac:dyDescent="0.4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8" customHeight="1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8" customHeight="1" x14ac:dyDescent="0.4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8" customHeight="1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8" customHeight="1" x14ac:dyDescent="0.4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8" customHeight="1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8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8" customHeight="1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ht="18" customHeight="1" x14ac:dyDescent="0.4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8" customHeight="1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8" customHeight="1" x14ac:dyDescent="0.4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8" customHeight="1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ht="18" customHeight="1" x14ac:dyDescent="0.4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8" customHeight="1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18" customHeight="1" x14ac:dyDescent="0.4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8" customHeight="1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ht="18" customHeight="1" x14ac:dyDescent="0.4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8" customHeight="1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ht="18" customHeight="1" x14ac:dyDescent="0.4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8" customHeight="1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ht="18" customHeight="1" x14ac:dyDescent="0.4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8" customHeight="1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ht="18" customHeight="1" x14ac:dyDescent="0.4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8" customHeight="1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ht="18" customHeight="1" x14ac:dyDescent="0.4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8" customHeight="1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ht="18" customHeight="1" x14ac:dyDescent="0.4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8" customHeight="1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ht="18" customHeight="1" x14ac:dyDescent="0.4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8" customHeight="1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ht="18" customHeight="1" x14ac:dyDescent="0.4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8" customHeight="1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ht="18" customHeight="1" x14ac:dyDescent="0.4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8" customHeight="1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ht="18" customHeight="1" x14ac:dyDescent="0.4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8" customHeight="1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ht="18" customHeight="1" x14ac:dyDescent="0.4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8" customHeight="1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18" customHeight="1" x14ac:dyDescent="0.4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8" customHeight="1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ht="18" customHeight="1" x14ac:dyDescent="0.4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18" customHeight="1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8" customHeight="1" x14ac:dyDescent="0.4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8" customHeight="1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8" customHeight="1" x14ac:dyDescent="0.4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8" customHeight="1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8" customHeight="1" x14ac:dyDescent="0.4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8" customHeight="1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8" customHeight="1" x14ac:dyDescent="0.4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8" customHeight="1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8" customHeight="1" x14ac:dyDescent="0.4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8" customHeight="1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8" customHeight="1" x14ac:dyDescent="0.4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8" customHeight="1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8" customHeight="1" x14ac:dyDescent="0.4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8" customHeight="1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8" customHeight="1" x14ac:dyDescent="0.4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8" customHeight="1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8" customHeight="1" x14ac:dyDescent="0.4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8" customHeight="1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8" customHeight="1" x14ac:dyDescent="0.4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8" customHeight="1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8" customHeight="1" x14ac:dyDescent="0.4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8" customHeight="1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8" customHeight="1" x14ac:dyDescent="0.4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8" customHeight="1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8" customHeight="1" x14ac:dyDescent="0.4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8" customHeight="1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8" customHeight="1" x14ac:dyDescent="0.4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ht="18" customHeight="1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8" customHeight="1" x14ac:dyDescent="0.4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8" customHeight="1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8" customHeight="1" x14ac:dyDescent="0.4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8" customHeight="1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8" customHeight="1" x14ac:dyDescent="0.4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8" customHeight="1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18" customHeight="1" x14ac:dyDescent="0.4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8" customHeight="1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18" customHeight="1" x14ac:dyDescent="0.4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8" customHeight="1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18" customHeight="1" x14ac:dyDescent="0.4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8" customHeight="1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18" customHeight="1" x14ac:dyDescent="0.4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8" customHeight="1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18" customHeight="1" x14ac:dyDescent="0.4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8" customHeight="1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8" customHeight="1" x14ac:dyDescent="0.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ht="18" customHeight="1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18" customHeight="1" x14ac:dyDescent="0.4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8" customHeight="1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18" customHeight="1" x14ac:dyDescent="0.4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8" customHeight="1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18" customHeight="1" x14ac:dyDescent="0.4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8" customHeight="1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18" customHeight="1" x14ac:dyDescent="0.4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ht="18" customHeight="1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18" customHeight="1" x14ac:dyDescent="0.4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8" customHeight="1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18" customHeight="1" x14ac:dyDescent="0.4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8" customHeight="1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8" customHeight="1" x14ac:dyDescent="0.4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8" customHeight="1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18" customHeight="1" x14ac:dyDescent="0.4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8" customHeight="1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18" customHeight="1" x14ac:dyDescent="0.4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8" customHeight="1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18" customHeight="1" x14ac:dyDescent="0.4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8" customHeight="1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18" customHeight="1" x14ac:dyDescent="0.4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8" customHeight="1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18" customHeight="1" x14ac:dyDescent="0.4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8" customHeight="1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8" customHeight="1" x14ac:dyDescent="0.4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8" customHeight="1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18" customHeight="1" x14ac:dyDescent="0.4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8" customHeight="1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18" customHeight="1" x14ac:dyDescent="0.4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8" customHeight="1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18" customHeight="1" x14ac:dyDescent="0.4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ht="18" customHeight="1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18" customHeight="1" x14ac:dyDescent="0.4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8" customHeight="1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18" customHeight="1" x14ac:dyDescent="0.4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ht="18" customHeight="1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18" customHeight="1" x14ac:dyDescent="0.4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8" customHeight="1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18" customHeight="1" x14ac:dyDescent="0.4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8" customHeight="1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18" customHeight="1" x14ac:dyDescent="0.4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8" customHeight="1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18" customHeight="1" x14ac:dyDescent="0.4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8" customHeight="1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18" customHeight="1" x14ac:dyDescent="0.4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8" customHeight="1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18" customHeight="1" x14ac:dyDescent="0.4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8" customHeight="1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18" customHeight="1" x14ac:dyDescent="0.4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8" customHeight="1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18" customHeight="1" x14ac:dyDescent="0.4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ht="18" customHeight="1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18" customHeight="1" x14ac:dyDescent="0.4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8" customHeight="1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18" customHeight="1" x14ac:dyDescent="0.4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8" customHeight="1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18" customHeight="1" x14ac:dyDescent="0.4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ht="19.5" customHeight="1" x14ac:dyDescent="0.45">
      <c r="A204" s="63" t="s">
        <v>308</v>
      </c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</row>
  </sheetData>
  <mergeCells count="3">
    <mergeCell ref="A204:N204"/>
    <mergeCell ref="A2:N2"/>
    <mergeCell ref="A1:N1"/>
  </mergeCells>
  <conditionalFormatting sqref="A4:N203">
    <cfRule type="expression" dxfId="4" priority="2">
      <formula>AND($G4="Yes",$H4&lt;TODAY(),$L4="")</formula>
    </cfRule>
    <cfRule type="expression" dxfId="3" priority="3">
      <formula>AND($G4="Yes",$L4&lt;&gt;"")</formula>
    </cfRule>
    <cfRule type="expression" dxfId="2" priority="4">
      <formula>$M4="Yes"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Lists!$E$2:$E$3</xm:f>
          </x14:formula1>
          <x14:formula2>
            <xm:f>0</xm:f>
          </x14:formula2>
          <xm:sqref>G4:G203 M4:M203</xm:sqref>
        </x14:dataValidation>
        <x14:dataValidation type="list" allowBlank="1" xr:uid="{00000000-0002-0000-0600-000001000000}">
          <x14:formula1>
            <xm:f>Lists!$K$2:$K$6</xm:f>
          </x14:formula1>
          <x14:formula2>
            <xm:f>0</xm:f>
          </x14:formula2>
          <xm:sqref>I4:I203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2D7F"/>
    <pageSetUpPr fitToPage="1"/>
  </sheetPr>
  <dimension ref="A1:P154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25" x14ac:dyDescent="0.45"/>
  <cols>
    <col min="1" max="1" width="12" customWidth="1"/>
    <col min="2" max="2" width="13" customWidth="1"/>
    <col min="3" max="3" width="12" customWidth="1"/>
    <col min="4" max="4" width="18" customWidth="1"/>
    <col min="5" max="5" width="28" customWidth="1"/>
    <col min="6" max="6" width="16" customWidth="1"/>
    <col min="7" max="7" width="18" customWidth="1"/>
    <col min="8" max="10" width="16" customWidth="1"/>
    <col min="11" max="12" width="14" customWidth="1"/>
    <col min="13" max="13" width="18" customWidth="1"/>
    <col min="14" max="14" width="13" customWidth="1"/>
    <col min="15" max="15" width="14" customWidth="1"/>
    <col min="16" max="16" width="28" customWidth="1"/>
  </cols>
  <sheetData>
    <row r="1" spans="1:16" ht="43.5" customHeight="1" x14ac:dyDescent="0.45">
      <c r="A1" s="62" t="s">
        <v>720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16" ht="21.75" customHeight="1" x14ac:dyDescent="0.45">
      <c r="A2" s="65" t="s">
        <v>721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ht="36" customHeight="1" x14ac:dyDescent="0.45">
      <c r="A3" s="7" t="s">
        <v>722</v>
      </c>
      <c r="B3" s="7" t="s">
        <v>723</v>
      </c>
      <c r="C3" s="7" t="s">
        <v>616</v>
      </c>
      <c r="D3" s="7" t="s">
        <v>34</v>
      </c>
      <c r="E3" s="7" t="s">
        <v>724</v>
      </c>
      <c r="F3" s="7" t="s">
        <v>725</v>
      </c>
      <c r="G3" s="7" t="s">
        <v>726</v>
      </c>
      <c r="H3" s="7" t="s">
        <v>727</v>
      </c>
      <c r="I3" s="7" t="s">
        <v>728</v>
      </c>
      <c r="J3" s="7" t="s">
        <v>729</v>
      </c>
      <c r="K3" s="7" t="s">
        <v>730</v>
      </c>
      <c r="L3" s="7" t="s">
        <v>731</v>
      </c>
      <c r="M3" s="7" t="s">
        <v>732</v>
      </c>
      <c r="N3" s="7" t="s">
        <v>733</v>
      </c>
      <c r="O3" s="7" t="s">
        <v>734</v>
      </c>
      <c r="P3" s="7" t="s">
        <v>327</v>
      </c>
    </row>
    <row r="4" spans="1:16" ht="18" customHeight="1" x14ac:dyDescent="0.4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31" t="str">
        <f t="shared" ref="N4:N35" si="0">IF(C4="","",IF(F4="Yes",1,0)+IF(G4="Yes",1,0)+IF(H4="Yes",1,0)+IF(I4="Yes",1,0)+IF(J4="Yes",1,0)+IF(K4="Yes",1,0)+IF(L4="Yes",1,0)+IF(M4="Yes",1,0))</f>
        <v/>
      </c>
      <c r="O4" s="31" t="str">
        <f t="shared" ref="O4:O35" si="1">IF(C4="","",8-N4)</f>
        <v/>
      </c>
      <c r="P4" s="6"/>
    </row>
    <row r="5" spans="1:16" ht="18" customHeight="1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1" t="str">
        <f t="shared" si="0"/>
        <v/>
      </c>
      <c r="O5" s="31" t="str">
        <f t="shared" si="1"/>
        <v/>
      </c>
      <c r="P5" s="4"/>
    </row>
    <row r="6" spans="1:16" ht="18" customHeight="1" x14ac:dyDescent="0.4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31" t="str">
        <f t="shared" si="0"/>
        <v/>
      </c>
      <c r="O6" s="31" t="str">
        <f t="shared" si="1"/>
        <v/>
      </c>
      <c r="P6" s="6"/>
    </row>
    <row r="7" spans="1:16" ht="18" customHeight="1" x14ac:dyDescent="0.4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31" t="str">
        <f t="shared" si="0"/>
        <v/>
      </c>
      <c r="O7" s="31" t="str">
        <f t="shared" si="1"/>
        <v/>
      </c>
      <c r="P7" s="4"/>
    </row>
    <row r="8" spans="1:16" ht="18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31" t="str">
        <f t="shared" si="0"/>
        <v/>
      </c>
      <c r="O8" s="31" t="str">
        <f t="shared" si="1"/>
        <v/>
      </c>
      <c r="P8" s="6"/>
    </row>
    <row r="9" spans="1:16" ht="18" customHeight="1" x14ac:dyDescent="0.4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31" t="str">
        <f t="shared" si="0"/>
        <v/>
      </c>
      <c r="O9" s="31" t="str">
        <f t="shared" si="1"/>
        <v/>
      </c>
      <c r="P9" s="4"/>
    </row>
    <row r="10" spans="1:16" ht="18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31" t="str">
        <f t="shared" si="0"/>
        <v/>
      </c>
      <c r="O10" s="31" t="str">
        <f t="shared" si="1"/>
        <v/>
      </c>
      <c r="P10" s="6"/>
    </row>
    <row r="11" spans="1:16" ht="18" customHeight="1" x14ac:dyDescent="0.4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31" t="str">
        <f t="shared" si="0"/>
        <v/>
      </c>
      <c r="O11" s="31" t="str">
        <f t="shared" si="1"/>
        <v/>
      </c>
      <c r="P11" s="4"/>
    </row>
    <row r="12" spans="1:16" ht="18" customHeight="1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31" t="str">
        <f t="shared" si="0"/>
        <v/>
      </c>
      <c r="O12" s="31" t="str">
        <f t="shared" si="1"/>
        <v/>
      </c>
      <c r="P12" s="6"/>
    </row>
    <row r="13" spans="1:16" ht="18" customHeight="1" x14ac:dyDescent="0.4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31" t="str">
        <f t="shared" si="0"/>
        <v/>
      </c>
      <c r="O13" s="31" t="str">
        <f t="shared" si="1"/>
        <v/>
      </c>
      <c r="P13" s="4"/>
    </row>
    <row r="14" spans="1:16" ht="18" customHeigh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31" t="str">
        <f t="shared" si="0"/>
        <v/>
      </c>
      <c r="O14" s="31" t="str">
        <f t="shared" si="1"/>
        <v/>
      </c>
      <c r="P14" s="6"/>
    </row>
    <row r="15" spans="1:16" ht="18" customHeight="1" x14ac:dyDescent="0.4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1" t="str">
        <f t="shared" si="0"/>
        <v/>
      </c>
      <c r="O15" s="31" t="str">
        <f t="shared" si="1"/>
        <v/>
      </c>
      <c r="P15" s="4"/>
    </row>
    <row r="16" spans="1:16" ht="18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31" t="str">
        <f t="shared" si="0"/>
        <v/>
      </c>
      <c r="O16" s="31" t="str">
        <f t="shared" si="1"/>
        <v/>
      </c>
      <c r="P16" s="6"/>
    </row>
    <row r="17" spans="1:16" ht="18" customHeight="1" x14ac:dyDescent="0.4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31" t="str">
        <f t="shared" si="0"/>
        <v/>
      </c>
      <c r="O17" s="31" t="str">
        <f t="shared" si="1"/>
        <v/>
      </c>
      <c r="P17" s="4"/>
    </row>
    <row r="18" spans="1:16" ht="18" customHeight="1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31" t="str">
        <f t="shared" si="0"/>
        <v/>
      </c>
      <c r="O18" s="31" t="str">
        <f t="shared" si="1"/>
        <v/>
      </c>
      <c r="P18" s="6"/>
    </row>
    <row r="19" spans="1:16" ht="18" customHeight="1" x14ac:dyDescent="0.4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31" t="str">
        <f t="shared" si="0"/>
        <v/>
      </c>
      <c r="O19" s="31" t="str">
        <f t="shared" si="1"/>
        <v/>
      </c>
      <c r="P19" s="4"/>
    </row>
    <row r="20" spans="1:16" ht="18" customHeight="1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31" t="str">
        <f t="shared" si="0"/>
        <v/>
      </c>
      <c r="O20" s="31" t="str">
        <f t="shared" si="1"/>
        <v/>
      </c>
      <c r="P20" s="6"/>
    </row>
    <row r="21" spans="1:16" ht="18" customHeight="1" x14ac:dyDescent="0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31" t="str">
        <f t="shared" si="0"/>
        <v/>
      </c>
      <c r="O21" s="31" t="str">
        <f t="shared" si="1"/>
        <v/>
      </c>
      <c r="P21" s="4"/>
    </row>
    <row r="22" spans="1:16" ht="18" customHeight="1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31" t="str">
        <f t="shared" si="0"/>
        <v/>
      </c>
      <c r="O22" s="31" t="str">
        <f t="shared" si="1"/>
        <v/>
      </c>
      <c r="P22" s="6"/>
    </row>
    <row r="23" spans="1:16" ht="18" customHeight="1" x14ac:dyDescent="0.4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31" t="str">
        <f t="shared" si="0"/>
        <v/>
      </c>
      <c r="O23" s="31" t="str">
        <f t="shared" si="1"/>
        <v/>
      </c>
      <c r="P23" s="4"/>
    </row>
    <row r="24" spans="1:16" ht="18" customHeight="1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31" t="str">
        <f t="shared" si="0"/>
        <v/>
      </c>
      <c r="O24" s="31" t="str">
        <f t="shared" si="1"/>
        <v/>
      </c>
      <c r="P24" s="6"/>
    </row>
    <row r="25" spans="1:16" ht="18" customHeight="1" x14ac:dyDescent="0.4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31" t="str">
        <f t="shared" si="0"/>
        <v/>
      </c>
      <c r="O25" s="31" t="str">
        <f t="shared" si="1"/>
        <v/>
      </c>
      <c r="P25" s="4"/>
    </row>
    <row r="26" spans="1:16" ht="18" customHeight="1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31" t="str">
        <f t="shared" si="0"/>
        <v/>
      </c>
      <c r="O26" s="31" t="str">
        <f t="shared" si="1"/>
        <v/>
      </c>
      <c r="P26" s="6"/>
    </row>
    <row r="27" spans="1:16" ht="18" customHeight="1" x14ac:dyDescent="0.4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31" t="str">
        <f t="shared" si="0"/>
        <v/>
      </c>
      <c r="O27" s="31" t="str">
        <f t="shared" si="1"/>
        <v/>
      </c>
      <c r="P27" s="4"/>
    </row>
    <row r="28" spans="1:16" ht="18" customHeight="1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31" t="str">
        <f t="shared" si="0"/>
        <v/>
      </c>
      <c r="O28" s="31" t="str">
        <f t="shared" si="1"/>
        <v/>
      </c>
      <c r="P28" s="6"/>
    </row>
    <row r="29" spans="1:16" ht="18" customHeight="1" x14ac:dyDescent="0.4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31" t="str">
        <f t="shared" si="0"/>
        <v/>
      </c>
      <c r="O29" s="31" t="str">
        <f t="shared" si="1"/>
        <v/>
      </c>
      <c r="P29" s="4"/>
    </row>
    <row r="30" spans="1:16" ht="18" customHeight="1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31" t="str">
        <f t="shared" si="0"/>
        <v/>
      </c>
      <c r="O30" s="31" t="str">
        <f t="shared" si="1"/>
        <v/>
      </c>
      <c r="P30" s="6"/>
    </row>
    <row r="31" spans="1:16" ht="18" customHeight="1" x14ac:dyDescent="0.4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31" t="str">
        <f t="shared" si="0"/>
        <v/>
      </c>
      <c r="O31" s="31" t="str">
        <f t="shared" si="1"/>
        <v/>
      </c>
      <c r="P31" s="4"/>
    </row>
    <row r="32" spans="1:16" ht="18" customHeigh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31" t="str">
        <f t="shared" si="0"/>
        <v/>
      </c>
      <c r="O32" s="31" t="str">
        <f t="shared" si="1"/>
        <v/>
      </c>
      <c r="P32" s="6"/>
    </row>
    <row r="33" spans="1:16" ht="18" customHeight="1" x14ac:dyDescent="0.4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31" t="str">
        <f t="shared" si="0"/>
        <v/>
      </c>
      <c r="O33" s="31" t="str">
        <f t="shared" si="1"/>
        <v/>
      </c>
      <c r="P33" s="4"/>
    </row>
    <row r="34" spans="1:16" ht="18" customHeigh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31" t="str">
        <f t="shared" si="0"/>
        <v/>
      </c>
      <c r="O34" s="31" t="str">
        <f t="shared" si="1"/>
        <v/>
      </c>
      <c r="P34" s="6"/>
    </row>
    <row r="35" spans="1:16" ht="18" customHeight="1" x14ac:dyDescent="0.4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31" t="str">
        <f t="shared" si="0"/>
        <v/>
      </c>
      <c r="O35" s="31" t="str">
        <f t="shared" si="1"/>
        <v/>
      </c>
      <c r="P35" s="4"/>
    </row>
    <row r="36" spans="1:16" ht="18" customHeight="1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31" t="str">
        <f t="shared" ref="N36:N67" si="2">IF(C36="","",IF(F36="Yes",1,0)+IF(G36="Yes",1,0)+IF(H36="Yes",1,0)+IF(I36="Yes",1,0)+IF(J36="Yes",1,0)+IF(K36="Yes",1,0)+IF(L36="Yes",1,0)+IF(M36="Yes",1,0))</f>
        <v/>
      </c>
      <c r="O36" s="31" t="str">
        <f t="shared" ref="O36:O67" si="3">IF(C36="","",8-N36)</f>
        <v/>
      </c>
      <c r="P36" s="6"/>
    </row>
    <row r="37" spans="1:16" ht="18" customHeight="1" x14ac:dyDescent="0.4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31" t="str">
        <f t="shared" si="2"/>
        <v/>
      </c>
      <c r="O37" s="31" t="str">
        <f t="shared" si="3"/>
        <v/>
      </c>
      <c r="P37" s="4"/>
    </row>
    <row r="38" spans="1:16" ht="18" customHeight="1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31" t="str">
        <f t="shared" si="2"/>
        <v/>
      </c>
      <c r="O38" s="31" t="str">
        <f t="shared" si="3"/>
        <v/>
      </c>
      <c r="P38" s="6"/>
    </row>
    <row r="39" spans="1:16" ht="18" customHeight="1" x14ac:dyDescent="0.4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31" t="str">
        <f t="shared" si="2"/>
        <v/>
      </c>
      <c r="O39" s="31" t="str">
        <f t="shared" si="3"/>
        <v/>
      </c>
      <c r="P39" s="4"/>
    </row>
    <row r="40" spans="1:16" ht="18" customHeight="1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31" t="str">
        <f t="shared" si="2"/>
        <v/>
      </c>
      <c r="O40" s="31" t="str">
        <f t="shared" si="3"/>
        <v/>
      </c>
      <c r="P40" s="6"/>
    </row>
    <row r="41" spans="1:16" ht="18" customHeight="1" x14ac:dyDescent="0.4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31" t="str">
        <f t="shared" si="2"/>
        <v/>
      </c>
      <c r="O41" s="31" t="str">
        <f t="shared" si="3"/>
        <v/>
      </c>
      <c r="P41" s="4"/>
    </row>
    <row r="42" spans="1:16" ht="18" customHeight="1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31" t="str">
        <f t="shared" si="2"/>
        <v/>
      </c>
      <c r="O42" s="31" t="str">
        <f t="shared" si="3"/>
        <v/>
      </c>
      <c r="P42" s="6"/>
    </row>
    <row r="43" spans="1:16" ht="18" customHeight="1" x14ac:dyDescent="0.4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31" t="str">
        <f t="shared" si="2"/>
        <v/>
      </c>
      <c r="O43" s="31" t="str">
        <f t="shared" si="3"/>
        <v/>
      </c>
      <c r="P43" s="4"/>
    </row>
    <row r="44" spans="1:16" ht="18" customHeight="1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31" t="str">
        <f t="shared" si="2"/>
        <v/>
      </c>
      <c r="O44" s="31" t="str">
        <f t="shared" si="3"/>
        <v/>
      </c>
      <c r="P44" s="6"/>
    </row>
    <row r="45" spans="1:16" ht="18" customHeight="1" x14ac:dyDescent="0.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31" t="str">
        <f t="shared" si="2"/>
        <v/>
      </c>
      <c r="O45" s="31" t="str">
        <f t="shared" si="3"/>
        <v/>
      </c>
      <c r="P45" s="4"/>
    </row>
    <row r="46" spans="1:16" ht="18" customHeight="1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31" t="str">
        <f t="shared" si="2"/>
        <v/>
      </c>
      <c r="O46" s="31" t="str">
        <f t="shared" si="3"/>
        <v/>
      </c>
      <c r="P46" s="6"/>
    </row>
    <row r="47" spans="1:16" ht="18" customHeight="1" x14ac:dyDescent="0.4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31" t="str">
        <f t="shared" si="2"/>
        <v/>
      </c>
      <c r="O47" s="31" t="str">
        <f t="shared" si="3"/>
        <v/>
      </c>
      <c r="P47" s="4"/>
    </row>
    <row r="48" spans="1:16" ht="18" customHeight="1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31" t="str">
        <f t="shared" si="2"/>
        <v/>
      </c>
      <c r="O48" s="31" t="str">
        <f t="shared" si="3"/>
        <v/>
      </c>
      <c r="P48" s="6"/>
    </row>
    <row r="49" spans="1:16" ht="18" customHeight="1" x14ac:dyDescent="0.4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31" t="str">
        <f t="shared" si="2"/>
        <v/>
      </c>
      <c r="O49" s="31" t="str">
        <f t="shared" si="3"/>
        <v/>
      </c>
      <c r="P49" s="4"/>
    </row>
    <row r="50" spans="1:16" ht="18" customHeight="1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31" t="str">
        <f t="shared" si="2"/>
        <v/>
      </c>
      <c r="O50" s="31" t="str">
        <f t="shared" si="3"/>
        <v/>
      </c>
      <c r="P50" s="6"/>
    </row>
    <row r="51" spans="1:16" ht="18" customHeight="1" x14ac:dyDescent="0.4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31" t="str">
        <f t="shared" si="2"/>
        <v/>
      </c>
      <c r="O51" s="31" t="str">
        <f t="shared" si="3"/>
        <v/>
      </c>
      <c r="P51" s="4"/>
    </row>
    <row r="52" spans="1:16" ht="18" customHeight="1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31" t="str">
        <f t="shared" si="2"/>
        <v/>
      </c>
      <c r="O52" s="31" t="str">
        <f t="shared" si="3"/>
        <v/>
      </c>
      <c r="P52" s="6"/>
    </row>
    <row r="53" spans="1:16" ht="18" customHeight="1" x14ac:dyDescent="0.4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31" t="str">
        <f t="shared" si="2"/>
        <v/>
      </c>
      <c r="O53" s="31" t="str">
        <f t="shared" si="3"/>
        <v/>
      </c>
      <c r="P53" s="4"/>
    </row>
    <row r="54" spans="1:16" ht="18" customHeight="1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31" t="str">
        <f t="shared" si="2"/>
        <v/>
      </c>
      <c r="O54" s="31" t="str">
        <f t="shared" si="3"/>
        <v/>
      </c>
      <c r="P54" s="6"/>
    </row>
    <row r="55" spans="1:16" ht="18" customHeight="1" x14ac:dyDescent="0.4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31" t="str">
        <f t="shared" si="2"/>
        <v/>
      </c>
      <c r="O55" s="31" t="str">
        <f t="shared" si="3"/>
        <v/>
      </c>
      <c r="P55" s="4"/>
    </row>
    <row r="56" spans="1:16" ht="18" customHeight="1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31" t="str">
        <f t="shared" si="2"/>
        <v/>
      </c>
      <c r="O56" s="31" t="str">
        <f t="shared" si="3"/>
        <v/>
      </c>
      <c r="P56" s="6"/>
    </row>
    <row r="57" spans="1:16" ht="18" customHeight="1" x14ac:dyDescent="0.4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31" t="str">
        <f t="shared" si="2"/>
        <v/>
      </c>
      <c r="O57" s="31" t="str">
        <f t="shared" si="3"/>
        <v/>
      </c>
      <c r="P57" s="4"/>
    </row>
    <row r="58" spans="1:16" ht="18" customHeight="1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31" t="str">
        <f t="shared" si="2"/>
        <v/>
      </c>
      <c r="O58" s="31" t="str">
        <f t="shared" si="3"/>
        <v/>
      </c>
      <c r="P58" s="6"/>
    </row>
    <row r="59" spans="1:16" ht="18" customHeight="1" x14ac:dyDescent="0.4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31" t="str">
        <f t="shared" si="2"/>
        <v/>
      </c>
      <c r="O59" s="31" t="str">
        <f t="shared" si="3"/>
        <v/>
      </c>
      <c r="P59" s="4"/>
    </row>
    <row r="60" spans="1:16" ht="18" customHeight="1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31" t="str">
        <f t="shared" si="2"/>
        <v/>
      </c>
      <c r="O60" s="31" t="str">
        <f t="shared" si="3"/>
        <v/>
      </c>
      <c r="P60" s="6"/>
    </row>
    <row r="61" spans="1:16" ht="18" customHeight="1" x14ac:dyDescent="0.4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31" t="str">
        <f t="shared" si="2"/>
        <v/>
      </c>
      <c r="O61" s="31" t="str">
        <f t="shared" si="3"/>
        <v/>
      </c>
      <c r="P61" s="4"/>
    </row>
    <row r="62" spans="1:16" ht="18" customHeight="1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31" t="str">
        <f t="shared" si="2"/>
        <v/>
      </c>
      <c r="O62" s="31" t="str">
        <f t="shared" si="3"/>
        <v/>
      </c>
      <c r="P62" s="6"/>
    </row>
    <row r="63" spans="1:16" ht="18" customHeight="1" x14ac:dyDescent="0.4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31" t="str">
        <f t="shared" si="2"/>
        <v/>
      </c>
      <c r="O63" s="31" t="str">
        <f t="shared" si="3"/>
        <v/>
      </c>
      <c r="P63" s="4"/>
    </row>
    <row r="64" spans="1:16" ht="18" customHeight="1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31" t="str">
        <f t="shared" si="2"/>
        <v/>
      </c>
      <c r="O64" s="31" t="str">
        <f t="shared" si="3"/>
        <v/>
      </c>
      <c r="P64" s="6"/>
    </row>
    <row r="65" spans="1:16" ht="18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31" t="str">
        <f t="shared" si="2"/>
        <v/>
      </c>
      <c r="O65" s="31" t="str">
        <f t="shared" si="3"/>
        <v/>
      </c>
      <c r="P65" s="4"/>
    </row>
    <row r="66" spans="1:16" ht="18" customHeight="1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31" t="str">
        <f t="shared" si="2"/>
        <v/>
      </c>
      <c r="O66" s="31" t="str">
        <f t="shared" si="3"/>
        <v/>
      </c>
      <c r="P66" s="6"/>
    </row>
    <row r="67" spans="1:16" ht="18" customHeight="1" x14ac:dyDescent="0.4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31" t="str">
        <f t="shared" si="2"/>
        <v/>
      </c>
      <c r="O67" s="31" t="str">
        <f t="shared" si="3"/>
        <v/>
      </c>
      <c r="P67" s="4"/>
    </row>
    <row r="68" spans="1:16" ht="18" customHeight="1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31" t="str">
        <f t="shared" ref="N68:N99" si="4">IF(C68="","",IF(F68="Yes",1,0)+IF(G68="Yes",1,0)+IF(H68="Yes",1,0)+IF(I68="Yes",1,0)+IF(J68="Yes",1,0)+IF(K68="Yes",1,0)+IF(L68="Yes",1,0)+IF(M68="Yes",1,0))</f>
        <v/>
      </c>
      <c r="O68" s="31" t="str">
        <f t="shared" ref="O68:O99" si="5">IF(C68="","",8-N68)</f>
        <v/>
      </c>
      <c r="P68" s="6"/>
    </row>
    <row r="69" spans="1:16" ht="18" customHeight="1" x14ac:dyDescent="0.4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31" t="str">
        <f t="shared" si="4"/>
        <v/>
      </c>
      <c r="O69" s="31" t="str">
        <f t="shared" si="5"/>
        <v/>
      </c>
      <c r="P69" s="4"/>
    </row>
    <row r="70" spans="1:16" ht="18" customHeight="1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31" t="str">
        <f t="shared" si="4"/>
        <v/>
      </c>
      <c r="O70" s="31" t="str">
        <f t="shared" si="5"/>
        <v/>
      </c>
      <c r="P70" s="6"/>
    </row>
    <row r="71" spans="1:16" ht="18" customHeight="1" x14ac:dyDescent="0.4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31" t="str">
        <f t="shared" si="4"/>
        <v/>
      </c>
      <c r="O71" s="31" t="str">
        <f t="shared" si="5"/>
        <v/>
      </c>
      <c r="P71" s="4"/>
    </row>
    <row r="72" spans="1:16" ht="18" customHeight="1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31" t="str">
        <f t="shared" si="4"/>
        <v/>
      </c>
      <c r="O72" s="31" t="str">
        <f t="shared" si="5"/>
        <v/>
      </c>
      <c r="P72" s="6"/>
    </row>
    <row r="73" spans="1:16" ht="18" customHeight="1" x14ac:dyDescent="0.4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31" t="str">
        <f t="shared" si="4"/>
        <v/>
      </c>
      <c r="O73" s="31" t="str">
        <f t="shared" si="5"/>
        <v/>
      </c>
      <c r="P73" s="4"/>
    </row>
    <row r="74" spans="1:16" ht="18" customHeight="1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31" t="str">
        <f t="shared" si="4"/>
        <v/>
      </c>
      <c r="O74" s="31" t="str">
        <f t="shared" si="5"/>
        <v/>
      </c>
      <c r="P74" s="6"/>
    </row>
    <row r="75" spans="1:16" ht="18" customHeight="1" x14ac:dyDescent="0.4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31" t="str">
        <f t="shared" si="4"/>
        <v/>
      </c>
      <c r="O75" s="31" t="str">
        <f t="shared" si="5"/>
        <v/>
      </c>
      <c r="P75" s="4"/>
    </row>
    <row r="76" spans="1:16" ht="18" customHeight="1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31" t="str">
        <f t="shared" si="4"/>
        <v/>
      </c>
      <c r="O76" s="31" t="str">
        <f t="shared" si="5"/>
        <v/>
      </c>
      <c r="P76" s="6"/>
    </row>
    <row r="77" spans="1:16" ht="18" customHeight="1" x14ac:dyDescent="0.4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1" t="str">
        <f t="shared" si="4"/>
        <v/>
      </c>
      <c r="O77" s="31" t="str">
        <f t="shared" si="5"/>
        <v/>
      </c>
      <c r="P77" s="4"/>
    </row>
    <row r="78" spans="1:16" ht="18" customHeight="1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31" t="str">
        <f t="shared" si="4"/>
        <v/>
      </c>
      <c r="O78" s="31" t="str">
        <f t="shared" si="5"/>
        <v/>
      </c>
      <c r="P78" s="6"/>
    </row>
    <row r="79" spans="1:16" ht="18" customHeight="1" x14ac:dyDescent="0.4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31" t="str">
        <f t="shared" si="4"/>
        <v/>
      </c>
      <c r="O79" s="31" t="str">
        <f t="shared" si="5"/>
        <v/>
      </c>
      <c r="P79" s="4"/>
    </row>
    <row r="80" spans="1:16" ht="18" customHeight="1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31" t="str">
        <f t="shared" si="4"/>
        <v/>
      </c>
      <c r="O80" s="31" t="str">
        <f t="shared" si="5"/>
        <v/>
      </c>
      <c r="P80" s="6"/>
    </row>
    <row r="81" spans="1:16" ht="18" customHeight="1" x14ac:dyDescent="0.4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31" t="str">
        <f t="shared" si="4"/>
        <v/>
      </c>
      <c r="O81" s="31" t="str">
        <f t="shared" si="5"/>
        <v/>
      </c>
      <c r="P81" s="4"/>
    </row>
    <row r="82" spans="1:16" ht="18" customHeight="1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31" t="str">
        <f t="shared" si="4"/>
        <v/>
      </c>
      <c r="O82" s="31" t="str">
        <f t="shared" si="5"/>
        <v/>
      </c>
      <c r="P82" s="6"/>
    </row>
    <row r="83" spans="1:16" ht="18" customHeight="1" x14ac:dyDescent="0.4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31" t="str">
        <f t="shared" si="4"/>
        <v/>
      </c>
      <c r="O83" s="31" t="str">
        <f t="shared" si="5"/>
        <v/>
      </c>
      <c r="P83" s="4"/>
    </row>
    <row r="84" spans="1:16" ht="18" customHeight="1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31" t="str">
        <f t="shared" si="4"/>
        <v/>
      </c>
      <c r="O84" s="31" t="str">
        <f t="shared" si="5"/>
        <v/>
      </c>
      <c r="P84" s="6"/>
    </row>
    <row r="85" spans="1:16" ht="18" customHeight="1" x14ac:dyDescent="0.4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31" t="str">
        <f t="shared" si="4"/>
        <v/>
      </c>
      <c r="O85" s="31" t="str">
        <f t="shared" si="5"/>
        <v/>
      </c>
      <c r="P85" s="4"/>
    </row>
    <row r="86" spans="1:16" ht="18" customHeight="1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31" t="str">
        <f t="shared" si="4"/>
        <v/>
      </c>
      <c r="O86" s="31" t="str">
        <f t="shared" si="5"/>
        <v/>
      </c>
      <c r="P86" s="6"/>
    </row>
    <row r="87" spans="1:16" ht="18" customHeight="1" x14ac:dyDescent="0.4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31" t="str">
        <f t="shared" si="4"/>
        <v/>
      </c>
      <c r="O87" s="31" t="str">
        <f t="shared" si="5"/>
        <v/>
      </c>
      <c r="P87" s="4"/>
    </row>
    <row r="88" spans="1:16" ht="18" customHeight="1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31" t="str">
        <f t="shared" si="4"/>
        <v/>
      </c>
      <c r="O88" s="31" t="str">
        <f t="shared" si="5"/>
        <v/>
      </c>
      <c r="P88" s="6"/>
    </row>
    <row r="89" spans="1:16" ht="18" customHeight="1" x14ac:dyDescent="0.4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31" t="str">
        <f t="shared" si="4"/>
        <v/>
      </c>
      <c r="O89" s="31" t="str">
        <f t="shared" si="5"/>
        <v/>
      </c>
      <c r="P89" s="4"/>
    </row>
    <row r="90" spans="1:16" ht="18" customHeight="1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31" t="str">
        <f t="shared" si="4"/>
        <v/>
      </c>
      <c r="O90" s="31" t="str">
        <f t="shared" si="5"/>
        <v/>
      </c>
      <c r="P90" s="6"/>
    </row>
    <row r="91" spans="1:16" ht="18" customHeight="1" x14ac:dyDescent="0.4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31" t="str">
        <f t="shared" si="4"/>
        <v/>
      </c>
      <c r="O91" s="31" t="str">
        <f t="shared" si="5"/>
        <v/>
      </c>
      <c r="P91" s="4"/>
    </row>
    <row r="92" spans="1:16" ht="18" customHeight="1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31" t="str">
        <f t="shared" si="4"/>
        <v/>
      </c>
      <c r="O92" s="31" t="str">
        <f t="shared" si="5"/>
        <v/>
      </c>
      <c r="P92" s="6"/>
    </row>
    <row r="93" spans="1:16" ht="18" customHeight="1" x14ac:dyDescent="0.4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31" t="str">
        <f t="shared" si="4"/>
        <v/>
      </c>
      <c r="O93" s="31" t="str">
        <f t="shared" si="5"/>
        <v/>
      </c>
      <c r="P93" s="4"/>
    </row>
    <row r="94" spans="1:16" ht="18" customHeight="1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31" t="str">
        <f t="shared" si="4"/>
        <v/>
      </c>
      <c r="O94" s="31" t="str">
        <f t="shared" si="5"/>
        <v/>
      </c>
      <c r="P94" s="6"/>
    </row>
    <row r="95" spans="1:16" ht="18" customHeight="1" x14ac:dyDescent="0.4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31" t="str">
        <f t="shared" si="4"/>
        <v/>
      </c>
      <c r="O95" s="31" t="str">
        <f t="shared" si="5"/>
        <v/>
      </c>
      <c r="P95" s="4"/>
    </row>
    <row r="96" spans="1:16" ht="18" customHeight="1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31" t="str">
        <f t="shared" si="4"/>
        <v/>
      </c>
      <c r="O96" s="31" t="str">
        <f t="shared" si="5"/>
        <v/>
      </c>
      <c r="P96" s="6"/>
    </row>
    <row r="97" spans="1:16" ht="18" customHeight="1" x14ac:dyDescent="0.4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31" t="str">
        <f t="shared" si="4"/>
        <v/>
      </c>
      <c r="O97" s="31" t="str">
        <f t="shared" si="5"/>
        <v/>
      </c>
      <c r="P97" s="4"/>
    </row>
    <row r="98" spans="1:16" ht="18" customHeight="1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31" t="str">
        <f t="shared" si="4"/>
        <v/>
      </c>
      <c r="O98" s="31" t="str">
        <f t="shared" si="5"/>
        <v/>
      </c>
      <c r="P98" s="6"/>
    </row>
    <row r="99" spans="1:16" ht="18" customHeight="1" x14ac:dyDescent="0.4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31" t="str">
        <f t="shared" si="4"/>
        <v/>
      </c>
      <c r="O99" s="31" t="str">
        <f t="shared" si="5"/>
        <v/>
      </c>
      <c r="P99" s="4"/>
    </row>
    <row r="100" spans="1:16" ht="18" customHeight="1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31" t="str">
        <f t="shared" ref="N100:N131" si="6">IF(C100="","",IF(F100="Yes",1,0)+IF(G100="Yes",1,0)+IF(H100="Yes",1,0)+IF(I100="Yes",1,0)+IF(J100="Yes",1,0)+IF(K100="Yes",1,0)+IF(L100="Yes",1,0)+IF(M100="Yes",1,0))</f>
        <v/>
      </c>
      <c r="O100" s="31" t="str">
        <f t="shared" ref="O100:O131" si="7">IF(C100="","",8-N100)</f>
        <v/>
      </c>
      <c r="P100" s="6"/>
    </row>
    <row r="101" spans="1:16" ht="18" customHeight="1" x14ac:dyDescent="0.4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1" t="str">
        <f t="shared" si="6"/>
        <v/>
      </c>
      <c r="O101" s="31" t="str">
        <f t="shared" si="7"/>
        <v/>
      </c>
      <c r="P101" s="4"/>
    </row>
    <row r="102" spans="1:16" ht="18" customHeight="1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31" t="str">
        <f t="shared" si="6"/>
        <v/>
      </c>
      <c r="O102" s="31" t="str">
        <f t="shared" si="7"/>
        <v/>
      </c>
      <c r="P102" s="6"/>
    </row>
    <row r="103" spans="1:16" ht="18" customHeight="1" x14ac:dyDescent="0.4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31" t="str">
        <f t="shared" si="6"/>
        <v/>
      </c>
      <c r="O103" s="31" t="str">
        <f t="shared" si="7"/>
        <v/>
      </c>
      <c r="P103" s="4"/>
    </row>
    <row r="104" spans="1:16" ht="18" customHeight="1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31" t="str">
        <f t="shared" si="6"/>
        <v/>
      </c>
      <c r="O104" s="31" t="str">
        <f t="shared" si="7"/>
        <v/>
      </c>
      <c r="P104" s="6"/>
    </row>
    <row r="105" spans="1:16" ht="18" customHeight="1" x14ac:dyDescent="0.4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1" t="str">
        <f t="shared" si="6"/>
        <v/>
      </c>
      <c r="O105" s="31" t="str">
        <f t="shared" si="7"/>
        <v/>
      </c>
      <c r="P105" s="4"/>
    </row>
    <row r="106" spans="1:16" ht="18" customHeight="1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31" t="str">
        <f t="shared" si="6"/>
        <v/>
      </c>
      <c r="O106" s="31" t="str">
        <f t="shared" si="7"/>
        <v/>
      </c>
      <c r="P106" s="6"/>
    </row>
    <row r="107" spans="1:16" ht="18" customHeight="1" x14ac:dyDescent="0.4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1" t="str">
        <f t="shared" si="6"/>
        <v/>
      </c>
      <c r="O107" s="31" t="str">
        <f t="shared" si="7"/>
        <v/>
      </c>
      <c r="P107" s="4"/>
    </row>
    <row r="108" spans="1:16" ht="18" customHeight="1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31" t="str">
        <f t="shared" si="6"/>
        <v/>
      </c>
      <c r="O108" s="31" t="str">
        <f t="shared" si="7"/>
        <v/>
      </c>
      <c r="P108" s="6"/>
    </row>
    <row r="109" spans="1:16" ht="18" customHeight="1" x14ac:dyDescent="0.4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1" t="str">
        <f t="shared" si="6"/>
        <v/>
      </c>
      <c r="O109" s="31" t="str">
        <f t="shared" si="7"/>
        <v/>
      </c>
      <c r="P109" s="4"/>
    </row>
    <row r="110" spans="1:16" ht="18" customHeight="1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31" t="str">
        <f t="shared" si="6"/>
        <v/>
      </c>
      <c r="O110" s="31" t="str">
        <f t="shared" si="7"/>
        <v/>
      </c>
      <c r="P110" s="6"/>
    </row>
    <row r="111" spans="1:16" ht="18" customHeight="1" x14ac:dyDescent="0.4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1" t="str">
        <f t="shared" si="6"/>
        <v/>
      </c>
      <c r="O111" s="31" t="str">
        <f t="shared" si="7"/>
        <v/>
      </c>
      <c r="P111" s="4"/>
    </row>
    <row r="112" spans="1:16" ht="18" customHeight="1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31" t="str">
        <f t="shared" si="6"/>
        <v/>
      </c>
      <c r="O112" s="31" t="str">
        <f t="shared" si="7"/>
        <v/>
      </c>
      <c r="P112" s="6"/>
    </row>
    <row r="113" spans="1:16" ht="18" customHeight="1" x14ac:dyDescent="0.4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1" t="str">
        <f t="shared" si="6"/>
        <v/>
      </c>
      <c r="O113" s="31" t="str">
        <f t="shared" si="7"/>
        <v/>
      </c>
      <c r="P113" s="4"/>
    </row>
    <row r="114" spans="1:16" ht="18" customHeight="1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31" t="str">
        <f t="shared" si="6"/>
        <v/>
      </c>
      <c r="O114" s="31" t="str">
        <f t="shared" si="7"/>
        <v/>
      </c>
      <c r="P114" s="6"/>
    </row>
    <row r="115" spans="1:16" ht="18" customHeight="1" x14ac:dyDescent="0.4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1" t="str">
        <f t="shared" si="6"/>
        <v/>
      </c>
      <c r="O115" s="31" t="str">
        <f t="shared" si="7"/>
        <v/>
      </c>
      <c r="P115" s="4"/>
    </row>
    <row r="116" spans="1:16" ht="18" customHeight="1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31" t="str">
        <f t="shared" si="6"/>
        <v/>
      </c>
      <c r="O116" s="31" t="str">
        <f t="shared" si="7"/>
        <v/>
      </c>
      <c r="P116" s="6"/>
    </row>
    <row r="117" spans="1:16" ht="18" customHeight="1" x14ac:dyDescent="0.4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1" t="str">
        <f t="shared" si="6"/>
        <v/>
      </c>
      <c r="O117" s="31" t="str">
        <f t="shared" si="7"/>
        <v/>
      </c>
      <c r="P117" s="4"/>
    </row>
    <row r="118" spans="1:16" ht="18" customHeight="1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31" t="str">
        <f t="shared" si="6"/>
        <v/>
      </c>
      <c r="O118" s="31" t="str">
        <f t="shared" si="7"/>
        <v/>
      </c>
      <c r="P118" s="6"/>
    </row>
    <row r="119" spans="1:16" ht="18" customHeight="1" x14ac:dyDescent="0.4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1" t="str">
        <f t="shared" si="6"/>
        <v/>
      </c>
      <c r="O119" s="31" t="str">
        <f t="shared" si="7"/>
        <v/>
      </c>
      <c r="P119" s="4"/>
    </row>
    <row r="120" spans="1:16" ht="18" customHeight="1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31" t="str">
        <f t="shared" si="6"/>
        <v/>
      </c>
      <c r="O120" s="31" t="str">
        <f t="shared" si="7"/>
        <v/>
      </c>
      <c r="P120" s="6"/>
    </row>
    <row r="121" spans="1:16" ht="18" customHeight="1" x14ac:dyDescent="0.4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1" t="str">
        <f t="shared" si="6"/>
        <v/>
      </c>
      <c r="O121" s="31" t="str">
        <f t="shared" si="7"/>
        <v/>
      </c>
      <c r="P121" s="4"/>
    </row>
    <row r="122" spans="1:16" ht="18" customHeight="1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31" t="str">
        <f t="shared" si="6"/>
        <v/>
      </c>
      <c r="O122" s="31" t="str">
        <f t="shared" si="7"/>
        <v/>
      </c>
      <c r="P122" s="6"/>
    </row>
    <row r="123" spans="1:16" ht="18" customHeight="1" x14ac:dyDescent="0.4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1" t="str">
        <f t="shared" si="6"/>
        <v/>
      </c>
      <c r="O123" s="31" t="str">
        <f t="shared" si="7"/>
        <v/>
      </c>
      <c r="P123" s="4"/>
    </row>
    <row r="124" spans="1:16" ht="18" customHeight="1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31" t="str">
        <f t="shared" si="6"/>
        <v/>
      </c>
      <c r="O124" s="31" t="str">
        <f t="shared" si="7"/>
        <v/>
      </c>
      <c r="P124" s="6"/>
    </row>
    <row r="125" spans="1:16" ht="18" customHeight="1" x14ac:dyDescent="0.4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1" t="str">
        <f t="shared" si="6"/>
        <v/>
      </c>
      <c r="O125" s="31" t="str">
        <f t="shared" si="7"/>
        <v/>
      </c>
      <c r="P125" s="4"/>
    </row>
    <row r="126" spans="1:16" ht="18" customHeight="1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31" t="str">
        <f t="shared" si="6"/>
        <v/>
      </c>
      <c r="O126" s="31" t="str">
        <f t="shared" si="7"/>
        <v/>
      </c>
      <c r="P126" s="6"/>
    </row>
    <row r="127" spans="1:16" ht="18" customHeight="1" x14ac:dyDescent="0.4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1" t="str">
        <f t="shared" si="6"/>
        <v/>
      </c>
      <c r="O127" s="31" t="str">
        <f t="shared" si="7"/>
        <v/>
      </c>
      <c r="P127" s="4"/>
    </row>
    <row r="128" spans="1:16" ht="18" customHeight="1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31" t="str">
        <f t="shared" si="6"/>
        <v/>
      </c>
      <c r="O128" s="31" t="str">
        <f t="shared" si="7"/>
        <v/>
      </c>
      <c r="P128" s="6"/>
    </row>
    <row r="129" spans="1:16" ht="18" customHeight="1" x14ac:dyDescent="0.4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1" t="str">
        <f t="shared" si="6"/>
        <v/>
      </c>
      <c r="O129" s="31" t="str">
        <f t="shared" si="7"/>
        <v/>
      </c>
      <c r="P129" s="4"/>
    </row>
    <row r="130" spans="1:16" ht="18" customHeight="1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31" t="str">
        <f t="shared" si="6"/>
        <v/>
      </c>
      <c r="O130" s="31" t="str">
        <f t="shared" si="7"/>
        <v/>
      </c>
      <c r="P130" s="6"/>
    </row>
    <row r="131" spans="1:16" ht="18" customHeight="1" x14ac:dyDescent="0.4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1" t="str">
        <f t="shared" si="6"/>
        <v/>
      </c>
      <c r="O131" s="31" t="str">
        <f t="shared" si="7"/>
        <v/>
      </c>
      <c r="P131" s="4"/>
    </row>
    <row r="132" spans="1:16" ht="18" customHeight="1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31" t="str">
        <f t="shared" ref="N132:N153" si="8">IF(C132="","",IF(F132="Yes",1,0)+IF(G132="Yes",1,0)+IF(H132="Yes",1,0)+IF(I132="Yes",1,0)+IF(J132="Yes",1,0)+IF(K132="Yes",1,0)+IF(L132="Yes",1,0)+IF(M132="Yes",1,0))</f>
        <v/>
      </c>
      <c r="O132" s="31" t="str">
        <f t="shared" ref="O132:O153" si="9">IF(C132="","",8-N132)</f>
        <v/>
      </c>
      <c r="P132" s="6"/>
    </row>
    <row r="133" spans="1:16" ht="18" customHeight="1" x14ac:dyDescent="0.4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1" t="str">
        <f t="shared" si="8"/>
        <v/>
      </c>
      <c r="O133" s="31" t="str">
        <f t="shared" si="9"/>
        <v/>
      </c>
      <c r="P133" s="4"/>
    </row>
    <row r="134" spans="1:16" ht="18" customHeight="1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31" t="str">
        <f t="shared" si="8"/>
        <v/>
      </c>
      <c r="O134" s="31" t="str">
        <f t="shared" si="9"/>
        <v/>
      </c>
      <c r="P134" s="6"/>
    </row>
    <row r="135" spans="1:16" ht="18" customHeight="1" x14ac:dyDescent="0.4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1" t="str">
        <f t="shared" si="8"/>
        <v/>
      </c>
      <c r="O135" s="31" t="str">
        <f t="shared" si="9"/>
        <v/>
      </c>
      <c r="P135" s="4"/>
    </row>
    <row r="136" spans="1:16" ht="18" customHeight="1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31" t="str">
        <f t="shared" si="8"/>
        <v/>
      </c>
      <c r="O136" s="31" t="str">
        <f t="shared" si="9"/>
        <v/>
      </c>
      <c r="P136" s="6"/>
    </row>
    <row r="137" spans="1:16" ht="18" customHeight="1" x14ac:dyDescent="0.4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1" t="str">
        <f t="shared" si="8"/>
        <v/>
      </c>
      <c r="O137" s="31" t="str">
        <f t="shared" si="9"/>
        <v/>
      </c>
      <c r="P137" s="4"/>
    </row>
    <row r="138" spans="1:16" ht="18" customHeight="1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31" t="str">
        <f t="shared" si="8"/>
        <v/>
      </c>
      <c r="O138" s="31" t="str">
        <f t="shared" si="9"/>
        <v/>
      </c>
      <c r="P138" s="6"/>
    </row>
    <row r="139" spans="1:16" ht="18" customHeight="1" x14ac:dyDescent="0.4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1" t="str">
        <f t="shared" si="8"/>
        <v/>
      </c>
      <c r="O139" s="31" t="str">
        <f t="shared" si="9"/>
        <v/>
      </c>
      <c r="P139" s="4"/>
    </row>
    <row r="140" spans="1:16" ht="18" customHeight="1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31" t="str">
        <f t="shared" si="8"/>
        <v/>
      </c>
      <c r="O140" s="31" t="str">
        <f t="shared" si="9"/>
        <v/>
      </c>
      <c r="P140" s="6"/>
    </row>
    <row r="141" spans="1:16" ht="18" customHeight="1" x14ac:dyDescent="0.4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1" t="str">
        <f t="shared" si="8"/>
        <v/>
      </c>
      <c r="O141" s="31" t="str">
        <f t="shared" si="9"/>
        <v/>
      </c>
      <c r="P141" s="4"/>
    </row>
    <row r="142" spans="1:16" ht="18" customHeight="1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31" t="str">
        <f t="shared" si="8"/>
        <v/>
      </c>
      <c r="O142" s="31" t="str">
        <f t="shared" si="9"/>
        <v/>
      </c>
      <c r="P142" s="6"/>
    </row>
    <row r="143" spans="1:16" ht="18" customHeight="1" x14ac:dyDescent="0.4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1" t="str">
        <f t="shared" si="8"/>
        <v/>
      </c>
      <c r="O143" s="31" t="str">
        <f t="shared" si="9"/>
        <v/>
      </c>
      <c r="P143" s="4"/>
    </row>
    <row r="144" spans="1:16" ht="18" customHeight="1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31" t="str">
        <f t="shared" si="8"/>
        <v/>
      </c>
      <c r="O144" s="31" t="str">
        <f t="shared" si="9"/>
        <v/>
      </c>
      <c r="P144" s="6"/>
    </row>
    <row r="145" spans="1:16" ht="18" customHeight="1" x14ac:dyDescent="0.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31" t="str">
        <f t="shared" si="8"/>
        <v/>
      </c>
      <c r="O145" s="31" t="str">
        <f t="shared" si="9"/>
        <v/>
      </c>
      <c r="P145" s="4"/>
    </row>
    <row r="146" spans="1:16" ht="18" customHeight="1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31" t="str">
        <f t="shared" si="8"/>
        <v/>
      </c>
      <c r="O146" s="31" t="str">
        <f t="shared" si="9"/>
        <v/>
      </c>
      <c r="P146" s="6"/>
    </row>
    <row r="147" spans="1:16" ht="18" customHeight="1" x14ac:dyDescent="0.4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1" t="str">
        <f t="shared" si="8"/>
        <v/>
      </c>
      <c r="O147" s="31" t="str">
        <f t="shared" si="9"/>
        <v/>
      </c>
      <c r="P147" s="4"/>
    </row>
    <row r="148" spans="1:16" ht="18" customHeight="1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31" t="str">
        <f t="shared" si="8"/>
        <v/>
      </c>
      <c r="O148" s="31" t="str">
        <f t="shared" si="9"/>
        <v/>
      </c>
      <c r="P148" s="6"/>
    </row>
    <row r="149" spans="1:16" ht="18" customHeight="1" x14ac:dyDescent="0.4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31" t="str">
        <f t="shared" si="8"/>
        <v/>
      </c>
      <c r="O149" s="31" t="str">
        <f t="shared" si="9"/>
        <v/>
      </c>
      <c r="P149" s="4"/>
    </row>
    <row r="150" spans="1:16" ht="18" customHeight="1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31" t="str">
        <f t="shared" si="8"/>
        <v/>
      </c>
      <c r="O150" s="31" t="str">
        <f t="shared" si="9"/>
        <v/>
      </c>
      <c r="P150" s="6"/>
    </row>
    <row r="151" spans="1:16" ht="18" customHeight="1" x14ac:dyDescent="0.4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31" t="str">
        <f t="shared" si="8"/>
        <v/>
      </c>
      <c r="O151" s="31" t="str">
        <f t="shared" si="9"/>
        <v/>
      </c>
      <c r="P151" s="4"/>
    </row>
    <row r="152" spans="1:16" ht="18" customHeight="1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31" t="str">
        <f t="shared" si="8"/>
        <v/>
      </c>
      <c r="O152" s="31" t="str">
        <f t="shared" si="9"/>
        <v/>
      </c>
      <c r="P152" s="6"/>
    </row>
    <row r="153" spans="1:16" ht="18" customHeight="1" x14ac:dyDescent="0.4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1" t="str">
        <f t="shared" si="8"/>
        <v/>
      </c>
      <c r="O153" s="31" t="str">
        <f t="shared" si="9"/>
        <v/>
      </c>
      <c r="P153" s="4"/>
    </row>
    <row r="154" spans="1:16" ht="19.5" customHeight="1" x14ac:dyDescent="0.45">
      <c r="A154" s="63" t="s">
        <v>308</v>
      </c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</row>
  </sheetData>
  <mergeCells count="3">
    <mergeCell ref="A154:P154"/>
    <mergeCell ref="A1:P1"/>
    <mergeCell ref="A2:P2"/>
  </mergeCells>
  <conditionalFormatting sqref="A4:P153">
    <cfRule type="expression" dxfId="1" priority="2">
      <formula>AND($N4=8,$C4&lt;&gt;"")</formula>
    </cfRule>
    <cfRule type="expression" dxfId="0" priority="3">
      <formula>AND($N4&lt;8,$C4&lt;&gt;"")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Lists!$F$2:$F$4</xm:f>
          </x14:formula1>
          <x14:formula2>
            <xm:f>0</xm:f>
          </x14:formula2>
          <xm:sqref>F4:M153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A620"/>
  </sheetPr>
  <dimension ref="A1:D27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25" x14ac:dyDescent="0.45"/>
  <cols>
    <col min="1" max="1" width="40" customWidth="1"/>
    <col min="2" max="3" width="18" customWidth="1"/>
    <col min="4" max="4" width="4" customWidth="1"/>
  </cols>
  <sheetData>
    <row r="1" spans="1:4" ht="51.75" customHeight="1" x14ac:dyDescent="0.45">
      <c r="A1" s="67" t="s">
        <v>735</v>
      </c>
      <c r="B1" s="54"/>
      <c r="C1" s="54"/>
      <c r="D1" s="54"/>
    </row>
    <row r="2" spans="1:4" ht="21.75" customHeight="1" x14ac:dyDescent="0.45">
      <c r="A2" s="70" t="str">
        <f ca="1">"Dashboard refreshed: "&amp;TEXT(TODAY(),"MMMM D, YYYY")</f>
        <v>Dashboard refreshed: July 14, 2026</v>
      </c>
      <c r="B2" s="54"/>
      <c r="C2" s="54"/>
      <c r="D2" s="54"/>
    </row>
    <row r="3" spans="1:4" ht="27.75" customHeight="1" x14ac:dyDescent="0.45">
      <c r="A3" s="55" t="s">
        <v>736</v>
      </c>
      <c r="B3" s="54"/>
      <c r="C3" s="54"/>
      <c r="D3" s="54"/>
    </row>
    <row r="4" spans="1:4" ht="27.75" customHeight="1" x14ac:dyDescent="0.45">
      <c r="A4" s="32" t="s">
        <v>737</v>
      </c>
      <c r="B4" s="33">
        <f>COUNTA('CBC Workflow'!A5:A154)</f>
        <v>0</v>
      </c>
      <c r="C4" s="34"/>
    </row>
    <row r="5" spans="1:4" ht="27.75" customHeight="1" x14ac:dyDescent="0.45">
      <c r="A5" s="35" t="s">
        <v>738</v>
      </c>
      <c r="B5" s="36">
        <f>COUNTIF('CBC Workflow'!Q5:Q154,"DAEP*")</f>
        <v>0</v>
      </c>
      <c r="C5" s="37"/>
    </row>
    <row r="6" spans="1:4" ht="27.75" customHeight="1" x14ac:dyDescent="0.45">
      <c r="A6" s="32" t="s">
        <v>739</v>
      </c>
      <c r="B6" s="33">
        <f>COUNTIF('CBC Workflow'!Q5:Q154,"Expulsion*")</f>
        <v>0</v>
      </c>
      <c r="C6" s="34"/>
    </row>
    <row r="7" spans="1:4" ht="27.75" customHeight="1" x14ac:dyDescent="0.45">
      <c r="A7" s="35" t="s">
        <v>740</v>
      </c>
      <c r="B7" s="36">
        <f>COUNTIF('SPED Safeguards'!D4:D13,"YES*")</f>
        <v>5</v>
      </c>
      <c r="C7" s="37"/>
    </row>
    <row r="8" spans="1:4" ht="7.5" customHeight="1" x14ac:dyDescent="0.45"/>
    <row r="9" spans="1:4" ht="27.75" customHeight="1" x14ac:dyDescent="0.45">
      <c r="A9" s="57" t="s">
        <v>741</v>
      </c>
      <c r="B9" s="54"/>
      <c r="C9" s="54"/>
      <c r="D9" s="54"/>
    </row>
    <row r="10" spans="1:4" ht="27.75" customHeight="1" x14ac:dyDescent="0.45">
      <c r="A10" s="32" t="s">
        <v>742</v>
      </c>
      <c r="B10" s="38">
        <f>COUNTIF('CBC Workflow'!R5:R154,"&lt;&gt;""")</f>
        <v>150</v>
      </c>
      <c r="C10" s="34"/>
    </row>
    <row r="11" spans="1:4" ht="27.75" customHeight="1" x14ac:dyDescent="0.45">
      <c r="A11" s="35" t="s">
        <v>743</v>
      </c>
      <c r="B11" s="39">
        <f>COUNTIF('CBC Workflow'!G5:G154,"No")</f>
        <v>0</v>
      </c>
      <c r="C11" s="37"/>
    </row>
    <row r="12" spans="1:4" ht="27.75" customHeight="1" x14ac:dyDescent="0.45">
      <c r="A12" s="32" t="s">
        <v>744</v>
      </c>
      <c r="B12" s="38">
        <f>COUNTIF('CBC Workflow'!M5:M154,"No")</f>
        <v>0</v>
      </c>
      <c r="C12" s="34"/>
    </row>
    <row r="13" spans="1:4" ht="27.75" customHeight="1" x14ac:dyDescent="0.45">
      <c r="A13" s="35" t="s">
        <v>745</v>
      </c>
      <c r="B13" s="39">
        <f>COUNTIF('CBC Workflow'!S5:S154,"Yes")</f>
        <v>0</v>
      </c>
      <c r="C13" s="37"/>
    </row>
    <row r="14" spans="1:4" ht="7.5" customHeight="1" x14ac:dyDescent="0.45"/>
    <row r="15" spans="1:4" ht="27.75" customHeight="1" x14ac:dyDescent="0.45">
      <c r="A15" s="69" t="s">
        <v>746</v>
      </c>
      <c r="B15" s="54"/>
      <c r="C15" s="54"/>
      <c r="D15" s="54"/>
    </row>
    <row r="16" spans="1:4" ht="27.75" customHeight="1" x14ac:dyDescent="0.45">
      <c r="A16" s="32" t="s">
        <v>747</v>
      </c>
      <c r="B16" s="40">
        <f>COUNTIF('Documentation Checklist'!N4:N153,8)</f>
        <v>0</v>
      </c>
      <c r="C16" s="34"/>
    </row>
    <row r="17" spans="1:4" ht="27.75" customHeight="1" x14ac:dyDescent="0.45">
      <c r="A17" s="35" t="s">
        <v>748</v>
      </c>
      <c r="B17" s="41">
        <f>COUNTIFS('Documentation Checklist'!C4:C153,"&lt;&gt;""",'Documentation Checklist'!N4:N153,"&lt;&gt;"&amp;8)</f>
        <v>150</v>
      </c>
      <c r="C17" s="37"/>
    </row>
    <row r="18" spans="1:4" ht="27.75" customHeight="1" x14ac:dyDescent="0.45">
      <c r="A18" s="32" t="s">
        <v>749</v>
      </c>
      <c r="B18" s="40">
        <f ca="1">COUNTIFS('Parent Communication'!G4:G203,"Yes",'Parent Communication'!H4:H203,"&lt;"&amp;TODAY(),'Parent Communication'!L4:L203,"")</f>
        <v>0</v>
      </c>
      <c r="C18" s="34"/>
    </row>
    <row r="19" spans="1:4" ht="27.75" customHeight="1" x14ac:dyDescent="0.45">
      <c r="A19" s="35" t="s">
        <v>750</v>
      </c>
      <c r="B19" s="41">
        <f>COUNTIF('Parent Communication'!M4:M203,"Yes")</f>
        <v>0</v>
      </c>
      <c r="C19" s="37"/>
    </row>
    <row r="20" spans="1:4" ht="7.5" customHeight="1" x14ac:dyDescent="0.45"/>
    <row r="21" spans="1:4" ht="27.75" customHeight="1" x14ac:dyDescent="0.45">
      <c r="A21" s="68" t="s">
        <v>751</v>
      </c>
      <c r="B21" s="54"/>
      <c r="C21" s="54"/>
      <c r="D21" s="54"/>
    </row>
    <row r="22" spans="1:4" ht="27.75" customHeight="1" x14ac:dyDescent="0.45">
      <c r="A22" s="32" t="s">
        <v>752</v>
      </c>
      <c r="B22" s="42">
        <f>COUNTIF('SPED Safeguards'!D4:D13,"YES*")</f>
        <v>5</v>
      </c>
      <c r="C22" s="34"/>
    </row>
    <row r="23" spans="1:4" ht="27.75" customHeight="1" x14ac:dyDescent="0.45">
      <c r="A23" s="35" t="s">
        <v>753</v>
      </c>
      <c r="B23" s="43">
        <f>COUNTIF('CBC Workflow'!I5:I154,"No")</f>
        <v>0</v>
      </c>
      <c r="C23" s="37"/>
    </row>
    <row r="24" spans="1:4" ht="27.75" customHeight="1" x14ac:dyDescent="0.45">
      <c r="A24" s="32" t="s">
        <v>754</v>
      </c>
      <c r="B24" s="42">
        <f>COUNTIF('CBC Workflow'!R5:R154,"Restorative Circle*")</f>
        <v>0</v>
      </c>
      <c r="C24" s="34"/>
    </row>
    <row r="25" spans="1:4" ht="27.75" customHeight="1" x14ac:dyDescent="0.45">
      <c r="A25" s="35" t="s">
        <v>755</v>
      </c>
      <c r="B25" s="43">
        <f>COUNTIF('CBC Workflow'!R5:R154,"Behavior Contract*")</f>
        <v>0</v>
      </c>
      <c r="C25" s="37"/>
    </row>
    <row r="26" spans="1:4" ht="7.5" customHeight="1" x14ac:dyDescent="0.45"/>
    <row r="27" spans="1:4" ht="33.75" customHeight="1" x14ac:dyDescent="0.45">
      <c r="A27" s="57" t="s">
        <v>756</v>
      </c>
      <c r="B27" s="54"/>
      <c r="C27" s="54"/>
      <c r="D27" s="54"/>
    </row>
  </sheetData>
  <mergeCells count="7">
    <mergeCell ref="A1:D1"/>
    <mergeCell ref="A9:D9"/>
    <mergeCell ref="A27:D27"/>
    <mergeCell ref="A3:D3"/>
    <mergeCell ref="A21:D21"/>
    <mergeCell ref="A15:D15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88888"/>
    <pageSetUpPr fitToPage="1"/>
  </sheetPr>
  <dimension ref="A1:D25"/>
  <sheetViews>
    <sheetView zoomScaleNormal="100" workbookViewId="0"/>
  </sheetViews>
  <sheetFormatPr defaultColWidth="8.6640625" defaultRowHeight="14.25" x14ac:dyDescent="0.45"/>
  <cols>
    <col min="1" max="1" width="5" customWidth="1"/>
    <col min="2" max="2" width="30" customWidth="1"/>
    <col min="3" max="3" width="52" customWidth="1"/>
    <col min="4" max="4" width="5" customWidth="1"/>
  </cols>
  <sheetData>
    <row r="1" spans="1:4" ht="42" customHeight="1" x14ac:dyDescent="0.45">
      <c r="A1" s="71" t="s">
        <v>757</v>
      </c>
      <c r="B1" s="54"/>
      <c r="C1" s="54"/>
      <c r="D1" s="54"/>
    </row>
    <row r="2" spans="1:4" ht="19.5" customHeight="1" x14ac:dyDescent="0.45">
      <c r="A2" s="65" t="s">
        <v>758</v>
      </c>
      <c r="B2" s="54"/>
      <c r="C2" s="54"/>
      <c r="D2" s="54"/>
    </row>
    <row r="3" spans="1:4" ht="27.75" customHeight="1" x14ac:dyDescent="0.45">
      <c r="A3" s="61" t="s">
        <v>759</v>
      </c>
      <c r="B3" s="54"/>
      <c r="C3" s="54"/>
      <c r="D3" s="54"/>
    </row>
    <row r="4" spans="1:4" ht="43.5" customHeight="1" x14ac:dyDescent="0.45">
      <c r="B4" s="44" t="s">
        <v>760</v>
      </c>
      <c r="C4" s="6" t="s">
        <v>761</v>
      </c>
    </row>
    <row r="5" spans="1:4" ht="43.5" customHeight="1" x14ac:dyDescent="0.45">
      <c r="B5" s="45" t="s">
        <v>762</v>
      </c>
      <c r="C5" s="4" t="s">
        <v>763</v>
      </c>
    </row>
    <row r="6" spans="1:4" ht="43.5" customHeight="1" x14ac:dyDescent="0.45">
      <c r="B6" s="44" t="s">
        <v>764</v>
      </c>
      <c r="C6" s="6" t="s">
        <v>765</v>
      </c>
    </row>
    <row r="7" spans="1:4" ht="43.5" customHeight="1" x14ac:dyDescent="0.45">
      <c r="B7" s="45" t="s">
        <v>766</v>
      </c>
      <c r="C7" s="4" t="s">
        <v>767</v>
      </c>
    </row>
    <row r="8" spans="1:4" ht="43.5" customHeight="1" x14ac:dyDescent="0.45">
      <c r="B8" s="44" t="s">
        <v>768</v>
      </c>
      <c r="C8" s="6" t="s">
        <v>769</v>
      </c>
    </row>
    <row r="9" spans="1:4" ht="43.5" customHeight="1" x14ac:dyDescent="0.45">
      <c r="B9" s="45" t="s">
        <v>770</v>
      </c>
      <c r="C9" s="4" t="s">
        <v>771</v>
      </c>
    </row>
    <row r="10" spans="1:4" ht="43.5" customHeight="1" x14ac:dyDescent="0.45">
      <c r="B10" s="44" t="s">
        <v>772</v>
      </c>
      <c r="C10" s="6" t="s">
        <v>773</v>
      </c>
    </row>
    <row r="11" spans="1:4" ht="43.5" customHeight="1" x14ac:dyDescent="0.45">
      <c r="B11" s="45" t="s">
        <v>774</v>
      </c>
      <c r="C11" s="4" t="s">
        <v>775</v>
      </c>
    </row>
    <row r="12" spans="1:4" ht="43.5" customHeight="1" x14ac:dyDescent="0.45">
      <c r="B12" s="44" t="s">
        <v>776</v>
      </c>
      <c r="C12" s="6" t="s">
        <v>777</v>
      </c>
    </row>
    <row r="14" spans="1:4" ht="27.75" customHeight="1" x14ac:dyDescent="0.45">
      <c r="A14" s="61" t="s">
        <v>778</v>
      </c>
      <c r="B14" s="54"/>
      <c r="C14" s="54"/>
      <c r="D14" s="54"/>
    </row>
    <row r="15" spans="1:4" ht="43.5" customHeight="1" x14ac:dyDescent="0.45">
      <c r="B15" s="45" t="s">
        <v>779</v>
      </c>
      <c r="C15" s="4" t="s">
        <v>780</v>
      </c>
    </row>
    <row r="16" spans="1:4" ht="43.5" customHeight="1" x14ac:dyDescent="0.45">
      <c r="B16" s="44" t="s">
        <v>781</v>
      </c>
      <c r="C16" s="6" t="s">
        <v>782</v>
      </c>
    </row>
    <row r="17" spans="1:4" ht="43.5" customHeight="1" x14ac:dyDescent="0.45">
      <c r="B17" s="45" t="s">
        <v>783</v>
      </c>
      <c r="C17" s="4" t="s">
        <v>784</v>
      </c>
    </row>
    <row r="19" spans="1:4" ht="27.75" customHeight="1" x14ac:dyDescent="0.45">
      <c r="A19" s="61" t="s">
        <v>785</v>
      </c>
      <c r="B19" s="54"/>
      <c r="C19" s="54"/>
      <c r="D19" s="54"/>
    </row>
    <row r="20" spans="1:4" ht="43.5" customHeight="1" x14ac:dyDescent="0.45">
      <c r="B20" s="44" t="s">
        <v>786</v>
      </c>
      <c r="C20" s="6" t="s">
        <v>787</v>
      </c>
    </row>
    <row r="21" spans="1:4" ht="43.5" customHeight="1" x14ac:dyDescent="0.45">
      <c r="B21" s="45" t="s">
        <v>788</v>
      </c>
      <c r="C21" s="4" t="s">
        <v>789</v>
      </c>
    </row>
    <row r="22" spans="1:4" ht="43.5" customHeight="1" x14ac:dyDescent="0.45">
      <c r="B22" s="44" t="s">
        <v>790</v>
      </c>
      <c r="C22" s="6" t="s">
        <v>791</v>
      </c>
    </row>
    <row r="23" spans="1:4" ht="43.5" customHeight="1" x14ac:dyDescent="0.45">
      <c r="B23" s="45" t="s">
        <v>792</v>
      </c>
      <c r="C23" s="4" t="s">
        <v>793</v>
      </c>
    </row>
    <row r="24" spans="1:4" ht="43.5" customHeight="1" x14ac:dyDescent="0.45">
      <c r="B24" s="44" t="s">
        <v>794</v>
      </c>
      <c r="C24" s="6" t="s">
        <v>795</v>
      </c>
    </row>
    <row r="25" spans="1:4" ht="19.5" customHeight="1" x14ac:dyDescent="0.45">
      <c r="A25" s="63" t="s">
        <v>308</v>
      </c>
      <c r="B25" s="54"/>
      <c r="C25" s="54"/>
      <c r="D25" s="54"/>
    </row>
  </sheetData>
  <mergeCells count="6">
    <mergeCell ref="A1:D1"/>
    <mergeCell ref="A3:D3"/>
    <mergeCell ref="A25:D25"/>
    <mergeCell ref="A2:D2"/>
    <mergeCell ref="A19:D19"/>
    <mergeCell ref="A14:D14"/>
  </mergeCells>
  <pageMargins left="0.75" right="0.75" top="1" bottom="1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88888"/>
  </sheetPr>
  <dimension ref="A1:L22"/>
  <sheetViews>
    <sheetView zoomScaleNormal="100" workbookViewId="0"/>
  </sheetViews>
  <sheetFormatPr defaultColWidth="8.6640625" defaultRowHeight="14.25" x14ac:dyDescent="0.45"/>
  <cols>
    <col min="1" max="12" width="32" customWidth="1"/>
  </cols>
  <sheetData>
    <row r="1" spans="1:12" ht="15" customHeight="1" x14ac:dyDescent="0.45">
      <c r="A1" s="46" t="s">
        <v>796</v>
      </c>
      <c r="B1" s="46" t="s">
        <v>797</v>
      </c>
      <c r="C1" s="46" t="s">
        <v>798</v>
      </c>
      <c r="D1" s="46" t="s">
        <v>799</v>
      </c>
      <c r="E1" s="46" t="s">
        <v>800</v>
      </c>
      <c r="F1" s="46" t="s">
        <v>801</v>
      </c>
      <c r="G1" s="46" t="s">
        <v>802</v>
      </c>
      <c r="H1" s="46" t="s">
        <v>803</v>
      </c>
      <c r="I1" s="46" t="s">
        <v>804</v>
      </c>
      <c r="J1" s="46" t="s">
        <v>805</v>
      </c>
      <c r="K1" s="46" t="s">
        <v>806</v>
      </c>
      <c r="L1" s="46" t="s">
        <v>807</v>
      </c>
    </row>
    <row r="2" spans="1:12" ht="15" customHeight="1" x14ac:dyDescent="0.45">
      <c r="A2" s="6" t="s">
        <v>497</v>
      </c>
      <c r="B2" s="6" t="s">
        <v>76</v>
      </c>
      <c r="C2" s="6" t="s">
        <v>808</v>
      </c>
      <c r="D2" s="6" t="s">
        <v>809</v>
      </c>
      <c r="E2" s="6" t="s">
        <v>68</v>
      </c>
      <c r="F2" s="6" t="s">
        <v>68</v>
      </c>
      <c r="G2" s="6" t="s">
        <v>69</v>
      </c>
      <c r="H2" s="6" t="s">
        <v>810</v>
      </c>
      <c r="I2" s="6" t="s">
        <v>811</v>
      </c>
      <c r="J2" s="6" t="s">
        <v>812</v>
      </c>
      <c r="K2" s="6" t="s">
        <v>813</v>
      </c>
      <c r="L2" s="6" t="s">
        <v>814</v>
      </c>
    </row>
    <row r="3" spans="1:12" ht="15" customHeight="1" x14ac:dyDescent="0.45">
      <c r="A3" s="4" t="s">
        <v>502</v>
      </c>
      <c r="B3" s="4" t="s">
        <v>57</v>
      </c>
      <c r="C3" s="4" t="s">
        <v>815</v>
      </c>
      <c r="D3" s="4" t="s">
        <v>816</v>
      </c>
      <c r="E3" s="4" t="s">
        <v>61</v>
      </c>
      <c r="F3" s="4" t="s">
        <v>61</v>
      </c>
      <c r="G3" s="4" t="s">
        <v>88</v>
      </c>
      <c r="H3" s="4" t="s">
        <v>817</v>
      </c>
      <c r="I3" s="4" t="s">
        <v>818</v>
      </c>
      <c r="J3" s="4" t="s">
        <v>819</v>
      </c>
      <c r="K3" s="4" t="s">
        <v>820</v>
      </c>
      <c r="L3" s="4" t="s">
        <v>821</v>
      </c>
    </row>
    <row r="4" spans="1:12" ht="15" customHeight="1" x14ac:dyDescent="0.45">
      <c r="A4" s="6" t="s">
        <v>507</v>
      </c>
      <c r="B4" s="6" t="s">
        <v>822</v>
      </c>
      <c r="C4" s="6" t="s">
        <v>823</v>
      </c>
      <c r="D4" s="6" t="s">
        <v>824</v>
      </c>
      <c r="F4" s="6" t="s">
        <v>266</v>
      </c>
      <c r="G4" s="6" t="s">
        <v>180</v>
      </c>
      <c r="H4" s="6" t="s">
        <v>825</v>
      </c>
      <c r="I4" s="6" t="s">
        <v>826</v>
      </c>
      <c r="J4" s="6" t="s">
        <v>366</v>
      </c>
      <c r="K4" s="6" t="s">
        <v>827</v>
      </c>
      <c r="L4" s="6" t="s">
        <v>828</v>
      </c>
    </row>
    <row r="5" spans="1:12" ht="15" customHeight="1" x14ac:dyDescent="0.45">
      <c r="A5" s="4" t="s">
        <v>512</v>
      </c>
      <c r="C5" s="4" t="s">
        <v>829</v>
      </c>
      <c r="D5" s="4" t="s">
        <v>379</v>
      </c>
      <c r="G5" s="4" t="s">
        <v>830</v>
      </c>
      <c r="H5" s="4" t="s">
        <v>831</v>
      </c>
      <c r="I5" s="4" t="s">
        <v>832</v>
      </c>
      <c r="J5" s="4" t="s">
        <v>833</v>
      </c>
      <c r="K5" s="4" t="s">
        <v>834</v>
      </c>
      <c r="L5" s="4" t="s">
        <v>835</v>
      </c>
    </row>
    <row r="6" spans="1:12" ht="15" customHeight="1" x14ac:dyDescent="0.45">
      <c r="A6" s="6" t="s">
        <v>518</v>
      </c>
      <c r="C6" s="6" t="s">
        <v>836</v>
      </c>
      <c r="D6" s="6" t="s">
        <v>441</v>
      </c>
      <c r="G6" s="6" t="s">
        <v>131</v>
      </c>
      <c r="H6" s="6" t="s">
        <v>266</v>
      </c>
      <c r="I6" s="6" t="s">
        <v>837</v>
      </c>
      <c r="J6" s="6" t="s">
        <v>838</v>
      </c>
      <c r="K6" s="6" t="s">
        <v>839</v>
      </c>
      <c r="L6" s="6" t="s">
        <v>840</v>
      </c>
    </row>
    <row r="7" spans="1:12" ht="15" customHeight="1" x14ac:dyDescent="0.45">
      <c r="A7" s="4" t="s">
        <v>522</v>
      </c>
      <c r="C7" s="4" t="s">
        <v>841</v>
      </c>
      <c r="D7" s="4" t="s">
        <v>842</v>
      </c>
      <c r="G7" s="4" t="s">
        <v>843</v>
      </c>
      <c r="I7" s="4" t="s">
        <v>844</v>
      </c>
      <c r="J7" s="4" t="s">
        <v>845</v>
      </c>
      <c r="L7" s="4" t="s">
        <v>846</v>
      </c>
    </row>
    <row r="8" spans="1:12" ht="15" customHeight="1" x14ac:dyDescent="0.45">
      <c r="A8" s="6" t="s">
        <v>528</v>
      </c>
      <c r="C8" s="6" t="s">
        <v>847</v>
      </c>
      <c r="D8" s="6" t="s">
        <v>409</v>
      </c>
      <c r="I8" s="6" t="s">
        <v>848</v>
      </c>
      <c r="J8" s="6" t="s">
        <v>849</v>
      </c>
      <c r="L8" s="6" t="s">
        <v>850</v>
      </c>
    </row>
    <row r="9" spans="1:12" ht="21.75" customHeight="1" x14ac:dyDescent="0.45">
      <c r="A9" s="4" t="s">
        <v>533</v>
      </c>
      <c r="C9" s="4" t="s">
        <v>851</v>
      </c>
      <c r="D9" s="4" t="s">
        <v>395</v>
      </c>
      <c r="I9" s="4" t="s">
        <v>852</v>
      </c>
      <c r="J9" s="4" t="s">
        <v>853</v>
      </c>
    </row>
    <row r="10" spans="1:12" ht="15" customHeight="1" x14ac:dyDescent="0.45">
      <c r="A10" s="6" t="s">
        <v>538</v>
      </c>
      <c r="C10" s="6" t="s">
        <v>854</v>
      </c>
      <c r="D10" s="6" t="s">
        <v>855</v>
      </c>
      <c r="I10" s="6" t="s">
        <v>856</v>
      </c>
    </row>
    <row r="11" spans="1:12" ht="21.75" customHeight="1" x14ac:dyDescent="0.45">
      <c r="A11" s="4" t="s">
        <v>544</v>
      </c>
      <c r="C11" s="4" t="s">
        <v>857</v>
      </c>
      <c r="D11" s="4" t="s">
        <v>858</v>
      </c>
      <c r="I11" s="4" t="s">
        <v>859</v>
      </c>
    </row>
    <row r="12" spans="1:12" ht="15" customHeight="1" x14ac:dyDescent="0.45">
      <c r="A12" s="6" t="s">
        <v>551</v>
      </c>
      <c r="C12" s="6" t="s">
        <v>860</v>
      </c>
      <c r="D12" s="6" t="s">
        <v>861</v>
      </c>
      <c r="I12" s="6" t="s">
        <v>862</v>
      </c>
    </row>
    <row r="13" spans="1:12" ht="15" customHeight="1" x14ac:dyDescent="0.45">
      <c r="A13" s="4" t="s">
        <v>557</v>
      </c>
      <c r="C13" s="4" t="s">
        <v>863</v>
      </c>
      <c r="D13" s="4" t="s">
        <v>864</v>
      </c>
      <c r="I13" s="4" t="s">
        <v>865</v>
      </c>
    </row>
    <row r="14" spans="1:12" ht="15" customHeight="1" x14ac:dyDescent="0.45">
      <c r="A14" s="6" t="s">
        <v>563</v>
      </c>
      <c r="C14" s="6" t="s">
        <v>866</v>
      </c>
      <c r="D14" s="6" t="s">
        <v>867</v>
      </c>
      <c r="I14" s="6" t="s">
        <v>853</v>
      </c>
    </row>
    <row r="15" spans="1:12" ht="15" customHeight="1" x14ac:dyDescent="0.45">
      <c r="A15" s="4" t="s">
        <v>569</v>
      </c>
      <c r="C15" s="4" t="s">
        <v>868</v>
      </c>
      <c r="D15" s="4" t="s">
        <v>869</v>
      </c>
    </row>
    <row r="16" spans="1:12" ht="15" customHeight="1" x14ac:dyDescent="0.45">
      <c r="A16" s="6" t="s">
        <v>573</v>
      </c>
      <c r="C16" s="6" t="s">
        <v>870</v>
      </c>
      <c r="D16" s="6" t="s">
        <v>425</v>
      </c>
    </row>
    <row r="17" spans="1:4" ht="15" customHeight="1" x14ac:dyDescent="0.45">
      <c r="A17" s="4" t="s">
        <v>578</v>
      </c>
      <c r="C17" s="4" t="s">
        <v>871</v>
      </c>
      <c r="D17" s="4" t="s">
        <v>872</v>
      </c>
    </row>
    <row r="18" spans="1:4" ht="15" customHeight="1" x14ac:dyDescent="0.45">
      <c r="A18" s="6" t="s">
        <v>583</v>
      </c>
      <c r="C18" s="6" t="s">
        <v>873</v>
      </c>
      <c r="D18" s="6" t="s">
        <v>874</v>
      </c>
    </row>
    <row r="19" spans="1:4" ht="15" customHeight="1" x14ac:dyDescent="0.45">
      <c r="A19" s="4" t="s">
        <v>588</v>
      </c>
    </row>
    <row r="20" spans="1:4" ht="15" customHeight="1" x14ac:dyDescent="0.45">
      <c r="A20" s="6" t="s">
        <v>594</v>
      </c>
    </row>
    <row r="21" spans="1:4" ht="15" customHeight="1" x14ac:dyDescent="0.45">
      <c r="A21" s="4" t="s">
        <v>599</v>
      </c>
    </row>
    <row r="22" spans="1:4" ht="15" customHeight="1" x14ac:dyDescent="0.45">
      <c r="A22" s="6" t="s">
        <v>605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8650A"/>
  </sheetPr>
  <dimension ref="A1:B13"/>
  <sheetViews>
    <sheetView workbookViewId="0"/>
  </sheetViews>
  <sheetFormatPr defaultRowHeight="14.25" x14ac:dyDescent="0.45"/>
  <cols>
    <col min="1" max="1" width="60" customWidth="1"/>
    <col min="2" max="2" width="20" customWidth="1"/>
  </cols>
  <sheetData>
    <row r="1" spans="1:2" ht="44" customHeight="1" x14ac:dyDescent="0.45">
      <c r="A1" s="75" t="s">
        <v>875</v>
      </c>
      <c r="B1" s="54"/>
    </row>
    <row r="2" spans="1:2" ht="28.05" customHeight="1" x14ac:dyDescent="0.45">
      <c r="A2" s="72" t="s">
        <v>876</v>
      </c>
      <c r="B2" s="54"/>
    </row>
    <row r="3" spans="1:2" ht="44" customHeight="1" x14ac:dyDescent="0.45">
      <c r="A3" s="47" t="s">
        <v>877</v>
      </c>
    </row>
    <row r="4" spans="1:2" ht="80" customHeight="1" x14ac:dyDescent="0.45">
      <c r="A4" s="48" t="s">
        <v>878</v>
      </c>
    </row>
    <row r="5" spans="1:2" ht="30" customHeight="1" x14ac:dyDescent="0.45">
      <c r="A5" s="73" t="s">
        <v>879</v>
      </c>
      <c r="B5" s="54"/>
    </row>
    <row r="6" spans="1:2" ht="28.05" customHeight="1" x14ac:dyDescent="0.45">
      <c r="A6" s="49" t="s">
        <v>880</v>
      </c>
      <c r="B6" s="50" t="s">
        <v>881</v>
      </c>
    </row>
    <row r="7" spans="1:2" ht="28.05" customHeight="1" x14ac:dyDescent="0.45">
      <c r="A7" s="51" t="s">
        <v>882</v>
      </c>
      <c r="B7" s="52" t="s">
        <v>883</v>
      </c>
    </row>
    <row r="8" spans="1:2" ht="28.05" customHeight="1" x14ac:dyDescent="0.45">
      <c r="A8" s="49" t="s">
        <v>884</v>
      </c>
      <c r="B8" s="50" t="s">
        <v>885</v>
      </c>
    </row>
    <row r="9" spans="1:2" ht="28.05" customHeight="1" x14ac:dyDescent="0.45">
      <c r="A9" s="51" t="s">
        <v>886</v>
      </c>
      <c r="B9" s="52" t="s">
        <v>887</v>
      </c>
    </row>
    <row r="10" spans="1:2" ht="28.05" customHeight="1" x14ac:dyDescent="0.45">
      <c r="A10" s="49" t="s">
        <v>888</v>
      </c>
      <c r="B10" s="50" t="s">
        <v>889</v>
      </c>
    </row>
    <row r="11" spans="1:2" ht="28.05" customHeight="1" x14ac:dyDescent="0.45">
      <c r="A11" s="51" t="s">
        <v>890</v>
      </c>
      <c r="B11" s="52" t="s">
        <v>891</v>
      </c>
    </row>
    <row r="12" spans="1:2" ht="44" customHeight="1" x14ac:dyDescent="0.45">
      <c r="A12" s="76" t="s">
        <v>892</v>
      </c>
      <c r="B12" s="54"/>
    </row>
    <row r="13" spans="1:2" ht="32" customHeight="1" x14ac:dyDescent="0.45">
      <c r="A13" s="74" t="s">
        <v>893</v>
      </c>
      <c r="B13" s="54"/>
    </row>
  </sheetData>
  <mergeCells count="5">
    <mergeCell ref="A2:B2"/>
    <mergeCell ref="A5:B5"/>
    <mergeCell ref="A13:B13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Cover</vt:lpstr>
      <vt:lpstr>TEC Decision Matrix</vt:lpstr>
      <vt:lpstr>Restorative Protocols</vt:lpstr>
      <vt:lpstr>Offense Lookup</vt:lpstr>
      <vt:lpstr>CBC Workflow</vt:lpstr>
      <vt:lpstr>SPED Safeguards</vt:lpstr>
      <vt:lpstr>Parent Communication</vt:lpstr>
      <vt:lpstr>Documentation Checklist</vt:lpstr>
      <vt:lpstr>Dashboard</vt:lpstr>
      <vt:lpstr>Reference</vt:lpstr>
      <vt:lpstr>Lists</vt:lpstr>
      <vt:lpstr>↑ Upgrade to Waypoint</vt:lpstr>
      <vt:lpstr>'CBC Workflow'!Print_Titles</vt:lpstr>
      <vt:lpstr>'Documentation Checklist'!Print_Titles</vt:lpstr>
      <vt:lpstr>'Offense Lookup'!Print_Titles</vt:lpstr>
      <vt:lpstr>'Parent Communication'!Print_Titles</vt:lpstr>
      <vt:lpstr>Reference!Print_Titles</vt:lpstr>
      <vt:lpstr>'Restorative Protocols'!Print_Titles</vt:lpstr>
      <vt:lpstr>'SPED Safeguards'!Print_Titles</vt:lpstr>
      <vt:lpstr>'TEC Decision Matrix'!Print_Titles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Culley</cp:lastModifiedBy>
  <cp:revision>0</cp:revision>
  <dcterms:created xsi:type="dcterms:W3CDTF">2026-03-11T21:48:07Z</dcterms:created>
  <dcterms:modified xsi:type="dcterms:W3CDTF">2026-07-14T19:41:32Z</dcterms:modified>
  <dc:language>en-US</dc:language>
</cp:coreProperties>
</file>